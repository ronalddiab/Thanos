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3"/>
  <workbookPr filterPrivacy="1" defaultThemeVersion="124226"/>
  <xr:revisionPtr revIDLastSave="0" documentId="13_ncr:1_{243007CD-06B4-4F42-A293-94B74E6E508C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Submeters" sheetId="2" r:id="rId2"/>
    <sheet name="Kwh Reading" sheetId="1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2">'Kwh Reading'!$A$1:$S$31</definedName>
  </definedNames>
  <calcPr calcId="191029"/>
</workbook>
</file>

<file path=xl/calcChain.xml><?xml version="1.0" encoding="utf-8"?>
<calcChain xmlns="http://schemas.openxmlformats.org/spreadsheetml/2006/main">
  <c r="I2" i="2" l="1"/>
  <c r="O33" i="6" l="1"/>
  <c r="N33" i="6"/>
  <c r="M33" i="6"/>
  <c r="G33" i="6" l="1"/>
  <c r="B31" i="4" l="1"/>
  <c r="I33" i="6"/>
  <c r="B34" i="8"/>
  <c r="C34" i="8"/>
  <c r="D34" i="8" s="1"/>
  <c r="E34" i="8"/>
  <c r="G34" i="8"/>
  <c r="I34" i="8"/>
  <c r="K34" i="8"/>
  <c r="M34" i="8"/>
  <c r="O34" i="8"/>
  <c r="Q34" i="8"/>
  <c r="S34" i="8"/>
  <c r="U34" i="8"/>
  <c r="W34" i="8"/>
  <c r="A34" i="8"/>
  <c r="X34" i="8" l="1"/>
  <c r="V34" i="8"/>
  <c r="T34" i="8"/>
  <c r="R34" i="8"/>
  <c r="P34" i="8"/>
  <c r="H34" i="8"/>
  <c r="F34" i="8"/>
  <c r="N34" i="8"/>
  <c r="L34" i="8"/>
  <c r="J34" i="8"/>
  <c r="Y34" i="8"/>
  <c r="Z34" i="8" s="1"/>
  <c r="E33" i="6"/>
  <c r="B10" i="8" l="1"/>
  <c r="C10" i="8"/>
  <c r="D10" i="8" s="1"/>
  <c r="G10" i="8"/>
  <c r="G11" i="8"/>
  <c r="C11" i="8"/>
  <c r="E5" i="8"/>
  <c r="E6" i="8"/>
  <c r="E7" i="8"/>
  <c r="E8" i="8"/>
  <c r="E9" i="8"/>
  <c r="E11" i="8"/>
  <c r="E12" i="8"/>
  <c r="E13" i="8"/>
  <c r="E14" i="8"/>
  <c r="E15" i="8"/>
  <c r="E16" i="8"/>
  <c r="E17" i="8"/>
  <c r="E18" i="8"/>
  <c r="E19" i="8"/>
  <c r="B3" i="2"/>
  <c r="B4" i="2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E20" i="2"/>
  <c r="M7" i="2"/>
  <c r="K33" i="6"/>
  <c r="B18" i="8"/>
  <c r="B4" i="8"/>
  <c r="B5" i="8"/>
  <c r="B6" i="8"/>
  <c r="B7" i="8"/>
  <c r="B8" i="8"/>
  <c r="B9" i="8"/>
  <c r="B11" i="8"/>
  <c r="B12" i="8"/>
  <c r="B13" i="8"/>
  <c r="B14" i="8"/>
  <c r="B15" i="8"/>
  <c r="B16" i="8"/>
  <c r="C16" i="8"/>
  <c r="B17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O17" i="2"/>
  <c r="O18" i="2"/>
  <c r="O19" i="2"/>
  <c r="O20" i="2"/>
  <c r="O21" i="2"/>
  <c r="C18" i="8"/>
  <c r="F18" i="8" s="1"/>
  <c r="C19" i="8"/>
  <c r="C20" i="8"/>
  <c r="C21" i="8"/>
  <c r="C22" i="8"/>
  <c r="D22" i="8" s="1"/>
  <c r="F11" i="2"/>
  <c r="F12" i="2"/>
  <c r="D13" i="4" s="1"/>
  <c r="F13" i="2"/>
  <c r="D14" i="4"/>
  <c r="F14" i="2"/>
  <c r="D15" i="4" s="1"/>
  <c r="F15" i="2"/>
  <c r="D16" i="4"/>
  <c r="S5" i="8"/>
  <c r="S6" i="8"/>
  <c r="S7" i="8"/>
  <c r="S8" i="8"/>
  <c r="S9" i="8"/>
  <c r="S10" i="8"/>
  <c r="B31" i="3"/>
  <c r="B32" i="3"/>
  <c r="C32" i="3" s="1"/>
  <c r="W29" i="8"/>
  <c r="W30" i="8"/>
  <c r="W31" i="8"/>
  <c r="W32" i="8"/>
  <c r="W33" i="8"/>
  <c r="U29" i="8"/>
  <c r="U30" i="8"/>
  <c r="U31" i="8"/>
  <c r="C31" i="8"/>
  <c r="U32" i="8"/>
  <c r="U33" i="8"/>
  <c r="S30" i="8"/>
  <c r="S31" i="8"/>
  <c r="S32" i="8"/>
  <c r="S33" i="8"/>
  <c r="Q30" i="8"/>
  <c r="Q31" i="8"/>
  <c r="Q32" i="8"/>
  <c r="Q33" i="8"/>
  <c r="O31" i="8"/>
  <c r="O32" i="8"/>
  <c r="C32" i="8"/>
  <c r="O33" i="8"/>
  <c r="M31" i="8"/>
  <c r="M32" i="8"/>
  <c r="M33" i="8"/>
  <c r="G31" i="8"/>
  <c r="G32" i="8"/>
  <c r="G33" i="8"/>
  <c r="K31" i="8"/>
  <c r="K32" i="8"/>
  <c r="K33" i="8"/>
  <c r="I31" i="8"/>
  <c r="I32" i="8"/>
  <c r="I33" i="8"/>
  <c r="E32" i="8"/>
  <c r="E33" i="8"/>
  <c r="C33" i="8"/>
  <c r="V28" i="2"/>
  <c r="W28" i="2"/>
  <c r="A23" i="4"/>
  <c r="A24" i="4"/>
  <c r="A25" i="4"/>
  <c r="A26" i="4"/>
  <c r="A27" i="4"/>
  <c r="A28" i="4"/>
  <c r="A29" i="4"/>
  <c r="A30" i="4"/>
  <c r="A31" i="4"/>
  <c r="A32" i="4"/>
  <c r="X28" i="2"/>
  <c r="K29" i="4" s="1"/>
  <c r="X29" i="2"/>
  <c r="K30" i="4" s="1"/>
  <c r="X30" i="2"/>
  <c r="K31" i="4" s="1"/>
  <c r="X31" i="2"/>
  <c r="K32" i="4" s="1"/>
  <c r="W29" i="2"/>
  <c r="W30" i="2"/>
  <c r="W31" i="2"/>
  <c r="V29" i="2"/>
  <c r="V30" i="2"/>
  <c r="V31" i="2"/>
  <c r="U28" i="2"/>
  <c r="U29" i="2"/>
  <c r="U30" i="2"/>
  <c r="U31" i="2"/>
  <c r="T28" i="2"/>
  <c r="T29" i="2"/>
  <c r="T30" i="2"/>
  <c r="T31" i="2"/>
  <c r="S28" i="2"/>
  <c r="S29" i="2"/>
  <c r="S30" i="2"/>
  <c r="S31" i="2"/>
  <c r="R28" i="2"/>
  <c r="R29" i="2"/>
  <c r="R30" i="2"/>
  <c r="R31" i="2"/>
  <c r="Q28" i="2"/>
  <c r="Q29" i="2"/>
  <c r="P29" i="2"/>
  <c r="B30" i="3"/>
  <c r="Q30" i="2"/>
  <c r="Q31" i="2"/>
  <c r="P28" i="2"/>
  <c r="P30" i="2"/>
  <c r="P31" i="2"/>
  <c r="O28" i="2"/>
  <c r="O29" i="2"/>
  <c r="N29" i="2"/>
  <c r="O30" i="2"/>
  <c r="O31" i="2"/>
  <c r="N31" i="2"/>
  <c r="N28" i="2"/>
  <c r="N30" i="2"/>
  <c r="M28" i="2"/>
  <c r="M29" i="2"/>
  <c r="L29" i="2"/>
  <c r="G30" i="4" s="1"/>
  <c r="M30" i="2"/>
  <c r="M31" i="2"/>
  <c r="L30" i="2"/>
  <c r="L31" i="2"/>
  <c r="K29" i="2"/>
  <c r="K30" i="2"/>
  <c r="K31" i="2"/>
  <c r="J29" i="2"/>
  <c r="I29" i="2"/>
  <c r="J30" i="2"/>
  <c r="J31" i="2"/>
  <c r="I30" i="2"/>
  <c r="I31" i="2"/>
  <c r="G32" i="3" s="1"/>
  <c r="G29" i="2"/>
  <c r="E30" i="4" s="1"/>
  <c r="G30" i="2"/>
  <c r="E31" i="4" s="1"/>
  <c r="E30" i="2"/>
  <c r="C31" i="4" s="1"/>
  <c r="F30" i="2"/>
  <c r="D31" i="4" s="1"/>
  <c r="G31" i="2"/>
  <c r="E32" i="4" s="1"/>
  <c r="F29" i="2"/>
  <c r="D30" i="4" s="1"/>
  <c r="F31" i="2"/>
  <c r="D32" i="4" s="1"/>
  <c r="E29" i="2"/>
  <c r="C30" i="4" s="1"/>
  <c r="E31" i="2"/>
  <c r="C32" i="4" s="1"/>
  <c r="E26" i="2"/>
  <c r="C27" i="4"/>
  <c r="E27" i="2"/>
  <c r="C28" i="4" s="1"/>
  <c r="E28" i="2"/>
  <c r="C29" i="4"/>
  <c r="V34" i="1"/>
  <c r="W34" i="1"/>
  <c r="X34" i="1"/>
  <c r="O22" i="2"/>
  <c r="O23" i="2"/>
  <c r="O24" i="2"/>
  <c r="O25" i="2"/>
  <c r="O26" i="2"/>
  <c r="O27" i="2"/>
  <c r="M22" i="2"/>
  <c r="M23" i="2"/>
  <c r="M24" i="2"/>
  <c r="M25" i="2"/>
  <c r="J23" i="2"/>
  <c r="J24" i="2"/>
  <c r="G20" i="8"/>
  <c r="B32" i="4"/>
  <c r="K21" i="8"/>
  <c r="E21" i="8"/>
  <c r="I21" i="8"/>
  <c r="M21" i="8"/>
  <c r="N21" i="8" s="1"/>
  <c r="O21" i="8"/>
  <c r="G21" i="8"/>
  <c r="Q21" i="8"/>
  <c r="S21" i="8"/>
  <c r="U21" i="8"/>
  <c r="W21" i="8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" i="2"/>
  <c r="C13" i="8"/>
  <c r="L18" i="2"/>
  <c r="L19" i="2"/>
  <c r="M19" i="8"/>
  <c r="M20" i="8"/>
  <c r="B35" i="4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" i="2"/>
  <c r="K14" i="8"/>
  <c r="C14" i="8"/>
  <c r="G24" i="8"/>
  <c r="G25" i="8"/>
  <c r="C25" i="8"/>
  <c r="G19" i="8"/>
  <c r="G22" i="8"/>
  <c r="H22" i="8" s="1"/>
  <c r="G5" i="8"/>
  <c r="S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R18" i="8" s="1"/>
  <c r="Q19" i="8"/>
  <c r="Q20" i="8"/>
  <c r="R20" i="8" s="1"/>
  <c r="Q22" i="8"/>
  <c r="R22" i="8" s="1"/>
  <c r="Q23" i="8"/>
  <c r="Q24" i="8"/>
  <c r="Q25" i="8"/>
  <c r="Q26" i="8"/>
  <c r="Q27" i="8"/>
  <c r="Q28" i="8"/>
  <c r="Q29" i="8"/>
  <c r="Q4" i="8"/>
  <c r="C4" i="8"/>
  <c r="D4" i="8" s="1"/>
  <c r="S11" i="8"/>
  <c r="T11" i="8" s="1"/>
  <c r="S12" i="8"/>
  <c r="S13" i="8"/>
  <c r="S14" i="8"/>
  <c r="S15" i="8"/>
  <c r="S16" i="8"/>
  <c r="S17" i="8"/>
  <c r="S18" i="8"/>
  <c r="S19" i="8"/>
  <c r="S20" i="8"/>
  <c r="S22" i="8"/>
  <c r="S23" i="8"/>
  <c r="S24" i="8"/>
  <c r="S25" i="8"/>
  <c r="S26" i="8"/>
  <c r="S27" i="8"/>
  <c r="S28" i="8"/>
  <c r="C28" i="8"/>
  <c r="S29" i="8"/>
  <c r="U5" i="8"/>
  <c r="U6" i="8"/>
  <c r="U7" i="8"/>
  <c r="C7" i="8"/>
  <c r="U8" i="8"/>
  <c r="U9" i="8"/>
  <c r="U10" i="8"/>
  <c r="U11" i="8"/>
  <c r="U12" i="8"/>
  <c r="U13" i="8"/>
  <c r="U14" i="8"/>
  <c r="V14" i="8"/>
  <c r="U15" i="8"/>
  <c r="U16" i="8"/>
  <c r="U17" i="8"/>
  <c r="U18" i="8"/>
  <c r="U19" i="8"/>
  <c r="U20" i="8"/>
  <c r="U22" i="8"/>
  <c r="U23" i="8"/>
  <c r="U24" i="8"/>
  <c r="U25" i="8"/>
  <c r="U26" i="8"/>
  <c r="U27" i="8"/>
  <c r="U28" i="8"/>
  <c r="U4" i="8"/>
  <c r="G6" i="8"/>
  <c r="G7" i="8"/>
  <c r="G8" i="8"/>
  <c r="G9" i="8"/>
  <c r="G12" i="8"/>
  <c r="G13" i="8"/>
  <c r="G14" i="8"/>
  <c r="G15" i="8"/>
  <c r="G16" i="8"/>
  <c r="G17" i="8"/>
  <c r="G18" i="8"/>
  <c r="H18" i="8" s="1"/>
  <c r="G23" i="8"/>
  <c r="G26" i="8"/>
  <c r="G27" i="8"/>
  <c r="C27" i="8"/>
  <c r="G28" i="8"/>
  <c r="G29" i="8"/>
  <c r="G30" i="8"/>
  <c r="C30" i="8"/>
  <c r="W6" i="8"/>
  <c r="W7" i="8"/>
  <c r="W8" i="8"/>
  <c r="W9" i="8"/>
  <c r="W10" i="8"/>
  <c r="X10" i="8" s="1"/>
  <c r="W11" i="8"/>
  <c r="W12" i="8"/>
  <c r="W13" i="8"/>
  <c r="W14" i="8"/>
  <c r="W15" i="8"/>
  <c r="W16" i="8"/>
  <c r="W17" i="8"/>
  <c r="W18" i="8"/>
  <c r="X18" i="8" s="1"/>
  <c r="W19" i="8"/>
  <c r="W20" i="8"/>
  <c r="W22" i="8"/>
  <c r="W23" i="8"/>
  <c r="W24" i="8"/>
  <c r="W25" i="8"/>
  <c r="X25" i="8" s="1"/>
  <c r="W26" i="8"/>
  <c r="W27" i="8"/>
  <c r="W28" i="8"/>
  <c r="W5" i="8"/>
  <c r="W4" i="8"/>
  <c r="X4" i="8" s="1"/>
  <c r="T22" i="2"/>
  <c r="T23" i="2"/>
  <c r="P14" i="2"/>
  <c r="O14" i="2"/>
  <c r="T14" i="2"/>
  <c r="U14" i="2"/>
  <c r="V14" i="2"/>
  <c r="W14" i="2"/>
  <c r="X14" i="2"/>
  <c r="K15" i="4"/>
  <c r="B9" i="4"/>
  <c r="B10" i="4"/>
  <c r="B11" i="4"/>
  <c r="B12" i="4"/>
  <c r="O5" i="8"/>
  <c r="O6" i="8"/>
  <c r="O7" i="8"/>
  <c r="O8" i="8"/>
  <c r="O9" i="8"/>
  <c r="O10" i="8"/>
  <c r="O11" i="8"/>
  <c r="O12" i="8"/>
  <c r="O13" i="8"/>
  <c r="O14" i="8"/>
  <c r="P14" i="8" s="1"/>
  <c r="O15" i="8"/>
  <c r="O16" i="8"/>
  <c r="O17" i="8"/>
  <c r="O18" i="8"/>
  <c r="P18" i="8" s="1"/>
  <c r="O19" i="8"/>
  <c r="O20" i="8"/>
  <c r="O22" i="8"/>
  <c r="P22" i="8" s="1"/>
  <c r="O23" i="8"/>
  <c r="C23" i="8"/>
  <c r="H23" i="8" s="1"/>
  <c r="O24" i="8"/>
  <c r="O25" i="8"/>
  <c r="O26" i="8"/>
  <c r="O27" i="8"/>
  <c r="O28" i="8"/>
  <c r="O29" i="8"/>
  <c r="O30" i="8"/>
  <c r="O4" i="8"/>
  <c r="M5" i="8"/>
  <c r="M6" i="8"/>
  <c r="M7" i="8"/>
  <c r="M8" i="8"/>
  <c r="C8" i="8"/>
  <c r="T8" i="8" s="1"/>
  <c r="M9" i="8"/>
  <c r="M10" i="8"/>
  <c r="M11" i="8"/>
  <c r="M12" i="8"/>
  <c r="M13" i="8"/>
  <c r="M14" i="8"/>
  <c r="M15" i="8"/>
  <c r="M16" i="8"/>
  <c r="M17" i="8"/>
  <c r="M18" i="8"/>
  <c r="N18" i="8" s="1"/>
  <c r="M22" i="8"/>
  <c r="M23" i="8"/>
  <c r="N23" i="8" s="1"/>
  <c r="M24" i="8"/>
  <c r="M25" i="8"/>
  <c r="N25" i="8" s="1"/>
  <c r="M26" i="8"/>
  <c r="C26" i="8"/>
  <c r="M27" i="8"/>
  <c r="M28" i="8"/>
  <c r="M29" i="8"/>
  <c r="M30" i="8"/>
  <c r="M4" i="8"/>
  <c r="K5" i="8"/>
  <c r="K6" i="8"/>
  <c r="K7" i="8"/>
  <c r="K8" i="8"/>
  <c r="K9" i="8"/>
  <c r="K10" i="8"/>
  <c r="L10" i="8" s="1"/>
  <c r="K11" i="8"/>
  <c r="K12" i="8"/>
  <c r="K13" i="8"/>
  <c r="K15" i="8"/>
  <c r="K16" i="8"/>
  <c r="L16" i="8" s="1"/>
  <c r="K17" i="8"/>
  <c r="K18" i="8"/>
  <c r="K19" i="8"/>
  <c r="K20" i="8"/>
  <c r="K22" i="8"/>
  <c r="K23" i="8"/>
  <c r="K24" i="8"/>
  <c r="K25" i="8"/>
  <c r="K26" i="8"/>
  <c r="K27" i="8"/>
  <c r="K28" i="8"/>
  <c r="K29" i="8"/>
  <c r="K30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J18" i="8" s="1"/>
  <c r="I19" i="8"/>
  <c r="J19" i="8" s="1"/>
  <c r="I20" i="8"/>
  <c r="J20" i="8" s="1"/>
  <c r="I22" i="8"/>
  <c r="J22" i="8" s="1"/>
  <c r="I23" i="8"/>
  <c r="I24" i="8"/>
  <c r="C24" i="8"/>
  <c r="D24" i="8" s="1"/>
  <c r="I25" i="8"/>
  <c r="I26" i="8"/>
  <c r="I27" i="8"/>
  <c r="I28" i="8"/>
  <c r="E28" i="8"/>
  <c r="I29" i="8"/>
  <c r="I30" i="8"/>
  <c r="I4" i="8"/>
  <c r="G4" i="8"/>
  <c r="C9" i="8"/>
  <c r="E20" i="8"/>
  <c r="E22" i="8"/>
  <c r="E23" i="8"/>
  <c r="F23" i="8" s="1"/>
  <c r="E24" i="8"/>
  <c r="E25" i="8"/>
  <c r="E26" i="8"/>
  <c r="E27" i="8"/>
  <c r="E29" i="8"/>
  <c r="E30" i="8"/>
  <c r="E31" i="8"/>
  <c r="E4" i="8"/>
  <c r="C5" i="8"/>
  <c r="C6" i="8"/>
  <c r="C12" i="8"/>
  <c r="C15" i="8"/>
  <c r="C17" i="8"/>
  <c r="C29" i="8"/>
  <c r="J29" i="8" s="1"/>
  <c r="E25" i="2"/>
  <c r="C26" i="4" s="1"/>
  <c r="W26" i="2"/>
  <c r="O3" i="2"/>
  <c r="O4" i="2"/>
  <c r="O5" i="2"/>
  <c r="O6" i="2"/>
  <c r="O7" i="2"/>
  <c r="O8" i="2"/>
  <c r="O9" i="2"/>
  <c r="O10" i="2"/>
  <c r="O11" i="2"/>
  <c r="O12" i="2"/>
  <c r="O13" i="2"/>
  <c r="O15" i="2"/>
  <c r="O16" i="2"/>
  <c r="O2" i="2"/>
  <c r="P12" i="2"/>
  <c r="J22" i="2"/>
  <c r="X21" i="2"/>
  <c r="K22" i="4" s="1"/>
  <c r="W21" i="2"/>
  <c r="J22" i="4" s="1"/>
  <c r="V21" i="2"/>
  <c r="U21" i="2"/>
  <c r="T21" i="2"/>
  <c r="P21" i="2"/>
  <c r="N21" i="2"/>
  <c r="H22" i="4" s="1"/>
  <c r="M21" i="2"/>
  <c r="L21" i="2"/>
  <c r="G22" i="4" s="1"/>
  <c r="K21" i="2"/>
  <c r="J21" i="2"/>
  <c r="I21" i="2"/>
  <c r="G21" i="2"/>
  <c r="E22" i="4" s="1"/>
  <c r="F21" i="2"/>
  <c r="D22" i="4" s="1"/>
  <c r="E21" i="2"/>
  <c r="C22" i="4" s="1"/>
  <c r="M10" i="2"/>
  <c r="M6" i="2"/>
  <c r="L6" i="2"/>
  <c r="L7" i="2"/>
  <c r="G8" i="4" s="1"/>
  <c r="K6" i="2"/>
  <c r="K7" i="2"/>
  <c r="J6" i="2"/>
  <c r="J7" i="2"/>
  <c r="I7" i="2"/>
  <c r="I6" i="2"/>
  <c r="G6" i="2"/>
  <c r="E7" i="4" s="1"/>
  <c r="G7" i="2"/>
  <c r="E8" i="4" s="1"/>
  <c r="F6" i="2"/>
  <c r="D7" i="4" s="1"/>
  <c r="F7" i="2"/>
  <c r="D8" i="4" s="1"/>
  <c r="E6" i="2"/>
  <c r="C7" i="4" s="1"/>
  <c r="E7" i="2"/>
  <c r="C8" i="4" s="1"/>
  <c r="X6" i="2"/>
  <c r="K7" i="4" s="1"/>
  <c r="X7" i="2"/>
  <c r="K8" i="4" s="1"/>
  <c r="W6" i="2"/>
  <c r="W7" i="2"/>
  <c r="V6" i="2"/>
  <c r="V7" i="2"/>
  <c r="U6" i="2"/>
  <c r="U7" i="2"/>
  <c r="T6" i="2"/>
  <c r="T7" i="2"/>
  <c r="P6" i="2"/>
  <c r="P7" i="2"/>
  <c r="N6" i="2"/>
  <c r="N7" i="2"/>
  <c r="I8" i="3" s="1"/>
  <c r="E15" i="2"/>
  <c r="C16" i="4" s="1"/>
  <c r="E16" i="2"/>
  <c r="E17" i="2"/>
  <c r="C18" i="4" s="1"/>
  <c r="V25" i="2"/>
  <c r="B20" i="4"/>
  <c r="B3" i="4"/>
  <c r="K19" i="2"/>
  <c r="E19" i="2"/>
  <c r="C20" i="4" s="1"/>
  <c r="C21" i="4"/>
  <c r="E22" i="2"/>
  <c r="C23" i="4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F3" i="2"/>
  <c r="D4" i="4" s="1"/>
  <c r="F4" i="2"/>
  <c r="D5" i="4" s="1"/>
  <c r="F5" i="2"/>
  <c r="F8" i="2"/>
  <c r="D9" i="4" s="1"/>
  <c r="F9" i="2"/>
  <c r="E10" i="3" s="1"/>
  <c r="F10" i="2"/>
  <c r="D11" i="4" s="1"/>
  <c r="F16" i="2"/>
  <c r="D17" i="4" s="1"/>
  <c r="F17" i="2"/>
  <c r="F18" i="2"/>
  <c r="D19" i="4" s="1"/>
  <c r="F19" i="2"/>
  <c r="D20" i="4" s="1"/>
  <c r="F20" i="2"/>
  <c r="D21" i="4" s="1"/>
  <c r="F22" i="2"/>
  <c r="D23" i="4" s="1"/>
  <c r="F23" i="2"/>
  <c r="D24" i="4" s="1"/>
  <c r="F24" i="2"/>
  <c r="F25" i="2"/>
  <c r="D26" i="4" s="1"/>
  <c r="F26" i="2"/>
  <c r="D27" i="4" s="1"/>
  <c r="F27" i="2"/>
  <c r="D28" i="4" s="1"/>
  <c r="F28" i="2"/>
  <c r="D29" i="4" s="1"/>
  <c r="D3" i="4"/>
  <c r="B4" i="3"/>
  <c r="B5" i="3"/>
  <c r="B6" i="3"/>
  <c r="B7" i="3"/>
  <c r="B8" i="3"/>
  <c r="C8" i="3" s="1"/>
  <c r="B9" i="3"/>
  <c r="C9" i="3" s="1"/>
  <c r="B10" i="3"/>
  <c r="C10" i="3" s="1"/>
  <c r="B11" i="3"/>
  <c r="B12" i="3"/>
  <c r="C12" i="3" s="1"/>
  <c r="B13" i="3"/>
  <c r="B14" i="3"/>
  <c r="B15" i="3"/>
  <c r="B16" i="3"/>
  <c r="B17" i="3"/>
  <c r="D17" i="3" s="1"/>
  <c r="B18" i="3"/>
  <c r="B19" i="3"/>
  <c r="C19" i="3" s="1"/>
  <c r="B20" i="3"/>
  <c r="L20" i="3" s="1"/>
  <c r="X19" i="2"/>
  <c r="B21" i="3"/>
  <c r="B22" i="3"/>
  <c r="B23" i="3"/>
  <c r="B24" i="3"/>
  <c r="B25" i="3"/>
  <c r="B26" i="3"/>
  <c r="B27" i="3"/>
  <c r="B28" i="3"/>
  <c r="D28" i="3" s="1"/>
  <c r="B29" i="3"/>
  <c r="B3" i="3"/>
  <c r="T16" i="2"/>
  <c r="A33" i="8"/>
  <c r="A32" i="3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" i="2"/>
  <c r="K4" i="4" s="1"/>
  <c r="A30" i="3"/>
  <c r="A31" i="3"/>
  <c r="E3" i="2"/>
  <c r="C4" i="4" s="1"/>
  <c r="W18" i="2"/>
  <c r="M5" i="2"/>
  <c r="X5" i="2"/>
  <c r="K13" i="2"/>
  <c r="L10" i="2"/>
  <c r="H11" i="3" s="1"/>
  <c r="J9" i="2"/>
  <c r="I9" i="2"/>
  <c r="E9" i="2"/>
  <c r="C10" i="4" s="1"/>
  <c r="X8" i="2"/>
  <c r="K9" i="4" s="1"/>
  <c r="W8" i="2"/>
  <c r="V8" i="2"/>
  <c r="U8" i="2"/>
  <c r="T8" i="2"/>
  <c r="P8" i="2"/>
  <c r="N8" i="2"/>
  <c r="H9" i="4" s="1"/>
  <c r="M8" i="2"/>
  <c r="L8" i="2"/>
  <c r="K8" i="2"/>
  <c r="H8" i="2" s="1"/>
  <c r="J8" i="2"/>
  <c r="I8" i="2"/>
  <c r="G8" i="2"/>
  <c r="E9" i="4" s="1"/>
  <c r="E8" i="2"/>
  <c r="C9" i="4" s="1"/>
  <c r="I18" i="2"/>
  <c r="I17" i="2"/>
  <c r="T3" i="2"/>
  <c r="T4" i="2"/>
  <c r="T5" i="2"/>
  <c r="T9" i="2"/>
  <c r="T10" i="2"/>
  <c r="T11" i="2"/>
  <c r="T12" i="2"/>
  <c r="T13" i="2"/>
  <c r="T15" i="2"/>
  <c r="T17" i="2"/>
  <c r="T18" i="2"/>
  <c r="T19" i="2"/>
  <c r="T20" i="2"/>
  <c r="T24" i="2"/>
  <c r="T25" i="2"/>
  <c r="T26" i="2"/>
  <c r="T27" i="2"/>
  <c r="T2" i="2"/>
  <c r="L3" i="2"/>
  <c r="M3" i="2"/>
  <c r="L4" i="2"/>
  <c r="M4" i="2"/>
  <c r="L5" i="2"/>
  <c r="L9" i="2"/>
  <c r="M9" i="2"/>
  <c r="L11" i="2"/>
  <c r="M11" i="2"/>
  <c r="L12" i="2"/>
  <c r="M12" i="2"/>
  <c r="H13" i="3" s="1"/>
  <c r="L13" i="2"/>
  <c r="H14" i="3" s="1"/>
  <c r="M13" i="2"/>
  <c r="L14" i="2"/>
  <c r="M14" i="2"/>
  <c r="L15" i="2"/>
  <c r="M15" i="2"/>
  <c r="L16" i="2"/>
  <c r="M16" i="2"/>
  <c r="L17" i="2"/>
  <c r="G18" i="4" s="1"/>
  <c r="M17" i="2"/>
  <c r="M18" i="2"/>
  <c r="M19" i="2"/>
  <c r="L20" i="2"/>
  <c r="M20" i="2"/>
  <c r="L22" i="2"/>
  <c r="L23" i="2"/>
  <c r="H24" i="3" s="1"/>
  <c r="L24" i="2"/>
  <c r="H25" i="3" s="1"/>
  <c r="L25" i="2"/>
  <c r="L26" i="2"/>
  <c r="M26" i="2"/>
  <c r="L27" i="2"/>
  <c r="H28" i="3" s="1"/>
  <c r="M27" i="2"/>
  <c r="L28" i="2"/>
  <c r="M2" i="2"/>
  <c r="L2" i="2"/>
  <c r="E4" i="2"/>
  <c r="C5" i="4" s="1"/>
  <c r="E5" i="2"/>
  <c r="C6" i="4" s="1"/>
  <c r="E10" i="2"/>
  <c r="C11" i="4" s="1"/>
  <c r="E11" i="2"/>
  <c r="E12" i="2"/>
  <c r="C13" i="4" s="1"/>
  <c r="E13" i="2"/>
  <c r="D14" i="3" s="1"/>
  <c r="E14" i="2"/>
  <c r="E18" i="2"/>
  <c r="E23" i="2"/>
  <c r="D24" i="3" s="1"/>
  <c r="E24" i="2"/>
  <c r="C25" i="4" s="1"/>
  <c r="X4" i="2"/>
  <c r="K5" i="4" s="1"/>
  <c r="X9" i="2"/>
  <c r="L10" i="3" s="1"/>
  <c r="X10" i="2"/>
  <c r="K11" i="4" s="1"/>
  <c r="X11" i="2"/>
  <c r="K12" i="4" s="1"/>
  <c r="X12" i="2"/>
  <c r="K13" i="4"/>
  <c r="X13" i="2"/>
  <c r="L14" i="3" s="1"/>
  <c r="X15" i="2"/>
  <c r="K16" i="4"/>
  <c r="X16" i="2"/>
  <c r="K17" i="4" s="1"/>
  <c r="X17" i="2"/>
  <c r="K18" i="4"/>
  <c r="X18" i="2"/>
  <c r="K19" i="4"/>
  <c r="X20" i="2"/>
  <c r="K21" i="4" s="1"/>
  <c r="X22" i="2"/>
  <c r="L23" i="3" s="1"/>
  <c r="X23" i="2"/>
  <c r="K24" i="4" s="1"/>
  <c r="X24" i="2"/>
  <c r="L25" i="3" s="1"/>
  <c r="X25" i="2"/>
  <c r="K26" i="4" s="1"/>
  <c r="X26" i="2"/>
  <c r="K27" i="4" s="1"/>
  <c r="X27" i="2"/>
  <c r="K28" i="4" s="1"/>
  <c r="X2" i="2"/>
  <c r="K3" i="4" s="1"/>
  <c r="P3" i="2"/>
  <c r="P4" i="2"/>
  <c r="P5" i="2"/>
  <c r="P9" i="2"/>
  <c r="P10" i="2"/>
  <c r="P11" i="2"/>
  <c r="P13" i="2"/>
  <c r="P15" i="2"/>
  <c r="P16" i="2"/>
  <c r="P17" i="2"/>
  <c r="P18" i="2"/>
  <c r="P19" i="2"/>
  <c r="P20" i="2"/>
  <c r="J21" i="3" s="1"/>
  <c r="P22" i="2"/>
  <c r="P23" i="2"/>
  <c r="P24" i="2"/>
  <c r="I25" i="4" s="1"/>
  <c r="P25" i="2"/>
  <c r="P26" i="2"/>
  <c r="P27" i="2"/>
  <c r="P2" i="2"/>
  <c r="I3" i="2"/>
  <c r="J3" i="2"/>
  <c r="K3" i="2"/>
  <c r="I4" i="2"/>
  <c r="J4" i="2"/>
  <c r="K4" i="2"/>
  <c r="I5" i="2"/>
  <c r="J5" i="2"/>
  <c r="K5" i="2"/>
  <c r="K9" i="2"/>
  <c r="I10" i="2"/>
  <c r="J10" i="2"/>
  <c r="K10" i="2"/>
  <c r="I11" i="2"/>
  <c r="J11" i="2"/>
  <c r="K11" i="2"/>
  <c r="I12" i="2"/>
  <c r="J12" i="2"/>
  <c r="K12" i="2"/>
  <c r="I13" i="2"/>
  <c r="J13" i="2"/>
  <c r="I14" i="2"/>
  <c r="J14" i="2"/>
  <c r="K14" i="2"/>
  <c r="I15" i="2"/>
  <c r="F16" i="4" s="1"/>
  <c r="J15" i="2"/>
  <c r="K15" i="2"/>
  <c r="I16" i="2"/>
  <c r="H16" i="2" s="1"/>
  <c r="J16" i="2"/>
  <c r="K16" i="2"/>
  <c r="J17" i="2"/>
  <c r="K17" i="2"/>
  <c r="J18" i="2"/>
  <c r="F19" i="4" s="1"/>
  <c r="K18" i="2"/>
  <c r="I19" i="2"/>
  <c r="J19" i="2"/>
  <c r="I20" i="2"/>
  <c r="J20" i="2"/>
  <c r="K20" i="2"/>
  <c r="I22" i="2"/>
  <c r="K22" i="2"/>
  <c r="I23" i="2"/>
  <c r="K23" i="2"/>
  <c r="F24" i="4" s="1"/>
  <c r="I24" i="2"/>
  <c r="F25" i="4" s="1"/>
  <c r="K24" i="2"/>
  <c r="I25" i="2"/>
  <c r="J25" i="2"/>
  <c r="K25" i="2"/>
  <c r="I26" i="2"/>
  <c r="J26" i="2"/>
  <c r="K26" i="2"/>
  <c r="I27" i="2"/>
  <c r="J27" i="2"/>
  <c r="K27" i="2"/>
  <c r="I28" i="2"/>
  <c r="J28" i="2"/>
  <c r="K28" i="2"/>
  <c r="K2" i="2"/>
  <c r="J2" i="2"/>
  <c r="G3" i="2"/>
  <c r="E4" i="4" s="1"/>
  <c r="G4" i="2"/>
  <c r="F5" i="3" s="1"/>
  <c r="G5" i="2"/>
  <c r="E6" i="4" s="1"/>
  <c r="G9" i="2"/>
  <c r="F10" i="3" s="1"/>
  <c r="G10" i="2"/>
  <c r="E11" i="4" s="1"/>
  <c r="G11" i="2"/>
  <c r="F12" i="3" s="1"/>
  <c r="G12" i="2"/>
  <c r="E13" i="4" s="1"/>
  <c r="G13" i="2"/>
  <c r="E14" i="4" s="1"/>
  <c r="G14" i="2"/>
  <c r="E15" i="4" s="1"/>
  <c r="G15" i="2"/>
  <c r="E16" i="4" s="1"/>
  <c r="G16" i="2"/>
  <c r="E17" i="4" s="1"/>
  <c r="G17" i="2"/>
  <c r="E18" i="4" s="1"/>
  <c r="G18" i="2"/>
  <c r="E19" i="4" s="1"/>
  <c r="G19" i="2"/>
  <c r="E20" i="4"/>
  <c r="G20" i="2"/>
  <c r="F21" i="3" s="1"/>
  <c r="G22" i="2"/>
  <c r="F23" i="3" s="1"/>
  <c r="G23" i="2"/>
  <c r="E24" i="4" s="1"/>
  <c r="G24" i="2"/>
  <c r="E25" i="4" s="1"/>
  <c r="G25" i="2"/>
  <c r="E26" i="4" s="1"/>
  <c r="G26" i="2"/>
  <c r="E27" i="4" s="1"/>
  <c r="G27" i="2"/>
  <c r="E28" i="4" s="1"/>
  <c r="G28" i="2"/>
  <c r="E29" i="4" s="1"/>
  <c r="E3" i="4"/>
  <c r="N3" i="2"/>
  <c r="N4" i="2"/>
  <c r="N5" i="2"/>
  <c r="H6" i="4" s="1"/>
  <c r="N9" i="2"/>
  <c r="N10" i="2"/>
  <c r="H11" i="4" s="1"/>
  <c r="N11" i="2"/>
  <c r="N12" i="2"/>
  <c r="I13" i="3" s="1"/>
  <c r="N13" i="2"/>
  <c r="I14" i="3" s="1"/>
  <c r="N14" i="2"/>
  <c r="H15" i="4" s="1"/>
  <c r="N15" i="2"/>
  <c r="N16" i="2"/>
  <c r="N17" i="2"/>
  <c r="N18" i="2"/>
  <c r="H19" i="4" s="1"/>
  <c r="N19" i="2"/>
  <c r="H20" i="4" s="1"/>
  <c r="N20" i="2"/>
  <c r="I21" i="3" s="1"/>
  <c r="N22" i="2"/>
  <c r="H23" i="4" s="1"/>
  <c r="N23" i="2"/>
  <c r="I24" i="3" s="1"/>
  <c r="N24" i="2"/>
  <c r="I25" i="3" s="1"/>
  <c r="N25" i="2"/>
  <c r="N26" i="2"/>
  <c r="N27" i="2"/>
  <c r="I28" i="3" s="1"/>
  <c r="N2" i="2"/>
  <c r="H3" i="4" s="1"/>
  <c r="U10" i="2"/>
  <c r="U11" i="2"/>
  <c r="U12" i="2"/>
  <c r="U13" i="2"/>
  <c r="U15" i="2"/>
  <c r="U16" i="2"/>
  <c r="U17" i="2"/>
  <c r="U18" i="2"/>
  <c r="U19" i="2"/>
  <c r="U20" i="2"/>
  <c r="U22" i="2"/>
  <c r="U23" i="2"/>
  <c r="U24" i="2"/>
  <c r="U25" i="2"/>
  <c r="I26" i="4" s="1"/>
  <c r="U26" i="2"/>
  <c r="U27" i="2"/>
  <c r="U3" i="2"/>
  <c r="U4" i="2"/>
  <c r="U5" i="2"/>
  <c r="U9" i="2"/>
  <c r="U2" i="2"/>
  <c r="A29" i="3"/>
  <c r="W3" i="2"/>
  <c r="W4" i="2"/>
  <c r="W5" i="2"/>
  <c r="W9" i="2"/>
  <c r="W10" i="2"/>
  <c r="W11" i="2"/>
  <c r="W12" i="2"/>
  <c r="W13" i="2"/>
  <c r="J14" i="4" s="1"/>
  <c r="W15" i="2"/>
  <c r="W16" i="2"/>
  <c r="W17" i="2"/>
  <c r="W19" i="2"/>
  <c r="W20" i="2"/>
  <c r="W22" i="2"/>
  <c r="W23" i="2"/>
  <c r="W24" i="2"/>
  <c r="W25" i="2"/>
  <c r="J26" i="4" s="1"/>
  <c r="W27" i="2"/>
  <c r="W2" i="2"/>
  <c r="V3" i="2"/>
  <c r="V4" i="2"/>
  <c r="V5" i="2"/>
  <c r="V9" i="2"/>
  <c r="V10" i="2"/>
  <c r="V11" i="2"/>
  <c r="K12" i="3" s="1"/>
  <c r="V12" i="2"/>
  <c r="V13" i="2"/>
  <c r="V15" i="2"/>
  <c r="V16" i="2"/>
  <c r="V17" i="2"/>
  <c r="V18" i="2"/>
  <c r="V19" i="2"/>
  <c r="J20" i="4" s="1"/>
  <c r="V20" i="2"/>
  <c r="K21" i="3" s="1"/>
  <c r="V22" i="2"/>
  <c r="V23" i="2"/>
  <c r="J24" i="4" s="1"/>
  <c r="V24" i="2"/>
  <c r="V26" i="2"/>
  <c r="J27" i="4" s="1"/>
  <c r="V27" i="2"/>
  <c r="V2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3" i="4"/>
  <c r="C31" i="3"/>
  <c r="G30" i="3"/>
  <c r="C30" i="3"/>
  <c r="D30" i="3"/>
  <c r="K29" i="3"/>
  <c r="C29" i="3"/>
  <c r="L29" i="3"/>
  <c r="D29" i="3"/>
  <c r="C25" i="3"/>
  <c r="C24" i="3"/>
  <c r="C7" i="3"/>
  <c r="D22" i="3"/>
  <c r="L21" i="3"/>
  <c r="C23" i="3"/>
  <c r="C22" i="3"/>
  <c r="N31" i="8"/>
  <c r="H23" i="3"/>
  <c r="X14" i="8"/>
  <c r="D23" i="3"/>
  <c r="J14" i="8"/>
  <c r="C11" i="3"/>
  <c r="I22" i="3"/>
  <c r="C17" i="4"/>
  <c r="E24" i="3"/>
  <c r="K20" i="4"/>
  <c r="C21" i="3"/>
  <c r="D21" i="3"/>
  <c r="C13" i="3"/>
  <c r="C5" i="3"/>
  <c r="N20" i="8"/>
  <c r="C19" i="4"/>
  <c r="C14" i="3"/>
  <c r="C6" i="3"/>
  <c r="C3" i="3"/>
  <c r="F6" i="8"/>
  <c r="L5" i="3"/>
  <c r="G11" i="4"/>
  <c r="H16" i="3"/>
  <c r="H12" i="3"/>
  <c r="N17" i="8"/>
  <c r="V11" i="8"/>
  <c r="D18" i="8"/>
  <c r="E14" i="3"/>
  <c r="L13" i="3"/>
  <c r="D17" i="8"/>
  <c r="C28" i="3"/>
  <c r="C24" i="4"/>
  <c r="D3" i="3"/>
  <c r="G16" i="4"/>
  <c r="L28" i="3"/>
  <c r="H21" i="3"/>
  <c r="K10" i="4"/>
  <c r="G28" i="4"/>
  <c r="F3" i="3"/>
  <c r="E23" i="3"/>
  <c r="L24" i="3"/>
  <c r="C3" i="4"/>
  <c r="I29" i="3"/>
  <c r="G23" i="4"/>
  <c r="H32" i="4"/>
  <c r="I32" i="4"/>
  <c r="D11" i="3"/>
  <c r="L22" i="3"/>
  <c r="H14" i="4"/>
  <c r="I6" i="3"/>
  <c r="K22" i="3"/>
  <c r="E32" i="3"/>
  <c r="J29" i="4"/>
  <c r="M25" i="3"/>
  <c r="M22" i="3"/>
  <c r="H16" i="4"/>
  <c r="F14" i="3"/>
  <c r="M10" i="3"/>
  <c r="H30" i="2"/>
  <c r="E3" i="3"/>
  <c r="D6" i="3"/>
  <c r="H25" i="4"/>
  <c r="M13" i="3"/>
  <c r="G13" i="4"/>
  <c r="H29" i="2"/>
  <c r="M30" i="3"/>
  <c r="M28" i="3"/>
  <c r="D5" i="3"/>
  <c r="J12" i="4"/>
  <c r="F12" i="4"/>
  <c r="C15" i="4"/>
  <c r="M8" i="3"/>
  <c r="D18" i="4"/>
  <c r="F19" i="3"/>
  <c r="F31" i="3"/>
  <c r="J13" i="4"/>
  <c r="G6" i="4"/>
  <c r="G20" i="4"/>
  <c r="H29" i="4"/>
  <c r="L19" i="3"/>
  <c r="M31" i="3"/>
  <c r="G12" i="3"/>
  <c r="F25" i="3"/>
  <c r="E22" i="3"/>
  <c r="H6" i="3"/>
  <c r="D13" i="3"/>
  <c r="J17" i="4"/>
  <c r="J23" i="3"/>
  <c r="K13" i="3"/>
  <c r="M32" i="3"/>
  <c r="E17" i="3"/>
  <c r="J14" i="3"/>
  <c r="F32" i="4"/>
  <c r="F15" i="4"/>
  <c r="L7" i="3"/>
  <c r="M3" i="3"/>
  <c r="M33" i="3" s="1"/>
  <c r="M12" i="3"/>
  <c r="M17" i="3"/>
  <c r="F27" i="4"/>
  <c r="M14" i="3"/>
  <c r="E13" i="3"/>
  <c r="M19" i="3"/>
  <c r="E21" i="3"/>
  <c r="M6" i="3"/>
  <c r="K7" i="3"/>
  <c r="M4" i="3"/>
  <c r="L18" i="3"/>
  <c r="M5" i="3"/>
  <c r="G9" i="4"/>
  <c r="G26" i="4"/>
  <c r="G31" i="3"/>
  <c r="M29" i="3"/>
  <c r="H18" i="4"/>
  <c r="M21" i="3"/>
  <c r="M23" i="3"/>
  <c r="M16" i="3"/>
  <c r="I15" i="3"/>
  <c r="C33" i="3"/>
  <c r="K17" i="3"/>
  <c r="M11" i="3"/>
  <c r="M7" i="3"/>
  <c r="M24" i="3"/>
  <c r="L12" i="3"/>
  <c r="I16" i="4"/>
  <c r="F30" i="3"/>
  <c r="R12" i="8" l="1"/>
  <c r="R13" i="8"/>
  <c r="X11" i="8"/>
  <c r="R11" i="8"/>
  <c r="P10" i="8"/>
  <c r="R10" i="8"/>
  <c r="J10" i="8"/>
  <c r="N10" i="8"/>
  <c r="F11" i="3"/>
  <c r="D10" i="3"/>
  <c r="L11" i="3"/>
  <c r="G10" i="3"/>
  <c r="I11" i="3"/>
  <c r="K10" i="3"/>
  <c r="J9" i="4"/>
  <c r="K11" i="3"/>
  <c r="E10" i="4"/>
  <c r="H9" i="8"/>
  <c r="J8" i="3"/>
  <c r="J7" i="4"/>
  <c r="L8" i="3"/>
  <c r="I8" i="4"/>
  <c r="H7" i="2"/>
  <c r="F8" i="4"/>
  <c r="H7" i="4"/>
  <c r="E7" i="3"/>
  <c r="I7" i="3"/>
  <c r="T7" i="8"/>
  <c r="D7" i="3"/>
  <c r="I18" i="4"/>
  <c r="I23" i="4"/>
  <c r="G12" i="4"/>
  <c r="G9" i="3"/>
  <c r="E6" i="3"/>
  <c r="H7" i="3"/>
  <c r="F26" i="8"/>
  <c r="H8" i="8"/>
  <c r="R14" i="8"/>
  <c r="V33" i="8"/>
  <c r="V29" i="8"/>
  <c r="F16" i="8"/>
  <c r="H6" i="2"/>
  <c r="H18" i="2"/>
  <c r="G29" i="3"/>
  <c r="L26" i="8"/>
  <c r="D14" i="8"/>
  <c r="F14" i="8"/>
  <c r="J18" i="4"/>
  <c r="H27" i="3"/>
  <c r="G15" i="4"/>
  <c r="H17" i="2"/>
  <c r="D15" i="3"/>
  <c r="J7" i="3"/>
  <c r="L14" i="8"/>
  <c r="H27" i="4"/>
  <c r="I29" i="4"/>
  <c r="D11" i="8"/>
  <c r="F29" i="3"/>
  <c r="J5" i="4"/>
  <c r="C14" i="4"/>
  <c r="E25" i="3"/>
  <c r="I10" i="3"/>
  <c r="H14" i="8"/>
  <c r="T14" i="8"/>
  <c r="H26" i="4"/>
  <c r="X30" i="8"/>
  <c r="E12" i="3"/>
  <c r="F12" i="8"/>
  <c r="H5" i="3"/>
  <c r="I12" i="4"/>
  <c r="I9" i="4"/>
  <c r="L9" i="4" s="1"/>
  <c r="F10" i="4"/>
  <c r="H19" i="2"/>
  <c r="R26" i="8"/>
  <c r="F30" i="4"/>
  <c r="H17" i="4"/>
  <c r="I13" i="4"/>
  <c r="L13" i="4" s="1"/>
  <c r="H15" i="2"/>
  <c r="J28" i="4"/>
  <c r="F11" i="4"/>
  <c r="J24" i="3"/>
  <c r="D12" i="3"/>
  <c r="G4" i="4"/>
  <c r="F22" i="4"/>
  <c r="I6" i="4"/>
  <c r="D6" i="4"/>
  <c r="J6" i="4"/>
  <c r="K6" i="3"/>
  <c r="F6" i="3"/>
  <c r="V5" i="8"/>
  <c r="I4" i="4"/>
  <c r="I5" i="4"/>
  <c r="K5" i="3"/>
  <c r="E5" i="4"/>
  <c r="X5" i="8"/>
  <c r="J5" i="8"/>
  <c r="F5" i="8"/>
  <c r="J4" i="3"/>
  <c r="G3" i="3"/>
  <c r="G4" i="3"/>
  <c r="F3" i="4"/>
  <c r="J3" i="4"/>
  <c r="H4" i="4"/>
  <c r="I3" i="3"/>
  <c r="T29" i="8"/>
  <c r="Y20" i="8"/>
  <c r="F15" i="8"/>
  <c r="X22" i="8"/>
  <c r="F21" i="8"/>
  <c r="X20" i="8"/>
  <c r="F8" i="8"/>
  <c r="L25" i="8"/>
  <c r="P28" i="8"/>
  <c r="F24" i="8"/>
  <c r="X8" i="8"/>
  <c r="J28" i="8"/>
  <c r="N14" i="8"/>
  <c r="V28" i="8"/>
  <c r="V12" i="8"/>
  <c r="R8" i="8"/>
  <c r="L28" i="8"/>
  <c r="N24" i="8"/>
  <c r="X29" i="8"/>
  <c r="J11" i="8"/>
  <c r="P25" i="8"/>
  <c r="X15" i="8"/>
  <c r="J25" i="8"/>
  <c r="L19" i="8"/>
  <c r="R16" i="8"/>
  <c r="F22" i="8"/>
  <c r="H16" i="8"/>
  <c r="V22" i="8"/>
  <c r="F32" i="8"/>
  <c r="X32" i="8"/>
  <c r="P19" i="8"/>
  <c r="H5" i="8"/>
  <c r="J32" i="8"/>
  <c r="H4" i="8"/>
  <c r="N22" i="8"/>
  <c r="P16" i="8"/>
  <c r="T33" i="8"/>
  <c r="P6" i="8"/>
  <c r="J4" i="8"/>
  <c r="J16" i="8"/>
  <c r="T28" i="8"/>
  <c r="P33" i="8"/>
  <c r="L8" i="8"/>
  <c r="D32" i="8"/>
  <c r="H24" i="8"/>
  <c r="R32" i="8"/>
  <c r="Y30" i="8"/>
  <c r="J12" i="8"/>
  <c r="L5" i="8"/>
  <c r="T24" i="8"/>
  <c r="H13" i="8"/>
  <c r="H20" i="8"/>
  <c r="D33" i="8"/>
  <c r="J26" i="8"/>
  <c r="N12" i="8"/>
  <c r="T22" i="8"/>
  <c r="N32" i="8"/>
  <c r="Y27" i="8"/>
  <c r="Z27" i="8" s="1"/>
  <c r="P8" i="8"/>
  <c r="L4" i="8"/>
  <c r="P4" i="8"/>
  <c r="F4" i="8"/>
  <c r="R4" i="8"/>
  <c r="N4" i="8"/>
  <c r="I7" i="4"/>
  <c r="H10" i="2"/>
  <c r="H23" i="2"/>
  <c r="K14" i="4"/>
  <c r="J32" i="3"/>
  <c r="J8" i="4"/>
  <c r="H24" i="4"/>
  <c r="I20" i="4"/>
  <c r="H12" i="4"/>
  <c r="G27" i="4"/>
  <c r="L27" i="4" s="1"/>
  <c r="J29" i="3"/>
  <c r="H28" i="4"/>
  <c r="J25" i="4"/>
  <c r="G23" i="3"/>
  <c r="G24" i="4"/>
  <c r="D25" i="3"/>
  <c r="G25" i="3"/>
  <c r="F29" i="4"/>
  <c r="H14" i="2"/>
  <c r="G6" i="3"/>
  <c r="I19" i="4"/>
  <c r="H22" i="3"/>
  <c r="J15" i="4"/>
  <c r="I27" i="4"/>
  <c r="I11" i="4"/>
  <c r="G17" i="3"/>
  <c r="E27" i="3"/>
  <c r="H29" i="3"/>
  <c r="F32" i="3"/>
  <c r="F17" i="4"/>
  <c r="E29" i="3"/>
  <c r="G22" i="3"/>
  <c r="J23" i="4"/>
  <c r="G14" i="4"/>
  <c r="G7" i="3"/>
  <c r="H21" i="2"/>
  <c r="E28" i="3"/>
  <c r="F9" i="3"/>
  <c r="E12" i="4"/>
  <c r="H27" i="2"/>
  <c r="F21" i="4"/>
  <c r="G14" i="3"/>
  <c r="H4" i="2"/>
  <c r="J17" i="3"/>
  <c r="G21" i="4"/>
  <c r="F9" i="4"/>
  <c r="I22" i="4"/>
  <c r="L22" i="4" s="1"/>
  <c r="G19" i="4"/>
  <c r="I15" i="4"/>
  <c r="L15" i="4" s="1"/>
  <c r="J25" i="3"/>
  <c r="K28" i="3"/>
  <c r="J16" i="4"/>
  <c r="J5" i="3"/>
  <c r="X33" i="2"/>
  <c r="H8" i="4"/>
  <c r="H26" i="2"/>
  <c r="F13" i="4"/>
  <c r="F4" i="4"/>
  <c r="I14" i="4"/>
  <c r="H10" i="3"/>
  <c r="I24" i="4"/>
  <c r="L24" i="4" s="1"/>
  <c r="L30" i="3"/>
  <c r="G24" i="3"/>
  <c r="F28" i="3"/>
  <c r="G19" i="3"/>
  <c r="F20" i="4"/>
  <c r="F22" i="3"/>
  <c r="I4" i="3"/>
  <c r="L31" i="3"/>
  <c r="C12" i="4"/>
  <c r="H9" i="2"/>
  <c r="H24" i="2"/>
  <c r="I21" i="4"/>
  <c r="H13" i="4"/>
  <c r="E21" i="4"/>
  <c r="G3" i="4"/>
  <c r="J19" i="4"/>
  <c r="J30" i="4"/>
  <c r="F7" i="4"/>
  <c r="L4" i="3"/>
  <c r="K24" i="3"/>
  <c r="J10" i="4"/>
  <c r="H25" i="2"/>
  <c r="F18" i="4"/>
  <c r="H11" i="2"/>
  <c r="J28" i="3"/>
  <c r="J6" i="3"/>
  <c r="G17" i="4"/>
  <c r="J10" i="3"/>
  <c r="G11" i="3"/>
  <c r="K3" i="3"/>
  <c r="G25" i="4"/>
  <c r="L3" i="3"/>
  <c r="E33" i="2"/>
  <c r="E4" i="3"/>
  <c r="J4" i="4"/>
  <c r="F7" i="3"/>
  <c r="F24" i="3"/>
  <c r="I5" i="3"/>
  <c r="I3" i="4"/>
  <c r="S33" i="2"/>
  <c r="L16" i="4"/>
  <c r="L6" i="3"/>
  <c r="J11" i="4"/>
  <c r="H19" i="3"/>
  <c r="I10" i="4"/>
  <c r="J3" i="3"/>
  <c r="G29" i="4"/>
  <c r="H13" i="2"/>
  <c r="K6" i="4"/>
  <c r="I26" i="3"/>
  <c r="D25" i="4"/>
  <c r="D10" i="4"/>
  <c r="G31" i="4"/>
  <c r="G10" i="4"/>
  <c r="F23" i="4"/>
  <c r="I12" i="3"/>
  <c r="F26" i="4"/>
  <c r="L26" i="4" s="1"/>
  <c r="H3" i="2"/>
  <c r="I23" i="3"/>
  <c r="G5" i="3"/>
  <c r="K14" i="3"/>
  <c r="K25" i="4"/>
  <c r="D12" i="4"/>
  <c r="H5" i="2"/>
  <c r="J22" i="3"/>
  <c r="G13" i="3"/>
  <c r="H10" i="4"/>
  <c r="J12" i="3"/>
  <c r="H28" i="2"/>
  <c r="L18" i="4"/>
  <c r="I33" i="2"/>
  <c r="V33" i="2"/>
  <c r="P33" i="2"/>
  <c r="J13" i="3"/>
  <c r="H12" i="2"/>
  <c r="H20" i="2"/>
  <c r="K25" i="3"/>
  <c r="F14" i="4"/>
  <c r="L14" i="4" s="1"/>
  <c r="I17" i="4"/>
  <c r="L17" i="4" s="1"/>
  <c r="Q33" i="2"/>
  <c r="G21" i="3"/>
  <c r="E23" i="4"/>
  <c r="G28" i="3"/>
  <c r="E5" i="3"/>
  <c r="K23" i="4"/>
  <c r="K33" i="4" s="1"/>
  <c r="K35" i="4" s="1"/>
  <c r="L20" i="4"/>
  <c r="J19" i="3"/>
  <c r="F28" i="4"/>
  <c r="H22" i="2"/>
  <c r="O33" i="2"/>
  <c r="J32" i="4"/>
  <c r="K33" i="2"/>
  <c r="H5" i="4"/>
  <c r="J21" i="4"/>
  <c r="R33" i="2"/>
  <c r="H3" i="3"/>
  <c r="G5" i="4"/>
  <c r="F5" i="4"/>
  <c r="K23" i="3"/>
  <c r="F18" i="3"/>
  <c r="J11" i="3"/>
  <c r="I28" i="4"/>
  <c r="F13" i="3"/>
  <c r="H30" i="3"/>
  <c r="J33" i="2"/>
  <c r="H21" i="4"/>
  <c r="H2" i="2"/>
  <c r="F16" i="3"/>
  <c r="F6" i="4"/>
  <c r="G7" i="4"/>
  <c r="E11" i="3"/>
  <c r="L33" i="2"/>
  <c r="Z30" i="8"/>
  <c r="Z20" i="8"/>
  <c r="H12" i="8"/>
  <c r="F20" i="8"/>
  <c r="F29" i="8"/>
  <c r="N13" i="8"/>
  <c r="P26" i="8"/>
  <c r="H6" i="8"/>
  <c r="T25" i="8"/>
  <c r="D15" i="8"/>
  <c r="J8" i="8"/>
  <c r="L18" i="8"/>
  <c r="V27" i="8"/>
  <c r="R9" i="8"/>
  <c r="J24" i="8"/>
  <c r="J7" i="8"/>
  <c r="N27" i="8"/>
  <c r="X13" i="8"/>
  <c r="V26" i="8"/>
  <c r="V10" i="8"/>
  <c r="Y11" i="8"/>
  <c r="Z11" i="8" s="1"/>
  <c r="H29" i="8"/>
  <c r="T19" i="8"/>
  <c r="T32" i="8"/>
  <c r="T10" i="8"/>
  <c r="J21" i="8"/>
  <c r="V6" i="8"/>
  <c r="L15" i="8"/>
  <c r="N26" i="8"/>
  <c r="X28" i="8"/>
  <c r="V8" i="8"/>
  <c r="X21" i="8"/>
  <c r="T31" i="8"/>
  <c r="D20" i="8"/>
  <c r="T15" i="8"/>
  <c r="L13" i="8"/>
  <c r="X27" i="8"/>
  <c r="R5" i="8"/>
  <c r="R19" i="8"/>
  <c r="L12" i="8"/>
  <c r="N6" i="8"/>
  <c r="V7" i="8"/>
  <c r="L27" i="8"/>
  <c r="T13" i="8"/>
  <c r="H11" i="8"/>
  <c r="T12" i="8"/>
  <c r="J6" i="8"/>
  <c r="T5" i="8"/>
  <c r="P29" i="8"/>
  <c r="P13" i="8"/>
  <c r="N30" i="8"/>
  <c r="J13" i="8"/>
  <c r="Y6" i="8"/>
  <c r="Z6" i="8" s="1"/>
  <c r="N15" i="8"/>
  <c r="V4" i="8"/>
  <c r="H25" i="8"/>
  <c r="N19" i="8"/>
  <c r="J9" i="8"/>
  <c r="X7" i="8"/>
  <c r="P21" i="8"/>
  <c r="T6" i="8"/>
  <c r="X19" i="8"/>
  <c r="X6" i="8"/>
  <c r="R7" i="8"/>
  <c r="L33" i="8"/>
  <c r="H7" i="8"/>
  <c r="F13" i="8"/>
  <c r="N28" i="8"/>
  <c r="P11" i="8"/>
  <c r="H30" i="8"/>
  <c r="R6" i="8"/>
  <c r="L32" i="8"/>
  <c r="D12" i="8"/>
  <c r="Y13" i="8"/>
  <c r="Z13" i="8" s="1"/>
  <c r="L30" i="8"/>
  <c r="N11" i="8"/>
  <c r="P9" i="8"/>
  <c r="V16" i="8"/>
  <c r="T4" i="8"/>
  <c r="V21" i="8"/>
  <c r="T9" i="8"/>
  <c r="D26" i="8"/>
  <c r="F9" i="8"/>
  <c r="R21" i="8"/>
  <c r="T30" i="8"/>
  <c r="Y4" i="8"/>
  <c r="Z4" i="8" s="1"/>
  <c r="J17" i="8"/>
  <c r="L29" i="8"/>
  <c r="V15" i="8"/>
  <c r="H28" i="8"/>
  <c r="T21" i="8"/>
  <c r="T20" i="8"/>
  <c r="D25" i="8"/>
  <c r="Y8" i="8"/>
  <c r="Z8" i="8" s="1"/>
  <c r="S35" i="8"/>
  <c r="D7" i="8"/>
  <c r="J30" i="8"/>
  <c r="N9" i="8"/>
  <c r="V30" i="8"/>
  <c r="P12" i="8"/>
  <c r="F7" i="8"/>
  <c r="Y15" i="8"/>
  <c r="Z15" i="8" s="1"/>
  <c r="L11" i="8"/>
  <c r="P23" i="8"/>
  <c r="J27" i="8"/>
  <c r="H21" i="8"/>
  <c r="N33" i="8"/>
  <c r="T18" i="8"/>
  <c r="Y14" i="8"/>
  <c r="Z14" i="8" s="1"/>
  <c r="N29" i="8"/>
  <c r="F30" i="8"/>
  <c r="Y28" i="8"/>
  <c r="Z28" i="8" s="1"/>
  <c r="M35" i="8"/>
  <c r="H27" i="8"/>
  <c r="V13" i="8"/>
  <c r="T26" i="8"/>
  <c r="R15" i="8"/>
  <c r="H19" i="8"/>
  <c r="D30" i="8"/>
  <c r="N7" i="8"/>
  <c r="H26" i="8"/>
  <c r="P30" i="8"/>
  <c r="X12" i="8"/>
  <c r="F25" i="8"/>
  <c r="P7" i="8"/>
  <c r="R30" i="8"/>
  <c r="V17" i="8"/>
  <c r="L7" i="8"/>
  <c r="X26" i="8"/>
  <c r="T23" i="8"/>
  <c r="R29" i="8"/>
  <c r="Y19" i="8"/>
  <c r="Z19" i="8" s="1"/>
  <c r="H10" i="8"/>
  <c r="P17" i="8"/>
  <c r="H17" i="8"/>
  <c r="V9" i="8"/>
  <c r="R28" i="8"/>
  <c r="L21" i="8"/>
  <c r="F33" i="8"/>
  <c r="X33" i="8"/>
  <c r="O35" i="8"/>
  <c r="Y25" i="8"/>
  <c r="Z25" i="8" s="1"/>
  <c r="Y22" i="8"/>
  <c r="Z22" i="8" s="1"/>
  <c r="V24" i="8"/>
  <c r="X16" i="8"/>
  <c r="Y17" i="8"/>
  <c r="Z17" i="8" s="1"/>
  <c r="I35" i="8"/>
  <c r="P15" i="8"/>
  <c r="V23" i="8"/>
  <c r="J33" i="8"/>
  <c r="X24" i="8"/>
  <c r="C35" i="8"/>
  <c r="D35" i="8" s="1"/>
  <c r="L24" i="8"/>
  <c r="Y23" i="8"/>
  <c r="Z23" i="8" s="1"/>
  <c r="X23" i="8"/>
  <c r="Y9" i="8"/>
  <c r="Z9" i="8" s="1"/>
  <c r="Y26" i="8"/>
  <c r="Z26" i="8" s="1"/>
  <c r="W35" i="8"/>
  <c r="Y12" i="8"/>
  <c r="Z12" i="8" s="1"/>
  <c r="Y5" i="8"/>
  <c r="Z5" i="8" s="1"/>
  <c r="V19" i="8"/>
  <c r="X9" i="8"/>
  <c r="L17" i="8"/>
  <c r="N8" i="8"/>
  <c r="V25" i="8"/>
  <c r="Y21" i="8"/>
  <c r="Z21" i="8" s="1"/>
  <c r="D13" i="8"/>
  <c r="P5" i="8"/>
  <c r="T16" i="8"/>
  <c r="N5" i="8"/>
  <c r="F19" i="8"/>
  <c r="D27" i="8"/>
  <c r="P20" i="8"/>
  <c r="D6" i="8"/>
  <c r="F11" i="8"/>
  <c r="Y18" i="8"/>
  <c r="Z18" i="8" s="1"/>
  <c r="J23" i="8"/>
  <c r="L6" i="8"/>
  <c r="L9" i="8"/>
  <c r="X17" i="8"/>
  <c r="F27" i="8"/>
  <c r="V20" i="8"/>
  <c r="N16" i="8"/>
  <c r="R25" i="8"/>
  <c r="Y10" i="8"/>
  <c r="Z10" i="8" s="1"/>
  <c r="R27" i="8"/>
  <c r="R23" i="8"/>
  <c r="Y7" i="8"/>
  <c r="Z7" i="8" s="1"/>
  <c r="D23" i="8"/>
  <c r="Y29" i="8"/>
  <c r="Z29" i="8" s="1"/>
  <c r="Y24" i="8"/>
  <c r="Z24" i="8" s="1"/>
  <c r="L20" i="8"/>
  <c r="Y16" i="8"/>
  <c r="Z16" i="8" s="1"/>
  <c r="D5" i="8"/>
  <c r="V18" i="8"/>
  <c r="D21" i="8"/>
  <c r="L23" i="8"/>
  <c r="F17" i="8"/>
  <c r="T27" i="8"/>
  <c r="D9" i="8"/>
  <c r="F28" i="8"/>
  <c r="H15" i="8"/>
  <c r="T17" i="8"/>
  <c r="J15" i="8"/>
  <c r="P24" i="8"/>
  <c r="D19" i="8"/>
  <c r="P27" i="8"/>
  <c r="Q35" i="8"/>
  <c r="D16" i="8"/>
  <c r="R17" i="8"/>
  <c r="L22" i="8"/>
  <c r="R24" i="8"/>
  <c r="D20" i="3"/>
  <c r="I27" i="3"/>
  <c r="F8" i="3"/>
  <c r="D27" i="3"/>
  <c r="I9" i="3"/>
  <c r="K9" i="3"/>
  <c r="G27" i="3"/>
  <c r="H20" i="3"/>
  <c r="H8" i="3"/>
  <c r="J20" i="3"/>
  <c r="G20" i="3"/>
  <c r="J27" i="3"/>
  <c r="I20" i="3"/>
  <c r="M9" i="3"/>
  <c r="L9" i="3"/>
  <c r="G8" i="3"/>
  <c r="E9" i="3"/>
  <c r="H17" i="3"/>
  <c r="E8" i="3"/>
  <c r="D9" i="3"/>
  <c r="K27" i="3"/>
  <c r="F17" i="3"/>
  <c r="K8" i="3"/>
  <c r="I17" i="3"/>
  <c r="M27" i="3"/>
  <c r="E20" i="3"/>
  <c r="D8" i="3"/>
  <c r="J9" i="3"/>
  <c r="F20" i="3"/>
  <c r="L27" i="3"/>
  <c r="K20" i="3"/>
  <c r="M20" i="3"/>
  <c r="C20" i="3"/>
  <c r="C17" i="3"/>
  <c r="H9" i="3"/>
  <c r="E18" i="3"/>
  <c r="M18" i="3"/>
  <c r="J16" i="3"/>
  <c r="G16" i="3"/>
  <c r="D16" i="3"/>
  <c r="K16" i="3"/>
  <c r="J18" i="3"/>
  <c r="I16" i="3"/>
  <c r="E16" i="3"/>
  <c r="K18" i="3"/>
  <c r="L16" i="3"/>
  <c r="C16" i="3"/>
  <c r="H18" i="3"/>
  <c r="I18" i="3"/>
  <c r="G18" i="3"/>
  <c r="G15" i="3"/>
  <c r="E15" i="3"/>
  <c r="L17" i="3"/>
  <c r="F15" i="3"/>
  <c r="K15" i="3"/>
  <c r="D18" i="3"/>
  <c r="C15" i="3"/>
  <c r="D29" i="8"/>
  <c r="F27" i="3"/>
  <c r="C18" i="3"/>
  <c r="C27" i="3"/>
  <c r="E31" i="3"/>
  <c r="L15" i="3"/>
  <c r="H15" i="3"/>
  <c r="M15" i="3"/>
  <c r="J15" i="3"/>
  <c r="E26" i="3"/>
  <c r="I19" i="3"/>
  <c r="J26" i="3"/>
  <c r="F4" i="3"/>
  <c r="H4" i="3"/>
  <c r="D28" i="8"/>
  <c r="F26" i="3"/>
  <c r="K4" i="3"/>
  <c r="D26" i="3"/>
  <c r="D4" i="3"/>
  <c r="D19" i="3"/>
  <c r="M26" i="3"/>
  <c r="C4" i="3"/>
  <c r="K26" i="3"/>
  <c r="L26" i="3"/>
  <c r="K19" i="3"/>
  <c r="G26" i="3"/>
  <c r="C26" i="3"/>
  <c r="E19" i="3"/>
  <c r="H26" i="3"/>
  <c r="D8" i="8"/>
  <c r="B33" i="4"/>
  <c r="G35" i="8"/>
  <c r="H33" i="8"/>
  <c r="H32" i="3"/>
  <c r="G32" i="4"/>
  <c r="W33" i="2"/>
  <c r="K32" i="3"/>
  <c r="I32" i="3"/>
  <c r="K35" i="8"/>
  <c r="E35" i="8"/>
  <c r="U35" i="8"/>
  <c r="R33" i="8"/>
  <c r="Y33" i="8"/>
  <c r="Z33" i="8" s="1"/>
  <c r="D32" i="3"/>
  <c r="C33" i="4"/>
  <c r="C35" i="4" s="1"/>
  <c r="D31" i="3"/>
  <c r="T33" i="2"/>
  <c r="L32" i="3"/>
  <c r="U33" i="2"/>
  <c r="I31" i="4"/>
  <c r="H31" i="2"/>
  <c r="N33" i="2"/>
  <c r="K31" i="3"/>
  <c r="I31" i="3"/>
  <c r="H31" i="4"/>
  <c r="H32" i="8"/>
  <c r="Y31" i="8"/>
  <c r="Z31" i="8" s="1"/>
  <c r="X31" i="8"/>
  <c r="Y32" i="8"/>
  <c r="Z32" i="8" s="1"/>
  <c r="F31" i="8"/>
  <c r="V32" i="8"/>
  <c r="P32" i="8"/>
  <c r="J31" i="8"/>
  <c r="D31" i="8"/>
  <c r="V31" i="8"/>
  <c r="P31" i="8"/>
  <c r="L31" i="8"/>
  <c r="R31" i="8"/>
  <c r="H31" i="8"/>
  <c r="M33" i="2"/>
  <c r="H31" i="3"/>
  <c r="I30" i="4"/>
  <c r="J30" i="3"/>
  <c r="J31" i="3"/>
  <c r="F31" i="4"/>
  <c r="H30" i="4"/>
  <c r="F33" i="2"/>
  <c r="E30" i="3"/>
  <c r="K30" i="3"/>
  <c r="J31" i="4"/>
  <c r="G33" i="2"/>
  <c r="I30" i="3"/>
  <c r="L12" i="4" l="1"/>
  <c r="L11" i="4"/>
  <c r="L10" i="4"/>
  <c r="L8" i="4"/>
  <c r="G33" i="4"/>
  <c r="G35" i="4" s="1"/>
  <c r="L29" i="4"/>
  <c r="L19" i="4"/>
  <c r="L6" i="4"/>
  <c r="L4" i="4"/>
  <c r="E33" i="4"/>
  <c r="E35" i="4" s="1"/>
  <c r="H33" i="4"/>
  <c r="H35" i="4" s="1"/>
  <c r="L35" i="8"/>
  <c r="L32" i="4"/>
  <c r="L28" i="4"/>
  <c r="F33" i="4"/>
  <c r="F35" i="4" s="1"/>
  <c r="L7" i="4"/>
  <c r="L5" i="4"/>
  <c r="L23" i="4"/>
  <c r="D33" i="4"/>
  <c r="D35" i="4" s="1"/>
  <c r="L3" i="4"/>
  <c r="L21" i="4"/>
  <c r="L25" i="4"/>
  <c r="J33" i="4"/>
  <c r="J35" i="4" s="1"/>
  <c r="N35" i="8"/>
  <c r="J35" i="8"/>
  <c r="R35" i="8"/>
  <c r="T35" i="8"/>
  <c r="H35" i="8"/>
  <c r="P35" i="8"/>
  <c r="V35" i="8"/>
  <c r="X35" i="8"/>
  <c r="F35" i="8"/>
  <c r="F33" i="3"/>
  <c r="L33" i="3"/>
  <c r="G33" i="3"/>
  <c r="H33" i="3"/>
  <c r="E33" i="3"/>
  <c r="K33" i="3"/>
  <c r="D33" i="3"/>
  <c r="I33" i="4"/>
  <c r="I35" i="4" s="1"/>
  <c r="J33" i="3"/>
  <c r="L31" i="4"/>
  <c r="I33" i="3"/>
  <c r="Y35" i="8"/>
  <c r="Z35" i="8" s="1"/>
  <c r="L30" i="4"/>
  <c r="L33" i="4" l="1"/>
  <c r="L35" i="4" s="1"/>
  <c r="M35" i="4" s="1"/>
  <c r="N33" i="3"/>
  <c r="M33" i="4" l="1"/>
</calcChain>
</file>

<file path=xl/sharedStrings.xml><?xml version="1.0" encoding="utf-8"?>
<sst xmlns="http://schemas.openxmlformats.org/spreadsheetml/2006/main" count="236" uniqueCount="130">
  <si>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</si>
  <si>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</si>
  <si>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</si>
  <si>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</si>
  <si>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</si>
  <si>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</si>
  <si>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</si>
  <si>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</si>
  <si>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</si>
  <si>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</si>
  <si>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</si>
  <si>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</si>
  <si>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</si>
  <si>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</si>
  <si>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</si>
  <si>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</si>
  <si>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</si>
  <si>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</si>
  <si>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</si>
  <si>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</si>
  <si>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</si>
  <si>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</si>
  <si>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</si>
  <si>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</si>
  <si>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</si>
  <si>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</si>
  <si>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</si>
  <si>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</si>
  <si>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</si>
  <si>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</si>
  <si>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</si>
  <si>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</si>
  <si>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Guest Room Beach Pavilion &amp; Beach Bungalow 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</si>
  <si>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</si>
  <si>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</si>
  <si>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</si>
  <si>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</si>
  <si>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</si>
  <si>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</si>
  <si>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</si>
  <si>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</si>
  <si>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</si>
  <si>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</si>
  <si>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</si>
  <si>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</si>
  <si>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</si>
  <si>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</si>
  <si>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</si>
  <si>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</si>
  <si>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</si>
  <si>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</si>
  <si>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</si>
  <si>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</si>
  <si>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</si>
  <si>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</si>
  <si>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</si>
  <si>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</si>
  <si>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</si>
  <si>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</si>
  <si>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</si>
  <si>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</si>
  <si>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</si>
  <si>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</si>
  <si>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</si>
  <si>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</si>
  <si>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</si>
  <si>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</si>
  <si>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</si>
  <si>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</si>
  <si>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</si>
  <si>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</si>
  <si>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</si>
  <si>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</si>
  <si>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</si>
  <si>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</si>
  <si>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</si>
  <si>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</si>
  <si>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</si>
  <si>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</si>
  <si>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</si>
  <si>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</si>
  <si>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</si>
  <si>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</si>
  <si>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</si>
  <si>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</si>
  <si>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</si>
  <si>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</si>
  <si>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</si>
  <si>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</si>
  <si>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</si>
  <si>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</si>
  <si>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</si>
  <si>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</si>
  <si>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</si>
  <si>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</si>
  <si>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</si>
  <si>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</si>
  <si>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</si>
  <si>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</si>
  <si>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</si>
  <si>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</si>
  <si>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</si>
  <si>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</si>
  <si>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</si>
  <si>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</si>
  <si>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</si>
  <si>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</si>
  <si>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</si>
  <si>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</si>
  <si>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</si>
  <si>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</si>
  <si>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</si>
  <si>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</si>
  <si>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</si>
  <si>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</si>
  <si>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</si>
  <si>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</si>
  <si>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</si>
  <si>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</si>
  <si>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</si>
  <si>
    <t>Laundry A</t>
  </si>
  <si>
    <t>Laundry B</t>
  </si>
  <si>
    <t>Laundry C</t>
  </si>
  <si>
    <t xml:space="preserve">Reef Club </t>
  </si>
  <si>
    <t xml:space="preserve">Kitchen </t>
  </si>
  <si>
    <t xml:space="preserve">Pastry </t>
  </si>
  <si>
    <t>STP -1 &amp;2</t>
  </si>
  <si>
    <t>STP -3</t>
  </si>
  <si>
    <t>M - Block /PC</t>
  </si>
  <si>
    <t xml:space="preserve"> B&amp;C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</si>
</sst>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/>
    <xf numFmtId="0" fontId="14" fillId="0" borderId="7" xfId="0" applyFont="1" applyBorder="1"/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168" fontId="4" fillId="0" borderId="5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6" fontId="0" fillId="5" borderId="1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/>
    </xf>
    <xf numFmtId="0" fontId="13" fillId="9" borderId="1" xfId="1" applyFont="1" applyFill="1" applyBorder="1" applyAlignment="1">
      <alignment horizontal="center" vertical="center"/>
    </xf>
    <xf numFmtId="168" fontId="7" fillId="0" borderId="4" xfId="1" applyNumberFormat="1" applyFont="1" applyBorder="1" applyAlignment="1">
      <alignment horizontal="center" vertical="center" wrapText="1"/>
    </xf>
    <xf numFmtId="168" fontId="6" fillId="4" borderId="1" xfId="1" applyNumberFormat="1" applyFill="1" applyBorder="1" applyAlignment="1">
      <alignment vertical="center"/>
    </xf>
    <xf numFmtId="168" fontId="6" fillId="0" borderId="0" xfId="1" applyNumberFormat="1"/>
    <xf numFmtId="168" fontId="7" fillId="0" borderId="6" xfId="1" applyNumberFormat="1" applyFont="1" applyBorder="1" applyAlignment="1">
      <alignment horizontal="center" vertical="center" wrapText="1"/>
    </xf>
    <xf numFmtId="168" fontId="4" fillId="0" borderId="6" xfId="1" applyNumberFormat="1" applyFont="1" applyBorder="1" applyAlignment="1">
      <alignment horizontal="center"/>
    </xf>
    <xf numFmtId="168" fontId="7" fillId="0" borderId="1" xfId="1" applyNumberFormat="1" applyFont="1" applyBorder="1" applyAlignment="1">
      <alignment horizontal="center" vertical="center" wrapText="1"/>
    </xf>
    <xf numFmtId="168" fontId="4" fillId="0" borderId="1" xfId="1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2" fontId="6" fillId="4" borderId="1" xfId="1" applyNumberFormat="1" applyFill="1" applyBorder="1" applyAlignment="1">
      <alignment vertical="center"/>
    </xf>
    <xf numFmtId="2" fontId="6" fillId="0" borderId="0" xfId="1" applyNumberFormat="1"/>
    <xf numFmtId="0" fontId="1" fillId="13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/>
    </xf>
    <xf numFmtId="0" fontId="0" fillId="13" borderId="1" xfId="0" applyFill="1" applyBorder="1" applyAlignment="1">
      <alignment horizontal="center" vertical="center"/>
    </xf>
    <xf numFmtId="0" fontId="13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'!$C$33:$F$33</c:f>
              <c:numCache>
                <c:formatCode>_(* #,##0.00_);_(* \(#,##0.00\);_(* "-"??_);_(@_)</c:formatCode>
                <c:ptCount val="4"/>
                <c:pt idx="0">
                  <c:v>-686220</c:v>
                </c:pt>
                <c:pt idx="1">
                  <c:v>-3812500</c:v>
                </c:pt>
                <c:pt idx="2">
                  <c:v>-368230</c:v>
                </c:pt>
                <c:pt idx="3">
                  <c:v>-1457890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3.4569626310523342E-2"/>
                  <c:y val="0.103120138703288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-5.1781615695828155E-2"/>
                  <c:y val="0.256466766719434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4"/>
              <c:layout>
                <c:manualLayout>
                  <c:x val="-0.39358750598164177"/>
                  <c:y val="7.27844136976350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29-4DBA-90F2-B5BF2E906F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0.3173134380301908"/>
                  <c:y val="0.100609773647745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3.9375647104885371E-2"/>
                  <c:y val="0.479293874166512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0"/>
              <c:layout>
                <c:manualLayout>
                  <c:x val="0.31276617218427794"/>
                  <c:y val="0.265125579929140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29-4DBA-90F2-B5BF2E906FD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2"/>
              <c:layout>
                <c:manualLayout>
                  <c:x val="-0.38640501152825513"/>
                  <c:y val="0.318929024211399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29-4DBA-90F2-B5BF2E906FD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4"/>
              <c:layout>
                <c:manualLayout>
                  <c:x val="-0.35574211510853959"/>
                  <c:y val="0.613968188702260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29-4DBA-90F2-B5BF2E906FD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6"/>
              <c:layout>
                <c:manualLayout>
                  <c:x val="0.31000374124505153"/>
                  <c:y val="0.5157783214435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29-4DBA-90F2-B5BF2E906FD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1428807586896941"/>
                  <c:y val="0.649964159179841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-640</c:v>
                </c:pt>
                <c:pt idx="1">
                  <c:v>9.4739023595938072E-3</c:v>
                </c:pt>
                <c:pt idx="2" formatCode="_(* #,##0.00_);_(* \(#,##0.00\);_(* &quot;-&quot;??_);_(@_)">
                  <c:v>-297820</c:v>
                </c:pt>
                <c:pt idx="3">
                  <c:v>4.4086212511472302</c:v>
                </c:pt>
                <c:pt idx="4" formatCode="0.00">
                  <c:v>-33017</c:v>
                </c:pt>
                <c:pt idx="5">
                  <c:v>0.48874974094798235</c:v>
                </c:pt>
                <c:pt idx="6" formatCode="0.00">
                  <c:v>-47309</c:v>
                </c:pt>
                <c:pt idx="7">
                  <c:v>0.70031382301566159</c:v>
                </c:pt>
                <c:pt idx="8" formatCode="0.00">
                  <c:v>-1004</c:v>
                </c:pt>
                <c:pt idx="9">
                  <c:v>1.4862184326612784E-2</c:v>
                </c:pt>
                <c:pt idx="10" formatCode="0.00">
                  <c:v>-2365</c:v>
                </c:pt>
                <c:pt idx="11">
                  <c:v>3.5009029813186487E-2</c:v>
                </c:pt>
                <c:pt idx="12" formatCode="0.00">
                  <c:v>-26304</c:v>
                </c:pt>
                <c:pt idx="13">
                  <c:v>0.38937738697930546</c:v>
                </c:pt>
                <c:pt idx="14" formatCode="_(* #,##0.00_);_(* \(#,##0.00\);_(* &quot;-&quot;??_);_(@_)">
                  <c:v>-286364</c:v>
                </c:pt>
                <c:pt idx="15">
                  <c:v>4.2390383989105009</c:v>
                </c:pt>
                <c:pt idx="16" formatCode="0.00">
                  <c:v>-124686</c:v>
                </c:pt>
                <c:pt idx="17">
                  <c:v>1.8457234212629896</c:v>
                </c:pt>
                <c:pt idx="18" formatCode="0.00">
                  <c:v>-24068</c:v>
                </c:pt>
                <c:pt idx="19">
                  <c:v>0.35627794061047457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-67554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-843577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38</xdr:row>
      <xdr:rowOff>33337</xdr:rowOff>
    </xdr:from>
    <xdr:to>
      <xdr:col>9</xdr:col>
      <xdr:colOff>904875</xdr:colOff>
      <xdr:row>54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232833</xdr:colOff>
      <xdr:row>39</xdr:row>
      <xdr:rowOff>74084</xdr:rowOff>
    </xdr:from>
    <xdr:to>
      <xdr:col>17</xdr:col>
      <xdr:colOff>603250</xdr:colOff>
      <xdr:row>58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115" zoomScaleNormal="115" workbookViewId="0">
      <selection activeCell="M10" sqref="M10"/>
    </sheetView>
  </sheetViews>
  <sheetFormatPr defaultRowHeight="12.75" x14ac:dyDescent="0.2"/>
  <cols>
    <col min="1" max="1" width="23" style="35" bestFit="1" customWidth="1"/>
    <col min="2" max="4" width="9.140625" style="35"/>
    <col min="5" max="5" width="12.7109375" style="35" customWidth="1"/>
    <col min="6" max="6" width="12.140625" style="114" customWidth="1"/>
    <col min="7" max="7" width="10.28515625" style="35" customWidth="1"/>
    <col min="8" max="8" width="10.42578125" style="114" customWidth="1"/>
    <col min="9" max="9" width="10.85546875" style="35" customWidth="1"/>
    <col min="10" max="10" width="9.85546875" style="114" customWidth="1"/>
    <col min="11" max="11" width="9.85546875" style="35" customWidth="1"/>
    <col min="12" max="12" width="9.5703125" style="121" customWidth="1"/>
    <col min="13" max="15" width="10.28515625" style="35" bestFit="1" customWidth="1"/>
    <col min="16" max="16384" width="9.140625" style="35"/>
  </cols>
  <sheetData>
    <row r="1" spans="1:15" ht="75" x14ac:dyDescent="0.2">
      <c r="A1" s="31" t="s">
        <v>0</v>
      </c>
      <c r="B1" s="31" t="s">
        <v>1</v>
      </c>
      <c r="C1" s="32" t="s">
        <v>2</v>
      </c>
      <c r="D1" s="31" t="s">
        <v>3</v>
      </c>
      <c r="E1" s="88" t="s">
        <v>4</v>
      </c>
      <c r="F1" s="112" t="s">
        <v>5</v>
      </c>
      <c r="G1" s="33" t="s">
        <v>118</v>
      </c>
      <c r="H1" s="115" t="s">
        <v>110</v>
      </c>
      <c r="I1" s="33" t="s">
        <v>111</v>
      </c>
      <c r="J1" s="117" t="s">
        <v>112</v>
      </c>
      <c r="K1" s="33" t="s">
        <v>117</v>
      </c>
      <c r="L1" s="34" t="s">
        <v>109</v>
      </c>
      <c r="M1" s="33" t="s">
        <v>6</v>
      </c>
      <c r="N1" s="33" t="s">
        <v>7</v>
      </c>
      <c r="O1" s="33" t="s">
        <v>8</v>
      </c>
    </row>
    <row r="2" spans="1:15" ht="15" x14ac:dyDescent="0.25">
      <c r="A2" s="36" t="s">
        <v>9</v>
      </c>
      <c r="B2" s="37">
        <v>1</v>
      </c>
      <c r="C2" s="38">
        <v>1</v>
      </c>
      <c r="D2" s="87">
        <v>2023</v>
      </c>
      <c r="E2" s="45">
        <v>21239.999999999782</v>
      </c>
      <c r="F2" s="90"/>
      <c r="G2" s="84">
        <v>5598</v>
      </c>
      <c r="H2" s="116"/>
      <c r="I2" s="52">
        <v>498</v>
      </c>
      <c r="J2" s="118"/>
      <c r="K2" s="81"/>
      <c r="L2" s="119"/>
      <c r="M2" s="58">
        <v>92.7</v>
      </c>
      <c r="N2" s="58">
        <v>244</v>
      </c>
      <c r="O2" s="58">
        <v>663</v>
      </c>
    </row>
    <row r="3" spans="1:15" ht="15" x14ac:dyDescent="0.25">
      <c r="A3" s="36" t="s">
        <v>9</v>
      </c>
      <c r="B3" s="37">
        <f>B2+1</f>
        <v>2</v>
      </c>
      <c r="C3" s="38">
        <v>1</v>
      </c>
      <c r="D3" s="87">
        <v>2023</v>
      </c>
      <c r="E3" s="45">
        <v>20899.999999999636</v>
      </c>
      <c r="F3" s="90"/>
      <c r="G3" s="84">
        <v>6109</v>
      </c>
      <c r="H3" s="116"/>
      <c r="I3" s="52">
        <v>407</v>
      </c>
      <c r="J3" s="118"/>
      <c r="K3" s="81"/>
      <c r="L3" s="119"/>
      <c r="M3" s="58">
        <v>84.4</v>
      </c>
      <c r="N3" s="58">
        <v>220</v>
      </c>
      <c r="O3" s="58">
        <v>637</v>
      </c>
    </row>
    <row r="4" spans="1:15" ht="15" x14ac:dyDescent="0.25">
      <c r="A4" s="36" t="s">
        <v>9</v>
      </c>
      <c r="B4" s="37">
        <f t="shared" ref="B4:B30" si="0">B3+1</f>
        <v>3</v>
      </c>
      <c r="C4" s="38">
        <v>1</v>
      </c>
      <c r="D4" s="87">
        <v>2023</v>
      </c>
      <c r="E4" s="45">
        <v>20900.000000000546</v>
      </c>
      <c r="F4" s="90"/>
      <c r="G4" s="84">
        <v>5967</v>
      </c>
      <c r="H4" s="116"/>
      <c r="I4" s="52">
        <v>441</v>
      </c>
      <c r="J4" s="118"/>
      <c r="K4" s="81"/>
      <c r="L4" s="119"/>
      <c r="M4" s="58">
        <v>93.8</v>
      </c>
      <c r="N4" s="58">
        <v>238</v>
      </c>
      <c r="O4" s="58">
        <v>638</v>
      </c>
    </row>
    <row r="5" spans="1:15" ht="15" x14ac:dyDescent="0.25">
      <c r="A5" s="36" t="s">
        <v>9</v>
      </c>
      <c r="B5" s="37">
        <f t="shared" si="0"/>
        <v>4</v>
      </c>
      <c r="C5" s="38">
        <v>1</v>
      </c>
      <c r="D5" s="87">
        <v>2023</v>
      </c>
      <c r="E5" s="45">
        <v>21309.999999999491</v>
      </c>
      <c r="F5" s="90"/>
      <c r="G5" s="84">
        <v>5901</v>
      </c>
      <c r="H5" s="116"/>
      <c r="I5" s="52">
        <v>591</v>
      </c>
      <c r="J5" s="118"/>
      <c r="K5" s="81"/>
      <c r="L5" s="119"/>
      <c r="M5" s="58">
        <v>91.7</v>
      </c>
      <c r="N5" s="58">
        <v>232</v>
      </c>
      <c r="O5" s="58">
        <v>669</v>
      </c>
    </row>
    <row r="6" spans="1:15" ht="15" x14ac:dyDescent="0.25">
      <c r="A6" s="36" t="s">
        <v>9</v>
      </c>
      <c r="B6" s="37">
        <f t="shared" si="0"/>
        <v>5</v>
      </c>
      <c r="C6" s="38">
        <v>1</v>
      </c>
      <c r="D6" s="87">
        <v>2023</v>
      </c>
      <c r="E6" s="45">
        <v>20670.000000002074</v>
      </c>
      <c r="F6" s="90"/>
      <c r="G6" s="84">
        <v>5600</v>
      </c>
      <c r="H6" s="116"/>
      <c r="I6" s="52">
        <v>460</v>
      </c>
      <c r="J6" s="118"/>
      <c r="K6" s="81"/>
      <c r="L6" s="119"/>
      <c r="M6" s="58">
        <v>87.5</v>
      </c>
      <c r="N6" s="58">
        <v>209</v>
      </c>
      <c r="O6" s="58">
        <v>548</v>
      </c>
    </row>
    <row r="7" spans="1:15" ht="15" x14ac:dyDescent="0.25">
      <c r="A7" s="36" t="s">
        <v>9</v>
      </c>
      <c r="B7" s="37">
        <f t="shared" si="0"/>
        <v>6</v>
      </c>
      <c r="C7" s="38">
        <v>1</v>
      </c>
      <c r="D7" s="87">
        <v>2023</v>
      </c>
      <c r="E7" s="45">
        <v>21630.000000000109</v>
      </c>
      <c r="F7" s="90"/>
      <c r="G7" s="84">
        <v>6114</v>
      </c>
      <c r="H7" s="116"/>
      <c r="I7" s="52">
        <v>445</v>
      </c>
      <c r="J7" s="118"/>
      <c r="K7" s="81"/>
      <c r="L7" s="119"/>
      <c r="M7" s="58">
        <v>85.4</v>
      </c>
      <c r="N7" s="58">
        <v>211</v>
      </c>
      <c r="O7" s="58">
        <v>561</v>
      </c>
    </row>
    <row r="8" spans="1:15" ht="15" x14ac:dyDescent="0.25">
      <c r="A8" s="36" t="s">
        <v>9</v>
      </c>
      <c r="B8" s="37">
        <f t="shared" si="0"/>
        <v>7</v>
      </c>
      <c r="C8" s="38">
        <v>1</v>
      </c>
      <c r="D8" s="87">
        <v>2023</v>
      </c>
      <c r="E8" s="45">
        <v>21699.999999998454</v>
      </c>
      <c r="F8" s="90"/>
      <c r="G8" s="84">
        <v>6047</v>
      </c>
      <c r="H8" s="116"/>
      <c r="I8" s="52">
        <v>457</v>
      </c>
      <c r="J8" s="118"/>
      <c r="K8" s="81"/>
      <c r="L8" s="119"/>
      <c r="M8" s="58">
        <v>83.3</v>
      </c>
      <c r="N8" s="58">
        <v>208</v>
      </c>
      <c r="O8" s="58">
        <v>583</v>
      </c>
    </row>
    <row r="9" spans="1:15" ht="15" x14ac:dyDescent="0.25">
      <c r="A9" s="36" t="s">
        <v>9</v>
      </c>
      <c r="B9" s="37">
        <f t="shared" si="0"/>
        <v>8</v>
      </c>
      <c r="C9" s="38">
        <v>1</v>
      </c>
      <c r="D9" s="87">
        <v>2023</v>
      </c>
      <c r="E9" s="45">
        <v>21119.999999999891</v>
      </c>
      <c r="F9" s="90"/>
      <c r="G9" s="84">
        <v>5873</v>
      </c>
      <c r="H9" s="116"/>
      <c r="I9" s="52">
        <v>488</v>
      </c>
      <c r="J9" s="118"/>
      <c r="K9" s="81"/>
      <c r="L9" s="119"/>
      <c r="M9" s="58">
        <v>79.2</v>
      </c>
      <c r="N9" s="58">
        <v>194</v>
      </c>
      <c r="O9" s="58">
        <v>563</v>
      </c>
    </row>
    <row r="10" spans="1:15" ht="15" x14ac:dyDescent="0.25">
      <c r="A10" s="36" t="s">
        <v>9</v>
      </c>
      <c r="B10" s="37">
        <f t="shared" si="0"/>
        <v>9</v>
      </c>
      <c r="C10" s="38">
        <v>1</v>
      </c>
      <c r="D10" s="87">
        <v>2023</v>
      </c>
      <c r="E10" s="45">
        <v>21039.999999999964</v>
      </c>
      <c r="F10" s="90"/>
      <c r="G10" s="84">
        <v>5933</v>
      </c>
      <c r="H10" s="116"/>
      <c r="I10" s="52">
        <v>451</v>
      </c>
      <c r="J10" s="118"/>
      <c r="K10" s="81"/>
      <c r="L10" s="119"/>
      <c r="M10" s="58">
        <v>75</v>
      </c>
      <c r="N10" s="58">
        <v>191</v>
      </c>
      <c r="O10" s="58">
        <v>517</v>
      </c>
    </row>
    <row r="11" spans="1:15" ht="15" x14ac:dyDescent="0.25">
      <c r="A11" s="36" t="s">
        <v>9</v>
      </c>
      <c r="B11" s="37">
        <f t="shared" si="0"/>
        <v>10</v>
      </c>
      <c r="C11" s="38">
        <v>1</v>
      </c>
      <c r="D11" s="87">
        <v>2023</v>
      </c>
      <c r="E11" s="45">
        <v>0</v>
      </c>
      <c r="F11" s="90"/>
      <c r="G11" s="84">
        <v>0</v>
      </c>
      <c r="H11" s="116"/>
      <c r="I11" s="52">
        <v>0</v>
      </c>
      <c r="J11" s="118"/>
      <c r="K11" s="81"/>
      <c r="L11" s="119"/>
      <c r="M11" s="58"/>
      <c r="N11" s="58"/>
      <c r="O11" s="58"/>
    </row>
    <row r="12" spans="1:15" ht="15" x14ac:dyDescent="0.25">
      <c r="A12" s="36" t="s">
        <v>9</v>
      </c>
      <c r="B12" s="37">
        <f t="shared" si="0"/>
        <v>11</v>
      </c>
      <c r="C12" s="38">
        <v>1</v>
      </c>
      <c r="D12" s="87">
        <v>2023</v>
      </c>
      <c r="E12" s="45">
        <v>0</v>
      </c>
      <c r="F12" s="90"/>
      <c r="G12" s="84">
        <v>0</v>
      </c>
      <c r="H12" s="116"/>
      <c r="I12" s="52">
        <v>0</v>
      </c>
      <c r="J12" s="118"/>
      <c r="K12" s="81"/>
      <c r="L12" s="119"/>
      <c r="M12" s="58"/>
      <c r="N12" s="58"/>
      <c r="O12" s="58"/>
    </row>
    <row r="13" spans="1:15" ht="15" x14ac:dyDescent="0.25">
      <c r="A13" s="36" t="s">
        <v>9</v>
      </c>
      <c r="B13" s="37">
        <f t="shared" si="0"/>
        <v>12</v>
      </c>
      <c r="C13" s="38">
        <v>1</v>
      </c>
      <c r="D13" s="87">
        <v>2023</v>
      </c>
      <c r="E13" s="45">
        <v>0</v>
      </c>
      <c r="F13" s="90"/>
      <c r="G13" s="84">
        <v>0</v>
      </c>
      <c r="H13" s="116"/>
      <c r="I13" s="52">
        <v>0</v>
      </c>
      <c r="J13" s="118"/>
      <c r="K13" s="81"/>
      <c r="L13" s="119"/>
      <c r="M13" s="58"/>
      <c r="N13" s="58"/>
      <c r="O13" s="58"/>
    </row>
    <row r="14" spans="1:15" ht="15" x14ac:dyDescent="0.25">
      <c r="A14" s="36" t="s">
        <v>9</v>
      </c>
      <c r="B14" s="37">
        <f t="shared" si="0"/>
        <v>13</v>
      </c>
      <c r="C14" s="38">
        <v>1</v>
      </c>
      <c r="D14" s="87">
        <v>2023</v>
      </c>
      <c r="E14" s="45">
        <v>0</v>
      </c>
      <c r="F14" s="90"/>
      <c r="G14" s="84">
        <v>0</v>
      </c>
      <c r="H14" s="116"/>
      <c r="I14" s="52">
        <v>0</v>
      </c>
      <c r="J14" s="118"/>
      <c r="K14" s="81"/>
      <c r="L14" s="119"/>
      <c r="M14" s="58"/>
      <c r="N14" s="58"/>
      <c r="O14" s="58"/>
    </row>
    <row r="15" spans="1:15" ht="15" x14ac:dyDescent="0.25">
      <c r="A15" s="36" t="s">
        <v>9</v>
      </c>
      <c r="B15" s="37">
        <f t="shared" si="0"/>
        <v>14</v>
      </c>
      <c r="C15" s="38">
        <v>1</v>
      </c>
      <c r="D15" s="87">
        <v>2023</v>
      </c>
      <c r="E15" s="45">
        <v>0</v>
      </c>
      <c r="F15" s="90"/>
      <c r="G15" s="84">
        <v>0</v>
      </c>
      <c r="H15" s="116"/>
      <c r="I15" s="52">
        <v>0</v>
      </c>
      <c r="J15" s="118"/>
      <c r="K15" s="81"/>
      <c r="L15" s="119"/>
      <c r="M15" s="58"/>
      <c r="N15" s="58"/>
      <c r="O15" s="58"/>
    </row>
    <row r="16" spans="1:15" ht="15" x14ac:dyDescent="0.25">
      <c r="A16" s="36" t="s">
        <v>9</v>
      </c>
      <c r="B16" s="37">
        <f t="shared" si="0"/>
        <v>15</v>
      </c>
      <c r="C16" s="38">
        <v>1</v>
      </c>
      <c r="D16" s="87">
        <v>2023</v>
      </c>
      <c r="E16" s="45">
        <v>0</v>
      </c>
      <c r="F16" s="90"/>
      <c r="G16" s="84">
        <v>0</v>
      </c>
      <c r="H16" s="116"/>
      <c r="I16" s="52">
        <v>0</v>
      </c>
      <c r="J16" s="118"/>
      <c r="K16" s="81"/>
      <c r="L16" s="119"/>
      <c r="M16" s="58"/>
      <c r="N16" s="58"/>
      <c r="O16" s="58"/>
    </row>
    <row r="17" spans="1:15" ht="15" x14ac:dyDescent="0.25">
      <c r="A17" s="36" t="s">
        <v>9</v>
      </c>
      <c r="B17" s="37">
        <f t="shared" si="0"/>
        <v>16</v>
      </c>
      <c r="C17" s="38">
        <v>1</v>
      </c>
      <c r="D17" s="87">
        <v>2023</v>
      </c>
      <c r="E17" s="45">
        <v>0</v>
      </c>
      <c r="F17" s="90"/>
      <c r="G17" s="84">
        <v>0</v>
      </c>
      <c r="H17" s="116"/>
      <c r="I17" s="52">
        <v>0</v>
      </c>
      <c r="J17" s="118"/>
      <c r="K17" s="81"/>
      <c r="L17" s="119"/>
      <c r="M17" s="58"/>
      <c r="N17" s="58"/>
      <c r="O17" s="58"/>
    </row>
    <row r="18" spans="1:15" ht="15" x14ac:dyDescent="0.25">
      <c r="A18" s="36" t="s">
        <v>9</v>
      </c>
      <c r="B18" s="37">
        <f t="shared" si="0"/>
        <v>17</v>
      </c>
      <c r="C18" s="38">
        <v>1</v>
      </c>
      <c r="D18" s="87">
        <v>2023</v>
      </c>
      <c r="E18" s="45">
        <v>0</v>
      </c>
      <c r="F18" s="90"/>
      <c r="G18" s="84">
        <v>0</v>
      </c>
      <c r="H18" s="116"/>
      <c r="I18" s="52">
        <v>0</v>
      </c>
      <c r="J18" s="118"/>
      <c r="K18" s="81"/>
      <c r="L18" s="119"/>
      <c r="M18" s="58"/>
      <c r="N18" s="58"/>
      <c r="O18" s="58"/>
    </row>
    <row r="19" spans="1:15" ht="15" x14ac:dyDescent="0.25">
      <c r="A19" s="36" t="s">
        <v>9</v>
      </c>
      <c r="B19" s="37">
        <f t="shared" si="0"/>
        <v>18</v>
      </c>
      <c r="C19" s="38">
        <v>1</v>
      </c>
      <c r="D19" s="87">
        <v>2023</v>
      </c>
      <c r="E19" s="45">
        <v>0</v>
      </c>
      <c r="F19" s="90"/>
      <c r="G19" s="84">
        <v>0</v>
      </c>
      <c r="H19" s="116"/>
      <c r="I19" s="52">
        <v>0</v>
      </c>
      <c r="J19" s="118"/>
      <c r="K19" s="81"/>
      <c r="L19" s="119"/>
      <c r="M19" s="58"/>
      <c r="N19" s="58"/>
      <c r="O19" s="58"/>
    </row>
    <row r="20" spans="1:15" ht="15" x14ac:dyDescent="0.25">
      <c r="A20" s="36" t="s">
        <v>9</v>
      </c>
      <c r="B20" s="37">
        <f t="shared" si="0"/>
        <v>19</v>
      </c>
      <c r="C20" s="38">
        <v>1</v>
      </c>
      <c r="D20" s="87">
        <v>2023</v>
      </c>
      <c r="E20" s="45">
        <v>0</v>
      </c>
      <c r="F20" s="90"/>
      <c r="G20" s="84">
        <v>0</v>
      </c>
      <c r="H20" s="116"/>
      <c r="I20" s="52">
        <v>0</v>
      </c>
      <c r="J20" s="118"/>
      <c r="K20" s="81"/>
      <c r="L20" s="119"/>
      <c r="M20" s="58"/>
      <c r="N20" s="58"/>
      <c r="O20" s="58"/>
    </row>
    <row r="21" spans="1:15" ht="15" x14ac:dyDescent="0.25">
      <c r="A21" s="36" t="s">
        <v>9</v>
      </c>
      <c r="B21" s="37">
        <f t="shared" si="0"/>
        <v>20</v>
      </c>
      <c r="C21" s="38">
        <v>1</v>
      </c>
      <c r="D21" s="87">
        <v>2023</v>
      </c>
      <c r="E21" s="45">
        <v>0</v>
      </c>
      <c r="F21" s="90"/>
      <c r="G21" s="84">
        <v>0</v>
      </c>
      <c r="H21" s="116"/>
      <c r="I21" s="52">
        <v>0</v>
      </c>
      <c r="J21" s="118"/>
      <c r="K21" s="81"/>
      <c r="L21" s="119"/>
      <c r="M21" s="58"/>
      <c r="N21" s="58"/>
      <c r="O21" s="58"/>
    </row>
    <row r="22" spans="1:15" ht="15" x14ac:dyDescent="0.25">
      <c r="A22" s="36" t="s">
        <v>9</v>
      </c>
      <c r="B22" s="37">
        <f t="shared" si="0"/>
        <v>21</v>
      </c>
      <c r="C22" s="38">
        <v>1</v>
      </c>
      <c r="D22" s="87">
        <v>2023</v>
      </c>
      <c r="E22" s="45">
        <v>0</v>
      </c>
      <c r="F22" s="90"/>
      <c r="G22" s="84">
        <v>0</v>
      </c>
      <c r="H22" s="116"/>
      <c r="I22" s="52">
        <v>0</v>
      </c>
      <c r="J22" s="118"/>
      <c r="K22" s="81"/>
      <c r="L22" s="119"/>
      <c r="M22" s="58"/>
      <c r="N22" s="58"/>
      <c r="O22" s="58"/>
    </row>
    <row r="23" spans="1:15" ht="15" x14ac:dyDescent="0.25">
      <c r="A23" s="36" t="s">
        <v>9</v>
      </c>
      <c r="B23" s="37">
        <f t="shared" si="0"/>
        <v>22</v>
      </c>
      <c r="C23" s="38">
        <v>1</v>
      </c>
      <c r="D23" s="87">
        <v>2023</v>
      </c>
      <c r="E23" s="45">
        <v>0</v>
      </c>
      <c r="F23" s="90"/>
      <c r="G23" s="84">
        <v>0</v>
      </c>
      <c r="H23" s="116"/>
      <c r="I23" s="52">
        <v>0</v>
      </c>
      <c r="J23" s="118"/>
      <c r="K23" s="81"/>
      <c r="L23" s="119"/>
      <c r="M23" s="58"/>
      <c r="N23" s="58"/>
      <c r="O23" s="58"/>
    </row>
    <row r="24" spans="1:15" ht="15" x14ac:dyDescent="0.25">
      <c r="A24" s="36" t="s">
        <v>9</v>
      </c>
      <c r="B24" s="37">
        <f t="shared" si="0"/>
        <v>23</v>
      </c>
      <c r="C24" s="38">
        <v>1</v>
      </c>
      <c r="D24" s="87">
        <v>2023</v>
      </c>
      <c r="E24" s="45">
        <v>0</v>
      </c>
      <c r="F24" s="90"/>
      <c r="G24" s="84">
        <v>0</v>
      </c>
      <c r="H24" s="116"/>
      <c r="I24" s="52">
        <v>0</v>
      </c>
      <c r="J24" s="118"/>
      <c r="K24" s="81"/>
      <c r="L24" s="119"/>
      <c r="M24" s="58"/>
      <c r="N24" s="58"/>
      <c r="O24" s="58"/>
    </row>
    <row r="25" spans="1:15" ht="15" x14ac:dyDescent="0.25">
      <c r="A25" s="36" t="s">
        <v>9</v>
      </c>
      <c r="B25" s="37">
        <f t="shared" si="0"/>
        <v>24</v>
      </c>
      <c r="C25" s="38">
        <v>1</v>
      </c>
      <c r="D25" s="87">
        <v>2023</v>
      </c>
      <c r="E25" s="45">
        <v>0</v>
      </c>
      <c r="F25" s="90"/>
      <c r="G25" s="84">
        <v>0</v>
      </c>
      <c r="H25" s="116"/>
      <c r="I25" s="52">
        <v>0</v>
      </c>
      <c r="J25" s="118"/>
      <c r="K25" s="81"/>
      <c r="L25" s="119"/>
      <c r="M25" s="58"/>
      <c r="N25" s="58"/>
      <c r="O25" s="58"/>
    </row>
    <row r="26" spans="1:15" ht="15" x14ac:dyDescent="0.25">
      <c r="A26" s="36" t="s">
        <v>9</v>
      </c>
      <c r="B26" s="37">
        <f>B25+1</f>
        <v>25</v>
      </c>
      <c r="C26" s="38">
        <v>1</v>
      </c>
      <c r="D26" s="87">
        <v>2023</v>
      </c>
      <c r="E26" s="45">
        <v>0</v>
      </c>
      <c r="F26" s="90"/>
      <c r="G26" s="84">
        <v>0</v>
      </c>
      <c r="H26" s="116"/>
      <c r="I26" s="52">
        <v>0</v>
      </c>
      <c r="J26" s="118"/>
      <c r="K26" s="81"/>
      <c r="L26" s="119"/>
      <c r="M26" s="58"/>
      <c r="N26" s="58"/>
      <c r="O26" s="58"/>
    </row>
    <row r="27" spans="1:15" ht="15" x14ac:dyDescent="0.25">
      <c r="A27" s="36" t="s">
        <v>9</v>
      </c>
      <c r="B27" s="37">
        <f t="shared" si="0"/>
        <v>26</v>
      </c>
      <c r="C27" s="38">
        <v>1</v>
      </c>
      <c r="D27" s="87">
        <v>2023</v>
      </c>
      <c r="E27" s="45">
        <v>0</v>
      </c>
      <c r="F27" s="90"/>
      <c r="G27" s="84">
        <v>0</v>
      </c>
      <c r="H27" s="116"/>
      <c r="I27" s="52">
        <v>0</v>
      </c>
      <c r="J27" s="118"/>
      <c r="K27" s="81"/>
      <c r="L27" s="119"/>
      <c r="M27" s="58"/>
      <c r="N27" s="58"/>
      <c r="O27" s="58"/>
    </row>
    <row r="28" spans="1:15" ht="15" x14ac:dyDescent="0.25">
      <c r="A28" s="36" t="s">
        <v>9</v>
      </c>
      <c r="B28" s="37">
        <f t="shared" si="0"/>
        <v>27</v>
      </c>
      <c r="C28" s="38">
        <v>1</v>
      </c>
      <c r="D28" s="87">
        <v>2023</v>
      </c>
      <c r="E28" s="45">
        <v>0</v>
      </c>
      <c r="F28" s="90"/>
      <c r="G28" s="84">
        <v>0</v>
      </c>
      <c r="H28" s="116"/>
      <c r="I28" s="52">
        <v>0</v>
      </c>
      <c r="J28" s="118"/>
      <c r="K28" s="81"/>
      <c r="L28" s="119"/>
      <c r="M28" s="58"/>
      <c r="N28" s="58"/>
      <c r="O28" s="58"/>
    </row>
    <row r="29" spans="1:15" ht="15" x14ac:dyDescent="0.25">
      <c r="A29" s="36" t="s">
        <v>9</v>
      </c>
      <c r="B29" s="37">
        <f t="shared" si="0"/>
        <v>28</v>
      </c>
      <c r="C29" s="38">
        <v>1</v>
      </c>
      <c r="D29" s="87">
        <v>2023</v>
      </c>
      <c r="E29" s="45">
        <v>0</v>
      </c>
      <c r="F29" s="90"/>
      <c r="G29" s="84">
        <v>0</v>
      </c>
      <c r="H29" s="116"/>
      <c r="I29" s="52">
        <v>0</v>
      </c>
      <c r="J29" s="118"/>
      <c r="K29" s="81"/>
      <c r="L29" s="119"/>
      <c r="M29" s="58"/>
      <c r="N29" s="58"/>
      <c r="O29" s="58"/>
    </row>
    <row r="30" spans="1:15" ht="15" x14ac:dyDescent="0.25">
      <c r="A30" s="36" t="s">
        <v>9</v>
      </c>
      <c r="B30" s="37">
        <f t="shared" si="0"/>
        <v>29</v>
      </c>
      <c r="C30" s="38">
        <v>1</v>
      </c>
      <c r="D30" s="87">
        <v>2023</v>
      </c>
      <c r="E30" s="45">
        <v>0</v>
      </c>
      <c r="F30" s="90"/>
      <c r="G30" s="84">
        <v>0</v>
      </c>
      <c r="H30" s="116"/>
      <c r="I30" s="52">
        <v>0</v>
      </c>
      <c r="J30" s="118"/>
      <c r="K30" s="81"/>
      <c r="L30" s="119"/>
      <c r="M30" s="58"/>
      <c r="N30" s="58"/>
      <c r="O30" s="58"/>
    </row>
    <row r="31" spans="1:15" ht="15" x14ac:dyDescent="0.25">
      <c r="A31" s="36" t="s">
        <v>9</v>
      </c>
      <c r="B31" s="37">
        <f>B30+1</f>
        <v>30</v>
      </c>
      <c r="C31" s="38">
        <v>1</v>
      </c>
      <c r="D31" s="87">
        <v>2023</v>
      </c>
      <c r="E31" s="45">
        <v>0</v>
      </c>
      <c r="F31" s="90"/>
      <c r="G31" s="84">
        <v>0</v>
      </c>
      <c r="H31" s="116"/>
      <c r="I31" s="52">
        <v>0</v>
      </c>
      <c r="J31" s="118"/>
      <c r="K31" s="81"/>
      <c r="L31" s="119"/>
      <c r="M31" s="58"/>
      <c r="N31" s="58"/>
      <c r="O31" s="58"/>
    </row>
    <row r="32" spans="1:15" ht="15" x14ac:dyDescent="0.25">
      <c r="A32" s="36" t="s">
        <v>9</v>
      </c>
      <c r="B32" s="37">
        <f>B31+1</f>
        <v>31</v>
      </c>
      <c r="C32" s="38">
        <v>1</v>
      </c>
      <c r="D32" s="87">
        <v>2023</v>
      </c>
      <c r="E32" s="45">
        <v>0</v>
      </c>
      <c r="F32" s="90"/>
      <c r="G32" s="84">
        <v>0</v>
      </c>
      <c r="H32" s="116"/>
      <c r="I32" s="52">
        <v>0</v>
      </c>
      <c r="J32" s="118"/>
      <c r="K32" s="81"/>
      <c r="L32" s="119"/>
      <c r="M32" s="58"/>
      <c r="N32" s="58"/>
      <c r="O32" s="58"/>
    </row>
    <row r="33" spans="1:15" ht="18.75" customHeight="1" x14ac:dyDescent="0.2">
      <c r="A33" s="129" t="s">
        <v>41</v>
      </c>
      <c r="B33" s="129"/>
      <c r="C33" s="129"/>
      <c r="D33" s="129"/>
      <c r="E33" s="80">
        <f>SUM(E2:E32)</f>
        <v>190509.99999999994</v>
      </c>
      <c r="F33" s="113">
        <v>0</v>
      </c>
      <c r="G33" s="80">
        <f>SUM(G2:G32)</f>
        <v>53142</v>
      </c>
      <c r="H33" s="113">
        <v>0</v>
      </c>
      <c r="I33" s="80">
        <f>SUM(I2:I32)</f>
        <v>4238</v>
      </c>
      <c r="J33" s="113">
        <v>0</v>
      </c>
      <c r="K33" s="79">
        <f>SUM(K2:K31)</f>
        <v>0</v>
      </c>
      <c r="L33" s="120">
        <v>0</v>
      </c>
      <c r="M33" s="80">
        <f>SUM(M2:M32)</f>
        <v>773</v>
      </c>
      <c r="N33" s="80">
        <f>SUM(N2:N32)</f>
        <v>1947</v>
      </c>
      <c r="O33" s="80">
        <f>SUM(O2:O32)</f>
        <v>5379</v>
      </c>
    </row>
    <row r="40" spans="1:15" x14ac:dyDescent="0.2">
      <c r="C40" s="35" t="s">
        <v>115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9"/>
  <sheetViews>
    <sheetView zoomScale="80" zoomScaleNormal="80" workbookViewId="0">
      <pane xSplit="4" ySplit="1" topLeftCell="H2" activePane="bottomRight" state="frozen"/>
      <selection pane="topRight" activeCell="C1" sqref="C1"/>
      <selection pane="bottomLeft" activeCell="A4" sqref="A4"/>
      <selection pane="bottomRight" activeCell="Q9" sqref="Q9"/>
    </sheetView>
  </sheetViews>
  <sheetFormatPr defaultRowHeight="15.75" x14ac:dyDescent="0.25"/>
  <cols>
    <col min="1" max="1" width="23" style="35" bestFit="1" customWidth="1"/>
    <col min="2" max="4" width="9.140625" style="35"/>
    <col min="5" max="7" width="12.85546875" style="4" customWidth="1"/>
    <col min="8" max="8" width="14" style="4" bestFit="1" customWidth="1"/>
    <col min="9" max="11" width="12.85546875" style="4" customWidth="1"/>
    <col min="12" max="12" width="12.28515625" customWidth="1"/>
    <col min="13" max="13" width="15.28515625" customWidth="1"/>
    <col min="14" max="14" width="15.42578125" customWidth="1"/>
    <col min="15" max="15" width="19.28515625" customWidth="1"/>
    <col min="16" max="21" width="15.28515625" bestFit="1" customWidth="1"/>
    <col min="22" max="22" width="19.5703125" customWidth="1"/>
    <col min="23" max="23" width="20.28515625" customWidth="1"/>
    <col min="24" max="24" width="19" customWidth="1"/>
  </cols>
  <sheetData>
    <row r="1" spans="1:24" ht="25.5" customHeight="1" x14ac:dyDescent="0.25">
      <c r="A1" s="31" t="s">
        <v>0</v>
      </c>
      <c r="B1" s="31" t="s">
        <v>1</v>
      </c>
      <c r="C1" s="32" t="s">
        <v>2</v>
      </c>
      <c r="D1" s="31" t="s">
        <v>3</v>
      </c>
      <c r="E1" s="122" t="s">
        <v>123</v>
      </c>
      <c r="F1" s="122" t="s">
        <v>124</v>
      </c>
      <c r="G1" s="123" t="s">
        <v>125</v>
      </c>
      <c r="H1" s="123" t="s">
        <v>104</v>
      </c>
      <c r="I1" s="124" t="s">
        <v>120</v>
      </c>
      <c r="J1" s="124" t="s">
        <v>121</v>
      </c>
      <c r="K1" s="124" t="s">
        <v>122</v>
      </c>
      <c r="L1" s="125" t="s">
        <v>126</v>
      </c>
      <c r="M1" s="125" t="s">
        <v>127</v>
      </c>
      <c r="N1" s="125" t="s">
        <v>128</v>
      </c>
      <c r="O1" s="125" t="s">
        <v>129</v>
      </c>
      <c r="P1" s="126" t="s">
        <v>33</v>
      </c>
      <c r="Q1" s="126" t="s">
        <v>34</v>
      </c>
      <c r="R1" s="126" t="s">
        <v>35</v>
      </c>
      <c r="S1" s="126" t="s">
        <v>36</v>
      </c>
      <c r="T1" s="126" t="s">
        <v>37</v>
      </c>
      <c r="U1" s="126" t="s">
        <v>38</v>
      </c>
      <c r="V1" s="126" t="s">
        <v>39</v>
      </c>
      <c r="W1" s="127" t="s">
        <v>40</v>
      </c>
      <c r="X1" s="128" t="s">
        <v>92</v>
      </c>
    </row>
    <row r="2" spans="1:24" x14ac:dyDescent="0.25">
      <c r="A2" s="36" t="s">
        <v>9</v>
      </c>
      <c r="B2" s="37">
        <v>1</v>
      </c>
      <c r="C2" s="38">
        <v>1</v>
      </c>
      <c r="D2" s="87">
        <v>2023</v>
      </c>
      <c r="E2" s="3">
        <v>0</v>
      </c>
      <c r="F2" s="2">
        <v>0</v>
      </c>
      <c r="G2" s="2">
        <v>0</v>
      </c>
      <c r="H2" s="2">
        <f>I2+J2+K2</f>
        <v>2120.0000000000614</v>
      </c>
      <c r="I2" s="2">
        <f>('Kwh Reading'!J5-'Kwh Reading'!J4)*1000</f>
        <v>1010.0000000001046</v>
      </c>
      <c r="J2" s="2">
        <f>('Kwh Reading'!K5-'Kwh Reading'!K4)*1000</f>
        <v>559.99999999994543</v>
      </c>
      <c r="K2" s="2">
        <f>('Kwh Reading'!L5-'Kwh Reading'!L4)*1000</f>
        <v>550.00000000001137</v>
      </c>
      <c r="L2" s="2">
        <f>('Kwh Reading'!R5-'Kwh Reading'!R4)*1000</f>
        <v>0</v>
      </c>
      <c r="M2" s="2">
        <f>('Kwh Reading'!S5-'Kwh Reading'!S4)*1000</f>
        <v>0</v>
      </c>
      <c r="N2" s="2">
        <f>('Kwh Reading'!I5-'Kwh Reading'!I4)*1000</f>
        <v>360.00000000001364</v>
      </c>
      <c r="O2" s="2">
        <f>('Kwh Reading'!B5-'Kwh Reading'!B4)*1000000</f>
        <v>1099.9999999998788</v>
      </c>
      <c r="P2" s="2">
        <f>('Kwh Reading'!M5-'Kwh Reading'!M4)*1000</f>
        <v>480.00000000001819</v>
      </c>
      <c r="Q2" s="2">
        <f>('Kwh Reading'!H5-'Kwh Reading'!H4)*1000000</f>
        <v>699.99999999992292</v>
      </c>
      <c r="R2" s="2">
        <f>('Kwh Reading'!P5-'Kwh Reading'!P4)*1000000</f>
        <v>499.99999999994492</v>
      </c>
      <c r="S2" s="2">
        <f>('Kwh Reading'!G5-'Kwh Reading'!G4)*1000000</f>
        <v>499.99999999994492</v>
      </c>
      <c r="T2" s="2">
        <f>('Kwh Reading'!Q5-'Kwh Reading'!Q4)*1000</f>
        <v>399.99999999997726</v>
      </c>
      <c r="U2" s="2">
        <f>('Kwh Reading'!N5-'Kwh Reading'!N4)*1000</f>
        <v>389.99999999998636</v>
      </c>
      <c r="V2" s="2">
        <f>'Kwh Reading'!E5-'Kwh Reading'!E4</f>
        <v>2594.8000000007451</v>
      </c>
      <c r="W2" s="2">
        <f>'Kwh Reading'!D5-'Kwh Reading'!D4</f>
        <v>1461.4500000000116</v>
      </c>
      <c r="X2" s="21">
        <f>('Kwh Reading'!O5-'Kwh Reading'!O4)*1000</f>
        <v>269.99999999998181</v>
      </c>
    </row>
    <row r="3" spans="1:24" x14ac:dyDescent="0.25">
      <c r="A3" s="36" t="s">
        <v>9</v>
      </c>
      <c r="B3" s="37">
        <f>B2+1</f>
        <v>2</v>
      </c>
      <c r="C3" s="38">
        <v>1</v>
      </c>
      <c r="D3" s="87">
        <v>2023</v>
      </c>
      <c r="E3" s="3">
        <f>('Kwh Reading'!T6-'Kwh Reading'!T5)*1000</f>
        <v>699.99999999993179</v>
      </c>
      <c r="F3" s="2">
        <f>('Kwh Reading'!F6-'Kwh Reading'!F5)*1000000</f>
        <v>2600.0000000001578</v>
      </c>
      <c r="G3" s="2">
        <f>('Kwh Reading'!C6-'Kwh Reading'!C5)*1000</f>
        <v>299.99999999995453</v>
      </c>
      <c r="H3" s="2">
        <f t="shared" ref="H3:H31" si="0">I3+J3+K3</f>
        <v>2130.0000000000523</v>
      </c>
      <c r="I3" s="2">
        <f>('Kwh Reading'!J6-'Kwh Reading'!J5)*1000</f>
        <v>1000</v>
      </c>
      <c r="J3" s="2">
        <f>('Kwh Reading'!K6-'Kwh Reading'!K5)*1000</f>
        <v>550.00000000006821</v>
      </c>
      <c r="K3" s="2">
        <f>('Kwh Reading'!L6-'Kwh Reading'!L5)*1000</f>
        <v>579.99999999998408</v>
      </c>
      <c r="L3" s="2">
        <f>('Kwh Reading'!R6-'Kwh Reading'!R5)*1000</f>
        <v>0</v>
      </c>
      <c r="M3" s="2">
        <f>('Kwh Reading'!S6-'Kwh Reading'!S5)*1000</f>
        <v>0</v>
      </c>
      <c r="N3" s="2">
        <f>('Kwh Reading'!I6-'Kwh Reading'!I5)*1000</f>
        <v>340.00000000003183</v>
      </c>
      <c r="O3" s="2">
        <f>('Kwh Reading'!B6-'Kwh Reading'!B5)*1000000</f>
        <v>1100.000000000101</v>
      </c>
      <c r="P3" s="2">
        <f>('Kwh Reading'!M6-'Kwh Reading'!M5)*1000</f>
        <v>450.00000000004547</v>
      </c>
      <c r="Q3" s="2">
        <f>('Kwh Reading'!H6-'Kwh Reading'!H5)*1000000</f>
        <v>700.00000000014495</v>
      </c>
      <c r="R3" s="2">
        <f>('Kwh Reading'!P6-'Kwh Reading'!P5)*1000000</f>
        <v>499.99999999994492</v>
      </c>
      <c r="S3" s="2">
        <f>('Kwh Reading'!G6-'Kwh Reading'!G5)*1000000</f>
        <v>499.99999999994492</v>
      </c>
      <c r="T3" s="2">
        <f>('Kwh Reading'!Q6-'Kwh Reading'!Q5)*1000</f>
        <v>389.99999999998636</v>
      </c>
      <c r="U3" s="2">
        <f>('Kwh Reading'!N6-'Kwh Reading'!N5)*1000</f>
        <v>399.99999999997726</v>
      </c>
      <c r="V3" s="2">
        <f>'Kwh Reading'!E6-'Kwh Reading'!E5</f>
        <v>2864.429999999702</v>
      </c>
      <c r="W3" s="2">
        <f>'Kwh Reading'!D6-'Kwh Reading'!D5</f>
        <v>1578.7599999999802</v>
      </c>
      <c r="X3" s="21">
        <f>('Kwh Reading'!O6-'Kwh Reading'!O5)*1000</f>
        <v>300.00000000001137</v>
      </c>
    </row>
    <row r="4" spans="1:24" x14ac:dyDescent="0.25">
      <c r="A4" s="36" t="s">
        <v>9</v>
      </c>
      <c r="B4" s="37">
        <f t="shared" ref="B4:B32" si="1">B3+1</f>
        <v>3</v>
      </c>
      <c r="C4" s="38">
        <v>1</v>
      </c>
      <c r="D4" s="87">
        <v>2023</v>
      </c>
      <c r="E4" s="3">
        <f>('Kwh Reading'!T7-'Kwh Reading'!T6)*1000</f>
        <v>660.00000000008185</v>
      </c>
      <c r="F4" s="2">
        <f>('Kwh Reading'!F7-'Kwh Reading'!F6)*1000000</f>
        <v>2599.9999999997135</v>
      </c>
      <c r="G4" s="2">
        <f>('Kwh Reading'!C7-'Kwh Reading'!C6)*1000</f>
        <v>270.00000000003865</v>
      </c>
      <c r="H4" s="2">
        <f t="shared" si="0"/>
        <v>1989.9999999998954</v>
      </c>
      <c r="I4" s="2">
        <f>('Kwh Reading'!J7-'Kwh Reading'!J6)*1000</f>
        <v>959.99999999992269</v>
      </c>
      <c r="J4" s="2">
        <f>('Kwh Reading'!K7-'Kwh Reading'!K6)*1000</f>
        <v>519.99999999998181</v>
      </c>
      <c r="K4" s="2">
        <f>('Kwh Reading'!L7-'Kwh Reading'!L6)*1000</f>
        <v>509.99999999999091</v>
      </c>
      <c r="L4" s="2">
        <f>('Kwh Reading'!R7-'Kwh Reading'!R6)*1000</f>
        <v>0</v>
      </c>
      <c r="M4" s="2">
        <f>('Kwh Reading'!S7-'Kwh Reading'!S6)*1000</f>
        <v>0</v>
      </c>
      <c r="N4" s="2">
        <f>('Kwh Reading'!I7-'Kwh Reading'!I6)*1000</f>
        <v>329.99999999998408</v>
      </c>
      <c r="O4" s="2">
        <f>('Kwh Reading'!B7-'Kwh Reading'!B6)*1000000</f>
        <v>999.99999999988984</v>
      </c>
      <c r="P4" s="2">
        <f>('Kwh Reading'!M7-'Kwh Reading'!M6)*1000</f>
        <v>480.00000000001819</v>
      </c>
      <c r="Q4" s="2">
        <f>('Kwh Reading'!H7-'Kwh Reading'!H6)*1000000</f>
        <v>599.99999999993395</v>
      </c>
      <c r="R4" s="2">
        <f>('Kwh Reading'!P7-'Kwh Reading'!P6)*1000000</f>
        <v>400.00000000017798</v>
      </c>
      <c r="S4" s="2">
        <f>('Kwh Reading'!G7-'Kwh Reading'!G6)*1000000</f>
        <v>500.00000000016701</v>
      </c>
      <c r="T4" s="2">
        <f>('Kwh Reading'!Q7-'Kwh Reading'!Q6)*1000</f>
        <v>360.00000000001364</v>
      </c>
      <c r="U4" s="2">
        <f>('Kwh Reading'!N7-'Kwh Reading'!N6)*1000</f>
        <v>370.00000000000455</v>
      </c>
      <c r="V4" s="2">
        <f>'Kwh Reading'!E7-'Kwh Reading'!E6</f>
        <v>2674.3000000007451</v>
      </c>
      <c r="W4" s="2">
        <f>'Kwh Reading'!D7-'Kwh Reading'!D6</f>
        <v>1533.0500000000175</v>
      </c>
      <c r="X4" s="21">
        <f>('Kwh Reading'!O7-'Kwh Reading'!O6)*1000</f>
        <v>280.00000000002956</v>
      </c>
    </row>
    <row r="5" spans="1:24" x14ac:dyDescent="0.25">
      <c r="A5" s="36" t="s">
        <v>9</v>
      </c>
      <c r="B5" s="37">
        <f t="shared" si="1"/>
        <v>4</v>
      </c>
      <c r="C5" s="38">
        <v>1</v>
      </c>
      <c r="D5" s="87">
        <v>2023</v>
      </c>
      <c r="E5" s="3">
        <f>('Kwh Reading'!T8-'Kwh Reading'!T7)*1000</f>
        <v>659.99999999996817</v>
      </c>
      <c r="F5" s="2">
        <f>('Kwh Reading'!F8-'Kwh Reading'!F7)*1000000</f>
        <v>2600.0000000001578</v>
      </c>
      <c r="G5" s="2">
        <f>('Kwh Reading'!C8-'Kwh Reading'!C7)*1000</f>
        <v>289.99999999996362</v>
      </c>
      <c r="H5" s="2">
        <f t="shared" si="0"/>
        <v>2079.9999999999272</v>
      </c>
      <c r="I5" s="2">
        <f>('Kwh Reading'!J8-'Kwh Reading'!J7)*1000</f>
        <v>990.00000000000909</v>
      </c>
      <c r="J5" s="2">
        <f>('Kwh Reading'!K8-'Kwh Reading'!K7)*1000</f>
        <v>569.99999999993634</v>
      </c>
      <c r="K5" s="2">
        <f>('Kwh Reading'!L8-'Kwh Reading'!L7)*1000</f>
        <v>519.99999999998181</v>
      </c>
      <c r="L5" s="2">
        <f>('Kwh Reading'!R8-'Kwh Reading'!R7)*1000</f>
        <v>0</v>
      </c>
      <c r="M5" s="2">
        <f>('Kwh Reading'!S8-'Kwh Reading'!S7)*1000</f>
        <v>0</v>
      </c>
      <c r="N5" s="2">
        <f>('Kwh Reading'!I8-'Kwh Reading'!I7)*1000</f>
        <v>319.99999999999318</v>
      </c>
      <c r="O5" s="2">
        <f>('Kwh Reading'!B8-'Kwh Reading'!B7)*1000000</f>
        <v>1100.000000000101</v>
      </c>
      <c r="P5" s="2">
        <f>('Kwh Reading'!M8-'Kwh Reading'!M7)*1000</f>
        <v>519.99999999998181</v>
      </c>
      <c r="Q5" s="2">
        <f>('Kwh Reading'!H8-'Kwh Reading'!H7)*1000000</f>
        <v>699.99999999992292</v>
      </c>
      <c r="R5" s="2">
        <f>('Kwh Reading'!P8-'Kwh Reading'!P7)*1000000</f>
        <v>599.99999999993395</v>
      </c>
      <c r="S5" s="2">
        <f>('Kwh Reading'!G8-'Kwh Reading'!G7)*1000000</f>
        <v>599.99999999993395</v>
      </c>
      <c r="T5" s="2">
        <f>('Kwh Reading'!Q8-'Kwh Reading'!Q7)*1000</f>
        <v>370.00000000000455</v>
      </c>
      <c r="U5" s="2">
        <f>('Kwh Reading'!N8-'Kwh Reading'!N7)*1000</f>
        <v>399.99999999997726</v>
      </c>
      <c r="V5" s="2">
        <f>'Kwh Reading'!E8-'Kwh Reading'!E7</f>
        <v>2734.9599999990314</v>
      </c>
      <c r="W5" s="2">
        <f>'Kwh Reading'!D8-'Kwh Reading'!D7</f>
        <v>1641.5</v>
      </c>
      <c r="X5" s="21">
        <f>('Kwh Reading'!O8-'Kwh Reading'!O7)*1000</f>
        <v>259.99999999999091</v>
      </c>
    </row>
    <row r="6" spans="1:24" x14ac:dyDescent="0.25">
      <c r="A6" s="36" t="s">
        <v>9</v>
      </c>
      <c r="B6" s="37">
        <f t="shared" si="1"/>
        <v>5</v>
      </c>
      <c r="C6" s="38">
        <v>1</v>
      </c>
      <c r="D6" s="87">
        <v>2023</v>
      </c>
      <c r="E6" s="3">
        <f>('Kwh Reading'!T9-'Kwh Reading'!T8)*1000</f>
        <v>639.99999999998636</v>
      </c>
      <c r="F6" s="2">
        <f>('Kwh Reading'!F9-'Kwh Reading'!F8)*1000000</f>
        <v>2499.9999999999468</v>
      </c>
      <c r="G6" s="2">
        <f>('Kwh Reading'!C9-'Kwh Reading'!C8)*1000</f>
        <v>290.00000000002046</v>
      </c>
      <c r="H6" s="2">
        <f t="shared" si="0"/>
        <v>1980.000000000075</v>
      </c>
      <c r="I6" s="2">
        <f>('Kwh Reading'!J9-'Kwh Reading'!J8)*1000</f>
        <v>889.99999999998636</v>
      </c>
      <c r="J6" s="2">
        <f>('Kwh Reading'!K9-'Kwh Reading'!K8)*1000</f>
        <v>530.0000000000864</v>
      </c>
      <c r="K6" s="2">
        <f>('Kwh Reading'!L9-'Kwh Reading'!L8)*1000</f>
        <v>560.00000000000227</v>
      </c>
      <c r="L6" s="2">
        <f>('Kwh Reading'!R9-'Kwh Reading'!R8)*1000</f>
        <v>0</v>
      </c>
      <c r="M6" s="2">
        <f>('Kwh Reading'!S9-'Kwh Reading'!S8)*1000</f>
        <v>0</v>
      </c>
      <c r="N6" s="2">
        <f>('Kwh Reading'!I9-'Kwh Reading'!I8)*1000</f>
        <v>339.99999999997499</v>
      </c>
      <c r="O6" s="2">
        <f>('Kwh Reading'!B9-'Kwh Reading'!B8)*1000000</f>
        <v>1099.9999999998788</v>
      </c>
      <c r="P6" s="2">
        <f>('Kwh Reading'!M9-'Kwh Reading'!M8)*1000</f>
        <v>480.00000000001819</v>
      </c>
      <c r="Q6" s="2">
        <f>('Kwh Reading'!H9-'Kwh Reading'!H8)*1000000</f>
        <v>700.00000000014495</v>
      </c>
      <c r="R6" s="2">
        <f>('Kwh Reading'!P9-'Kwh Reading'!P8)*1000000</f>
        <v>599.99999999993395</v>
      </c>
      <c r="S6" s="2">
        <f>('Kwh Reading'!G9-'Kwh Reading'!G8)*1000000</f>
        <v>499.99999999994492</v>
      </c>
      <c r="T6" s="2">
        <f>('Kwh Reading'!Q9-'Kwh Reading'!Q8)*1000</f>
        <v>360.00000000001364</v>
      </c>
      <c r="U6" s="2">
        <f>('Kwh Reading'!N9-'Kwh Reading'!N8)*1000</f>
        <v>350.00000000002274</v>
      </c>
      <c r="V6" s="2">
        <f>'Kwh Reading'!E9-'Kwh Reading'!E8</f>
        <v>2827.4199999999255</v>
      </c>
      <c r="W6" s="2">
        <f>'Kwh Reading'!D9-'Kwh Reading'!D8</f>
        <v>1619.6199999999953</v>
      </c>
      <c r="X6" s="21">
        <f>('Kwh Reading'!O9-'Kwh Reading'!O8)*1000</f>
        <v>279.99999999997272</v>
      </c>
    </row>
    <row r="7" spans="1:24" x14ac:dyDescent="0.25">
      <c r="A7" s="36" t="s">
        <v>9</v>
      </c>
      <c r="B7" s="37">
        <f t="shared" si="1"/>
        <v>6</v>
      </c>
      <c r="C7" s="38">
        <v>1</v>
      </c>
      <c r="D7" s="87">
        <v>2023</v>
      </c>
      <c r="E7" s="3">
        <f>('Kwh Reading'!T10-'Kwh Reading'!T9)*1000</f>
        <v>450.00000000004547</v>
      </c>
      <c r="F7" s="2">
        <f>('Kwh Reading'!F10-'Kwh Reading'!F9)*1000000</f>
        <v>2600.0000000001578</v>
      </c>
      <c r="G7" s="2">
        <f>('Kwh Reading'!C10-'Kwh Reading'!C9)*1000</f>
        <v>280.00000000002956</v>
      </c>
      <c r="H7" s="2">
        <f t="shared" si="0"/>
        <v>1840.0000000000318</v>
      </c>
      <c r="I7" s="2">
        <f>('Kwh Reading'!J10-'Kwh Reading'!J9)*1000</f>
        <v>830.00000000004093</v>
      </c>
      <c r="J7" s="2">
        <f>('Kwh Reading'!K10-'Kwh Reading'!K9)*1000</f>
        <v>509.99999999999091</v>
      </c>
      <c r="K7" s="2">
        <f>('Kwh Reading'!L10-'Kwh Reading'!L9)*1000</f>
        <v>500</v>
      </c>
      <c r="L7" s="2">
        <f>('Kwh Reading'!R10-'Kwh Reading'!R9)*1000</f>
        <v>0</v>
      </c>
      <c r="M7" s="2">
        <f>('Kwh Reading'!S10-'Kwh Reading'!S9)*1000</f>
        <v>0</v>
      </c>
      <c r="N7" s="2">
        <f>('Kwh Reading'!I10-'Kwh Reading'!I9)*1000</f>
        <v>340.00000000003183</v>
      </c>
      <c r="O7" s="2">
        <f>('Kwh Reading'!B10-'Kwh Reading'!B9)*1000000</f>
        <v>1100.000000000101</v>
      </c>
      <c r="P7" s="2">
        <f>('Kwh Reading'!M10-'Kwh Reading'!M9)*1000</f>
        <v>500</v>
      </c>
      <c r="Q7" s="2">
        <f>('Kwh Reading'!H10-'Kwh Reading'!H9)*1000000</f>
        <v>799.99999999991189</v>
      </c>
      <c r="R7" s="2">
        <f>('Kwh Reading'!P10-'Kwh Reading'!P9)*1000000</f>
        <v>500.00000000016701</v>
      </c>
      <c r="S7" s="2">
        <f>('Kwh Reading'!G10-'Kwh Reading'!G9)*1000000</f>
        <v>499.99999999994492</v>
      </c>
      <c r="T7" s="2">
        <f>('Kwh Reading'!Q10-'Kwh Reading'!Q9)*1000</f>
        <v>360.00000000001364</v>
      </c>
      <c r="U7" s="2">
        <f>('Kwh Reading'!N10-'Kwh Reading'!N9)*1000</f>
        <v>350.00000000002274</v>
      </c>
      <c r="V7" s="2">
        <f>'Kwh Reading'!E10-'Kwh Reading'!E9</f>
        <v>2766.1500000003725</v>
      </c>
      <c r="W7" s="2">
        <f>'Kwh Reading'!D10-'Kwh Reading'!D9</f>
        <v>1745.3699999999953</v>
      </c>
      <c r="X7" s="21">
        <f>('Kwh Reading'!O10-'Kwh Reading'!O9)*1000</f>
        <v>280.00000000002956</v>
      </c>
    </row>
    <row r="8" spans="1:24" x14ac:dyDescent="0.25">
      <c r="A8" s="36" t="s">
        <v>9</v>
      </c>
      <c r="B8" s="37">
        <f t="shared" si="1"/>
        <v>7</v>
      </c>
      <c r="C8" s="38">
        <v>1</v>
      </c>
      <c r="D8" s="87">
        <v>2023</v>
      </c>
      <c r="E8" s="3">
        <f>('Kwh Reading'!T11-'Kwh Reading'!T10)*1000</f>
        <v>689.99999999994088</v>
      </c>
      <c r="F8" s="2">
        <f>('Kwh Reading'!F11-'Kwh Reading'!F10)*1000000</f>
        <v>2499.9999999999468</v>
      </c>
      <c r="G8" s="2">
        <f>('Kwh Reading'!C11-'Kwh Reading'!C10)*1000</f>
        <v>269.99999999998181</v>
      </c>
      <c r="H8" s="2">
        <f t="shared" si="0"/>
        <v>2489.9999999999523</v>
      </c>
      <c r="I8" s="2">
        <f>('Kwh Reading'!J11-'Kwh Reading'!J10)*1000</f>
        <v>939.99999999994088</v>
      </c>
      <c r="J8" s="2">
        <f>('Kwh Reading'!K11-'Kwh Reading'!K10)*1000</f>
        <v>480.00000000001819</v>
      </c>
      <c r="K8" s="2">
        <f>('Kwh Reading'!L11-'Kwh Reading'!L10)*1000</f>
        <v>1069.9999999999932</v>
      </c>
      <c r="L8" s="2">
        <f>('Kwh Reading'!R11-'Kwh Reading'!R10)*1000</f>
        <v>0</v>
      </c>
      <c r="M8" s="2">
        <f>('Kwh Reading'!S11-'Kwh Reading'!S10)*1000</f>
        <v>0</v>
      </c>
      <c r="N8" s="2">
        <f>('Kwh Reading'!I11-'Kwh Reading'!I10)*1000</f>
        <v>310.00000000000227</v>
      </c>
      <c r="O8" s="2">
        <f>('Kwh Reading'!B11-'Kwh Reading'!B10)*1000000</f>
        <v>1199.9999999998679</v>
      </c>
      <c r="P8" s="2">
        <f>('Kwh Reading'!M11-'Kwh Reading'!M10)*1000</f>
        <v>519.99999999998181</v>
      </c>
      <c r="Q8" s="2">
        <f>('Kwh Reading'!H11-'Kwh Reading'!H10)*1000000</f>
        <v>699.99999999992292</v>
      </c>
      <c r="R8" s="2">
        <f>('Kwh Reading'!P11-'Kwh Reading'!P10)*1000000</f>
        <v>499.99999999994492</v>
      </c>
      <c r="S8" s="2">
        <f>('Kwh Reading'!G11-'Kwh Reading'!G10)*1000000</f>
        <v>500.00000000016701</v>
      </c>
      <c r="T8" s="2">
        <f>('Kwh Reading'!Q11-'Kwh Reading'!Q10)*1000</f>
        <v>360.00000000001364</v>
      </c>
      <c r="U8" s="2">
        <f>('Kwh Reading'!N11-'Kwh Reading'!N10)*1000</f>
        <v>399.99999999997726</v>
      </c>
      <c r="V8" s="26">
        <f>'Kwh Reading'!E11-'Kwh Reading'!E10</f>
        <v>2842.2900000009686</v>
      </c>
      <c r="W8" s="26">
        <f>'Kwh Reading'!D11-'Kwh Reading'!D10</f>
        <v>1799.0599999999977</v>
      </c>
      <c r="X8" s="21">
        <f>('Kwh Reading'!O11-'Kwh Reading'!O10)*1000</f>
        <v>289.99999999996362</v>
      </c>
    </row>
    <row r="9" spans="1:24" x14ac:dyDescent="0.25">
      <c r="A9" s="36" t="s">
        <v>9</v>
      </c>
      <c r="B9" s="37">
        <f t="shared" si="1"/>
        <v>8</v>
      </c>
      <c r="C9" s="38">
        <v>1</v>
      </c>
      <c r="D9" s="87">
        <v>2023</v>
      </c>
      <c r="E9" s="3">
        <f>('Kwh Reading'!T12-'Kwh Reading'!T11)*1000</f>
        <v>629.99999999999545</v>
      </c>
      <c r="F9" s="2">
        <f>('Kwh Reading'!F12-'Kwh Reading'!F11)*1000000</f>
        <v>2599.9999999997135</v>
      </c>
      <c r="G9" s="2">
        <f>('Kwh Reading'!C12-'Kwh Reading'!C11)*1000</f>
        <v>279.99999999997272</v>
      </c>
      <c r="H9" s="2">
        <f t="shared" si="0"/>
        <v>1510.0000000000477</v>
      </c>
      <c r="I9" s="2">
        <f>('Kwh Reading'!J12-'Kwh Reading'!J11)*1000</f>
        <v>910.00000000008185</v>
      </c>
      <c r="J9" s="2">
        <f>('Kwh Reading'!K12-'Kwh Reading'!K11)*1000</f>
        <v>539.99999999996362</v>
      </c>
      <c r="K9" s="2">
        <f>('Kwh Reading'!L12-'Kwh Reading'!L11)*1000</f>
        <v>60.000000000002274</v>
      </c>
      <c r="L9" s="2">
        <f>('Kwh Reading'!R12-'Kwh Reading'!R11)*1000</f>
        <v>0</v>
      </c>
      <c r="M9" s="2">
        <f>('Kwh Reading'!S12-'Kwh Reading'!S11)*1000</f>
        <v>0</v>
      </c>
      <c r="N9" s="2">
        <f>('Kwh Reading'!I12-'Kwh Reading'!I11)*1000</f>
        <v>300.00000000001137</v>
      </c>
      <c r="O9" s="2">
        <f>('Kwh Reading'!B12-'Kwh Reading'!B11)*1000000</f>
        <v>1100.000000000101</v>
      </c>
      <c r="P9" s="2">
        <f>('Kwh Reading'!M12-'Kwh Reading'!M11)*1000</f>
        <v>449.99999999993179</v>
      </c>
      <c r="Q9" s="2">
        <f>('Kwh Reading'!H12-'Kwh Reading'!H11)*1000000</f>
        <v>700.00000000014495</v>
      </c>
      <c r="R9" s="2">
        <f>('Kwh Reading'!P12-'Kwh Reading'!P11)*1000000</f>
        <v>499.99999999994492</v>
      </c>
      <c r="S9" s="2">
        <f>('Kwh Reading'!G12-'Kwh Reading'!G11)*1000000</f>
        <v>499.99999999994492</v>
      </c>
      <c r="T9" s="2">
        <f>('Kwh Reading'!Q12-'Kwh Reading'!Q11)*1000</f>
        <v>399.99999999997726</v>
      </c>
      <c r="U9" s="2">
        <f>('Kwh Reading'!N12-'Kwh Reading'!N11)*1000</f>
        <v>399.99999999997726</v>
      </c>
      <c r="V9" s="26">
        <f>'Kwh Reading'!E12-'Kwh Reading'!E11</f>
        <v>2653.0699999984354</v>
      </c>
      <c r="W9" s="26">
        <f>'Kwh Reading'!D12-'Kwh Reading'!D11</f>
        <v>1648.0100000000093</v>
      </c>
      <c r="X9" s="21">
        <f>('Kwh Reading'!O12-'Kwh Reading'!O11)*1000</f>
        <v>290.00000000002046</v>
      </c>
    </row>
    <row r="10" spans="1:24" x14ac:dyDescent="0.25">
      <c r="A10" s="36" t="s">
        <v>9</v>
      </c>
      <c r="B10" s="37">
        <f t="shared" si="1"/>
        <v>9</v>
      </c>
      <c r="C10" s="38">
        <v>1</v>
      </c>
      <c r="D10" s="87">
        <v>2023</v>
      </c>
      <c r="E10" s="3">
        <f>('Kwh Reading'!T13-'Kwh Reading'!T12)*1000</f>
        <v>570.00000000005002</v>
      </c>
      <c r="F10" s="2">
        <f>('Kwh Reading'!F13-'Kwh Reading'!F12)*1000000</f>
        <v>2700.0000000003688</v>
      </c>
      <c r="G10" s="2">
        <f>('Kwh Reading'!C13-'Kwh Reading'!C12)*1000</f>
        <v>270.00000000003865</v>
      </c>
      <c r="H10" s="2">
        <f t="shared" si="0"/>
        <v>2027.9999999999632</v>
      </c>
      <c r="I10" s="2">
        <f>('Kwh Reading'!J13-'Kwh Reading'!J12)*1000</f>
        <v>987.9999999999427</v>
      </c>
      <c r="J10" s="2">
        <f>('Kwh Reading'!K13-'Kwh Reading'!K12)*1000</f>
        <v>529.99999999997272</v>
      </c>
      <c r="K10" s="2">
        <f>('Kwh Reading'!L13-'Kwh Reading'!L12)*1000</f>
        <v>510.00000000004775</v>
      </c>
      <c r="L10" s="2">
        <f>('Kwh Reading'!R13-'Kwh Reading'!R12)*1000</f>
        <v>0</v>
      </c>
      <c r="M10" s="2">
        <f>('Kwh Reading'!S13-'Kwh Reading'!S12)*1000</f>
        <v>0</v>
      </c>
      <c r="N10" s="2">
        <f>('Kwh Reading'!I13-'Kwh Reading'!I12)*1000</f>
        <v>299.99999999995453</v>
      </c>
      <c r="O10" s="2">
        <f>('Kwh Reading'!B13-'Kwh Reading'!B12)*1000000</f>
        <v>1099.9999999998788</v>
      </c>
      <c r="P10" s="2">
        <f>('Kwh Reading'!M13-'Kwh Reading'!M12)*1000</f>
        <v>460.00000000003638</v>
      </c>
      <c r="Q10" s="2">
        <f>('Kwh Reading'!H13-'Kwh Reading'!H12)*1000000</f>
        <v>699.99999999992292</v>
      </c>
      <c r="R10" s="2">
        <f>('Kwh Reading'!P13-'Kwh Reading'!P12)*1000000</f>
        <v>599.99999999993395</v>
      </c>
      <c r="S10" s="2">
        <f>('Kwh Reading'!G13-'Kwh Reading'!G12)*1000000</f>
        <v>599.99999999993395</v>
      </c>
      <c r="T10" s="2">
        <f>('Kwh Reading'!Q13-'Kwh Reading'!Q12)*1000</f>
        <v>340.00000000003183</v>
      </c>
      <c r="U10" s="2">
        <f>('Kwh Reading'!N13-'Kwh Reading'!N12)*1000</f>
        <v>360.00000000001364</v>
      </c>
      <c r="V10" s="26">
        <f>'Kwh Reading'!E13-'Kwh Reading'!E12</f>
        <v>2734.1699999999255</v>
      </c>
      <c r="W10" s="26">
        <f>'Kwh Reading'!D13-'Kwh Reading'!D12</f>
        <v>1885.6300000000047</v>
      </c>
      <c r="X10" s="21">
        <f>('Kwh Reading'!O13-'Kwh Reading'!O12)*1000</f>
        <v>250</v>
      </c>
    </row>
    <row r="11" spans="1:24" x14ac:dyDescent="0.25">
      <c r="A11" s="36" t="s">
        <v>9</v>
      </c>
      <c r="B11" s="37">
        <f t="shared" si="1"/>
        <v>10</v>
      </c>
      <c r="C11" s="38">
        <v>1</v>
      </c>
      <c r="D11" s="87">
        <v>2023</v>
      </c>
      <c r="E11" s="3">
        <f>('Kwh Reading'!T14-'Kwh Reading'!T13)*1000</f>
        <v>-691220</v>
      </c>
      <c r="F11" s="2">
        <f>('Kwh Reading'!F14-'Kwh Reading'!F13)*1000000</f>
        <v>-3833200</v>
      </c>
      <c r="G11" s="2">
        <f>('Kwh Reading'!C14-'Kwh Reading'!C13)*1000</f>
        <v>-370480</v>
      </c>
      <c r="H11" s="2">
        <f t="shared" si="0"/>
        <v>-1476058</v>
      </c>
      <c r="I11" s="2">
        <f>('Kwh Reading'!J14-'Kwh Reading'!J13)*1000</f>
        <v>-577448</v>
      </c>
      <c r="J11" s="2">
        <f>('Kwh Reading'!K14-'Kwh Reading'!K13)*1000</f>
        <v>-530140</v>
      </c>
      <c r="K11" s="2">
        <f>('Kwh Reading'!L14-'Kwh Reading'!L13)*1000</f>
        <v>-368470</v>
      </c>
      <c r="L11" s="2">
        <f>('Kwh Reading'!R14-'Kwh Reading'!R13)*1000</f>
        <v>0</v>
      </c>
      <c r="M11" s="2">
        <f>('Kwh Reading'!S14-'Kwh Reading'!S13)*1000</f>
        <v>0</v>
      </c>
      <c r="N11" s="2">
        <f>('Kwh Reading'!I14-'Kwh Reading'!I13)*1000</f>
        <v>-402960</v>
      </c>
      <c r="O11" s="2">
        <f>('Kwh Reading'!B14-'Kwh Reading'!B13)*1000000</f>
        <v>-1611800</v>
      </c>
      <c r="P11" s="2">
        <f>('Kwh Reading'!M14-'Kwh Reading'!M13)*1000</f>
        <v>-892130</v>
      </c>
      <c r="Q11" s="2">
        <f>('Kwh Reading'!H14-'Kwh Reading'!H13)*1000000</f>
        <v>-1115300</v>
      </c>
      <c r="R11" s="2">
        <f>('Kwh Reading'!P14-'Kwh Reading'!P13)*1000000</f>
        <v>-1081300</v>
      </c>
      <c r="S11" s="2">
        <f>('Kwh Reading'!G14-'Kwh Reading'!G13)*1000000</f>
        <v>-1185900</v>
      </c>
      <c r="T11" s="2">
        <f>('Kwh Reading'!Q14-'Kwh Reading'!Q13)*1000</f>
        <v>-783340</v>
      </c>
      <c r="U11" s="2">
        <f>('Kwh Reading'!N14-'Kwh Reading'!N13)*1000</f>
        <v>-805920</v>
      </c>
      <c r="V11" s="26">
        <f>'Kwh Reading'!E14-'Kwh Reading'!E13</f>
        <v>-9667016.6999999993</v>
      </c>
      <c r="W11" s="26">
        <f>'Kwh Reading'!D14-'Kwh Reading'!D13</f>
        <v>-149181.73000000001</v>
      </c>
      <c r="X11" s="21">
        <f>('Kwh Reading'!O14-'Kwh Reading'!O13)*1000</f>
        <v>-271380</v>
      </c>
    </row>
    <row r="12" spans="1:24" x14ac:dyDescent="0.25">
      <c r="A12" s="36" t="s">
        <v>9</v>
      </c>
      <c r="B12" s="37">
        <f t="shared" si="1"/>
        <v>11</v>
      </c>
      <c r="C12" s="38">
        <v>1</v>
      </c>
      <c r="D12" s="87">
        <v>2023</v>
      </c>
      <c r="E12" s="3">
        <f>('Kwh Reading'!T15-'Kwh Reading'!T14)*1000</f>
        <v>0</v>
      </c>
      <c r="F12" s="2">
        <f>('Kwh Reading'!F15-'Kwh Reading'!F14)*1000000</f>
        <v>0</v>
      </c>
      <c r="G12" s="2">
        <f>('Kwh Reading'!C15-'Kwh Reading'!C14)*1000</f>
        <v>0</v>
      </c>
      <c r="H12" s="2">
        <f t="shared" si="0"/>
        <v>0</v>
      </c>
      <c r="I12" s="2">
        <f>('Kwh Reading'!J15-'Kwh Reading'!J14)*1000</f>
        <v>0</v>
      </c>
      <c r="J12" s="2">
        <f>('Kwh Reading'!K15-'Kwh Reading'!K14)*1000</f>
        <v>0</v>
      </c>
      <c r="K12" s="2">
        <f>('Kwh Reading'!L15-'Kwh Reading'!L14)*1000</f>
        <v>0</v>
      </c>
      <c r="L12" s="2">
        <f>('Kwh Reading'!R15-'Kwh Reading'!R14)*1000</f>
        <v>0</v>
      </c>
      <c r="M12" s="2">
        <f>('Kwh Reading'!S15-'Kwh Reading'!S14)*1000</f>
        <v>0</v>
      </c>
      <c r="N12" s="2">
        <f>('Kwh Reading'!I15-'Kwh Reading'!I14)*1000</f>
        <v>0</v>
      </c>
      <c r="O12" s="2">
        <f>('Kwh Reading'!B15-'Kwh Reading'!B14)*1000000</f>
        <v>0</v>
      </c>
      <c r="P12" s="2">
        <f>('Kwh Reading'!M15-'Kwh Reading'!M14)*1000</f>
        <v>0</v>
      </c>
      <c r="Q12" s="2">
        <f>('Kwh Reading'!H15-'Kwh Reading'!H14)*1000000</f>
        <v>0</v>
      </c>
      <c r="R12" s="2">
        <f>('Kwh Reading'!P15-'Kwh Reading'!P14)*1000000</f>
        <v>0</v>
      </c>
      <c r="S12" s="2">
        <f>('Kwh Reading'!G15-'Kwh Reading'!G14)*1000000</f>
        <v>0</v>
      </c>
      <c r="T12" s="2">
        <f>('Kwh Reading'!Q15-'Kwh Reading'!Q14)*1000</f>
        <v>0</v>
      </c>
      <c r="U12" s="2">
        <f>('Kwh Reading'!N15-'Kwh Reading'!N14)*1000</f>
        <v>0</v>
      </c>
      <c r="V12" s="26">
        <f>'Kwh Reading'!E15-'Kwh Reading'!E14</f>
        <v>0</v>
      </c>
      <c r="W12" s="26">
        <f>'Kwh Reading'!D15-'Kwh Reading'!D14</f>
        <v>0</v>
      </c>
      <c r="X12" s="21">
        <f>('Kwh Reading'!O15-'Kwh Reading'!O14)*1000</f>
        <v>0</v>
      </c>
    </row>
    <row r="13" spans="1:24" x14ac:dyDescent="0.25">
      <c r="A13" s="36" t="s">
        <v>9</v>
      </c>
      <c r="B13" s="37">
        <f t="shared" si="1"/>
        <v>12</v>
      </c>
      <c r="C13" s="38">
        <v>1</v>
      </c>
      <c r="D13" s="87">
        <v>2023</v>
      </c>
      <c r="E13" s="3">
        <f>('Kwh Reading'!T16-'Kwh Reading'!T15)*1000</f>
        <v>0</v>
      </c>
      <c r="F13" s="2">
        <f>('Kwh Reading'!F16-'Kwh Reading'!F15)*1000000</f>
        <v>0</v>
      </c>
      <c r="G13" s="2">
        <f>('Kwh Reading'!C16-'Kwh Reading'!C15)*1000</f>
        <v>0</v>
      </c>
      <c r="H13" s="2">
        <f t="shared" si="0"/>
        <v>0</v>
      </c>
      <c r="I13" s="2">
        <f>('Kwh Reading'!J16-'Kwh Reading'!J15)*1000</f>
        <v>0</v>
      </c>
      <c r="J13" s="2">
        <f>('Kwh Reading'!K16-'Kwh Reading'!K15)*1000</f>
        <v>0</v>
      </c>
      <c r="K13" s="2">
        <f>('Kwh Reading'!L16-'Kwh Reading'!L15)*1000</f>
        <v>0</v>
      </c>
      <c r="L13" s="2">
        <f>('Kwh Reading'!R16-'Kwh Reading'!R15)*1000</f>
        <v>0</v>
      </c>
      <c r="M13" s="2">
        <f>('Kwh Reading'!S16-'Kwh Reading'!S15)*1000</f>
        <v>0</v>
      </c>
      <c r="N13" s="2">
        <f>('Kwh Reading'!I16-'Kwh Reading'!I15)*1000</f>
        <v>0</v>
      </c>
      <c r="O13" s="2">
        <f>('Kwh Reading'!B16-'Kwh Reading'!B15)*1000000</f>
        <v>0</v>
      </c>
      <c r="P13" s="21">
        <f>('Kwh Reading'!M16-'Kwh Reading'!M15)*1000</f>
        <v>0</v>
      </c>
      <c r="Q13" s="2">
        <f>('Kwh Reading'!H16-'Kwh Reading'!H15)*1000000</f>
        <v>0</v>
      </c>
      <c r="R13" s="2">
        <f>('Kwh Reading'!P16-'Kwh Reading'!P15)*1000000</f>
        <v>0</v>
      </c>
      <c r="S13" s="2">
        <f>('Kwh Reading'!G16-'Kwh Reading'!G15)*1000000</f>
        <v>0</v>
      </c>
      <c r="T13" s="2">
        <f>('Kwh Reading'!Q16-'Kwh Reading'!Q15)*1000</f>
        <v>0</v>
      </c>
      <c r="U13" s="2">
        <f>('Kwh Reading'!N16-'Kwh Reading'!N15)*1000</f>
        <v>0</v>
      </c>
      <c r="V13" s="26">
        <f>'Kwh Reading'!E16-'Kwh Reading'!E15</f>
        <v>0</v>
      </c>
      <c r="W13" s="26">
        <f>'Kwh Reading'!D16-'Kwh Reading'!D15</f>
        <v>0</v>
      </c>
      <c r="X13" s="21">
        <f>('Kwh Reading'!O16-'Kwh Reading'!O15)*1000</f>
        <v>0</v>
      </c>
    </row>
    <row r="14" spans="1:24" x14ac:dyDescent="0.25">
      <c r="A14" s="36" t="s">
        <v>9</v>
      </c>
      <c r="B14" s="37">
        <f t="shared" si="1"/>
        <v>13</v>
      </c>
      <c r="C14" s="38">
        <v>1</v>
      </c>
      <c r="D14" s="87">
        <v>2023</v>
      </c>
      <c r="E14" s="3">
        <f>('Kwh Reading'!T17-'Kwh Reading'!T16)*1000</f>
        <v>0</v>
      </c>
      <c r="F14" s="2">
        <f>('Kwh Reading'!F17-'Kwh Reading'!F16)*1000000</f>
        <v>0</v>
      </c>
      <c r="G14" s="2">
        <f>('Kwh Reading'!C17-'Kwh Reading'!C16)*1000</f>
        <v>0</v>
      </c>
      <c r="H14" s="2">
        <f t="shared" si="0"/>
        <v>0</v>
      </c>
      <c r="I14" s="2">
        <f>('Kwh Reading'!J17-'Kwh Reading'!J16)*1000</f>
        <v>0</v>
      </c>
      <c r="J14" s="2">
        <f>('Kwh Reading'!K17-'Kwh Reading'!K16)*1000</f>
        <v>0</v>
      </c>
      <c r="K14" s="2">
        <f>('Kwh Reading'!L17-'Kwh Reading'!L16)*1000</f>
        <v>0</v>
      </c>
      <c r="L14" s="2">
        <f>('Kwh Reading'!R17-'Kwh Reading'!R16)*1000</f>
        <v>0</v>
      </c>
      <c r="M14" s="2">
        <f>('Kwh Reading'!S17-'Kwh Reading'!S16)*1000</f>
        <v>0</v>
      </c>
      <c r="N14" s="2">
        <f>('Kwh Reading'!I17-'Kwh Reading'!I16)*1000</f>
        <v>0</v>
      </c>
      <c r="O14" s="2">
        <f>('Kwh Reading'!B17-'Kwh Reading'!B16)*1000000</f>
        <v>0</v>
      </c>
      <c r="P14" s="2">
        <f>('Kwh Reading'!M17-'Kwh Reading'!M16)*1000</f>
        <v>0</v>
      </c>
      <c r="Q14" s="2">
        <f>('Kwh Reading'!H17-'Kwh Reading'!H16)*1000000</f>
        <v>0</v>
      </c>
      <c r="R14" s="2">
        <f>('Kwh Reading'!P17-'Kwh Reading'!P16)*1000000</f>
        <v>0</v>
      </c>
      <c r="S14" s="2">
        <f>('Kwh Reading'!G17-'Kwh Reading'!G16)*1000000</f>
        <v>0</v>
      </c>
      <c r="T14" s="2">
        <f>('Kwh Reading'!Q17-'Kwh Reading'!Q16)*1000</f>
        <v>0</v>
      </c>
      <c r="U14" s="2">
        <f>('Kwh Reading'!N17-'Kwh Reading'!N16)*1000</f>
        <v>0</v>
      </c>
      <c r="V14" s="26">
        <f>'Kwh Reading'!E17-'Kwh Reading'!E16</f>
        <v>0</v>
      </c>
      <c r="W14" s="26">
        <f>'Kwh Reading'!D17-'Kwh Reading'!D16</f>
        <v>0</v>
      </c>
      <c r="X14" s="21">
        <f>('Kwh Reading'!O17-'Kwh Reading'!O16)*1000</f>
        <v>0</v>
      </c>
    </row>
    <row r="15" spans="1:24" x14ac:dyDescent="0.25">
      <c r="A15" s="36" t="s">
        <v>9</v>
      </c>
      <c r="B15" s="37">
        <f t="shared" si="1"/>
        <v>14</v>
      </c>
      <c r="C15" s="38">
        <v>1</v>
      </c>
      <c r="D15" s="87">
        <v>2023</v>
      </c>
      <c r="E15" s="3">
        <f>('Kwh Reading'!T18-'Kwh Reading'!T17)*1000</f>
        <v>0</v>
      </c>
      <c r="F15" s="2">
        <f>('Kwh Reading'!F18-'Kwh Reading'!F17)*1000000</f>
        <v>0</v>
      </c>
      <c r="G15" s="2">
        <f>('Kwh Reading'!C18-'Kwh Reading'!C17)*1000</f>
        <v>0</v>
      </c>
      <c r="H15" s="2">
        <f t="shared" si="0"/>
        <v>0</v>
      </c>
      <c r="I15" s="2">
        <f>('Kwh Reading'!J18-'Kwh Reading'!J17)*1000</f>
        <v>0</v>
      </c>
      <c r="J15" s="2">
        <f>('Kwh Reading'!K18-'Kwh Reading'!K17)*1000</f>
        <v>0</v>
      </c>
      <c r="K15" s="2">
        <f>('Kwh Reading'!L18-'Kwh Reading'!L17)*1000</f>
        <v>0</v>
      </c>
      <c r="L15" s="2">
        <f>('Kwh Reading'!R18-'Kwh Reading'!R17)*1000</f>
        <v>0</v>
      </c>
      <c r="M15" s="2">
        <f>('Kwh Reading'!S18-'Kwh Reading'!S17)*1000</f>
        <v>0</v>
      </c>
      <c r="N15" s="2">
        <f>('Kwh Reading'!I18-'Kwh Reading'!I17)*1000</f>
        <v>0</v>
      </c>
      <c r="O15" s="2">
        <f>('Kwh Reading'!B18-'Kwh Reading'!B17)*1000000</f>
        <v>0</v>
      </c>
      <c r="P15" s="2">
        <f>('Kwh Reading'!M18-'Kwh Reading'!M17)*1000</f>
        <v>0</v>
      </c>
      <c r="Q15" s="2">
        <f>('Kwh Reading'!H18-'Kwh Reading'!H17)*1000000</f>
        <v>0</v>
      </c>
      <c r="R15" s="2">
        <f>('Kwh Reading'!P18-'Kwh Reading'!P17)*1000000</f>
        <v>0</v>
      </c>
      <c r="S15" s="2">
        <f>('Kwh Reading'!G18-'Kwh Reading'!G17)*1000000</f>
        <v>0</v>
      </c>
      <c r="T15" s="2">
        <f>('Kwh Reading'!Q18-'Kwh Reading'!Q17)*1000</f>
        <v>0</v>
      </c>
      <c r="U15" s="2">
        <f>('Kwh Reading'!N18-'Kwh Reading'!N17)*1000</f>
        <v>0</v>
      </c>
      <c r="V15" s="26">
        <f>'Kwh Reading'!E18-'Kwh Reading'!E17</f>
        <v>0</v>
      </c>
      <c r="W15" s="26">
        <f>'Kwh Reading'!D18-'Kwh Reading'!D17</f>
        <v>0</v>
      </c>
      <c r="X15" s="21">
        <f>('Kwh Reading'!O18-'Kwh Reading'!O17)*1000</f>
        <v>0</v>
      </c>
    </row>
    <row r="16" spans="1:24" x14ac:dyDescent="0.25">
      <c r="A16" s="36" t="s">
        <v>9</v>
      </c>
      <c r="B16" s="37">
        <f t="shared" si="1"/>
        <v>15</v>
      </c>
      <c r="C16" s="38">
        <v>1</v>
      </c>
      <c r="D16" s="87">
        <v>2023</v>
      </c>
      <c r="E16" s="3">
        <f>('Kwh Reading'!T19-'Kwh Reading'!T18)*1000</f>
        <v>0</v>
      </c>
      <c r="F16" s="2">
        <f>('Kwh Reading'!F19-'Kwh Reading'!F18)*1000000</f>
        <v>0</v>
      </c>
      <c r="G16" s="2">
        <f>('Kwh Reading'!C19-'Kwh Reading'!C18)*1000</f>
        <v>0</v>
      </c>
      <c r="H16" s="2">
        <f t="shared" si="0"/>
        <v>0</v>
      </c>
      <c r="I16" s="2">
        <f>('Kwh Reading'!J19-'Kwh Reading'!J18)*1000</f>
        <v>0</v>
      </c>
      <c r="J16" s="2">
        <f>('Kwh Reading'!K19-'Kwh Reading'!K18)*1000</f>
        <v>0</v>
      </c>
      <c r="K16" s="2">
        <f>('Kwh Reading'!L19-'Kwh Reading'!L18)*1000</f>
        <v>0</v>
      </c>
      <c r="L16" s="2">
        <f>('Kwh Reading'!R19-'Kwh Reading'!R18)*1000</f>
        <v>0</v>
      </c>
      <c r="M16" s="2">
        <f>('Kwh Reading'!S19-'Kwh Reading'!S18)*1000</f>
        <v>0</v>
      </c>
      <c r="N16" s="2">
        <f>('Kwh Reading'!I19-'Kwh Reading'!I18)*1000</f>
        <v>0</v>
      </c>
      <c r="O16" s="2">
        <f>('Kwh Reading'!B19-'Kwh Reading'!B18)*1000000</f>
        <v>0</v>
      </c>
      <c r="P16" s="2">
        <f>('Kwh Reading'!M19-'Kwh Reading'!M18)*1000</f>
        <v>0</v>
      </c>
      <c r="Q16" s="2">
        <f>('Kwh Reading'!H19-'Kwh Reading'!H18)*1000000</f>
        <v>0</v>
      </c>
      <c r="R16" s="21">
        <f>('Kwh Reading'!P19-'Kwh Reading'!P18)*1000000</f>
        <v>0</v>
      </c>
      <c r="S16" s="2">
        <f>('Kwh Reading'!G19-'Kwh Reading'!G18)*1000000</f>
        <v>0</v>
      </c>
      <c r="T16" s="2">
        <f>('Kwh Reading'!Q19-'Kwh Reading'!Q18)*1000</f>
        <v>0</v>
      </c>
      <c r="U16" s="2">
        <f>('Kwh Reading'!N19-'Kwh Reading'!N18)*1000</f>
        <v>0</v>
      </c>
      <c r="V16" s="26">
        <f>'Kwh Reading'!E19-'Kwh Reading'!E18</f>
        <v>0</v>
      </c>
      <c r="W16" s="26">
        <f>'Kwh Reading'!D19-'Kwh Reading'!D18</f>
        <v>0</v>
      </c>
      <c r="X16" s="21">
        <f>('Kwh Reading'!O19-'Kwh Reading'!O18)*1000</f>
        <v>0</v>
      </c>
    </row>
    <row r="17" spans="1:24" x14ac:dyDescent="0.25">
      <c r="A17" s="36" t="s">
        <v>9</v>
      </c>
      <c r="B17" s="37">
        <f t="shared" si="1"/>
        <v>16</v>
      </c>
      <c r="C17" s="38">
        <v>1</v>
      </c>
      <c r="D17" s="87">
        <v>2023</v>
      </c>
      <c r="E17" s="3">
        <f>('Kwh Reading'!T20-'Kwh Reading'!T19)*1000</f>
        <v>0</v>
      </c>
      <c r="F17" s="2">
        <f>('Kwh Reading'!F20-'Kwh Reading'!F19)*1000000</f>
        <v>0</v>
      </c>
      <c r="G17" s="2">
        <f>('Kwh Reading'!C20-'Kwh Reading'!C19)*1000</f>
        <v>0</v>
      </c>
      <c r="H17" s="2">
        <f t="shared" si="0"/>
        <v>0</v>
      </c>
      <c r="I17" s="2">
        <f>('Kwh Reading'!J20-'Kwh Reading'!J19)*1000</f>
        <v>0</v>
      </c>
      <c r="J17" s="2">
        <f>('Kwh Reading'!K20-'Kwh Reading'!K19)*1000</f>
        <v>0</v>
      </c>
      <c r="K17" s="2">
        <f>('Kwh Reading'!L20-'Kwh Reading'!L19)*1000</f>
        <v>0</v>
      </c>
      <c r="L17" s="2">
        <f>('Kwh Reading'!R20-'Kwh Reading'!R19)*1000</f>
        <v>0</v>
      </c>
      <c r="M17" s="2">
        <f>('Kwh Reading'!S20-'Kwh Reading'!S19)*1000</f>
        <v>0</v>
      </c>
      <c r="N17" s="2">
        <f>('Kwh Reading'!I20-'Kwh Reading'!I19)*1000</f>
        <v>0</v>
      </c>
      <c r="O17" s="2">
        <f>('Kwh Reading'!B20-'Kwh Reading'!B19)*1000000</f>
        <v>0</v>
      </c>
      <c r="P17" s="2">
        <f>('Kwh Reading'!M20-'Kwh Reading'!M19)*1000</f>
        <v>0</v>
      </c>
      <c r="Q17" s="2">
        <f>('Kwh Reading'!H20-'Kwh Reading'!H19)*1000000</f>
        <v>0</v>
      </c>
      <c r="R17" s="2">
        <f>('Kwh Reading'!P20-'Kwh Reading'!P19)*1000000</f>
        <v>0</v>
      </c>
      <c r="S17" s="2">
        <f>('Kwh Reading'!G20-'Kwh Reading'!G19)*1000000</f>
        <v>0</v>
      </c>
      <c r="T17" s="2">
        <f>('Kwh Reading'!Q20-'Kwh Reading'!Q19)*1000</f>
        <v>0</v>
      </c>
      <c r="U17" s="2">
        <f>('Kwh Reading'!N20-'Kwh Reading'!N19)*1000</f>
        <v>0</v>
      </c>
      <c r="V17" s="26">
        <f>'Kwh Reading'!E20-'Kwh Reading'!E19</f>
        <v>0</v>
      </c>
      <c r="W17" s="26">
        <f>'Kwh Reading'!D20-'Kwh Reading'!D19</f>
        <v>0</v>
      </c>
      <c r="X17" s="21">
        <f>('Kwh Reading'!O20-'Kwh Reading'!O19)*1000</f>
        <v>0</v>
      </c>
    </row>
    <row r="18" spans="1:24" x14ac:dyDescent="0.25">
      <c r="A18" s="36" t="s">
        <v>9</v>
      </c>
      <c r="B18" s="37">
        <f t="shared" si="1"/>
        <v>17</v>
      </c>
      <c r="C18" s="38">
        <v>1</v>
      </c>
      <c r="D18" s="87">
        <v>2023</v>
      </c>
      <c r="E18" s="3">
        <f>('Kwh Reading'!T21-'Kwh Reading'!T20)*1000</f>
        <v>0</v>
      </c>
      <c r="F18" s="2">
        <f>('Kwh Reading'!F21-'Kwh Reading'!F20)*1000000</f>
        <v>0</v>
      </c>
      <c r="G18" s="2">
        <f>('Kwh Reading'!C21-'Kwh Reading'!C20)*1000</f>
        <v>0</v>
      </c>
      <c r="H18" s="2">
        <f t="shared" si="0"/>
        <v>0</v>
      </c>
      <c r="I18" s="2">
        <f>('Kwh Reading'!J21-'Kwh Reading'!J20)*1000</f>
        <v>0</v>
      </c>
      <c r="J18" s="2">
        <f>('Kwh Reading'!K21-'Kwh Reading'!K20)*1000</f>
        <v>0</v>
      </c>
      <c r="K18" s="21">
        <f>('Kwh Reading'!L21-'Kwh Reading'!L20)*1000</f>
        <v>0</v>
      </c>
      <c r="L18" s="2">
        <f>('Kwh Reading'!R21-'Kwh Reading'!R20)*1000</f>
        <v>0</v>
      </c>
      <c r="M18" s="2">
        <f>('Kwh Reading'!S21-'Kwh Reading'!S20)*1000</f>
        <v>0</v>
      </c>
      <c r="N18" s="2">
        <f>('Kwh Reading'!I21-'Kwh Reading'!I20)*1000</f>
        <v>0</v>
      </c>
      <c r="O18" s="2">
        <f>('Kwh Reading'!B21-'Kwh Reading'!B20)*1000000</f>
        <v>0</v>
      </c>
      <c r="P18" s="2">
        <f>('Kwh Reading'!M21-'Kwh Reading'!M20)*1000</f>
        <v>0</v>
      </c>
      <c r="Q18" s="2">
        <f>('Kwh Reading'!H21-'Kwh Reading'!H20)*1000000</f>
        <v>0</v>
      </c>
      <c r="R18" s="2">
        <f>('Kwh Reading'!P21-'Kwh Reading'!P20)*1000000</f>
        <v>0</v>
      </c>
      <c r="S18" s="2">
        <f>('Kwh Reading'!G21-'Kwh Reading'!G20)*1000000</f>
        <v>0</v>
      </c>
      <c r="T18" s="2">
        <f>('Kwh Reading'!Q21-'Kwh Reading'!Q20)*1000</f>
        <v>0</v>
      </c>
      <c r="U18" s="2">
        <f>('Kwh Reading'!N21-'Kwh Reading'!N20)*1000</f>
        <v>0</v>
      </c>
      <c r="V18" s="26">
        <f>'Kwh Reading'!E21-'Kwh Reading'!E20</f>
        <v>0</v>
      </c>
      <c r="W18" s="26">
        <f>'Kwh Reading'!D21-'Kwh Reading'!D20</f>
        <v>0</v>
      </c>
      <c r="X18" s="21">
        <f>('Kwh Reading'!O21-'Kwh Reading'!O20)*1000</f>
        <v>0</v>
      </c>
    </row>
    <row r="19" spans="1:24" ht="16.5" customHeight="1" x14ac:dyDescent="0.25">
      <c r="A19" s="36" t="s">
        <v>9</v>
      </c>
      <c r="B19" s="37">
        <f t="shared" si="1"/>
        <v>18</v>
      </c>
      <c r="C19" s="38">
        <v>1</v>
      </c>
      <c r="D19" s="87">
        <v>2023</v>
      </c>
      <c r="E19" s="3">
        <f>('Kwh Reading'!T22-'Kwh Reading'!T21)*1000</f>
        <v>0</v>
      </c>
      <c r="F19" s="2">
        <f>('Kwh Reading'!F22-'Kwh Reading'!F21)*1000000</f>
        <v>0</v>
      </c>
      <c r="G19" s="2">
        <f>('Kwh Reading'!C22-'Kwh Reading'!C21)*1000</f>
        <v>0</v>
      </c>
      <c r="H19" s="2">
        <f t="shared" si="0"/>
        <v>0</v>
      </c>
      <c r="I19" s="2">
        <f>('Kwh Reading'!J22-'Kwh Reading'!J21)*1000</f>
        <v>0</v>
      </c>
      <c r="J19" s="2">
        <f>('Kwh Reading'!K22-'Kwh Reading'!K21)*1000</f>
        <v>0</v>
      </c>
      <c r="K19" s="2">
        <f>('Kwh Reading'!L22-'Kwh Reading'!L21)*1000</f>
        <v>0</v>
      </c>
      <c r="L19" s="2">
        <f>('Kwh Reading'!R22-'Kwh Reading'!R21)*1000</f>
        <v>0</v>
      </c>
      <c r="M19" s="2">
        <f>('Kwh Reading'!S22-'Kwh Reading'!S21)*1000</f>
        <v>0</v>
      </c>
      <c r="N19" s="2">
        <f>('Kwh Reading'!I22-'Kwh Reading'!I21)*1000</f>
        <v>0</v>
      </c>
      <c r="O19" s="2">
        <f>('Kwh Reading'!B22-'Kwh Reading'!B21)*1000000</f>
        <v>0</v>
      </c>
      <c r="P19" s="2">
        <f>('Kwh Reading'!M22-'Kwh Reading'!M21)*1000</f>
        <v>0</v>
      </c>
      <c r="Q19" s="2">
        <f>('Kwh Reading'!H22-'Kwh Reading'!H21)*1000000</f>
        <v>0</v>
      </c>
      <c r="R19" s="2">
        <f>('Kwh Reading'!P22-'Kwh Reading'!P21)*1000000</f>
        <v>0</v>
      </c>
      <c r="S19" s="2">
        <f>('Kwh Reading'!G22-'Kwh Reading'!G21)*1000000</f>
        <v>0</v>
      </c>
      <c r="T19" s="2">
        <f>('Kwh Reading'!Q22-'Kwh Reading'!Q21)*1000</f>
        <v>0</v>
      </c>
      <c r="U19" s="2">
        <f>('Kwh Reading'!N22-'Kwh Reading'!N21)*1000</f>
        <v>0</v>
      </c>
      <c r="V19" s="26">
        <f>'Kwh Reading'!E22-'Kwh Reading'!E21</f>
        <v>0</v>
      </c>
      <c r="W19" s="26">
        <f>'Kwh Reading'!D22-'Kwh Reading'!D21</f>
        <v>0</v>
      </c>
      <c r="X19" s="21">
        <f>('Kwh Reading'!O22-'Kwh Reading'!O21)*1000</f>
        <v>0</v>
      </c>
    </row>
    <row r="20" spans="1:24" x14ac:dyDescent="0.25">
      <c r="A20" s="36" t="s">
        <v>9</v>
      </c>
      <c r="B20" s="37">
        <f t="shared" si="1"/>
        <v>19</v>
      </c>
      <c r="C20" s="38">
        <v>1</v>
      </c>
      <c r="D20" s="87">
        <v>2023</v>
      </c>
      <c r="E20" s="3">
        <f>('Kwh Reading'!T23-'Kwh Reading'!T22)*1000</f>
        <v>0</v>
      </c>
      <c r="F20" s="2">
        <f>('Kwh Reading'!F23-'Kwh Reading'!F22)*1000000</f>
        <v>0</v>
      </c>
      <c r="G20" s="2">
        <f>('Kwh Reading'!C23-'Kwh Reading'!C22)*1000</f>
        <v>0</v>
      </c>
      <c r="H20" s="2">
        <f t="shared" si="0"/>
        <v>0</v>
      </c>
      <c r="I20" s="2">
        <f>('Kwh Reading'!J23-'Kwh Reading'!J22)*1000</f>
        <v>0</v>
      </c>
      <c r="J20" s="2">
        <f>('Kwh Reading'!K23-'Kwh Reading'!K22)*1000</f>
        <v>0</v>
      </c>
      <c r="K20" s="2">
        <f>('Kwh Reading'!L23-'Kwh Reading'!L22)*1000</f>
        <v>0</v>
      </c>
      <c r="L20" s="2">
        <f>('Kwh Reading'!R23-'Kwh Reading'!R22)*1000</f>
        <v>0</v>
      </c>
      <c r="M20" s="2">
        <f>('Kwh Reading'!S23-'Kwh Reading'!S22)*1000</f>
        <v>0</v>
      </c>
      <c r="N20" s="2">
        <f>('Kwh Reading'!I23-'Kwh Reading'!I22)*1000</f>
        <v>0</v>
      </c>
      <c r="O20" s="2">
        <f>('Kwh Reading'!B23-'Kwh Reading'!B22)*1000000</f>
        <v>0</v>
      </c>
      <c r="P20" s="21">
        <f>('Kwh Reading'!M23-'Kwh Reading'!M22)*1000</f>
        <v>0</v>
      </c>
      <c r="Q20" s="2">
        <f>('Kwh Reading'!H23-'Kwh Reading'!H22)*1000000</f>
        <v>0</v>
      </c>
      <c r="R20" s="2">
        <f>('Kwh Reading'!P23-'Kwh Reading'!P22)*1000000</f>
        <v>0</v>
      </c>
      <c r="S20" s="2">
        <f>('Kwh Reading'!G23-'Kwh Reading'!G22)*1000000</f>
        <v>0</v>
      </c>
      <c r="T20" s="2">
        <f>('Kwh Reading'!Q23-'Kwh Reading'!Q22)*1000</f>
        <v>0</v>
      </c>
      <c r="U20" s="2">
        <f>('Kwh Reading'!N23-'Kwh Reading'!N22)*1000</f>
        <v>0</v>
      </c>
      <c r="V20" s="26">
        <f>'Kwh Reading'!E23-'Kwh Reading'!E22</f>
        <v>0</v>
      </c>
      <c r="W20" s="26">
        <f>'Kwh Reading'!D23-'Kwh Reading'!D22</f>
        <v>0</v>
      </c>
      <c r="X20" s="21">
        <f>('Kwh Reading'!O23-'Kwh Reading'!O22)*1000</f>
        <v>0</v>
      </c>
    </row>
    <row r="21" spans="1:24" x14ac:dyDescent="0.25">
      <c r="A21" s="36" t="s">
        <v>9</v>
      </c>
      <c r="B21" s="37">
        <f t="shared" si="1"/>
        <v>20</v>
      </c>
      <c r="C21" s="38">
        <v>1</v>
      </c>
      <c r="D21" s="87">
        <v>2023</v>
      </c>
      <c r="E21" s="3">
        <f>('Kwh Reading'!T24-'Kwh Reading'!T23)*1000</f>
        <v>0</v>
      </c>
      <c r="F21" s="2">
        <f>('Kwh Reading'!F24-'Kwh Reading'!F23)*1000000</f>
        <v>0</v>
      </c>
      <c r="G21" s="2">
        <f>('Kwh Reading'!C24-'Kwh Reading'!C23)*1000</f>
        <v>0</v>
      </c>
      <c r="H21" s="2">
        <f t="shared" si="0"/>
        <v>0</v>
      </c>
      <c r="I21" s="2">
        <f>('Kwh Reading'!J24-'Kwh Reading'!J23)*1000</f>
        <v>0</v>
      </c>
      <c r="J21" s="2">
        <f>('Kwh Reading'!K24-'Kwh Reading'!K23)*1000</f>
        <v>0</v>
      </c>
      <c r="K21" s="2">
        <f>('Kwh Reading'!L24-'Kwh Reading'!L23)*1000</f>
        <v>0</v>
      </c>
      <c r="L21" s="2">
        <f>('Kwh Reading'!R24-'Kwh Reading'!R23)*1000</f>
        <v>0</v>
      </c>
      <c r="M21" s="2">
        <f>('Kwh Reading'!S24-'Kwh Reading'!S23)*1000</f>
        <v>0</v>
      </c>
      <c r="N21" s="2">
        <f>('Kwh Reading'!I24-'Kwh Reading'!I23)*1000</f>
        <v>0</v>
      </c>
      <c r="O21" s="2">
        <f>('Kwh Reading'!B24-'Kwh Reading'!B23)*1000000</f>
        <v>0</v>
      </c>
      <c r="P21" s="2">
        <f>('Kwh Reading'!M24-'Kwh Reading'!M23)*1000</f>
        <v>0</v>
      </c>
      <c r="Q21" s="2">
        <f>('Kwh Reading'!H24-'Kwh Reading'!H23)*1000000</f>
        <v>0</v>
      </c>
      <c r="R21" s="2">
        <f>('Kwh Reading'!P24-'Kwh Reading'!P23)*1000000</f>
        <v>0</v>
      </c>
      <c r="S21" s="2">
        <f>('Kwh Reading'!G24-'Kwh Reading'!G23)*1000000</f>
        <v>0</v>
      </c>
      <c r="T21" s="2">
        <f>('Kwh Reading'!Q24-'Kwh Reading'!Q23)*1000</f>
        <v>0</v>
      </c>
      <c r="U21" s="2">
        <f>('Kwh Reading'!N24-'Kwh Reading'!N23)*1000</f>
        <v>0</v>
      </c>
      <c r="V21" s="26">
        <f>'Kwh Reading'!E24-'Kwh Reading'!E23</f>
        <v>0</v>
      </c>
      <c r="W21" s="110">
        <f>'Kwh Reading'!D24-'Kwh Reading'!D23</f>
        <v>0</v>
      </c>
      <c r="X21" s="21">
        <f>('Kwh Reading'!O24-'Kwh Reading'!O23)*1000</f>
        <v>0</v>
      </c>
    </row>
    <row r="22" spans="1:24" x14ac:dyDescent="0.25">
      <c r="A22" s="36" t="s">
        <v>9</v>
      </c>
      <c r="B22" s="37">
        <f t="shared" si="1"/>
        <v>21</v>
      </c>
      <c r="C22" s="38">
        <v>1</v>
      </c>
      <c r="D22" s="87">
        <v>2023</v>
      </c>
      <c r="E22" s="3">
        <f>('Kwh Reading'!T25-'Kwh Reading'!T24)*1000</f>
        <v>0</v>
      </c>
      <c r="F22" s="2">
        <f>('Kwh Reading'!F25-'Kwh Reading'!F24)*1000000</f>
        <v>0</v>
      </c>
      <c r="G22" s="2">
        <f>('Kwh Reading'!C25-'Kwh Reading'!C24)*1000</f>
        <v>0</v>
      </c>
      <c r="H22" s="2">
        <f t="shared" si="0"/>
        <v>0</v>
      </c>
      <c r="I22" s="2">
        <f>('Kwh Reading'!J25-'Kwh Reading'!J24)*1000</f>
        <v>0</v>
      </c>
      <c r="J22" s="2">
        <f>('Kwh Reading'!K25-'Kwh Reading'!K24)*1000</f>
        <v>0</v>
      </c>
      <c r="K22" s="2">
        <f>('Kwh Reading'!L25-'Kwh Reading'!L24)*1000</f>
        <v>0</v>
      </c>
      <c r="L22" s="2">
        <f>('Kwh Reading'!R25-'Kwh Reading'!R24)*1000</f>
        <v>0</v>
      </c>
      <c r="M22" s="2">
        <f>('Kwh Reading'!S25-'Kwh Reading'!S24)*1000</f>
        <v>0</v>
      </c>
      <c r="N22" s="2">
        <f>('Kwh Reading'!I25-'Kwh Reading'!I24)*1000</f>
        <v>0</v>
      </c>
      <c r="O22" s="2">
        <f>('Kwh Reading'!B25-'Kwh Reading'!B24)*1000000</f>
        <v>0</v>
      </c>
      <c r="P22" s="2">
        <f>('Kwh Reading'!M25-'Kwh Reading'!M24)*1000</f>
        <v>0</v>
      </c>
      <c r="Q22" s="2">
        <f>('Kwh Reading'!H25-'Kwh Reading'!H24)*1000000</f>
        <v>0</v>
      </c>
      <c r="R22" s="2">
        <f>('Kwh Reading'!P25-'Kwh Reading'!P24)*1000000</f>
        <v>0</v>
      </c>
      <c r="S22" s="2">
        <f>('Kwh Reading'!G25-'Kwh Reading'!G24)*1000000</f>
        <v>0</v>
      </c>
      <c r="T22" s="2">
        <f>('Kwh Reading'!Q25-'Kwh Reading'!Q24)*1000</f>
        <v>0</v>
      </c>
      <c r="U22" s="2">
        <f>('Kwh Reading'!N25-'Kwh Reading'!N24)*1000</f>
        <v>0</v>
      </c>
      <c r="V22" s="2">
        <f>'Kwh Reading'!E25-'Kwh Reading'!E24</f>
        <v>0</v>
      </c>
      <c r="W22" s="2">
        <f>'Kwh Reading'!D25-'Kwh Reading'!D24</f>
        <v>0</v>
      </c>
      <c r="X22" s="21">
        <f>('Kwh Reading'!O25-'Kwh Reading'!O24)*1000</f>
        <v>0</v>
      </c>
    </row>
    <row r="23" spans="1:24" x14ac:dyDescent="0.25">
      <c r="A23" s="36" t="s">
        <v>9</v>
      </c>
      <c r="B23" s="37">
        <f t="shared" si="1"/>
        <v>22</v>
      </c>
      <c r="C23" s="38">
        <v>1</v>
      </c>
      <c r="D23" s="87">
        <v>2023</v>
      </c>
      <c r="E23" s="3">
        <f>('Kwh Reading'!T26-'Kwh Reading'!T25)*1000</f>
        <v>0</v>
      </c>
      <c r="F23" s="2">
        <f>('Kwh Reading'!F26-'Kwh Reading'!F25)*1000000</f>
        <v>0</v>
      </c>
      <c r="G23" s="2">
        <f>('Kwh Reading'!C26-'Kwh Reading'!C25)*1000</f>
        <v>0</v>
      </c>
      <c r="H23" s="2">
        <f t="shared" si="0"/>
        <v>0</v>
      </c>
      <c r="I23" s="2">
        <f>('Kwh Reading'!J26-'Kwh Reading'!J25)*1000</f>
        <v>0</v>
      </c>
      <c r="J23" s="2">
        <f>('Kwh Reading'!K26-'Kwh Reading'!K25)*1000</f>
        <v>0</v>
      </c>
      <c r="K23" s="2">
        <f>('Kwh Reading'!L26-'Kwh Reading'!L25)*1000</f>
        <v>0</v>
      </c>
      <c r="L23" s="2">
        <f>('Kwh Reading'!R26-'Kwh Reading'!R25)*1000</f>
        <v>0</v>
      </c>
      <c r="M23" s="2">
        <f>('Kwh Reading'!S26-'Kwh Reading'!S25)*1000</f>
        <v>0</v>
      </c>
      <c r="N23" s="2">
        <f>('Kwh Reading'!I26-'Kwh Reading'!I25)*1000</f>
        <v>0</v>
      </c>
      <c r="O23" s="2">
        <f>('Kwh Reading'!B26-'Kwh Reading'!B25)*1000000</f>
        <v>0</v>
      </c>
      <c r="P23" s="2">
        <f>('Kwh Reading'!M26-'Kwh Reading'!M25)*1000</f>
        <v>0</v>
      </c>
      <c r="Q23" s="2">
        <f>('Kwh Reading'!H26-'Kwh Reading'!H25)*1000000</f>
        <v>0</v>
      </c>
      <c r="R23" s="2">
        <f>('Kwh Reading'!P26-'Kwh Reading'!P25)*1000000</f>
        <v>0</v>
      </c>
      <c r="S23" s="2">
        <f>('Kwh Reading'!G26-'Kwh Reading'!G25)*1000000</f>
        <v>0</v>
      </c>
      <c r="T23" s="2">
        <f>('Kwh Reading'!Q26-'Kwh Reading'!Q25)*1000</f>
        <v>0</v>
      </c>
      <c r="U23" s="2">
        <f>('Kwh Reading'!N26-'Kwh Reading'!N25)*1000</f>
        <v>0</v>
      </c>
      <c r="V23" s="2">
        <f>'Kwh Reading'!E26-'Kwh Reading'!E25</f>
        <v>0</v>
      </c>
      <c r="W23" s="2">
        <f>'Kwh Reading'!D26-'Kwh Reading'!D25</f>
        <v>0</v>
      </c>
      <c r="X23" s="21">
        <f>('Kwh Reading'!O26-'Kwh Reading'!O25)*1000</f>
        <v>0</v>
      </c>
    </row>
    <row r="24" spans="1:24" x14ac:dyDescent="0.25">
      <c r="A24" s="36" t="s">
        <v>9</v>
      </c>
      <c r="B24" s="37">
        <f t="shared" si="1"/>
        <v>23</v>
      </c>
      <c r="C24" s="38">
        <v>1</v>
      </c>
      <c r="D24" s="87">
        <v>2023</v>
      </c>
      <c r="E24" s="3">
        <f>('Kwh Reading'!T27-'Kwh Reading'!T26)*1000</f>
        <v>0</v>
      </c>
      <c r="F24" s="2">
        <f>('Kwh Reading'!F27-'Kwh Reading'!F26)*1000000</f>
        <v>0</v>
      </c>
      <c r="G24" s="2">
        <f>('Kwh Reading'!C27-'Kwh Reading'!C26)*1000</f>
        <v>0</v>
      </c>
      <c r="H24" s="2">
        <f t="shared" si="0"/>
        <v>0</v>
      </c>
      <c r="I24" s="2">
        <f>('Kwh Reading'!J27-'Kwh Reading'!J26)*1000</f>
        <v>0</v>
      </c>
      <c r="J24" s="2">
        <f>('Kwh Reading'!K27-'Kwh Reading'!K26)*1000</f>
        <v>0</v>
      </c>
      <c r="K24" s="2">
        <f>('Kwh Reading'!L27-'Kwh Reading'!L26)*1000</f>
        <v>0</v>
      </c>
      <c r="L24" s="2">
        <f>('Kwh Reading'!R27-'Kwh Reading'!R26)*1000</f>
        <v>0</v>
      </c>
      <c r="M24" s="2">
        <f>('Kwh Reading'!S27-'Kwh Reading'!S26)*1000</f>
        <v>0</v>
      </c>
      <c r="N24" s="2">
        <f>('Kwh Reading'!I27-'Kwh Reading'!I26)*1000</f>
        <v>0</v>
      </c>
      <c r="O24" s="2">
        <f>('Kwh Reading'!B27-'Kwh Reading'!B26)*1000000</f>
        <v>0</v>
      </c>
      <c r="P24" s="2">
        <f>('Kwh Reading'!M27-'Kwh Reading'!M26)*1000</f>
        <v>0</v>
      </c>
      <c r="Q24" s="2">
        <f>('Kwh Reading'!H27-'Kwh Reading'!H26)*1000000</f>
        <v>0</v>
      </c>
      <c r="R24" s="2">
        <f>('Kwh Reading'!P27-'Kwh Reading'!P26)*1000000</f>
        <v>0</v>
      </c>
      <c r="S24" s="2">
        <f>('Kwh Reading'!G27-'Kwh Reading'!G26)*1000000</f>
        <v>0</v>
      </c>
      <c r="T24" s="2">
        <f>('Kwh Reading'!Q27-'Kwh Reading'!Q26)*1000</f>
        <v>0</v>
      </c>
      <c r="U24" s="2">
        <f>('Kwh Reading'!N27-'Kwh Reading'!N26)*1000</f>
        <v>0</v>
      </c>
      <c r="V24" s="2">
        <f>'Kwh Reading'!E27-'Kwh Reading'!E26</f>
        <v>0</v>
      </c>
      <c r="W24" s="2">
        <f>'Kwh Reading'!D27-'Kwh Reading'!D26</f>
        <v>0</v>
      </c>
      <c r="X24" s="21">
        <f>('Kwh Reading'!O27-'Kwh Reading'!O26)*1000</f>
        <v>0</v>
      </c>
    </row>
    <row r="25" spans="1:24" s="96" customFormat="1" x14ac:dyDescent="0.25">
      <c r="A25" s="36" t="s">
        <v>9</v>
      </c>
      <c r="B25" s="37">
        <f t="shared" si="1"/>
        <v>24</v>
      </c>
      <c r="C25" s="38">
        <v>1</v>
      </c>
      <c r="D25" s="87">
        <v>2023</v>
      </c>
      <c r="E25" s="95">
        <f>('Kwh Reading'!T28-'Kwh Reading'!T27)*1000</f>
        <v>0</v>
      </c>
      <c r="F25" s="21">
        <f>('Kwh Reading'!F28-'Kwh Reading'!F27)*1000000</f>
        <v>0</v>
      </c>
      <c r="G25" s="21">
        <f>('Kwh Reading'!C28-'Kwh Reading'!C27)*1000</f>
        <v>0</v>
      </c>
      <c r="H25" s="2">
        <f t="shared" si="0"/>
        <v>0</v>
      </c>
      <c r="I25" s="21">
        <f>('Kwh Reading'!J28-'Kwh Reading'!J27)*1000</f>
        <v>0</v>
      </c>
      <c r="J25" s="21">
        <f>('Kwh Reading'!K28-'Kwh Reading'!K27)*1000</f>
        <v>0</v>
      </c>
      <c r="K25" s="21">
        <f>('Kwh Reading'!L28-'Kwh Reading'!L27)*1000</f>
        <v>0</v>
      </c>
      <c r="L25" s="21">
        <f>('Kwh Reading'!R28-'Kwh Reading'!R27)*1000</f>
        <v>0</v>
      </c>
      <c r="M25" s="2">
        <f>('Kwh Reading'!S28-'Kwh Reading'!S27)*1000</f>
        <v>0</v>
      </c>
      <c r="N25" s="21">
        <f>('Kwh Reading'!I28-'Kwh Reading'!I27)*1000</f>
        <v>0</v>
      </c>
      <c r="O25" s="2">
        <f>('Kwh Reading'!B28-'Kwh Reading'!B27)*1000000</f>
        <v>0</v>
      </c>
      <c r="P25" s="21">
        <f>('Kwh Reading'!M28-'Kwh Reading'!M27)*1000</f>
        <v>0</v>
      </c>
      <c r="Q25" s="2">
        <f>('Kwh Reading'!H28-'Kwh Reading'!H27)*1000000</f>
        <v>0</v>
      </c>
      <c r="R25" s="2">
        <f>('Kwh Reading'!P28-'Kwh Reading'!P27)*1000000</f>
        <v>0</v>
      </c>
      <c r="S25" s="21">
        <f>('Kwh Reading'!G28-'Kwh Reading'!G27)*1000000</f>
        <v>0</v>
      </c>
      <c r="T25" s="21">
        <f>('Kwh Reading'!Q28-'Kwh Reading'!Q27)*1000</f>
        <v>0</v>
      </c>
      <c r="U25" s="21">
        <f>('Kwh Reading'!N28-'Kwh Reading'!N27)*1000</f>
        <v>0</v>
      </c>
      <c r="V25" s="21">
        <f>'Kwh Reading'!E28-'Kwh Reading'!E27</f>
        <v>0</v>
      </c>
      <c r="W25" s="21">
        <f>'Kwh Reading'!D28-'Kwh Reading'!D27</f>
        <v>0</v>
      </c>
      <c r="X25" s="21">
        <f>('Kwh Reading'!O28-'Kwh Reading'!O27)*1000</f>
        <v>0</v>
      </c>
    </row>
    <row r="26" spans="1:24" s="96" customFormat="1" x14ac:dyDescent="0.25">
      <c r="A26" s="36" t="s">
        <v>9</v>
      </c>
      <c r="B26" s="37">
        <f>B25+1</f>
        <v>25</v>
      </c>
      <c r="C26" s="38">
        <v>1</v>
      </c>
      <c r="D26" s="87">
        <v>2023</v>
      </c>
      <c r="E26" s="95">
        <f>('Kwh Reading'!T29-'Kwh Reading'!T28)*1000</f>
        <v>0</v>
      </c>
      <c r="F26" s="21">
        <f>('Kwh Reading'!F29-'Kwh Reading'!F28)*1000000</f>
        <v>0</v>
      </c>
      <c r="G26" s="21">
        <f>('Kwh Reading'!C29-'Kwh Reading'!C28)*1000</f>
        <v>0</v>
      </c>
      <c r="H26" s="2">
        <f t="shared" si="0"/>
        <v>0</v>
      </c>
      <c r="I26" s="21">
        <f>('Kwh Reading'!J29-'Kwh Reading'!J28)*1000</f>
        <v>0</v>
      </c>
      <c r="J26" s="21">
        <f>('Kwh Reading'!K29-'Kwh Reading'!K28)*1000</f>
        <v>0</v>
      </c>
      <c r="K26" s="21">
        <f>('Kwh Reading'!L29-'Kwh Reading'!L28)*1000</f>
        <v>0</v>
      </c>
      <c r="L26" s="21">
        <f>('Kwh Reading'!R29-'Kwh Reading'!R28)*1000</f>
        <v>0</v>
      </c>
      <c r="M26" s="21">
        <f>('Kwh Reading'!S29-'Kwh Reading'!S28)*1000</f>
        <v>0</v>
      </c>
      <c r="N26" s="21">
        <f>('Kwh Reading'!I29-'Kwh Reading'!I28)*1000</f>
        <v>0</v>
      </c>
      <c r="O26" s="2">
        <f>('Kwh Reading'!B29-'Kwh Reading'!B28)*1000000</f>
        <v>0</v>
      </c>
      <c r="P26" s="21">
        <f>('Kwh Reading'!M29-'Kwh Reading'!M28)*1000</f>
        <v>0</v>
      </c>
      <c r="Q26" s="2">
        <f>('Kwh Reading'!H29-'Kwh Reading'!H28)*1000000</f>
        <v>0</v>
      </c>
      <c r="R26" s="2">
        <f>('Kwh Reading'!P29-'Kwh Reading'!P28)*1000000</f>
        <v>0</v>
      </c>
      <c r="S26" s="21">
        <f>('Kwh Reading'!G29-'Kwh Reading'!G28)*1000000</f>
        <v>0</v>
      </c>
      <c r="T26" s="21">
        <f>('Kwh Reading'!Q29-'Kwh Reading'!Q28)*1000</f>
        <v>0</v>
      </c>
      <c r="U26" s="21">
        <f>('Kwh Reading'!N29-'Kwh Reading'!N28)*1000</f>
        <v>0</v>
      </c>
      <c r="V26" s="21">
        <f>'Kwh Reading'!E29-'Kwh Reading'!E28</f>
        <v>0</v>
      </c>
      <c r="W26" s="21">
        <f>'Kwh Reading'!D29-'Kwh Reading'!D28</f>
        <v>0</v>
      </c>
      <c r="X26" s="21">
        <f>('Kwh Reading'!O29-'Kwh Reading'!O28)*1000</f>
        <v>0</v>
      </c>
    </row>
    <row r="27" spans="1:24" x14ac:dyDescent="0.25">
      <c r="A27" s="36" t="s">
        <v>9</v>
      </c>
      <c r="B27" s="37">
        <f t="shared" si="1"/>
        <v>26</v>
      </c>
      <c r="C27" s="38">
        <v>1</v>
      </c>
      <c r="D27" s="87">
        <v>2023</v>
      </c>
      <c r="E27" s="3">
        <f>('Kwh Reading'!T30-'Kwh Reading'!T29)*1000</f>
        <v>0</v>
      </c>
      <c r="F27" s="2">
        <f>('Kwh Reading'!F30-'Kwh Reading'!F29)*1000000</f>
        <v>0</v>
      </c>
      <c r="G27" s="2">
        <f>('Kwh Reading'!C30-'Kwh Reading'!C29)*1000</f>
        <v>0</v>
      </c>
      <c r="H27" s="2">
        <f t="shared" si="0"/>
        <v>0</v>
      </c>
      <c r="I27" s="2">
        <f>('Kwh Reading'!J30-'Kwh Reading'!J29)*1000</f>
        <v>0</v>
      </c>
      <c r="J27" s="2">
        <f>('Kwh Reading'!K30-'Kwh Reading'!K29)*1000</f>
        <v>0</v>
      </c>
      <c r="K27" s="2">
        <f>('Kwh Reading'!L30-'Kwh Reading'!L29)*1000</f>
        <v>0</v>
      </c>
      <c r="L27" s="2">
        <f>('Kwh Reading'!R30-'Kwh Reading'!R29)*1000</f>
        <v>0</v>
      </c>
      <c r="M27" s="2">
        <f>('Kwh Reading'!S30-'Kwh Reading'!S29)*1000</f>
        <v>0</v>
      </c>
      <c r="N27" s="2">
        <f>('Kwh Reading'!I30-'Kwh Reading'!I29)*1000</f>
        <v>0</v>
      </c>
      <c r="O27" s="2">
        <f>('Kwh Reading'!B30-'Kwh Reading'!B29)*1000000</f>
        <v>0</v>
      </c>
      <c r="P27" s="2">
        <f>('Kwh Reading'!M30-'Kwh Reading'!M29)*1000</f>
        <v>0</v>
      </c>
      <c r="Q27" s="2">
        <f>('Kwh Reading'!H30-'Kwh Reading'!H29)*1000000</f>
        <v>0</v>
      </c>
      <c r="R27" s="2">
        <f>('Kwh Reading'!P30-'Kwh Reading'!P29)*1000000</f>
        <v>0</v>
      </c>
      <c r="S27" s="2">
        <f>('Kwh Reading'!G30-'Kwh Reading'!G29)*1000000</f>
        <v>0</v>
      </c>
      <c r="T27" s="2">
        <f>('Kwh Reading'!Q30-'Kwh Reading'!Q29)*1000</f>
        <v>0</v>
      </c>
      <c r="U27" s="2">
        <f>('Kwh Reading'!N30-'Kwh Reading'!N29)*1000</f>
        <v>0</v>
      </c>
      <c r="V27" s="2">
        <f>'Kwh Reading'!E30-'Kwh Reading'!E29</f>
        <v>0</v>
      </c>
      <c r="W27" s="2">
        <f>'Kwh Reading'!D30-'Kwh Reading'!D29</f>
        <v>0</v>
      </c>
      <c r="X27" s="21">
        <f>('Kwh Reading'!O30-'Kwh Reading'!O29)*1000</f>
        <v>0</v>
      </c>
    </row>
    <row r="28" spans="1:24" x14ac:dyDescent="0.25">
      <c r="A28" s="36" t="s">
        <v>9</v>
      </c>
      <c r="B28" s="37">
        <f t="shared" si="1"/>
        <v>27</v>
      </c>
      <c r="C28" s="38">
        <v>1</v>
      </c>
      <c r="D28" s="87">
        <v>2023</v>
      </c>
      <c r="E28" s="3">
        <f>('Kwh Reading'!T31-'Kwh Reading'!T30)*1000</f>
        <v>0</v>
      </c>
      <c r="F28" s="2">
        <f>('Kwh Reading'!F31-'Kwh Reading'!F30)*1000000</f>
        <v>0</v>
      </c>
      <c r="G28" s="2">
        <f>('Kwh Reading'!C31-'Kwh Reading'!C30)*1000</f>
        <v>0</v>
      </c>
      <c r="H28" s="2">
        <f t="shared" si="0"/>
        <v>0</v>
      </c>
      <c r="I28" s="2">
        <f>('Kwh Reading'!J31-'Kwh Reading'!J30)*1000</f>
        <v>0</v>
      </c>
      <c r="J28" s="2">
        <f>('Kwh Reading'!K31-'Kwh Reading'!K30)*1000</f>
        <v>0</v>
      </c>
      <c r="K28" s="2">
        <f>('Kwh Reading'!L31-'Kwh Reading'!L30)*1000</f>
        <v>0</v>
      </c>
      <c r="L28" s="2">
        <f>('Kwh Reading'!R31-'Kwh Reading'!R30)*1000</f>
        <v>0</v>
      </c>
      <c r="M28" s="2">
        <f>('Kwh Reading'!S31-'Kwh Reading'!S30)*1000</f>
        <v>0</v>
      </c>
      <c r="N28" s="2">
        <f>('Kwh Reading'!I31-'Kwh Reading'!I30)*1000</f>
        <v>0</v>
      </c>
      <c r="O28" s="2">
        <f>('Kwh Reading'!B31-'Kwh Reading'!B30)*1000000</f>
        <v>0</v>
      </c>
      <c r="P28" s="2">
        <f>('Kwh Reading'!M31-'Kwh Reading'!M30)*1000</f>
        <v>0</v>
      </c>
      <c r="Q28" s="2">
        <f>('Kwh Reading'!H31-'Kwh Reading'!H30)*1000000</f>
        <v>0</v>
      </c>
      <c r="R28" s="2">
        <f>('Kwh Reading'!P31-'Kwh Reading'!P30)*1000000</f>
        <v>0</v>
      </c>
      <c r="S28" s="2">
        <f>('Kwh Reading'!G31-'Kwh Reading'!G30)*1000000</f>
        <v>0</v>
      </c>
      <c r="T28" s="2">
        <f>('Kwh Reading'!Q31-'Kwh Reading'!Q30)*1000</f>
        <v>0</v>
      </c>
      <c r="U28" s="2">
        <f>('Kwh Reading'!N31-'Kwh Reading'!N30)*1000</f>
        <v>0</v>
      </c>
      <c r="V28" s="2">
        <f>'Kwh Reading'!E31-'Kwh Reading'!E30</f>
        <v>0</v>
      </c>
      <c r="W28" s="2">
        <f>'Kwh Reading'!D31-'Kwh Reading'!D30</f>
        <v>0</v>
      </c>
      <c r="X28" s="21">
        <f>('Kwh Reading'!O31-'Kwh Reading'!O30)*1000</f>
        <v>0</v>
      </c>
    </row>
    <row r="29" spans="1:24" x14ac:dyDescent="0.25">
      <c r="A29" s="36" t="s">
        <v>9</v>
      </c>
      <c r="B29" s="37">
        <f t="shared" si="1"/>
        <v>28</v>
      </c>
      <c r="C29" s="38">
        <v>1</v>
      </c>
      <c r="D29" s="87">
        <v>2023</v>
      </c>
      <c r="E29" s="3">
        <f>('Kwh Reading'!T32-'Kwh Reading'!T31)*1000</f>
        <v>0</v>
      </c>
      <c r="F29" s="2">
        <f>('Kwh Reading'!F32-'Kwh Reading'!F31)*1000000</f>
        <v>0</v>
      </c>
      <c r="G29" s="2">
        <f>('Kwh Reading'!C32-'Kwh Reading'!C31)*1000</f>
        <v>0</v>
      </c>
      <c r="H29" s="2">
        <f t="shared" si="0"/>
        <v>0</v>
      </c>
      <c r="I29" s="2">
        <f>('Kwh Reading'!J32-'Kwh Reading'!J31)*1000</f>
        <v>0</v>
      </c>
      <c r="J29" s="2">
        <f>('Kwh Reading'!K32-'Kwh Reading'!K31)*1000</f>
        <v>0</v>
      </c>
      <c r="K29" s="2">
        <f>('Kwh Reading'!L32-'Kwh Reading'!L31)*1000</f>
        <v>0</v>
      </c>
      <c r="L29" s="2">
        <f>('Kwh Reading'!R32-'Kwh Reading'!R31)*1000</f>
        <v>0</v>
      </c>
      <c r="M29" s="2">
        <f>('Kwh Reading'!S32-'Kwh Reading'!S31)*1000</f>
        <v>0</v>
      </c>
      <c r="N29" s="2">
        <f>('Kwh Reading'!I32-'Kwh Reading'!I31)*1000</f>
        <v>0</v>
      </c>
      <c r="O29" s="2">
        <f>('Kwh Reading'!B32-'Kwh Reading'!B31)*1000000</f>
        <v>0</v>
      </c>
      <c r="P29" s="2">
        <f>('Kwh Reading'!M32-'Kwh Reading'!M31)*1000</f>
        <v>0</v>
      </c>
      <c r="Q29" s="2">
        <f>('Kwh Reading'!H32-'Kwh Reading'!H31)*1000000</f>
        <v>0</v>
      </c>
      <c r="R29" s="2">
        <f>('Kwh Reading'!P32-'Kwh Reading'!P31)*1000000</f>
        <v>0</v>
      </c>
      <c r="S29" s="2">
        <f>('Kwh Reading'!G32-'Kwh Reading'!G31)*1000000</f>
        <v>0</v>
      </c>
      <c r="T29" s="2">
        <f>('Kwh Reading'!Q32-'Kwh Reading'!Q31)*1000</f>
        <v>0</v>
      </c>
      <c r="U29" s="2">
        <f>('Kwh Reading'!N32-'Kwh Reading'!N31)*1000</f>
        <v>0</v>
      </c>
      <c r="V29" s="2">
        <f>'Kwh Reading'!E32-'Kwh Reading'!E31</f>
        <v>0</v>
      </c>
      <c r="W29" s="2">
        <f>'Kwh Reading'!D32-'Kwh Reading'!D31</f>
        <v>0</v>
      </c>
      <c r="X29" s="21">
        <f>('Kwh Reading'!O32-'Kwh Reading'!O31)*1000</f>
        <v>0</v>
      </c>
    </row>
    <row r="30" spans="1:24" x14ac:dyDescent="0.25">
      <c r="A30" s="36" t="s">
        <v>9</v>
      </c>
      <c r="B30" s="37">
        <f t="shared" si="1"/>
        <v>29</v>
      </c>
      <c r="C30" s="38">
        <v>1</v>
      </c>
      <c r="D30" s="87">
        <v>2023</v>
      </c>
      <c r="E30" s="3">
        <f>('Kwh Reading'!T33-'Kwh Reading'!T32)*1000</f>
        <v>0</v>
      </c>
      <c r="F30" s="2">
        <f>('Kwh Reading'!F33-'Kwh Reading'!F32)*1000000</f>
        <v>0</v>
      </c>
      <c r="G30" s="2">
        <f>('Kwh Reading'!C33-'Kwh Reading'!C32)*1000</f>
        <v>0</v>
      </c>
      <c r="H30" s="2">
        <f t="shared" si="0"/>
        <v>0</v>
      </c>
      <c r="I30" s="2">
        <f>('Kwh Reading'!J33-'Kwh Reading'!J32)*1000</f>
        <v>0</v>
      </c>
      <c r="J30" s="2">
        <f>('Kwh Reading'!K33-'Kwh Reading'!K32)*1000</f>
        <v>0</v>
      </c>
      <c r="K30" s="2">
        <f>('Kwh Reading'!L33-'Kwh Reading'!L32)*1000</f>
        <v>0</v>
      </c>
      <c r="L30" s="2">
        <f>('Kwh Reading'!R33-'Kwh Reading'!R32)*1000</f>
        <v>0</v>
      </c>
      <c r="M30" s="2">
        <f>('Kwh Reading'!S33-'Kwh Reading'!S32)*1000</f>
        <v>0</v>
      </c>
      <c r="N30" s="2">
        <f>('Kwh Reading'!I33-'Kwh Reading'!I32)*1000</f>
        <v>0</v>
      </c>
      <c r="O30" s="2">
        <f>('Kwh Reading'!B33-'Kwh Reading'!B32)*1000000</f>
        <v>0</v>
      </c>
      <c r="P30" s="2">
        <f>('Kwh Reading'!M33-'Kwh Reading'!M32)*1000</f>
        <v>0</v>
      </c>
      <c r="Q30" s="2">
        <f>('Kwh Reading'!H33-'Kwh Reading'!H32)*1000000</f>
        <v>0</v>
      </c>
      <c r="R30" s="2">
        <f>('Kwh Reading'!P33-'Kwh Reading'!P32)*1000000</f>
        <v>0</v>
      </c>
      <c r="S30" s="2">
        <f>('Kwh Reading'!G33-'Kwh Reading'!G32)*1000000</f>
        <v>0</v>
      </c>
      <c r="T30" s="2">
        <f>('Kwh Reading'!Q33-'Kwh Reading'!Q32)*1000</f>
        <v>0</v>
      </c>
      <c r="U30" s="2">
        <f>('Kwh Reading'!N33-'Kwh Reading'!N32)*1000</f>
        <v>0</v>
      </c>
      <c r="V30" s="2">
        <f>'Kwh Reading'!E33-'Kwh Reading'!E32</f>
        <v>0</v>
      </c>
      <c r="W30" s="2">
        <f>'Kwh Reading'!D33-'Kwh Reading'!D32</f>
        <v>0</v>
      </c>
      <c r="X30" s="21">
        <f>('Kwh Reading'!O33-'Kwh Reading'!O32)*1000</f>
        <v>0</v>
      </c>
    </row>
    <row r="31" spans="1:24" x14ac:dyDescent="0.25">
      <c r="A31" s="36" t="s">
        <v>9</v>
      </c>
      <c r="B31" s="37">
        <f t="shared" si="1"/>
        <v>30</v>
      </c>
      <c r="C31" s="38">
        <v>1</v>
      </c>
      <c r="D31" s="87">
        <v>2023</v>
      </c>
      <c r="E31" s="3">
        <f>('Kwh Reading'!T34-'Kwh Reading'!T33)*1000</f>
        <v>0</v>
      </c>
      <c r="F31" s="2">
        <f>('Kwh Reading'!F34-'Kwh Reading'!F33)*1000000</f>
        <v>0</v>
      </c>
      <c r="G31" s="2">
        <f>('Kwh Reading'!C34-'Kwh Reading'!C33)*1000</f>
        <v>0</v>
      </c>
      <c r="H31" s="2">
        <f t="shared" si="0"/>
        <v>0</v>
      </c>
      <c r="I31" s="2">
        <f>('Kwh Reading'!J34-'Kwh Reading'!J33)*1000</f>
        <v>0</v>
      </c>
      <c r="J31" s="2">
        <f>('Kwh Reading'!K34-'Kwh Reading'!K33)*1000</f>
        <v>0</v>
      </c>
      <c r="K31" s="2">
        <f>('Kwh Reading'!L34-'Kwh Reading'!L33)*1000</f>
        <v>0</v>
      </c>
      <c r="L31" s="2">
        <f>('Kwh Reading'!R34-'Kwh Reading'!R33)*1000</f>
        <v>0</v>
      </c>
      <c r="M31" s="2">
        <f>('Kwh Reading'!S34-'Kwh Reading'!S33)*1000</f>
        <v>0</v>
      </c>
      <c r="N31" s="2">
        <f>('Kwh Reading'!I34-'Kwh Reading'!I33)*1000</f>
        <v>0</v>
      </c>
      <c r="O31" s="2">
        <f>('Kwh Reading'!B34-'Kwh Reading'!B33)*1000000</f>
        <v>0</v>
      </c>
      <c r="P31" s="2">
        <f>('Kwh Reading'!M34-'Kwh Reading'!M33)*1000</f>
        <v>0</v>
      </c>
      <c r="Q31" s="2">
        <f>('Kwh Reading'!H34-'Kwh Reading'!H33)*1000000</f>
        <v>0</v>
      </c>
      <c r="R31" s="2">
        <f>('Kwh Reading'!P34-'Kwh Reading'!P33)*1000000</f>
        <v>0</v>
      </c>
      <c r="S31" s="2">
        <f>('Kwh Reading'!G34-'Kwh Reading'!G33)*1000000</f>
        <v>0</v>
      </c>
      <c r="T31" s="2">
        <f>('Kwh Reading'!Q34-'Kwh Reading'!Q33)*1000</f>
        <v>0</v>
      </c>
      <c r="U31" s="2">
        <f>('Kwh Reading'!N34-'Kwh Reading'!N33)*1000</f>
        <v>0</v>
      </c>
      <c r="V31" s="2">
        <f>'Kwh Reading'!E34-'Kwh Reading'!E33</f>
        <v>0</v>
      </c>
      <c r="W31" s="2">
        <f>'Kwh Reading'!D34-'Kwh Reading'!D33</f>
        <v>0</v>
      </c>
      <c r="X31" s="21">
        <f>('Kwh Reading'!O34-'Kwh Reading'!O33)*1000</f>
        <v>0</v>
      </c>
    </row>
    <row r="32" spans="1:24" x14ac:dyDescent="0.25">
      <c r="A32" s="36" t="s">
        <v>9</v>
      </c>
      <c r="B32" s="37">
        <f t="shared" si="1"/>
        <v>31</v>
      </c>
      <c r="C32" s="38">
        <v>1</v>
      </c>
      <c r="D32" s="87">
        <v>2023</v>
      </c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1"/>
    </row>
    <row r="33" spans="1:24" x14ac:dyDescent="0.25">
      <c r="A33" s="111" t="s">
        <v>41</v>
      </c>
      <c r="B33" s="111"/>
      <c r="C33" s="111"/>
      <c r="D33" s="111"/>
      <c r="E33" s="60">
        <f>SUM(E2:E31)</f>
        <v>-686220</v>
      </c>
      <c r="F33" s="60">
        <f>SUM(F2:F31)</f>
        <v>-3812500</v>
      </c>
      <c r="G33" s="60">
        <f>SUM(G2:G31)</f>
        <v>-368230</v>
      </c>
      <c r="H33" s="60"/>
      <c r="I33" s="60">
        <f>SUM(I2:I31)</f>
        <v>-568930</v>
      </c>
      <c r="J33" s="60">
        <f t="shared" ref="J33:X33" si="2">SUM(J2:J31)</f>
        <v>-525350</v>
      </c>
      <c r="K33" s="60">
        <f t="shared" si="2"/>
        <v>-363610</v>
      </c>
      <c r="L33" s="60">
        <f t="shared" si="2"/>
        <v>0</v>
      </c>
      <c r="M33" s="60">
        <f t="shared" si="2"/>
        <v>0</v>
      </c>
      <c r="N33" s="60">
        <f t="shared" si="2"/>
        <v>-400020</v>
      </c>
      <c r="O33" s="60">
        <f t="shared" si="2"/>
        <v>-1601900.0000000002</v>
      </c>
      <c r="P33" s="60">
        <f t="shared" si="2"/>
        <v>-887790</v>
      </c>
      <c r="Q33" s="60">
        <f t="shared" si="2"/>
        <v>-1109000</v>
      </c>
      <c r="R33" s="60">
        <f t="shared" si="2"/>
        <v>-1076600</v>
      </c>
      <c r="S33" s="60">
        <f t="shared" si="2"/>
        <v>-1181200</v>
      </c>
      <c r="T33" s="60">
        <f t="shared" si="2"/>
        <v>-780000</v>
      </c>
      <c r="U33" s="60">
        <f t="shared" si="2"/>
        <v>-802500</v>
      </c>
      <c r="V33" s="60">
        <f t="shared" si="2"/>
        <v>-9642325.1099999994</v>
      </c>
      <c r="W33" s="60">
        <f t="shared" si="2"/>
        <v>-134269.28</v>
      </c>
      <c r="X33" s="60">
        <f t="shared" si="2"/>
        <v>-268880</v>
      </c>
    </row>
    <row r="38" spans="1:24" x14ac:dyDescent="0.25">
      <c r="V38" s="63"/>
    </row>
    <row r="39" spans="1:24" x14ac:dyDescent="0.25">
      <c r="C39" s="35" t="s">
        <v>115</v>
      </c>
    </row>
  </sheetData>
  <sheetProtection insertColumns="0" insertRows="0" insertHyperlinks="0" deleteColumns="0" deleteRows="0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1"/>
  <sheetViews>
    <sheetView zoomScale="70" zoomScaleNormal="70" workbookViewId="0">
      <pane ySplit="1" topLeftCell="A2" activePane="bottomLeft" state="frozen"/>
      <selection pane="bottomLeft" activeCell="O14" sqref="O14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1" customWidth="1"/>
    <col min="4" max="4" width="13" customWidth="1"/>
    <col min="5" max="5" width="13.28515625" bestFit="1" customWidth="1"/>
    <col min="6" max="6" width="10.85546875" style="11" customWidth="1"/>
    <col min="7" max="9" width="10.85546875" customWidth="1"/>
    <col min="10" max="12" width="10.85546875" style="11" customWidth="1"/>
    <col min="13" max="19" width="10.85546875" customWidth="1"/>
    <col min="20" max="20" width="10.85546875" style="11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30" t="s">
        <v>10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61"/>
      <c r="V1" s="61"/>
    </row>
    <row r="2" spans="1:25" s="12" customFormat="1" ht="33" customHeight="1" x14ac:dyDescent="0.25">
      <c r="A2" s="22" t="s">
        <v>2</v>
      </c>
      <c r="B2" s="137" t="s">
        <v>113</v>
      </c>
      <c r="C2" s="137" t="s">
        <v>11</v>
      </c>
      <c r="D2" s="137" t="s">
        <v>12</v>
      </c>
      <c r="E2" s="137" t="s">
        <v>13</v>
      </c>
      <c r="F2" s="137" t="s">
        <v>14</v>
      </c>
      <c r="G2" s="132" t="s">
        <v>119</v>
      </c>
      <c r="H2" s="134" t="s">
        <v>15</v>
      </c>
      <c r="I2" s="137" t="s">
        <v>16</v>
      </c>
      <c r="J2" s="139" t="s">
        <v>17</v>
      </c>
      <c r="K2" s="140"/>
      <c r="L2" s="141"/>
      <c r="M2" s="132" t="s">
        <v>18</v>
      </c>
      <c r="N2" s="134" t="s">
        <v>19</v>
      </c>
      <c r="O2" s="135" t="s">
        <v>20</v>
      </c>
      <c r="P2" s="134" t="s">
        <v>21</v>
      </c>
      <c r="Q2" s="142" t="s">
        <v>22</v>
      </c>
      <c r="R2" s="137" t="s">
        <v>23</v>
      </c>
      <c r="S2" s="137" t="s">
        <v>24</v>
      </c>
      <c r="T2" s="137" t="s">
        <v>25</v>
      </c>
      <c r="V2" s="144" t="s">
        <v>6</v>
      </c>
      <c r="W2" s="144" t="s">
        <v>7</v>
      </c>
      <c r="X2" s="144" t="s">
        <v>8</v>
      </c>
    </row>
    <row r="3" spans="1:25" s="12" customFormat="1" ht="45" customHeight="1" x14ac:dyDescent="0.25">
      <c r="A3" s="23"/>
      <c r="B3" s="138"/>
      <c r="C3" s="138"/>
      <c r="D3" s="138"/>
      <c r="E3" s="138"/>
      <c r="F3" s="138"/>
      <c r="G3" s="133"/>
      <c r="H3" s="134"/>
      <c r="I3" s="138"/>
      <c r="J3" s="13" t="s">
        <v>26</v>
      </c>
      <c r="K3" s="13" t="s">
        <v>27</v>
      </c>
      <c r="L3" s="13" t="s">
        <v>28</v>
      </c>
      <c r="M3" s="133"/>
      <c r="N3" s="134"/>
      <c r="O3" s="136"/>
      <c r="P3" s="134"/>
      <c r="Q3" s="143"/>
      <c r="R3" s="138"/>
      <c r="S3" s="138"/>
      <c r="T3" s="138"/>
      <c r="V3" s="144"/>
      <c r="W3" s="144"/>
      <c r="X3" s="144"/>
    </row>
    <row r="4" spans="1:25" ht="21" customHeight="1" x14ac:dyDescent="0.25">
      <c r="A4" s="6">
        <v>44927</v>
      </c>
      <c r="B4" s="85">
        <v>1.6019000000000001</v>
      </c>
      <c r="C4" s="85">
        <v>367.94</v>
      </c>
      <c r="D4" s="85">
        <v>134269.28</v>
      </c>
      <c r="E4" s="85">
        <v>9642325.1099999994</v>
      </c>
      <c r="F4" s="85">
        <v>3.8098000000000001</v>
      </c>
      <c r="G4" s="85">
        <v>1.1812</v>
      </c>
      <c r="H4" s="85">
        <v>1.109</v>
      </c>
      <c r="I4" s="85">
        <v>400.02</v>
      </c>
      <c r="J4" s="85">
        <v>568.92999999999995</v>
      </c>
      <c r="K4" s="85">
        <v>525.35</v>
      </c>
      <c r="L4" s="85">
        <v>363.61</v>
      </c>
      <c r="M4" s="85">
        <v>887.79</v>
      </c>
      <c r="N4" s="85">
        <v>802.5</v>
      </c>
      <c r="O4" s="85">
        <v>268.88</v>
      </c>
      <c r="P4" s="85">
        <v>1.0766</v>
      </c>
      <c r="Q4" s="85">
        <v>780</v>
      </c>
      <c r="R4" s="85">
        <v>0</v>
      </c>
      <c r="S4" s="85">
        <v>0</v>
      </c>
      <c r="T4" s="85">
        <v>685.55</v>
      </c>
      <c r="V4" s="58"/>
      <c r="W4" s="58"/>
      <c r="X4" s="58"/>
      <c r="Y4" s="12"/>
    </row>
    <row r="5" spans="1:25" ht="21" customHeight="1" x14ac:dyDescent="0.25">
      <c r="A5" s="6">
        <v>44928</v>
      </c>
      <c r="B5" s="85">
        <v>1.603</v>
      </c>
      <c r="C5" s="85">
        <v>368.23</v>
      </c>
      <c r="D5" s="85">
        <v>135730.73000000001</v>
      </c>
      <c r="E5" s="85">
        <v>9644919.9100000001</v>
      </c>
      <c r="F5" s="85">
        <v>3.8125</v>
      </c>
      <c r="G5" s="85">
        <v>1.1817</v>
      </c>
      <c r="H5" s="85">
        <v>1.1096999999999999</v>
      </c>
      <c r="I5" s="85">
        <v>400.38</v>
      </c>
      <c r="J5" s="85">
        <v>569.94000000000005</v>
      </c>
      <c r="K5" s="85">
        <v>525.91</v>
      </c>
      <c r="L5" s="85">
        <v>364.16</v>
      </c>
      <c r="M5" s="85">
        <v>888.27</v>
      </c>
      <c r="N5" s="85">
        <v>802.89</v>
      </c>
      <c r="O5" s="85">
        <v>269.14999999999998</v>
      </c>
      <c r="P5" s="85">
        <v>1.0770999999999999</v>
      </c>
      <c r="Q5" s="85">
        <v>780.4</v>
      </c>
      <c r="R5" s="85">
        <v>0</v>
      </c>
      <c r="S5" s="85">
        <v>0</v>
      </c>
      <c r="T5" s="85">
        <v>686.22</v>
      </c>
      <c r="V5" s="58"/>
      <c r="W5" s="58"/>
      <c r="X5" s="58"/>
      <c r="Y5" s="12"/>
    </row>
    <row r="6" spans="1:25" ht="21" customHeight="1" x14ac:dyDescent="0.25">
      <c r="A6" s="6">
        <v>44929</v>
      </c>
      <c r="B6" s="85">
        <v>1.6041000000000001</v>
      </c>
      <c r="C6" s="85">
        <v>368.53</v>
      </c>
      <c r="D6" s="85">
        <v>137309.49</v>
      </c>
      <c r="E6" s="85">
        <v>9647784.3399999999</v>
      </c>
      <c r="F6" s="85">
        <v>3.8151000000000002</v>
      </c>
      <c r="G6" s="85">
        <v>1.1821999999999999</v>
      </c>
      <c r="H6" s="85">
        <v>1.1104000000000001</v>
      </c>
      <c r="I6" s="85">
        <v>400.72</v>
      </c>
      <c r="J6" s="85">
        <v>570.94000000000005</v>
      </c>
      <c r="K6" s="85">
        <v>526.46</v>
      </c>
      <c r="L6" s="85">
        <v>364.74</v>
      </c>
      <c r="M6" s="85">
        <v>888.72</v>
      </c>
      <c r="N6" s="85">
        <v>803.29</v>
      </c>
      <c r="O6" s="85">
        <v>269.45</v>
      </c>
      <c r="P6" s="85">
        <v>1.0775999999999999</v>
      </c>
      <c r="Q6" s="85">
        <v>780.79</v>
      </c>
      <c r="R6" s="85">
        <v>0</v>
      </c>
      <c r="S6" s="85">
        <v>0</v>
      </c>
      <c r="T6" s="85">
        <v>686.92</v>
      </c>
      <c r="V6" s="58"/>
      <c r="W6" s="58"/>
      <c r="X6" s="58"/>
      <c r="Y6" s="12"/>
    </row>
    <row r="7" spans="1:25" ht="21" customHeight="1" x14ac:dyDescent="0.25">
      <c r="A7" s="6">
        <v>44930</v>
      </c>
      <c r="B7" s="85">
        <v>1.6051</v>
      </c>
      <c r="C7" s="85">
        <v>368.8</v>
      </c>
      <c r="D7" s="85">
        <v>138842.54</v>
      </c>
      <c r="E7" s="85">
        <v>9650458.6400000006</v>
      </c>
      <c r="F7" s="85">
        <v>3.8176999999999999</v>
      </c>
      <c r="G7" s="85">
        <v>1.1827000000000001</v>
      </c>
      <c r="H7" s="85">
        <v>1.111</v>
      </c>
      <c r="I7" s="85">
        <v>401.05</v>
      </c>
      <c r="J7" s="85">
        <v>571.9</v>
      </c>
      <c r="K7" s="85">
        <v>526.98</v>
      </c>
      <c r="L7" s="85">
        <v>365.25</v>
      </c>
      <c r="M7" s="85">
        <v>889.2</v>
      </c>
      <c r="N7" s="85">
        <v>803.66</v>
      </c>
      <c r="O7" s="85">
        <v>269.73</v>
      </c>
      <c r="P7" s="85">
        <v>1.0780000000000001</v>
      </c>
      <c r="Q7" s="85">
        <v>781.15</v>
      </c>
      <c r="R7" s="85">
        <v>0</v>
      </c>
      <c r="S7" s="85">
        <v>0</v>
      </c>
      <c r="T7" s="85">
        <v>687.58</v>
      </c>
      <c r="V7" s="58"/>
      <c r="W7" s="58"/>
      <c r="X7" s="58"/>
      <c r="Y7" s="12"/>
    </row>
    <row r="8" spans="1:25" ht="21" customHeight="1" x14ac:dyDescent="0.25">
      <c r="A8" s="6">
        <v>44931</v>
      </c>
      <c r="B8" s="85">
        <v>1.6062000000000001</v>
      </c>
      <c r="C8" s="85">
        <v>369.09</v>
      </c>
      <c r="D8" s="85">
        <v>140484.04</v>
      </c>
      <c r="E8" s="85">
        <v>9653193.5999999996</v>
      </c>
      <c r="F8" s="85">
        <v>3.8203</v>
      </c>
      <c r="G8" s="85">
        <v>1.1833</v>
      </c>
      <c r="H8" s="85">
        <v>1.1116999999999999</v>
      </c>
      <c r="I8" s="85">
        <v>401.37</v>
      </c>
      <c r="J8" s="85">
        <v>572.89</v>
      </c>
      <c r="K8" s="85">
        <v>527.54999999999995</v>
      </c>
      <c r="L8" s="85">
        <v>365.77</v>
      </c>
      <c r="M8" s="85">
        <v>889.72</v>
      </c>
      <c r="N8" s="85">
        <v>804.06</v>
      </c>
      <c r="O8" s="85">
        <v>269.99</v>
      </c>
      <c r="P8" s="85">
        <v>1.0786</v>
      </c>
      <c r="Q8" s="85">
        <v>781.52</v>
      </c>
      <c r="R8" s="85">
        <v>0</v>
      </c>
      <c r="S8" s="85">
        <v>0</v>
      </c>
      <c r="T8" s="85">
        <v>688.24</v>
      </c>
      <c r="V8" s="83"/>
      <c r="W8" s="83"/>
      <c r="X8" s="93"/>
      <c r="Y8" s="12"/>
    </row>
    <row r="9" spans="1:25" ht="21" customHeight="1" x14ac:dyDescent="0.25">
      <c r="A9" s="6">
        <v>44932</v>
      </c>
      <c r="B9" s="85">
        <v>1.6073</v>
      </c>
      <c r="C9" s="85">
        <v>369.38</v>
      </c>
      <c r="D9" s="85">
        <v>142103.66</v>
      </c>
      <c r="E9" s="85">
        <v>9656021.0199999996</v>
      </c>
      <c r="F9" s="85">
        <v>3.8228</v>
      </c>
      <c r="G9" s="85">
        <v>1.1838</v>
      </c>
      <c r="H9" s="85">
        <v>1.1124000000000001</v>
      </c>
      <c r="I9" s="85">
        <v>401.71</v>
      </c>
      <c r="J9" s="85">
        <v>573.78</v>
      </c>
      <c r="K9" s="85">
        <v>528.08000000000004</v>
      </c>
      <c r="L9" s="85">
        <v>366.33</v>
      </c>
      <c r="M9" s="85">
        <v>890.2</v>
      </c>
      <c r="N9" s="85">
        <v>804.41</v>
      </c>
      <c r="O9" s="85">
        <v>270.27</v>
      </c>
      <c r="P9" s="85">
        <v>1.0791999999999999</v>
      </c>
      <c r="Q9" s="85">
        <v>781.88</v>
      </c>
      <c r="R9" s="85">
        <v>0</v>
      </c>
      <c r="S9" s="85">
        <v>0</v>
      </c>
      <c r="T9" s="85">
        <v>688.88</v>
      </c>
      <c r="V9" s="83"/>
      <c r="W9" s="83"/>
      <c r="X9" s="93"/>
      <c r="Y9" s="12"/>
    </row>
    <row r="10" spans="1:25" ht="21" customHeight="1" x14ac:dyDescent="0.25">
      <c r="A10" s="6">
        <v>44933</v>
      </c>
      <c r="B10" s="85">
        <v>1.6084000000000001</v>
      </c>
      <c r="C10" s="85">
        <v>369.66</v>
      </c>
      <c r="D10" s="85">
        <v>143849.03</v>
      </c>
      <c r="E10" s="85">
        <v>9658787.1699999999</v>
      </c>
      <c r="F10" s="85">
        <v>3.8254000000000001</v>
      </c>
      <c r="G10" s="85">
        <v>1.1842999999999999</v>
      </c>
      <c r="H10" s="85">
        <v>1.1132</v>
      </c>
      <c r="I10" s="85">
        <v>402.05</v>
      </c>
      <c r="J10" s="85">
        <v>574.61</v>
      </c>
      <c r="K10" s="85">
        <v>528.59</v>
      </c>
      <c r="L10" s="85">
        <v>366.83</v>
      </c>
      <c r="M10" s="85">
        <v>890.7</v>
      </c>
      <c r="N10" s="85">
        <v>804.76</v>
      </c>
      <c r="O10" s="85">
        <v>270.55</v>
      </c>
      <c r="P10" s="85">
        <v>1.0797000000000001</v>
      </c>
      <c r="Q10" s="85">
        <v>782.24</v>
      </c>
      <c r="R10" s="85">
        <v>0</v>
      </c>
      <c r="S10" s="85">
        <v>0</v>
      </c>
      <c r="T10" s="85">
        <v>689.33</v>
      </c>
      <c r="V10" s="83"/>
      <c r="W10" s="83"/>
      <c r="X10" s="83"/>
      <c r="Y10" s="12"/>
    </row>
    <row r="11" spans="1:25" ht="21" customHeight="1" x14ac:dyDescent="0.25">
      <c r="A11" s="6">
        <v>44934</v>
      </c>
      <c r="B11" s="85">
        <v>1.6095999999999999</v>
      </c>
      <c r="C11" s="85">
        <v>369.93</v>
      </c>
      <c r="D11" s="85">
        <v>145648.09</v>
      </c>
      <c r="E11" s="85">
        <v>9661629.4600000009</v>
      </c>
      <c r="F11" s="85">
        <v>3.8279000000000001</v>
      </c>
      <c r="G11" s="85">
        <v>1.1848000000000001</v>
      </c>
      <c r="H11" s="85">
        <v>1.1138999999999999</v>
      </c>
      <c r="I11" s="85">
        <v>402.36</v>
      </c>
      <c r="J11" s="85">
        <v>575.54999999999995</v>
      </c>
      <c r="K11" s="85">
        <v>529.07000000000005</v>
      </c>
      <c r="L11" s="85">
        <v>367.9</v>
      </c>
      <c r="M11" s="85">
        <v>891.22</v>
      </c>
      <c r="N11" s="85">
        <v>805.16</v>
      </c>
      <c r="O11" s="85">
        <v>270.83999999999997</v>
      </c>
      <c r="P11" s="85">
        <v>1.0802</v>
      </c>
      <c r="Q11" s="85">
        <v>782.6</v>
      </c>
      <c r="R11" s="85">
        <v>0</v>
      </c>
      <c r="S11" s="85">
        <v>0</v>
      </c>
      <c r="T11" s="85">
        <v>690.02</v>
      </c>
      <c r="V11" s="83"/>
      <c r="W11" s="83"/>
      <c r="X11" s="83"/>
      <c r="Y11" s="12"/>
    </row>
    <row r="12" spans="1:25" ht="21" customHeight="1" x14ac:dyDescent="0.25">
      <c r="A12" s="6">
        <v>44935</v>
      </c>
      <c r="B12" s="85">
        <v>1.6107</v>
      </c>
      <c r="C12" s="85">
        <v>370.21</v>
      </c>
      <c r="D12" s="85">
        <v>147296.1</v>
      </c>
      <c r="E12" s="85">
        <v>9664282.5299999993</v>
      </c>
      <c r="F12" s="85">
        <v>3.8304999999999998</v>
      </c>
      <c r="G12" s="85">
        <v>1.1853</v>
      </c>
      <c r="H12" s="85">
        <v>1.1146</v>
      </c>
      <c r="I12" s="85">
        <v>402.66</v>
      </c>
      <c r="J12" s="85">
        <v>576.46</v>
      </c>
      <c r="K12" s="85">
        <v>529.61</v>
      </c>
      <c r="L12" s="85">
        <v>367.96</v>
      </c>
      <c r="M12" s="85">
        <v>891.67</v>
      </c>
      <c r="N12" s="85">
        <v>805.56</v>
      </c>
      <c r="O12" s="85">
        <v>271.13</v>
      </c>
      <c r="P12" s="85">
        <v>1.0807</v>
      </c>
      <c r="Q12" s="85">
        <v>783</v>
      </c>
      <c r="R12" s="85">
        <v>0</v>
      </c>
      <c r="S12" s="85">
        <v>0</v>
      </c>
      <c r="T12" s="85">
        <v>690.65</v>
      </c>
      <c r="V12" s="83"/>
      <c r="W12" s="83"/>
      <c r="X12" s="83"/>
      <c r="Y12" s="12"/>
    </row>
    <row r="13" spans="1:25" ht="21" customHeight="1" x14ac:dyDescent="0.25">
      <c r="A13" s="6">
        <v>44936</v>
      </c>
      <c r="B13" s="85">
        <v>1.6117999999999999</v>
      </c>
      <c r="C13" s="85">
        <v>370.48</v>
      </c>
      <c r="D13" s="85">
        <v>149181.73000000001</v>
      </c>
      <c r="E13" s="85">
        <v>9667016.6999999993</v>
      </c>
      <c r="F13" s="85">
        <v>3.8332000000000002</v>
      </c>
      <c r="G13" s="85">
        <v>1.1859</v>
      </c>
      <c r="H13" s="85">
        <v>1.1153</v>
      </c>
      <c r="I13" s="85">
        <v>402.96</v>
      </c>
      <c r="J13" s="85">
        <v>577.44799999999998</v>
      </c>
      <c r="K13" s="85">
        <v>530.14</v>
      </c>
      <c r="L13" s="85">
        <v>368.47</v>
      </c>
      <c r="M13" s="85">
        <v>892.13</v>
      </c>
      <c r="N13" s="85">
        <v>805.92</v>
      </c>
      <c r="O13" s="85">
        <v>271.38</v>
      </c>
      <c r="P13" s="85">
        <v>1.0812999999999999</v>
      </c>
      <c r="Q13" s="85">
        <v>783.34</v>
      </c>
      <c r="R13" s="85">
        <v>0</v>
      </c>
      <c r="S13" s="85">
        <v>0</v>
      </c>
      <c r="T13" s="85">
        <v>691.22</v>
      </c>
      <c r="V13" s="83"/>
      <c r="W13" s="83"/>
      <c r="X13" s="83"/>
      <c r="Y13" s="12"/>
    </row>
    <row r="14" spans="1:25" ht="21" customHeight="1" x14ac:dyDescent="0.25">
      <c r="A14" s="6">
        <v>44937</v>
      </c>
      <c r="B14" s="85">
        <v>0</v>
      </c>
      <c r="C14" s="85">
        <v>0</v>
      </c>
      <c r="D14" s="85">
        <v>0</v>
      </c>
      <c r="E14" s="85">
        <v>0</v>
      </c>
      <c r="F14" s="85">
        <v>0</v>
      </c>
      <c r="G14" s="85">
        <v>0</v>
      </c>
      <c r="H14" s="85">
        <v>0</v>
      </c>
      <c r="I14" s="85">
        <v>0</v>
      </c>
      <c r="J14" s="85">
        <v>0</v>
      </c>
      <c r="K14" s="85">
        <v>0</v>
      </c>
      <c r="L14" s="85">
        <v>0</v>
      </c>
      <c r="M14" s="85">
        <v>0</v>
      </c>
      <c r="N14" s="85">
        <v>0</v>
      </c>
      <c r="O14" s="85">
        <v>0</v>
      </c>
      <c r="P14" s="85">
        <v>0</v>
      </c>
      <c r="Q14" s="85">
        <v>0</v>
      </c>
      <c r="R14" s="85">
        <v>0</v>
      </c>
      <c r="S14" s="85">
        <v>0</v>
      </c>
      <c r="T14" s="85">
        <v>0</v>
      </c>
      <c r="V14" s="83"/>
      <c r="W14" s="83"/>
      <c r="X14" s="83"/>
      <c r="Y14" s="12"/>
    </row>
    <row r="15" spans="1:25" ht="21" customHeight="1" x14ac:dyDescent="0.25">
      <c r="A15" s="6">
        <v>44938</v>
      </c>
      <c r="B15" s="85">
        <v>0</v>
      </c>
      <c r="C15" s="85">
        <v>0</v>
      </c>
      <c r="D15" s="85">
        <v>0</v>
      </c>
      <c r="E15" s="85">
        <v>0</v>
      </c>
      <c r="F15" s="85">
        <v>0</v>
      </c>
      <c r="G15" s="85">
        <v>0</v>
      </c>
      <c r="H15" s="85">
        <v>0</v>
      </c>
      <c r="I15" s="85">
        <v>0</v>
      </c>
      <c r="J15" s="85">
        <v>0</v>
      </c>
      <c r="K15" s="85">
        <v>0</v>
      </c>
      <c r="L15" s="85">
        <v>0</v>
      </c>
      <c r="M15" s="85">
        <v>0</v>
      </c>
      <c r="N15" s="85">
        <v>0</v>
      </c>
      <c r="O15" s="85">
        <v>0</v>
      </c>
      <c r="P15" s="85">
        <v>0</v>
      </c>
      <c r="Q15" s="85">
        <v>0</v>
      </c>
      <c r="R15" s="85">
        <v>0</v>
      </c>
      <c r="S15" s="85">
        <v>0</v>
      </c>
      <c r="T15" s="85">
        <v>0</v>
      </c>
      <c r="V15" s="83"/>
      <c r="W15" s="83"/>
      <c r="X15" s="83"/>
      <c r="Y15" s="12"/>
    </row>
    <row r="16" spans="1:25" ht="21" customHeight="1" x14ac:dyDescent="0.25">
      <c r="A16" s="6">
        <v>44939</v>
      </c>
      <c r="B16" s="85">
        <v>0</v>
      </c>
      <c r="C16" s="85">
        <v>0</v>
      </c>
      <c r="D16" s="85">
        <v>0</v>
      </c>
      <c r="E16" s="85">
        <v>0</v>
      </c>
      <c r="F16" s="85">
        <v>0</v>
      </c>
      <c r="G16" s="85">
        <v>0</v>
      </c>
      <c r="H16" s="85">
        <v>0</v>
      </c>
      <c r="I16" s="85">
        <v>0</v>
      </c>
      <c r="J16" s="85">
        <v>0</v>
      </c>
      <c r="K16" s="85">
        <v>0</v>
      </c>
      <c r="L16" s="85">
        <v>0</v>
      </c>
      <c r="M16" s="85">
        <v>0</v>
      </c>
      <c r="N16" s="85">
        <v>0</v>
      </c>
      <c r="O16" s="85">
        <v>0</v>
      </c>
      <c r="P16" s="85">
        <v>0</v>
      </c>
      <c r="Q16" s="85">
        <v>0</v>
      </c>
      <c r="R16" s="85">
        <v>0</v>
      </c>
      <c r="S16" s="85">
        <v>0</v>
      </c>
      <c r="T16" s="85">
        <v>0</v>
      </c>
      <c r="V16" s="83"/>
      <c r="W16" s="83"/>
      <c r="X16" s="83"/>
      <c r="Y16" s="12"/>
    </row>
    <row r="17" spans="1:25" ht="21" customHeight="1" x14ac:dyDescent="0.25">
      <c r="A17" s="6">
        <v>44940</v>
      </c>
      <c r="B17" s="85">
        <v>0</v>
      </c>
      <c r="C17" s="85">
        <v>0</v>
      </c>
      <c r="D17" s="85">
        <v>0</v>
      </c>
      <c r="E17" s="85">
        <v>0</v>
      </c>
      <c r="F17" s="85">
        <v>0</v>
      </c>
      <c r="G17" s="85">
        <v>0</v>
      </c>
      <c r="H17" s="85">
        <v>0</v>
      </c>
      <c r="I17" s="85">
        <v>0</v>
      </c>
      <c r="J17" s="85">
        <v>0</v>
      </c>
      <c r="K17" s="85">
        <v>0</v>
      </c>
      <c r="L17" s="85">
        <v>0</v>
      </c>
      <c r="M17" s="85">
        <v>0</v>
      </c>
      <c r="N17" s="85">
        <v>0</v>
      </c>
      <c r="O17" s="85">
        <v>0</v>
      </c>
      <c r="P17" s="85">
        <v>0</v>
      </c>
      <c r="Q17" s="85">
        <v>0</v>
      </c>
      <c r="R17" s="85">
        <v>0</v>
      </c>
      <c r="S17" s="85">
        <v>0</v>
      </c>
      <c r="T17" s="85">
        <v>0</v>
      </c>
      <c r="V17" s="83"/>
      <c r="W17" s="83"/>
      <c r="X17" s="83"/>
      <c r="Y17" s="12"/>
    </row>
    <row r="18" spans="1:25" ht="21" customHeight="1" x14ac:dyDescent="0.25">
      <c r="A18" s="6">
        <v>44941</v>
      </c>
      <c r="B18" s="85">
        <v>0</v>
      </c>
      <c r="C18" s="85">
        <v>0</v>
      </c>
      <c r="D18" s="85">
        <v>0</v>
      </c>
      <c r="E18" s="85">
        <v>0</v>
      </c>
      <c r="F18" s="85">
        <v>0</v>
      </c>
      <c r="G18" s="85">
        <v>0</v>
      </c>
      <c r="H18" s="85">
        <v>0</v>
      </c>
      <c r="I18" s="85">
        <v>0</v>
      </c>
      <c r="J18" s="85">
        <v>0</v>
      </c>
      <c r="K18" s="85">
        <v>0</v>
      </c>
      <c r="L18" s="85">
        <v>0</v>
      </c>
      <c r="M18" s="85">
        <v>0</v>
      </c>
      <c r="N18" s="85">
        <v>0</v>
      </c>
      <c r="O18" s="85">
        <v>0</v>
      </c>
      <c r="P18" s="85">
        <v>0</v>
      </c>
      <c r="Q18" s="85">
        <v>0</v>
      </c>
      <c r="R18" s="85">
        <v>0</v>
      </c>
      <c r="S18" s="85">
        <v>0</v>
      </c>
      <c r="T18" s="85">
        <v>0</v>
      </c>
      <c r="V18" s="83"/>
      <c r="W18" s="83"/>
      <c r="X18" s="83"/>
      <c r="Y18" s="12"/>
    </row>
    <row r="19" spans="1:25" ht="21" customHeight="1" x14ac:dyDescent="0.25">
      <c r="A19" s="6">
        <v>44942</v>
      </c>
      <c r="B19" s="85">
        <v>0</v>
      </c>
      <c r="C19" s="85">
        <v>0</v>
      </c>
      <c r="D19" s="85">
        <v>0</v>
      </c>
      <c r="E19" s="85">
        <v>0</v>
      </c>
      <c r="F19" s="85">
        <v>0</v>
      </c>
      <c r="G19" s="85">
        <v>0</v>
      </c>
      <c r="H19" s="85">
        <v>0</v>
      </c>
      <c r="I19" s="85">
        <v>0</v>
      </c>
      <c r="J19" s="85">
        <v>0</v>
      </c>
      <c r="K19" s="85">
        <v>0</v>
      </c>
      <c r="L19" s="85">
        <v>0</v>
      </c>
      <c r="M19" s="85">
        <v>0</v>
      </c>
      <c r="N19" s="85">
        <v>0</v>
      </c>
      <c r="O19" s="85">
        <v>0</v>
      </c>
      <c r="P19" s="85">
        <v>0</v>
      </c>
      <c r="Q19" s="85">
        <v>0</v>
      </c>
      <c r="R19" s="85">
        <v>0</v>
      </c>
      <c r="S19" s="85">
        <v>0</v>
      </c>
      <c r="T19" s="85">
        <v>0</v>
      </c>
      <c r="V19" s="83"/>
      <c r="W19" s="83"/>
      <c r="X19" s="83"/>
      <c r="Y19" s="12"/>
    </row>
    <row r="20" spans="1:25" ht="21" customHeight="1" x14ac:dyDescent="0.25">
      <c r="A20" s="6">
        <v>44943</v>
      </c>
      <c r="B20" s="85">
        <v>0</v>
      </c>
      <c r="C20" s="85">
        <v>0</v>
      </c>
      <c r="D20" s="85">
        <v>0</v>
      </c>
      <c r="E20" s="85">
        <v>0</v>
      </c>
      <c r="F20" s="85">
        <v>0</v>
      </c>
      <c r="G20" s="85">
        <v>0</v>
      </c>
      <c r="H20" s="85">
        <v>0</v>
      </c>
      <c r="I20" s="85">
        <v>0</v>
      </c>
      <c r="J20" s="85">
        <v>0</v>
      </c>
      <c r="K20" s="85">
        <v>0</v>
      </c>
      <c r="L20" s="85">
        <v>0</v>
      </c>
      <c r="M20" s="85">
        <v>0</v>
      </c>
      <c r="N20" s="85">
        <v>0</v>
      </c>
      <c r="O20" s="85">
        <v>0</v>
      </c>
      <c r="P20" s="85">
        <v>0</v>
      </c>
      <c r="Q20" s="85">
        <v>0</v>
      </c>
      <c r="R20" s="85">
        <v>0</v>
      </c>
      <c r="S20" s="85">
        <v>0</v>
      </c>
      <c r="T20" s="85">
        <v>0</v>
      </c>
      <c r="V20" s="83"/>
      <c r="W20" s="83"/>
      <c r="X20" s="83"/>
      <c r="Y20" s="12"/>
    </row>
    <row r="21" spans="1:25" ht="21" customHeight="1" x14ac:dyDescent="0.25">
      <c r="A21" s="6">
        <v>44944</v>
      </c>
      <c r="B21" s="85">
        <v>0</v>
      </c>
      <c r="C21" s="85">
        <v>0</v>
      </c>
      <c r="D21" s="85">
        <v>0</v>
      </c>
      <c r="E21" s="85">
        <v>0</v>
      </c>
      <c r="F21" s="85">
        <v>0</v>
      </c>
      <c r="G21" s="85">
        <v>0</v>
      </c>
      <c r="H21" s="85">
        <v>0</v>
      </c>
      <c r="I21" s="85">
        <v>0</v>
      </c>
      <c r="J21" s="85">
        <v>0</v>
      </c>
      <c r="K21" s="85">
        <v>0</v>
      </c>
      <c r="L21" s="85">
        <v>0</v>
      </c>
      <c r="M21" s="85">
        <v>0</v>
      </c>
      <c r="N21" s="85">
        <v>0</v>
      </c>
      <c r="O21" s="85">
        <v>0</v>
      </c>
      <c r="P21" s="85">
        <v>0</v>
      </c>
      <c r="Q21" s="85">
        <v>0</v>
      </c>
      <c r="R21" s="85">
        <v>0</v>
      </c>
      <c r="S21" s="85">
        <v>0</v>
      </c>
      <c r="T21" s="85">
        <v>0</v>
      </c>
      <c r="V21" s="83"/>
      <c r="W21" s="83"/>
      <c r="X21" s="83"/>
      <c r="Y21" s="12"/>
    </row>
    <row r="22" spans="1:25" ht="21" customHeight="1" x14ac:dyDescent="0.25">
      <c r="A22" s="6">
        <v>44945</v>
      </c>
      <c r="B22" s="85">
        <v>0</v>
      </c>
      <c r="C22" s="85">
        <v>0</v>
      </c>
      <c r="D22" s="85">
        <v>0</v>
      </c>
      <c r="E22" s="85">
        <v>0</v>
      </c>
      <c r="F22" s="85">
        <v>0</v>
      </c>
      <c r="G22" s="85">
        <v>0</v>
      </c>
      <c r="H22" s="85">
        <v>0</v>
      </c>
      <c r="I22" s="85">
        <v>0</v>
      </c>
      <c r="J22" s="85">
        <v>0</v>
      </c>
      <c r="K22" s="85">
        <v>0</v>
      </c>
      <c r="L22" s="85">
        <v>0</v>
      </c>
      <c r="M22" s="85">
        <v>0</v>
      </c>
      <c r="N22" s="85">
        <v>0</v>
      </c>
      <c r="O22" s="85">
        <v>0</v>
      </c>
      <c r="P22" s="85">
        <v>0</v>
      </c>
      <c r="Q22" s="85">
        <v>0</v>
      </c>
      <c r="R22" s="85">
        <v>0</v>
      </c>
      <c r="S22" s="85">
        <v>0</v>
      </c>
      <c r="T22" s="85">
        <v>0</v>
      </c>
      <c r="V22" s="83"/>
      <c r="W22" s="83"/>
      <c r="X22" s="83"/>
      <c r="Y22" s="12"/>
    </row>
    <row r="23" spans="1:25" ht="21" customHeight="1" x14ac:dyDescent="0.25">
      <c r="A23" s="6">
        <v>44946</v>
      </c>
      <c r="B23" s="85">
        <v>0</v>
      </c>
      <c r="C23" s="85">
        <v>0</v>
      </c>
      <c r="D23" s="85">
        <v>0</v>
      </c>
      <c r="E23" s="85">
        <v>0</v>
      </c>
      <c r="F23" s="85">
        <v>0</v>
      </c>
      <c r="G23" s="85">
        <v>0</v>
      </c>
      <c r="H23" s="85">
        <v>0</v>
      </c>
      <c r="I23" s="85">
        <v>0</v>
      </c>
      <c r="J23" s="85">
        <v>0</v>
      </c>
      <c r="K23" s="85">
        <v>0</v>
      </c>
      <c r="L23" s="85">
        <v>0</v>
      </c>
      <c r="M23" s="85">
        <v>0</v>
      </c>
      <c r="N23" s="85">
        <v>0</v>
      </c>
      <c r="O23" s="85">
        <v>0</v>
      </c>
      <c r="P23" s="85">
        <v>0</v>
      </c>
      <c r="Q23" s="85">
        <v>0</v>
      </c>
      <c r="R23" s="85">
        <v>0</v>
      </c>
      <c r="S23" s="85">
        <v>0</v>
      </c>
      <c r="T23" s="85">
        <v>0</v>
      </c>
      <c r="V23" s="83"/>
      <c r="W23" s="83"/>
      <c r="X23" s="83"/>
      <c r="Y23" s="12"/>
    </row>
    <row r="24" spans="1:25" ht="21" customHeight="1" x14ac:dyDescent="0.25">
      <c r="A24" s="6">
        <v>44947</v>
      </c>
      <c r="B24" s="85">
        <v>0</v>
      </c>
      <c r="C24" s="85">
        <v>0</v>
      </c>
      <c r="D24" s="85">
        <v>0</v>
      </c>
      <c r="E24" s="85">
        <v>0</v>
      </c>
      <c r="F24" s="85">
        <v>0</v>
      </c>
      <c r="G24" s="85">
        <v>0</v>
      </c>
      <c r="H24" s="85">
        <v>0</v>
      </c>
      <c r="I24" s="85">
        <v>0</v>
      </c>
      <c r="J24" s="85">
        <v>0</v>
      </c>
      <c r="K24" s="85">
        <v>0</v>
      </c>
      <c r="L24" s="85">
        <v>0</v>
      </c>
      <c r="M24" s="85">
        <v>0</v>
      </c>
      <c r="N24" s="85">
        <v>0</v>
      </c>
      <c r="O24" s="85">
        <v>0</v>
      </c>
      <c r="P24" s="85">
        <v>0</v>
      </c>
      <c r="Q24" s="85">
        <v>0</v>
      </c>
      <c r="R24" s="85">
        <v>0</v>
      </c>
      <c r="S24" s="85">
        <v>0</v>
      </c>
      <c r="T24" s="85">
        <v>0</v>
      </c>
      <c r="V24" s="83"/>
      <c r="W24" s="83"/>
      <c r="X24" s="83"/>
      <c r="Y24" s="12"/>
    </row>
    <row r="25" spans="1:25" ht="21" customHeight="1" x14ac:dyDescent="0.25">
      <c r="A25" s="6">
        <v>44948</v>
      </c>
      <c r="B25" s="85">
        <v>0</v>
      </c>
      <c r="C25" s="85">
        <v>0</v>
      </c>
      <c r="D25" s="85">
        <v>0</v>
      </c>
      <c r="E25" s="85">
        <v>0</v>
      </c>
      <c r="F25" s="85">
        <v>0</v>
      </c>
      <c r="G25" s="85">
        <v>0</v>
      </c>
      <c r="H25" s="85">
        <v>0</v>
      </c>
      <c r="I25" s="85">
        <v>0</v>
      </c>
      <c r="J25" s="85">
        <v>0</v>
      </c>
      <c r="K25" s="85">
        <v>0</v>
      </c>
      <c r="L25" s="85">
        <v>0</v>
      </c>
      <c r="M25" s="85">
        <v>0</v>
      </c>
      <c r="N25" s="85">
        <v>0</v>
      </c>
      <c r="O25" s="85">
        <v>0</v>
      </c>
      <c r="P25" s="85">
        <v>0</v>
      </c>
      <c r="Q25" s="85">
        <v>0</v>
      </c>
      <c r="R25" s="85">
        <v>0</v>
      </c>
      <c r="S25" s="85">
        <v>0</v>
      </c>
      <c r="T25" s="85">
        <v>0</v>
      </c>
      <c r="V25" s="83"/>
      <c r="W25" s="83"/>
      <c r="X25" s="83"/>
      <c r="Y25" s="12"/>
    </row>
    <row r="26" spans="1:25" ht="21" customHeight="1" x14ac:dyDescent="0.25">
      <c r="A26" s="6">
        <v>44949</v>
      </c>
      <c r="B26" s="85">
        <v>0</v>
      </c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V26" s="83"/>
      <c r="W26" s="83"/>
      <c r="X26" s="83"/>
      <c r="Y26" s="12"/>
    </row>
    <row r="27" spans="1:25" s="96" customFormat="1" ht="21" customHeight="1" x14ac:dyDescent="0.25">
      <c r="A27" s="6">
        <v>44950</v>
      </c>
      <c r="B27" s="85">
        <v>0</v>
      </c>
      <c r="C27" s="85">
        <v>0</v>
      </c>
      <c r="D27" s="85">
        <v>0</v>
      </c>
      <c r="E27" s="85">
        <v>0</v>
      </c>
      <c r="F27" s="85">
        <v>0</v>
      </c>
      <c r="G27" s="85">
        <v>0</v>
      </c>
      <c r="H27" s="85">
        <v>0</v>
      </c>
      <c r="I27" s="85">
        <v>0</v>
      </c>
      <c r="J27" s="85">
        <v>0</v>
      </c>
      <c r="K27" s="85">
        <v>0</v>
      </c>
      <c r="L27" s="85">
        <v>0</v>
      </c>
      <c r="M27" s="85">
        <v>0</v>
      </c>
      <c r="N27" s="85">
        <v>0</v>
      </c>
      <c r="O27" s="85">
        <v>0</v>
      </c>
      <c r="P27" s="85">
        <v>0</v>
      </c>
      <c r="Q27" s="85">
        <v>0</v>
      </c>
      <c r="R27" s="85">
        <v>0</v>
      </c>
      <c r="S27" s="85">
        <v>0</v>
      </c>
      <c r="T27" s="85">
        <v>0</v>
      </c>
      <c r="V27" s="97"/>
      <c r="W27" s="97"/>
      <c r="X27" s="97"/>
      <c r="Y27" s="98"/>
    </row>
    <row r="28" spans="1:25" ht="21" customHeight="1" x14ac:dyDescent="0.25">
      <c r="A28" s="6">
        <v>44951</v>
      </c>
      <c r="B28" s="85">
        <v>0</v>
      </c>
      <c r="C28" s="85">
        <v>0</v>
      </c>
      <c r="D28" s="85">
        <v>0</v>
      </c>
      <c r="E28" s="85">
        <v>0</v>
      </c>
      <c r="F28" s="85">
        <v>0</v>
      </c>
      <c r="G28" s="85">
        <v>0</v>
      </c>
      <c r="H28" s="85">
        <v>0</v>
      </c>
      <c r="I28" s="85">
        <v>0</v>
      </c>
      <c r="J28" s="85">
        <v>0</v>
      </c>
      <c r="K28" s="85">
        <v>0</v>
      </c>
      <c r="L28" s="85">
        <v>0</v>
      </c>
      <c r="M28" s="85">
        <v>0</v>
      </c>
      <c r="N28" s="85">
        <v>0</v>
      </c>
      <c r="O28" s="85">
        <v>0</v>
      </c>
      <c r="P28" s="85">
        <v>0</v>
      </c>
      <c r="Q28" s="85">
        <v>0</v>
      </c>
      <c r="R28" s="85">
        <v>0</v>
      </c>
      <c r="S28" s="85">
        <v>0</v>
      </c>
      <c r="T28" s="85">
        <v>0</v>
      </c>
      <c r="V28" s="83"/>
      <c r="W28" s="83"/>
      <c r="X28" s="83"/>
      <c r="Y28" s="12"/>
    </row>
    <row r="29" spans="1:25" ht="21" customHeight="1" x14ac:dyDescent="0.25">
      <c r="A29" s="6">
        <v>44952</v>
      </c>
      <c r="B29" s="85">
        <v>0</v>
      </c>
      <c r="C29" s="85">
        <v>0</v>
      </c>
      <c r="D29" s="85">
        <v>0</v>
      </c>
      <c r="E29" s="85">
        <v>0</v>
      </c>
      <c r="F29" s="85">
        <v>0</v>
      </c>
      <c r="G29" s="85">
        <v>0</v>
      </c>
      <c r="H29" s="85">
        <v>0</v>
      </c>
      <c r="I29" s="85">
        <v>0</v>
      </c>
      <c r="J29" s="85">
        <v>0</v>
      </c>
      <c r="K29" s="85">
        <v>0</v>
      </c>
      <c r="L29" s="85">
        <v>0</v>
      </c>
      <c r="M29" s="85">
        <v>0</v>
      </c>
      <c r="N29" s="85">
        <v>0</v>
      </c>
      <c r="O29" s="85">
        <v>0</v>
      </c>
      <c r="P29" s="85">
        <v>0</v>
      </c>
      <c r="Q29" s="85">
        <v>0</v>
      </c>
      <c r="R29" s="85">
        <v>0</v>
      </c>
      <c r="S29" s="85">
        <v>0</v>
      </c>
      <c r="T29" s="85">
        <v>0</v>
      </c>
      <c r="V29" s="83"/>
      <c r="W29" s="83"/>
      <c r="X29" s="83"/>
      <c r="Y29" s="12"/>
    </row>
    <row r="30" spans="1:25" ht="21" customHeight="1" x14ac:dyDescent="0.25">
      <c r="A30" s="6">
        <v>44953</v>
      </c>
      <c r="B30" s="85">
        <v>0</v>
      </c>
      <c r="C30" s="85">
        <v>0</v>
      </c>
      <c r="D30" s="85">
        <v>0</v>
      </c>
      <c r="E30" s="85">
        <v>0</v>
      </c>
      <c r="F30" s="85">
        <v>0</v>
      </c>
      <c r="G30" s="85">
        <v>0</v>
      </c>
      <c r="H30" s="85">
        <v>0</v>
      </c>
      <c r="I30" s="85">
        <v>0</v>
      </c>
      <c r="J30" s="85">
        <v>0</v>
      </c>
      <c r="K30" s="85">
        <v>0</v>
      </c>
      <c r="L30" s="85">
        <v>0</v>
      </c>
      <c r="M30" s="85">
        <v>0</v>
      </c>
      <c r="N30" s="85">
        <v>0</v>
      </c>
      <c r="O30" s="85">
        <v>0</v>
      </c>
      <c r="P30" s="85">
        <v>0</v>
      </c>
      <c r="Q30" s="85">
        <v>0</v>
      </c>
      <c r="R30" s="85">
        <v>0</v>
      </c>
      <c r="S30" s="85">
        <v>0</v>
      </c>
      <c r="T30" s="85">
        <v>0</v>
      </c>
      <c r="V30" s="83"/>
      <c r="W30" s="83"/>
      <c r="X30" s="83"/>
      <c r="Y30" s="12"/>
    </row>
    <row r="31" spans="1:25" ht="21" customHeight="1" x14ac:dyDescent="0.25">
      <c r="A31" s="6">
        <v>44954</v>
      </c>
      <c r="B31" s="85">
        <v>0</v>
      </c>
      <c r="C31" s="85">
        <v>0</v>
      </c>
      <c r="D31" s="85">
        <v>0</v>
      </c>
      <c r="E31" s="85">
        <v>0</v>
      </c>
      <c r="F31" s="85">
        <v>0</v>
      </c>
      <c r="G31" s="85">
        <v>0</v>
      </c>
      <c r="H31" s="85">
        <v>0</v>
      </c>
      <c r="I31" s="85">
        <v>0</v>
      </c>
      <c r="J31" s="85">
        <v>0</v>
      </c>
      <c r="K31" s="85">
        <v>0</v>
      </c>
      <c r="L31" s="85">
        <v>0</v>
      </c>
      <c r="M31" s="85">
        <v>0</v>
      </c>
      <c r="N31" s="85">
        <v>0</v>
      </c>
      <c r="O31" s="85">
        <v>0</v>
      </c>
      <c r="P31" s="85">
        <v>0</v>
      </c>
      <c r="Q31" s="85">
        <v>0</v>
      </c>
      <c r="R31" s="85">
        <v>0</v>
      </c>
      <c r="S31" s="85">
        <v>0</v>
      </c>
      <c r="T31" s="85">
        <v>0</v>
      </c>
      <c r="V31" s="83"/>
      <c r="W31" s="83"/>
      <c r="X31" s="83"/>
      <c r="Y31" s="12"/>
    </row>
    <row r="32" spans="1:25" ht="19.5" customHeight="1" x14ac:dyDescent="0.25">
      <c r="A32" s="6">
        <v>44955</v>
      </c>
      <c r="B32" s="85">
        <v>0</v>
      </c>
      <c r="C32" s="85">
        <v>0</v>
      </c>
      <c r="D32" s="85">
        <v>0</v>
      </c>
      <c r="E32" s="85">
        <v>0</v>
      </c>
      <c r="F32" s="85">
        <v>0</v>
      </c>
      <c r="G32" s="85">
        <v>0</v>
      </c>
      <c r="H32" s="85">
        <v>0</v>
      </c>
      <c r="I32" s="85">
        <v>0</v>
      </c>
      <c r="J32" s="85">
        <v>0</v>
      </c>
      <c r="K32" s="85">
        <v>0</v>
      </c>
      <c r="L32" s="85">
        <v>0</v>
      </c>
      <c r="M32" s="85">
        <v>0</v>
      </c>
      <c r="N32" s="85">
        <v>0</v>
      </c>
      <c r="O32" s="85">
        <v>0</v>
      </c>
      <c r="P32" s="85">
        <v>0</v>
      </c>
      <c r="Q32" s="85">
        <v>0</v>
      </c>
      <c r="R32" s="85">
        <v>0</v>
      </c>
      <c r="S32" s="85">
        <v>0</v>
      </c>
      <c r="T32" s="85">
        <v>0</v>
      </c>
      <c r="V32" s="83"/>
      <c r="W32" s="83"/>
      <c r="X32" s="83"/>
      <c r="Y32" s="12"/>
    </row>
    <row r="33" spans="1:24" ht="19.5" customHeight="1" x14ac:dyDescent="0.25">
      <c r="A33" s="6">
        <v>44956</v>
      </c>
      <c r="B33" s="85">
        <v>0</v>
      </c>
      <c r="C33" s="85">
        <v>0</v>
      </c>
      <c r="D33" s="85">
        <v>0</v>
      </c>
      <c r="E33" s="85">
        <v>0</v>
      </c>
      <c r="F33" s="85">
        <v>0</v>
      </c>
      <c r="G33" s="85">
        <v>0</v>
      </c>
      <c r="H33" s="85">
        <v>0</v>
      </c>
      <c r="I33" s="85">
        <v>0</v>
      </c>
      <c r="J33" s="85">
        <v>0</v>
      </c>
      <c r="K33" s="85">
        <v>0</v>
      </c>
      <c r="L33" s="85">
        <v>0</v>
      </c>
      <c r="M33" s="85">
        <v>0</v>
      </c>
      <c r="N33" s="85">
        <v>0</v>
      </c>
      <c r="O33" s="85">
        <v>0</v>
      </c>
      <c r="P33" s="85">
        <v>0</v>
      </c>
      <c r="Q33" s="85">
        <v>0</v>
      </c>
      <c r="R33" s="85">
        <v>0</v>
      </c>
      <c r="S33" s="85">
        <v>0</v>
      </c>
      <c r="T33" s="85">
        <v>0</v>
      </c>
      <c r="V33" s="83"/>
      <c r="W33" s="83"/>
      <c r="X33" s="83"/>
    </row>
    <row r="34" spans="1:24" ht="21" customHeight="1" x14ac:dyDescent="0.25">
      <c r="A34" s="6">
        <v>44957</v>
      </c>
      <c r="B34" s="85">
        <v>0</v>
      </c>
      <c r="C34" s="85">
        <v>0</v>
      </c>
      <c r="D34" s="85">
        <v>0</v>
      </c>
      <c r="E34" s="85">
        <v>0</v>
      </c>
      <c r="F34" s="85">
        <v>0</v>
      </c>
      <c r="G34" s="85">
        <v>0</v>
      </c>
      <c r="H34" s="85">
        <v>0</v>
      </c>
      <c r="I34" s="85">
        <v>0</v>
      </c>
      <c r="J34" s="85">
        <v>0</v>
      </c>
      <c r="K34" s="85">
        <v>0</v>
      </c>
      <c r="L34" s="85">
        <v>0</v>
      </c>
      <c r="M34" s="85">
        <v>0</v>
      </c>
      <c r="N34" s="85">
        <v>0</v>
      </c>
      <c r="O34" s="85">
        <v>0</v>
      </c>
      <c r="P34" s="85">
        <v>0</v>
      </c>
      <c r="Q34" s="85">
        <v>0</v>
      </c>
      <c r="R34" s="85">
        <v>0</v>
      </c>
      <c r="S34" s="85">
        <v>0</v>
      </c>
      <c r="T34" s="85">
        <v>0</v>
      </c>
      <c r="V34" s="62">
        <f>SUM(V4:V33)</f>
        <v>0</v>
      </c>
      <c r="W34" s="62">
        <f>SUM(W4:W33)</f>
        <v>0</v>
      </c>
      <c r="X34" s="62">
        <f>SUM(X4:X33)</f>
        <v>0</v>
      </c>
    </row>
    <row r="35" spans="1:24" x14ac:dyDescent="0.25">
      <c r="S35" s="86"/>
    </row>
    <row r="41" spans="1:24" x14ac:dyDescent="0.25">
      <c r="T41" s="11" t="s">
        <v>29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11" sqref="K11"/>
    </sheetView>
  </sheetViews>
  <sheetFormatPr defaultRowHeight="15" x14ac:dyDescent="0.25"/>
  <cols>
    <col min="1" max="1" width="11.28515625" style="8" customWidth="1"/>
    <col min="2" max="2" width="12.5703125" style="8" customWidth="1"/>
    <col min="3" max="3" width="14.28515625" style="11" customWidth="1"/>
    <col min="4" max="4" width="16.42578125" style="11" customWidth="1"/>
    <col min="5" max="5" width="14.28515625" style="11" customWidth="1"/>
    <col min="6" max="6" width="15.28515625" style="11" bestFit="1" customWidth="1"/>
    <col min="7" max="7" width="13.5703125" style="11" bestFit="1" customWidth="1"/>
    <col min="8" max="8" width="18.85546875" style="11" customWidth="1"/>
    <col min="9" max="9" width="26" style="11" customWidth="1"/>
    <col min="10" max="10" width="23.28515625" style="11" customWidth="1"/>
    <col min="11" max="11" width="13.5703125" style="11" bestFit="1" customWidth="1"/>
    <col min="12" max="12" width="15.7109375" customWidth="1"/>
    <col min="13" max="13" width="16" customWidth="1"/>
  </cols>
  <sheetData>
    <row r="1" spans="1:12" ht="15.75" x14ac:dyDescent="0.25">
      <c r="A1" s="7"/>
      <c r="B1" s="7"/>
      <c r="C1" s="4"/>
      <c r="D1" s="4"/>
      <c r="E1" s="4"/>
      <c r="F1" s="4"/>
    </row>
    <row r="2" spans="1:12" ht="42.75" customHeight="1" x14ac:dyDescent="0.25">
      <c r="A2" s="14" t="s">
        <v>2</v>
      </c>
      <c r="B2" s="19" t="s">
        <v>31</v>
      </c>
      <c r="C2" s="27" t="s">
        <v>42</v>
      </c>
      <c r="D2" s="27" t="s">
        <v>43</v>
      </c>
      <c r="E2" s="27" t="s">
        <v>44</v>
      </c>
      <c r="F2" s="27" t="s">
        <v>45</v>
      </c>
      <c r="G2" s="15" t="s">
        <v>46</v>
      </c>
      <c r="H2" s="30" t="s">
        <v>47</v>
      </c>
      <c r="I2" s="18" t="s">
        <v>32</v>
      </c>
      <c r="J2" s="18" t="s">
        <v>48</v>
      </c>
      <c r="K2" s="18" t="s">
        <v>49</v>
      </c>
      <c r="L2" s="30" t="s">
        <v>50</v>
      </c>
    </row>
    <row r="3" spans="1:12" x14ac:dyDescent="0.25">
      <c r="A3" s="10">
        <f>'Kwh Reading'!A4</f>
        <v>44927</v>
      </c>
      <c r="B3" s="65">
        <f>TOTAL!E2</f>
        <v>21239.999999999782</v>
      </c>
      <c r="C3" s="1">
        <f>Submeters!E2</f>
        <v>0</v>
      </c>
      <c r="D3" s="1">
        <f>Submeters!F2</f>
        <v>0</v>
      </c>
      <c r="E3" s="1">
        <f>Submeters!G2</f>
        <v>0</v>
      </c>
      <c r="F3" s="1">
        <f>(Submeters!I2+Submeters!J2+Submeters!K2)</f>
        <v>2120.0000000000614</v>
      </c>
      <c r="G3" s="1">
        <f>(Submeters!L2+Submeters!M2)</f>
        <v>0</v>
      </c>
      <c r="H3" s="1">
        <f>(Submeters!N2+Submeters!O2)</f>
        <v>1459.9999999998925</v>
      </c>
      <c r="I3" s="1">
        <f>(Submeters!P2+Submeters!Q2+Submeters!R2+Submeters!S2+Submeters!T2+Submeters!U2)</f>
        <v>2969.9999999997945</v>
      </c>
      <c r="J3" s="1">
        <f>(Submeters!V2+Submeters!W2)</f>
        <v>4056.2500000007567</v>
      </c>
      <c r="K3" s="1">
        <f>Submeters!X2</f>
        <v>269.99999999998181</v>
      </c>
      <c r="L3" s="24">
        <f t="shared" ref="L3:L32" si="0">B3-C3-D3-E3-F3-G3-H3-I3-J3-K3</f>
        <v>10363.749999999296</v>
      </c>
    </row>
    <row r="4" spans="1:12" x14ac:dyDescent="0.25">
      <c r="A4" s="10">
        <f>'Kwh Reading'!A5</f>
        <v>44928</v>
      </c>
      <c r="B4" s="65">
        <f>TOTAL!E3</f>
        <v>20899.999999999636</v>
      </c>
      <c r="C4" s="1">
        <f>Submeters!E3</f>
        <v>699.99999999993179</v>
      </c>
      <c r="D4" s="1">
        <f>Submeters!F3</f>
        <v>2600.0000000001578</v>
      </c>
      <c r="E4" s="1">
        <f>Submeters!G3</f>
        <v>299.99999999995453</v>
      </c>
      <c r="F4" s="1">
        <f>(Submeters!I3+Submeters!J3+Submeters!K3)</f>
        <v>2130.0000000000523</v>
      </c>
      <c r="G4" s="1">
        <f>(Submeters!L3+Submeters!M3)</f>
        <v>0</v>
      </c>
      <c r="H4" s="1">
        <f>(Submeters!N3+Submeters!O3)</f>
        <v>1440.0000000001328</v>
      </c>
      <c r="I4" s="1">
        <f>(Submeters!P3+Submeters!Q3+Submeters!R3+Submeters!S3+Submeters!T3+Submeters!U3)</f>
        <v>2940.0000000000441</v>
      </c>
      <c r="J4" s="1">
        <f>(Submeters!V3+Submeters!W3)</f>
        <v>4443.1899999996822</v>
      </c>
      <c r="K4" s="1">
        <f>Submeters!X3</f>
        <v>300.00000000001137</v>
      </c>
      <c r="L4" s="24">
        <f t="shared" si="0"/>
        <v>6046.8099999996703</v>
      </c>
    </row>
    <row r="5" spans="1:12" x14ac:dyDescent="0.25">
      <c r="A5" s="10">
        <f>'Kwh Reading'!A6</f>
        <v>44929</v>
      </c>
      <c r="B5" s="65">
        <f>TOTAL!E4</f>
        <v>20900.000000000546</v>
      </c>
      <c r="C5" s="1">
        <f>Submeters!E4</f>
        <v>660.00000000008185</v>
      </c>
      <c r="D5" s="1">
        <f>Submeters!F4</f>
        <v>2599.9999999997135</v>
      </c>
      <c r="E5" s="1">
        <f>Submeters!G4</f>
        <v>270.00000000003865</v>
      </c>
      <c r="F5" s="1">
        <f>(Submeters!I4+Submeters!J4+Submeters!K4)</f>
        <v>1989.9999999998954</v>
      </c>
      <c r="G5" s="1">
        <f>(Submeters!L4+Submeters!M4)</f>
        <v>0</v>
      </c>
      <c r="H5" s="1">
        <f>(Submeters!N4+Submeters!O4)</f>
        <v>1329.999999999874</v>
      </c>
      <c r="I5" s="1">
        <f>(Submeters!P4+Submeters!Q4+Submeters!R4+Submeters!S4+Submeters!T4+Submeters!U4)</f>
        <v>2710.0000000003156</v>
      </c>
      <c r="J5" s="1">
        <f>(Submeters!V4+Submeters!W4)</f>
        <v>4207.3500000007625</v>
      </c>
      <c r="K5" s="1">
        <f>Submeters!X4</f>
        <v>280.00000000002956</v>
      </c>
      <c r="L5" s="24">
        <f t="shared" si="0"/>
        <v>6852.6499999998377</v>
      </c>
    </row>
    <row r="6" spans="1:12" x14ac:dyDescent="0.25">
      <c r="A6" s="10">
        <f>'Kwh Reading'!A7</f>
        <v>44930</v>
      </c>
      <c r="B6" s="65">
        <f>TOTAL!E5</f>
        <v>21309.999999999491</v>
      </c>
      <c r="C6" s="1">
        <f>Submeters!E5</f>
        <v>659.99999999996817</v>
      </c>
      <c r="D6" s="1">
        <f>Submeters!F5</f>
        <v>2600.0000000001578</v>
      </c>
      <c r="E6" s="1">
        <f>Submeters!G5</f>
        <v>289.99999999996362</v>
      </c>
      <c r="F6" s="1">
        <f>(Submeters!I5+Submeters!J5+Submeters!K5)</f>
        <v>2079.9999999999272</v>
      </c>
      <c r="G6" s="1">
        <f>(Submeters!L5+Submeters!M5)</f>
        <v>0</v>
      </c>
      <c r="H6" s="1">
        <f>(Submeters!N5+Submeters!O5)</f>
        <v>1420.0000000000941</v>
      </c>
      <c r="I6" s="1">
        <f>(Submeters!P5+Submeters!Q5+Submeters!R5+Submeters!S5+Submeters!T5+Submeters!U5)</f>
        <v>3189.9999999997544</v>
      </c>
      <c r="J6" s="1">
        <f>(Submeters!V5+Submeters!W5)</f>
        <v>4376.4599999990314</v>
      </c>
      <c r="K6" s="1">
        <f>Submeters!X5</f>
        <v>259.99999999999091</v>
      </c>
      <c r="L6" s="24">
        <f t="shared" si="0"/>
        <v>6433.5400000006048</v>
      </c>
    </row>
    <row r="7" spans="1:12" x14ac:dyDescent="0.25">
      <c r="A7" s="10">
        <f>'Kwh Reading'!A8</f>
        <v>44931</v>
      </c>
      <c r="B7" s="65">
        <f>TOTAL!E6</f>
        <v>20670.000000002074</v>
      </c>
      <c r="C7" s="1">
        <f>Submeters!E6</f>
        <v>639.99999999998636</v>
      </c>
      <c r="D7" s="1">
        <f>Submeters!F6</f>
        <v>2499.9999999999468</v>
      </c>
      <c r="E7" s="1">
        <f>Submeters!G6</f>
        <v>290.00000000002046</v>
      </c>
      <c r="F7" s="1">
        <f>(Submeters!I6+Submeters!J6+Submeters!K6)</f>
        <v>1980.000000000075</v>
      </c>
      <c r="G7" s="1">
        <f>(Submeters!L6+Submeters!M6)</f>
        <v>0</v>
      </c>
      <c r="H7" s="1">
        <f>(Submeters!N6+Submeters!O6)</f>
        <v>1439.9999999998538</v>
      </c>
      <c r="I7" s="1">
        <f>(Submeters!P6+Submeters!Q6+Submeters!R6+Submeters!S6+Submeters!T6+Submeters!U6)</f>
        <v>2990.0000000000787</v>
      </c>
      <c r="J7" s="1">
        <f>(Submeters!V6+Submeters!W6)</f>
        <v>4447.0399999999208</v>
      </c>
      <c r="K7" s="1">
        <f>Submeters!X6</f>
        <v>279.99999999997272</v>
      </c>
      <c r="L7" s="24">
        <f t="shared" si="0"/>
        <v>6102.9600000022201</v>
      </c>
    </row>
    <row r="8" spans="1:12" x14ac:dyDescent="0.25">
      <c r="A8" s="10">
        <f>'Kwh Reading'!A9</f>
        <v>44932</v>
      </c>
      <c r="B8" s="65">
        <f>TOTAL!E7</f>
        <v>21630.000000000109</v>
      </c>
      <c r="C8" s="1">
        <f>Submeters!E7</f>
        <v>450.00000000004547</v>
      </c>
      <c r="D8" s="1">
        <f>Submeters!F7</f>
        <v>2600.0000000001578</v>
      </c>
      <c r="E8" s="1">
        <f>Submeters!G7</f>
        <v>280.00000000002956</v>
      </c>
      <c r="F8" s="1">
        <f>(Submeters!I7+Submeters!J7+Submeters!K7)</f>
        <v>1840.0000000000318</v>
      </c>
      <c r="G8" s="1">
        <f>(Submeters!L7+Submeters!M7)</f>
        <v>0</v>
      </c>
      <c r="H8" s="1">
        <f>(Submeters!N7+Submeters!O7)</f>
        <v>1440.0000000001328</v>
      </c>
      <c r="I8" s="1">
        <f>(Submeters!P7+Submeters!Q7+Submeters!R7+Submeters!S7+Submeters!T7+Submeters!U7)</f>
        <v>3010.00000000006</v>
      </c>
      <c r="J8" s="1">
        <f>(Submeters!V7+Submeters!W7)</f>
        <v>4511.5200000003679</v>
      </c>
      <c r="K8" s="1">
        <f>Submeters!X7</f>
        <v>280.00000000002956</v>
      </c>
      <c r="L8" s="24">
        <f t="shared" si="0"/>
        <v>7218.4799999992574</v>
      </c>
    </row>
    <row r="9" spans="1:12" x14ac:dyDescent="0.25">
      <c r="A9" s="10">
        <f>'Kwh Reading'!A10</f>
        <v>44933</v>
      </c>
      <c r="B9" s="65">
        <f>TOTAL!E8</f>
        <v>21699.999999998454</v>
      </c>
      <c r="C9" s="1">
        <f>Submeters!E8</f>
        <v>689.99999999994088</v>
      </c>
      <c r="D9" s="1">
        <f>Submeters!F8</f>
        <v>2499.9999999999468</v>
      </c>
      <c r="E9" s="1">
        <f>Submeters!G8</f>
        <v>269.99999999998181</v>
      </c>
      <c r="F9" s="1">
        <f>(Submeters!I8+Submeters!J8+Submeters!K8)</f>
        <v>2489.9999999999523</v>
      </c>
      <c r="G9" s="1">
        <f>(Submeters!L8+Submeters!M8)</f>
        <v>0</v>
      </c>
      <c r="H9" s="1">
        <f>(Submeters!N8+Submeters!O8)</f>
        <v>1509.9999999998702</v>
      </c>
      <c r="I9" s="1">
        <f>(Submeters!P8+Submeters!Q8+Submeters!R8+Submeters!S8+Submeters!T8+Submeters!U8)</f>
        <v>2980.0000000000077</v>
      </c>
      <c r="J9" s="1">
        <f>(Submeters!V8+Submeters!W8)</f>
        <v>4641.3500000009662</v>
      </c>
      <c r="K9" s="1">
        <f>Submeters!X8</f>
        <v>289.99999999996362</v>
      </c>
      <c r="L9" s="24">
        <f t="shared" si="0"/>
        <v>6328.6499999978241</v>
      </c>
    </row>
    <row r="10" spans="1:12" x14ac:dyDescent="0.25">
      <c r="A10" s="10">
        <f>'Kwh Reading'!A11</f>
        <v>44934</v>
      </c>
      <c r="B10" s="65">
        <f>TOTAL!E9</f>
        <v>21119.999999999891</v>
      </c>
      <c r="C10" s="1">
        <f>Submeters!E9</f>
        <v>629.99999999999545</v>
      </c>
      <c r="D10" s="1">
        <f>Submeters!F9</f>
        <v>2599.9999999997135</v>
      </c>
      <c r="E10" s="1">
        <f>Submeters!G9</f>
        <v>279.99999999997272</v>
      </c>
      <c r="F10" s="1">
        <f>(Submeters!I9+Submeters!J9+Submeters!K9)</f>
        <v>1510.0000000000477</v>
      </c>
      <c r="G10" s="1">
        <f>(Submeters!L9+Submeters!M9)</f>
        <v>0</v>
      </c>
      <c r="H10" s="1">
        <f>(Submeters!N9+Submeters!O9)</f>
        <v>1400.0000000001123</v>
      </c>
      <c r="I10" s="1">
        <f>(Submeters!P9+Submeters!Q9+Submeters!R9+Submeters!S9+Submeters!T9+Submeters!U9)</f>
        <v>2949.9999999999213</v>
      </c>
      <c r="J10" s="1">
        <f>(Submeters!V9+Submeters!W9)</f>
        <v>4301.0799999984447</v>
      </c>
      <c r="K10" s="1">
        <f>Submeters!X9</f>
        <v>290.00000000002046</v>
      </c>
      <c r="L10" s="24">
        <f t="shared" si="0"/>
        <v>7158.9200000016644</v>
      </c>
    </row>
    <row r="11" spans="1:12" x14ac:dyDescent="0.25">
      <c r="A11" s="10">
        <f>'Kwh Reading'!A12</f>
        <v>44935</v>
      </c>
      <c r="B11" s="65">
        <f>TOTAL!E10</f>
        <v>21039.999999999964</v>
      </c>
      <c r="C11" s="1">
        <f>Submeters!E10</f>
        <v>570.00000000005002</v>
      </c>
      <c r="D11" s="1">
        <f>Submeters!F10</f>
        <v>2700.0000000003688</v>
      </c>
      <c r="E11" s="1">
        <f>Submeters!G10</f>
        <v>270.00000000003865</v>
      </c>
      <c r="F11" s="1">
        <f>(Submeters!I10+Submeters!J10+Submeters!K10)</f>
        <v>2027.9999999999632</v>
      </c>
      <c r="G11" s="1">
        <f>(Submeters!L10+Submeters!M10)</f>
        <v>0</v>
      </c>
      <c r="H11" s="1">
        <f>(Submeters!N10+Submeters!O10)</f>
        <v>1399.9999999998333</v>
      </c>
      <c r="I11" s="1">
        <f>(Submeters!P10+Submeters!Q10+Submeters!R10+Submeters!S10+Submeters!T10+Submeters!U10)</f>
        <v>3059.9999999998727</v>
      </c>
      <c r="J11" s="1">
        <f>(Submeters!V10+Submeters!W10)</f>
        <v>4619.7999999999302</v>
      </c>
      <c r="K11" s="1">
        <f>Submeters!X10</f>
        <v>250</v>
      </c>
      <c r="L11" s="24">
        <f t="shared" si="0"/>
        <v>6142.1999999999061</v>
      </c>
    </row>
    <row r="12" spans="1:12" x14ac:dyDescent="0.25">
      <c r="A12" s="10">
        <f>'Kwh Reading'!A13</f>
        <v>44936</v>
      </c>
      <c r="B12" s="65">
        <f>TOTAL!E11</f>
        <v>0</v>
      </c>
      <c r="C12" s="1">
        <f>Submeters!E11</f>
        <v>-691220</v>
      </c>
      <c r="D12" s="1">
        <f>Submeters!F11</f>
        <v>-3833200</v>
      </c>
      <c r="E12" s="1">
        <f>Submeters!G11</f>
        <v>-370480</v>
      </c>
      <c r="F12" s="1">
        <f>(Submeters!I11+Submeters!J11+Submeters!K11)</f>
        <v>-1476058</v>
      </c>
      <c r="G12" s="1">
        <f>(Submeters!L11+Submeters!M11)</f>
        <v>0</v>
      </c>
      <c r="H12" s="1">
        <f>(Submeters!N11+Submeters!O11)</f>
        <v>-2014760</v>
      </c>
      <c r="I12" s="1">
        <f>(Submeters!P11+Submeters!Q11+Submeters!R11+Submeters!S11+Submeters!T11+Submeters!U11)</f>
        <v>-5863890</v>
      </c>
      <c r="J12" s="1">
        <f>(Submeters!V11+Submeters!W11)</f>
        <v>-9816198.4299999997</v>
      </c>
      <c r="K12" s="1">
        <f>Submeters!X11</f>
        <v>-271380</v>
      </c>
      <c r="L12" s="24">
        <f t="shared" si="0"/>
        <v>24337186.43</v>
      </c>
    </row>
    <row r="13" spans="1:12" x14ac:dyDescent="0.25">
      <c r="A13" s="10">
        <f>'Kwh Reading'!A14</f>
        <v>44937</v>
      </c>
      <c r="B13" s="65">
        <f>TOTAL!E12</f>
        <v>0</v>
      </c>
      <c r="C13" s="1">
        <f>Submeters!E12</f>
        <v>0</v>
      </c>
      <c r="D13" s="1">
        <f>Submeters!F12</f>
        <v>0</v>
      </c>
      <c r="E13" s="1">
        <f>Submeters!G12</f>
        <v>0</v>
      </c>
      <c r="F13" s="1">
        <f>(Submeters!I12+Submeters!J12+Submeters!K12)</f>
        <v>0</v>
      </c>
      <c r="G13" s="1">
        <f>(Submeters!L12+Submeters!M12)</f>
        <v>0</v>
      </c>
      <c r="H13" s="1">
        <f>(Submeters!N12+Submeters!O12)</f>
        <v>0</v>
      </c>
      <c r="I13" s="1">
        <f>(Submeters!P12+Submeters!Q12+Submeters!R12+Submeters!S12+Submeters!T12+Submeters!U12)</f>
        <v>0</v>
      </c>
      <c r="J13" s="1">
        <f>(Submeters!V12+Submeters!W12)</f>
        <v>0</v>
      </c>
      <c r="K13" s="1">
        <f>Submeters!X12</f>
        <v>0</v>
      </c>
      <c r="L13" s="24">
        <f t="shared" si="0"/>
        <v>0</v>
      </c>
    </row>
    <row r="14" spans="1:12" x14ac:dyDescent="0.25">
      <c r="A14" s="10">
        <f>'Kwh Reading'!A15</f>
        <v>44938</v>
      </c>
      <c r="B14" s="65">
        <f>TOTAL!E13</f>
        <v>0</v>
      </c>
      <c r="C14" s="1">
        <f>Submeters!E13</f>
        <v>0</v>
      </c>
      <c r="D14" s="1">
        <f>Submeters!F13</f>
        <v>0</v>
      </c>
      <c r="E14" s="1">
        <f>Submeters!G13</f>
        <v>0</v>
      </c>
      <c r="F14" s="1">
        <f>(Submeters!I13+Submeters!J13+Submeters!K13)</f>
        <v>0</v>
      </c>
      <c r="G14" s="1">
        <f>(Submeters!L13+Submeters!M13)</f>
        <v>0</v>
      </c>
      <c r="H14" s="1">
        <f>(Submeters!N13+Submeters!O13)</f>
        <v>0</v>
      </c>
      <c r="I14" s="1">
        <f>(Submeters!P13+Submeters!Q13+Submeters!R13+Submeters!S13+Submeters!T13+Submeters!U13)</f>
        <v>0</v>
      </c>
      <c r="J14" s="1">
        <f>(Submeters!V13+Submeters!W13)</f>
        <v>0</v>
      </c>
      <c r="K14" s="1">
        <f>Submeters!X13</f>
        <v>0</v>
      </c>
      <c r="L14" s="24">
        <f t="shared" si="0"/>
        <v>0</v>
      </c>
    </row>
    <row r="15" spans="1:12" x14ac:dyDescent="0.25">
      <c r="A15" s="10">
        <f>'Kwh Reading'!A16</f>
        <v>44939</v>
      </c>
      <c r="B15" s="65">
        <f>TOTAL!E14</f>
        <v>0</v>
      </c>
      <c r="C15" s="1">
        <f>Submeters!E14</f>
        <v>0</v>
      </c>
      <c r="D15" s="1">
        <f>Submeters!F14</f>
        <v>0</v>
      </c>
      <c r="E15" s="1">
        <f>Submeters!G14</f>
        <v>0</v>
      </c>
      <c r="F15" s="1">
        <f>(Submeters!I14+Submeters!J14+Submeters!K14)</f>
        <v>0</v>
      </c>
      <c r="G15" s="1">
        <f>(Submeters!L14+Submeters!M14)</f>
        <v>0</v>
      </c>
      <c r="H15" s="1">
        <f>(Submeters!N14+Submeters!O14)</f>
        <v>0</v>
      </c>
      <c r="I15" s="1">
        <f>(Submeters!P14+Submeters!Q14+Submeters!R14+Submeters!S14+Submeters!T14+Submeters!U14)</f>
        <v>0</v>
      </c>
      <c r="J15" s="1">
        <f>(Submeters!V14+Submeters!W14)</f>
        <v>0</v>
      </c>
      <c r="K15" s="1">
        <f>Submeters!X14</f>
        <v>0</v>
      </c>
      <c r="L15" s="24">
        <f t="shared" si="0"/>
        <v>0</v>
      </c>
    </row>
    <row r="16" spans="1:12" x14ac:dyDescent="0.25">
      <c r="A16" s="10">
        <f>'Kwh Reading'!A17</f>
        <v>44940</v>
      </c>
      <c r="B16" s="65">
        <f>TOTAL!E15</f>
        <v>0</v>
      </c>
      <c r="C16" s="1">
        <f>Submeters!E15</f>
        <v>0</v>
      </c>
      <c r="D16" s="1">
        <f>Submeters!F15</f>
        <v>0</v>
      </c>
      <c r="E16" s="1">
        <f>Submeters!G15</f>
        <v>0</v>
      </c>
      <c r="F16" s="1">
        <f>(Submeters!I15+Submeters!J15+Submeters!K15)</f>
        <v>0</v>
      </c>
      <c r="G16" s="1">
        <f>(Submeters!L15+Submeters!M15)</f>
        <v>0</v>
      </c>
      <c r="H16" s="1">
        <f>(Submeters!N15+Submeters!O15)</f>
        <v>0</v>
      </c>
      <c r="I16" s="1">
        <f>(Submeters!P15+Submeters!Q15+Submeters!R15+Submeters!S15+Submeters!T15+Submeters!U15)</f>
        <v>0</v>
      </c>
      <c r="J16" s="1">
        <f>(Submeters!V15+Submeters!W15)</f>
        <v>0</v>
      </c>
      <c r="K16" s="1">
        <f>Submeters!X15</f>
        <v>0</v>
      </c>
      <c r="L16" s="24">
        <f t="shared" si="0"/>
        <v>0</v>
      </c>
    </row>
    <row r="17" spans="1:12" x14ac:dyDescent="0.25">
      <c r="A17" s="10">
        <f>'Kwh Reading'!A18</f>
        <v>44941</v>
      </c>
      <c r="B17" s="65">
        <f>TOTAL!E16</f>
        <v>0</v>
      </c>
      <c r="C17" s="1">
        <f>Submeters!E16</f>
        <v>0</v>
      </c>
      <c r="D17" s="1">
        <f>Submeters!F16</f>
        <v>0</v>
      </c>
      <c r="E17" s="1">
        <f>Submeters!G16</f>
        <v>0</v>
      </c>
      <c r="F17" s="1">
        <f>(Submeters!I16+Submeters!J16+Submeters!K16)</f>
        <v>0</v>
      </c>
      <c r="G17" s="1">
        <f>(Submeters!L16+Submeters!M16)</f>
        <v>0</v>
      </c>
      <c r="H17" s="1">
        <f>(Submeters!N16+Submeters!O16)</f>
        <v>0</v>
      </c>
      <c r="I17" s="1">
        <f>(Submeters!P16+Submeters!Q16+Submeters!R16+Submeters!S16+Submeters!T16+Submeters!U16)</f>
        <v>0</v>
      </c>
      <c r="J17" s="1">
        <f>(Submeters!V16+Submeters!W16)</f>
        <v>0</v>
      </c>
      <c r="K17" s="1">
        <f>Submeters!X16</f>
        <v>0</v>
      </c>
      <c r="L17" s="24">
        <f t="shared" si="0"/>
        <v>0</v>
      </c>
    </row>
    <row r="18" spans="1:12" x14ac:dyDescent="0.25">
      <c r="A18" s="10">
        <f>'Kwh Reading'!A19</f>
        <v>44942</v>
      </c>
      <c r="B18" s="65">
        <f>TOTAL!E17</f>
        <v>0</v>
      </c>
      <c r="C18" s="1">
        <f>Submeters!E17</f>
        <v>0</v>
      </c>
      <c r="D18" s="1">
        <f>Submeters!F17</f>
        <v>0</v>
      </c>
      <c r="E18" s="1">
        <f>Submeters!G17</f>
        <v>0</v>
      </c>
      <c r="F18" s="1">
        <f>(Submeters!I17+Submeters!J17+Submeters!K17)</f>
        <v>0</v>
      </c>
      <c r="G18" s="1">
        <f>(Submeters!L17+Submeters!M17)</f>
        <v>0</v>
      </c>
      <c r="H18" s="1">
        <f>(Submeters!N17+Submeters!O17)</f>
        <v>0</v>
      </c>
      <c r="I18" s="1">
        <f>(Submeters!P17+Submeters!Q17+Submeters!R17+Submeters!S17+Submeters!T17+Submeters!U17)</f>
        <v>0</v>
      </c>
      <c r="J18" s="1">
        <f>(Submeters!V17+Submeters!W17)</f>
        <v>0</v>
      </c>
      <c r="K18" s="1">
        <f>Submeters!X17</f>
        <v>0</v>
      </c>
      <c r="L18" s="24">
        <f t="shared" si="0"/>
        <v>0</v>
      </c>
    </row>
    <row r="19" spans="1:12" x14ac:dyDescent="0.25">
      <c r="A19" s="10">
        <f>'Kwh Reading'!A20</f>
        <v>44943</v>
      </c>
      <c r="B19" s="65">
        <f>TOTAL!E18</f>
        <v>0</v>
      </c>
      <c r="C19" s="1">
        <f>Submeters!E18</f>
        <v>0</v>
      </c>
      <c r="D19" s="1">
        <f>Submeters!F18</f>
        <v>0</v>
      </c>
      <c r="E19" s="1">
        <f>Submeters!G18</f>
        <v>0</v>
      </c>
      <c r="F19" s="1">
        <f>(Submeters!I18+Submeters!J18+Submeters!K18)</f>
        <v>0</v>
      </c>
      <c r="G19" s="1">
        <f>(Submeters!L18+Submeters!M18)</f>
        <v>0</v>
      </c>
      <c r="H19" s="1">
        <f>(Submeters!N18+Submeters!O18)</f>
        <v>0</v>
      </c>
      <c r="I19" s="1">
        <f>(Submeters!P18+Submeters!Q18+Submeters!R18+Submeters!S18+Submeters!T18+Submeters!U18)</f>
        <v>0</v>
      </c>
      <c r="J19" s="1">
        <f>(Submeters!V18+Submeters!W18)</f>
        <v>0</v>
      </c>
      <c r="K19" s="1">
        <f>Submeters!X18</f>
        <v>0</v>
      </c>
      <c r="L19" s="24">
        <f t="shared" si="0"/>
        <v>0</v>
      </c>
    </row>
    <row r="20" spans="1:12" x14ac:dyDescent="0.25">
      <c r="A20" s="10">
        <f>'Kwh Reading'!A21</f>
        <v>44944</v>
      </c>
      <c r="B20" s="65">
        <f>TOTAL!E19</f>
        <v>0</v>
      </c>
      <c r="C20" s="1">
        <f>Submeters!E19</f>
        <v>0</v>
      </c>
      <c r="D20" s="1">
        <f>Submeters!F19</f>
        <v>0</v>
      </c>
      <c r="E20" s="1">
        <f>Submeters!G19</f>
        <v>0</v>
      </c>
      <c r="F20" s="1">
        <f>(Submeters!I19+Submeters!J19+Submeters!K19)</f>
        <v>0</v>
      </c>
      <c r="G20" s="1">
        <f>(Submeters!L19+Submeters!M19)</f>
        <v>0</v>
      </c>
      <c r="H20" s="1">
        <f>(Submeters!N19+Submeters!O19)</f>
        <v>0</v>
      </c>
      <c r="I20" s="1">
        <f>(Submeters!P19+Submeters!Q19+Submeters!R19+Submeters!S19+Submeters!T19+Submeters!U19)</f>
        <v>0</v>
      </c>
      <c r="J20" s="1">
        <f>(Submeters!V19+Submeters!W19)</f>
        <v>0</v>
      </c>
      <c r="K20" s="1">
        <f>Submeters!X19</f>
        <v>0</v>
      </c>
      <c r="L20" s="24">
        <f t="shared" si="0"/>
        <v>0</v>
      </c>
    </row>
    <row r="21" spans="1:12" x14ac:dyDescent="0.25">
      <c r="A21" s="10">
        <f>'Kwh Reading'!A22</f>
        <v>44945</v>
      </c>
      <c r="B21" s="65">
        <f>TOTAL!E20</f>
        <v>0</v>
      </c>
      <c r="C21" s="1">
        <f>Submeters!E20</f>
        <v>0</v>
      </c>
      <c r="D21" s="1">
        <f>Submeters!F20</f>
        <v>0</v>
      </c>
      <c r="E21" s="1">
        <f>Submeters!G20</f>
        <v>0</v>
      </c>
      <c r="F21" s="1">
        <f>(Submeters!I20+Submeters!J20+Submeters!K20)</f>
        <v>0</v>
      </c>
      <c r="G21" s="1">
        <f>(Submeters!L20+Submeters!M20)</f>
        <v>0</v>
      </c>
      <c r="H21" s="1">
        <f>(Submeters!N20+Submeters!O20)</f>
        <v>0</v>
      </c>
      <c r="I21" s="1">
        <f>(Submeters!P20+Submeters!Q20+Submeters!R20+Submeters!S20+Submeters!T20+Submeters!U20)</f>
        <v>0</v>
      </c>
      <c r="J21" s="1">
        <f>(Submeters!V20+Submeters!W20)</f>
        <v>0</v>
      </c>
      <c r="K21" s="1">
        <f>Submeters!X20</f>
        <v>0</v>
      </c>
      <c r="L21" s="24">
        <f t="shared" si="0"/>
        <v>0</v>
      </c>
    </row>
    <row r="22" spans="1:12" x14ac:dyDescent="0.25">
      <c r="A22" s="10">
        <f>'Kwh Reading'!A23</f>
        <v>44946</v>
      </c>
      <c r="B22" s="65">
        <f>TOTAL!E21</f>
        <v>0</v>
      </c>
      <c r="C22" s="1">
        <f>Submeters!E21</f>
        <v>0</v>
      </c>
      <c r="D22" s="1">
        <f>Submeters!F21</f>
        <v>0</v>
      </c>
      <c r="E22" s="1">
        <f>Submeters!G21</f>
        <v>0</v>
      </c>
      <c r="F22" s="1">
        <f>(Submeters!I21+Submeters!J21+Submeters!K21)</f>
        <v>0</v>
      </c>
      <c r="G22" s="1">
        <f>(Submeters!L21+Submeters!M21)</f>
        <v>0</v>
      </c>
      <c r="H22" s="1">
        <f>(Submeters!N21+Submeters!O21)</f>
        <v>0</v>
      </c>
      <c r="I22" s="1">
        <f>(Submeters!P21+Submeters!Q21+Submeters!R21+Submeters!S21+Submeters!T21+Submeters!U21)</f>
        <v>0</v>
      </c>
      <c r="J22" s="1">
        <f>(Submeters!V21+Submeters!W21)</f>
        <v>0</v>
      </c>
      <c r="K22" s="1">
        <f>Submeters!X21</f>
        <v>0</v>
      </c>
      <c r="L22" s="24">
        <f t="shared" si="0"/>
        <v>0</v>
      </c>
    </row>
    <row r="23" spans="1:12" x14ac:dyDescent="0.25">
      <c r="A23" s="10">
        <f>'Kwh Reading'!A24</f>
        <v>44947</v>
      </c>
      <c r="B23" s="65">
        <f>TOTAL!E22</f>
        <v>0</v>
      </c>
      <c r="C23" s="1">
        <f>Submeters!E22</f>
        <v>0</v>
      </c>
      <c r="D23" s="1">
        <f>Submeters!F22</f>
        <v>0</v>
      </c>
      <c r="E23" s="1">
        <f>Submeters!G22</f>
        <v>0</v>
      </c>
      <c r="F23" s="1">
        <f>(Submeters!I22+Submeters!J22+Submeters!K22)</f>
        <v>0</v>
      </c>
      <c r="G23" s="1">
        <f>(Submeters!L22+Submeters!M22)</f>
        <v>0</v>
      </c>
      <c r="H23" s="1">
        <f>(Submeters!N22+Submeters!O22)</f>
        <v>0</v>
      </c>
      <c r="I23" s="1">
        <f>(Submeters!P22+Submeters!Q22+Submeters!R22+Submeters!S22+Submeters!T22+Submeters!U22)</f>
        <v>0</v>
      </c>
      <c r="J23" s="1">
        <f>(Submeters!V22+Submeters!W22)</f>
        <v>0</v>
      </c>
      <c r="K23" s="1">
        <f>Submeters!X22</f>
        <v>0</v>
      </c>
      <c r="L23" s="24">
        <f t="shared" si="0"/>
        <v>0</v>
      </c>
    </row>
    <row r="24" spans="1:12" x14ac:dyDescent="0.25">
      <c r="A24" s="10">
        <f>'Kwh Reading'!A25</f>
        <v>44948</v>
      </c>
      <c r="B24" s="65">
        <f>TOTAL!E23</f>
        <v>0</v>
      </c>
      <c r="C24" s="1">
        <f>Submeters!E23</f>
        <v>0</v>
      </c>
      <c r="D24" s="1">
        <f>Submeters!F23</f>
        <v>0</v>
      </c>
      <c r="E24" s="1">
        <f>Submeters!G23</f>
        <v>0</v>
      </c>
      <c r="F24" s="1">
        <f>(Submeters!I23+Submeters!J23+Submeters!K23)</f>
        <v>0</v>
      </c>
      <c r="G24" s="1">
        <f>(Submeters!L23+Submeters!M23)</f>
        <v>0</v>
      </c>
      <c r="H24" s="1">
        <f>(Submeters!N23+Submeters!O23)</f>
        <v>0</v>
      </c>
      <c r="I24" s="1">
        <f>(Submeters!P23+Submeters!Q23+Submeters!R23+Submeters!S23+Submeters!T23+Submeters!U23)</f>
        <v>0</v>
      </c>
      <c r="J24" s="1">
        <f>(Submeters!V23+Submeters!W23)</f>
        <v>0</v>
      </c>
      <c r="K24" s="1">
        <f>Submeters!X23</f>
        <v>0</v>
      </c>
      <c r="L24" s="24">
        <f t="shared" si="0"/>
        <v>0</v>
      </c>
    </row>
    <row r="25" spans="1:12" x14ac:dyDescent="0.25">
      <c r="A25" s="10">
        <f>'Kwh Reading'!A26</f>
        <v>44949</v>
      </c>
      <c r="B25" s="65">
        <f>TOTAL!E24</f>
        <v>0</v>
      </c>
      <c r="C25" s="1">
        <f>Submeters!E24</f>
        <v>0</v>
      </c>
      <c r="D25" s="1">
        <f>Submeters!F24</f>
        <v>0</v>
      </c>
      <c r="E25" s="1">
        <f>Submeters!G24</f>
        <v>0</v>
      </c>
      <c r="F25" s="1">
        <f>(Submeters!I24+Submeters!J24+Submeters!K24)</f>
        <v>0</v>
      </c>
      <c r="G25" s="1">
        <f>(Submeters!L24+Submeters!M24)</f>
        <v>0</v>
      </c>
      <c r="H25" s="1">
        <f>(Submeters!N24+Submeters!O24)</f>
        <v>0</v>
      </c>
      <c r="I25" s="1">
        <f>(Submeters!P24+Submeters!Q24+Submeters!R24+Submeters!S24+Submeters!T24+Submeters!U24)</f>
        <v>0</v>
      </c>
      <c r="J25" s="1">
        <f>(Submeters!V24+Submeters!W24)</f>
        <v>0</v>
      </c>
      <c r="K25" s="1">
        <f>Submeters!X24</f>
        <v>0</v>
      </c>
      <c r="L25" s="24">
        <f t="shared" si="0"/>
        <v>0</v>
      </c>
    </row>
    <row r="26" spans="1:12" x14ac:dyDescent="0.25">
      <c r="A26" s="10">
        <f>'Kwh Reading'!A27</f>
        <v>44950</v>
      </c>
      <c r="B26" s="65">
        <f>TOTAL!E25</f>
        <v>0</v>
      </c>
      <c r="C26" s="1">
        <f>Submeters!E25</f>
        <v>0</v>
      </c>
      <c r="D26" s="1">
        <f>Submeters!F25</f>
        <v>0</v>
      </c>
      <c r="E26" s="1">
        <f>Submeters!G25</f>
        <v>0</v>
      </c>
      <c r="F26" s="1">
        <f>(Submeters!I25+Submeters!J25+Submeters!K25)</f>
        <v>0</v>
      </c>
      <c r="G26" s="1">
        <f>(Submeters!L25+Submeters!M25)</f>
        <v>0</v>
      </c>
      <c r="H26" s="1">
        <f>(Submeters!N25+Submeters!O25)</f>
        <v>0</v>
      </c>
      <c r="I26" s="1">
        <f>(Submeters!P25+Submeters!Q25+Submeters!R25+Submeters!S25+Submeters!T25+Submeters!U25)</f>
        <v>0</v>
      </c>
      <c r="J26" s="1">
        <f>(Submeters!V25+Submeters!W25)</f>
        <v>0</v>
      </c>
      <c r="K26" s="1">
        <f>Submeters!X25</f>
        <v>0</v>
      </c>
      <c r="L26" s="24">
        <f t="shared" si="0"/>
        <v>0</v>
      </c>
    </row>
    <row r="27" spans="1:12" x14ac:dyDescent="0.25">
      <c r="A27" s="10">
        <f>'Kwh Reading'!A28</f>
        <v>44951</v>
      </c>
      <c r="B27" s="65">
        <f>TOTAL!E26</f>
        <v>0</v>
      </c>
      <c r="C27" s="1">
        <f>Submeters!E26</f>
        <v>0</v>
      </c>
      <c r="D27" s="1">
        <f>Submeters!F26</f>
        <v>0</v>
      </c>
      <c r="E27" s="1">
        <f>Submeters!G26</f>
        <v>0</v>
      </c>
      <c r="F27" s="1">
        <f>(Submeters!I26+Submeters!J26+Submeters!K26)</f>
        <v>0</v>
      </c>
      <c r="G27" s="1">
        <f>(Submeters!L26+Submeters!M26)</f>
        <v>0</v>
      </c>
      <c r="H27" s="1">
        <f>(Submeters!N26+Submeters!O26)</f>
        <v>0</v>
      </c>
      <c r="I27" s="1">
        <f>(Submeters!P26+Submeters!Q26+Submeters!R26+Submeters!S26+Submeters!T26+Submeters!U26)</f>
        <v>0</v>
      </c>
      <c r="J27" s="1">
        <f>(Submeters!V26+Submeters!W26)</f>
        <v>0</v>
      </c>
      <c r="K27" s="1">
        <f>Submeters!X26</f>
        <v>0</v>
      </c>
      <c r="L27" s="24">
        <f t="shared" si="0"/>
        <v>0</v>
      </c>
    </row>
    <row r="28" spans="1:12" x14ac:dyDescent="0.25">
      <c r="A28" s="10">
        <f>'Kwh Reading'!A29</f>
        <v>44952</v>
      </c>
      <c r="B28" s="65">
        <f>TOTAL!E27</f>
        <v>0</v>
      </c>
      <c r="C28" s="1">
        <f>Submeters!E27</f>
        <v>0</v>
      </c>
      <c r="D28" s="1">
        <f>Submeters!F27</f>
        <v>0</v>
      </c>
      <c r="E28" s="1">
        <f>Submeters!G27</f>
        <v>0</v>
      </c>
      <c r="F28" s="1">
        <f>(Submeters!I27+Submeters!J27+Submeters!K27)</f>
        <v>0</v>
      </c>
      <c r="G28" s="1">
        <f>(Submeters!L27+Submeters!M27)</f>
        <v>0</v>
      </c>
      <c r="H28" s="1">
        <f>(Submeters!N27+Submeters!O27)</f>
        <v>0</v>
      </c>
      <c r="I28" s="1">
        <f>(Submeters!P27+Submeters!Q27+Submeters!R27+Submeters!S27+Submeters!T27+Submeters!U27)</f>
        <v>0</v>
      </c>
      <c r="J28" s="1">
        <f>(Submeters!V27+Submeters!W27)</f>
        <v>0</v>
      </c>
      <c r="K28" s="1">
        <f>Submeters!X27</f>
        <v>0</v>
      </c>
      <c r="L28" s="24">
        <f t="shared" si="0"/>
        <v>0</v>
      </c>
    </row>
    <row r="29" spans="1:12" x14ac:dyDescent="0.25">
      <c r="A29" s="10">
        <f>'Kwh Reading'!A30</f>
        <v>44953</v>
      </c>
      <c r="B29" s="65">
        <f>TOTAL!E28</f>
        <v>0</v>
      </c>
      <c r="C29" s="1">
        <f>Submeters!E28</f>
        <v>0</v>
      </c>
      <c r="D29" s="1">
        <f>Submeters!F28</f>
        <v>0</v>
      </c>
      <c r="E29" s="1">
        <f>Submeters!G28</f>
        <v>0</v>
      </c>
      <c r="F29" s="1">
        <f>(Submeters!I28+Submeters!J28+Submeters!K28)</f>
        <v>0</v>
      </c>
      <c r="G29" s="1">
        <f>(Submeters!L28+Submeters!M28)</f>
        <v>0</v>
      </c>
      <c r="H29" s="1">
        <f>(Submeters!N28+Submeters!O28)</f>
        <v>0</v>
      </c>
      <c r="I29" s="1">
        <f>(Submeters!P28+Submeters!Q28+Submeters!R28+Submeters!S28+Submeters!T28+Submeters!U28)</f>
        <v>0</v>
      </c>
      <c r="J29" s="1">
        <f>(Submeters!V28+Submeters!W28)</f>
        <v>0</v>
      </c>
      <c r="K29" s="1">
        <f>Submeters!X28</f>
        <v>0</v>
      </c>
      <c r="L29" s="24">
        <f t="shared" si="0"/>
        <v>0</v>
      </c>
    </row>
    <row r="30" spans="1:12" x14ac:dyDescent="0.25">
      <c r="A30" s="10">
        <f>'Kwh Reading'!A31</f>
        <v>44954</v>
      </c>
      <c r="B30" s="65">
        <f>TOTAL!E29</f>
        <v>0</v>
      </c>
      <c r="C30" s="1">
        <f>Submeters!E29</f>
        <v>0</v>
      </c>
      <c r="D30" s="1">
        <f>Submeters!F29</f>
        <v>0</v>
      </c>
      <c r="E30" s="1">
        <f>Submeters!G29</f>
        <v>0</v>
      </c>
      <c r="F30" s="1">
        <f>(Submeters!I29+Submeters!J29+Submeters!K29)</f>
        <v>0</v>
      </c>
      <c r="G30" s="1">
        <f>(Submeters!L29+Submeters!M29)</f>
        <v>0</v>
      </c>
      <c r="H30" s="1">
        <f>(Submeters!N29+Submeters!O29)</f>
        <v>0</v>
      </c>
      <c r="I30" s="1">
        <f>(Submeters!P29+Submeters!Q29+Submeters!R29+Submeters!S29+Submeters!T29+Submeters!U29)</f>
        <v>0</v>
      </c>
      <c r="J30" s="1">
        <f>(Submeters!V29+Submeters!W29)</f>
        <v>0</v>
      </c>
      <c r="K30" s="1">
        <f>Submeters!X29</f>
        <v>0</v>
      </c>
      <c r="L30" s="24">
        <f t="shared" si="0"/>
        <v>0</v>
      </c>
    </row>
    <row r="31" spans="1:12" x14ac:dyDescent="0.25">
      <c r="A31" s="10">
        <f>'Kwh Reading'!A32</f>
        <v>44955</v>
      </c>
      <c r="B31" s="65">
        <f>TOTAL!E30</f>
        <v>0</v>
      </c>
      <c r="C31" s="1">
        <f>Submeters!E30</f>
        <v>0</v>
      </c>
      <c r="D31" s="1">
        <f>Submeters!F30</f>
        <v>0</v>
      </c>
      <c r="E31" s="1">
        <f>Submeters!G30</f>
        <v>0</v>
      </c>
      <c r="F31" s="1">
        <f>(Submeters!I30+Submeters!J30+Submeters!K30)</f>
        <v>0</v>
      </c>
      <c r="G31" s="1">
        <f>(Submeters!L30+Submeters!M30)</f>
        <v>0</v>
      </c>
      <c r="H31" s="1">
        <f>(Submeters!N30+Submeters!O30)</f>
        <v>0</v>
      </c>
      <c r="I31" s="1">
        <f>(Submeters!P30+Submeters!Q30+Submeters!R30+Submeters!S30+Submeters!T30+Submeters!U30)</f>
        <v>0</v>
      </c>
      <c r="J31" s="1">
        <f>(Submeters!V30+Submeters!W30)</f>
        <v>0</v>
      </c>
      <c r="K31" s="1">
        <f>Submeters!X30</f>
        <v>0</v>
      </c>
      <c r="L31" s="24">
        <f t="shared" si="0"/>
        <v>0</v>
      </c>
    </row>
    <row r="32" spans="1:12" x14ac:dyDescent="0.25">
      <c r="A32" s="10">
        <f>'Kwh Reading'!A33</f>
        <v>44956</v>
      </c>
      <c r="B32" s="65">
        <f>TOTAL!E31</f>
        <v>0</v>
      </c>
      <c r="C32" s="1">
        <f>Submeters!E31</f>
        <v>0</v>
      </c>
      <c r="D32" s="1">
        <f>Submeters!F31</f>
        <v>0</v>
      </c>
      <c r="E32" s="1">
        <f>Submeters!G31</f>
        <v>0</v>
      </c>
      <c r="F32" s="1">
        <f>(Submeters!I31+Submeters!J31+Submeters!K31)</f>
        <v>0</v>
      </c>
      <c r="G32" s="1">
        <f>(Submeters!L31+Submeters!M31)</f>
        <v>0</v>
      </c>
      <c r="H32" s="1">
        <f>(Submeters!N31+Submeters!O31)</f>
        <v>0</v>
      </c>
      <c r="I32" s="1">
        <f>(Submeters!P31+Submeters!Q31+Submeters!R31+Submeters!S31+Submeters!T31+Submeters!U31)</f>
        <v>0</v>
      </c>
      <c r="J32" s="1">
        <f>(Submeters!V31+Submeters!W31)</f>
        <v>0</v>
      </c>
      <c r="K32" s="1">
        <f>Submeters!X31</f>
        <v>0</v>
      </c>
      <c r="L32" s="24">
        <f t="shared" si="0"/>
        <v>0</v>
      </c>
    </row>
    <row r="33" spans="1:13" ht="15.75" x14ac:dyDescent="0.25">
      <c r="A33" s="67" t="s">
        <v>108</v>
      </c>
      <c r="B33" s="60">
        <f>SUM(B3:B32)</f>
        <v>190509.99999999994</v>
      </c>
      <c r="C33" s="60">
        <f>SUM(C3:C32)</f>
        <v>-686220</v>
      </c>
      <c r="D33" s="60">
        <f t="shared" ref="D33:L33" si="1">SUM(D3:D32)</f>
        <v>-3812500</v>
      </c>
      <c r="E33" s="60">
        <f t="shared" si="1"/>
        <v>-368230</v>
      </c>
      <c r="F33" s="60">
        <f t="shared" si="1"/>
        <v>-1457890</v>
      </c>
      <c r="G33" s="60">
        <f t="shared" si="1"/>
        <v>0</v>
      </c>
      <c r="H33" s="60">
        <f t="shared" si="1"/>
        <v>-2001920.0000000002</v>
      </c>
      <c r="I33" s="60">
        <f t="shared" si="1"/>
        <v>-5837090</v>
      </c>
      <c r="J33" s="60">
        <f t="shared" si="1"/>
        <v>-9776594.3900000006</v>
      </c>
      <c r="K33" s="60">
        <f t="shared" si="1"/>
        <v>-268880</v>
      </c>
      <c r="L33" s="60">
        <f t="shared" si="1"/>
        <v>24399834.390000001</v>
      </c>
      <c r="M33" s="66">
        <f>C33+D33+E33+F33+G33+H33+I33+J33+K33+L33</f>
        <v>190510</v>
      </c>
    </row>
    <row r="35" spans="1:13" ht="15.75" x14ac:dyDescent="0.25">
      <c r="A35" s="67" t="s">
        <v>52</v>
      </c>
      <c r="B35" s="91">
        <f>TOTAL!F2</f>
        <v>0</v>
      </c>
      <c r="C35" s="60">
        <f>C33*B35</f>
        <v>0</v>
      </c>
      <c r="D35" s="60">
        <f>D33*B35</f>
        <v>0</v>
      </c>
      <c r="E35" s="60">
        <f>E33*B35</f>
        <v>0</v>
      </c>
      <c r="F35" s="60">
        <f>F33*B35</f>
        <v>0</v>
      </c>
      <c r="G35" s="60">
        <f>G33*B35</f>
        <v>0</v>
      </c>
      <c r="H35" s="60">
        <f>H33*B35</f>
        <v>0</v>
      </c>
      <c r="I35" s="60">
        <f>I33*B35</f>
        <v>0</v>
      </c>
      <c r="J35" s="60">
        <f>J33*B35</f>
        <v>0</v>
      </c>
      <c r="K35" s="60">
        <f>K33*B35</f>
        <v>0</v>
      </c>
      <c r="L35" s="60">
        <f>L33*B35</f>
        <v>0</v>
      </c>
      <c r="M35" s="66">
        <f>C35+D35+E35+F35+G35+H35+I35+J35+K35+L35</f>
        <v>0</v>
      </c>
    </row>
    <row r="36" spans="1:13" x14ac:dyDescent="0.25">
      <c r="J36" s="64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3" sqref="D3"/>
    </sheetView>
  </sheetViews>
  <sheetFormatPr defaultRowHeight="15" x14ac:dyDescent="0.25"/>
  <cols>
    <col min="1" max="1" width="9.42578125" style="8" customWidth="1"/>
    <col min="2" max="3" width="14.5703125" style="8" customWidth="1"/>
    <col min="4" max="4" width="14.85546875" style="11" customWidth="1"/>
    <col min="5" max="5" width="16" style="11" customWidth="1"/>
    <col min="6" max="6" width="13.5703125" style="11" customWidth="1"/>
    <col min="7" max="8" width="15.28515625" style="11" customWidth="1"/>
    <col min="9" max="9" width="18.28515625" style="11" customWidth="1"/>
    <col min="10" max="10" width="25.28515625" style="11" customWidth="1"/>
    <col min="11" max="11" width="19.42578125" style="11" customWidth="1"/>
    <col min="12" max="12" width="10.85546875" style="11" customWidth="1"/>
    <col min="13" max="13" width="11.7109375" customWidth="1"/>
    <col min="14" max="14" width="14.140625" customWidth="1"/>
  </cols>
  <sheetData>
    <row r="1" spans="1:13" ht="15.75" x14ac:dyDescent="0.25">
      <c r="A1" s="7"/>
      <c r="B1" s="7"/>
      <c r="C1" s="7"/>
      <c r="D1" s="4"/>
      <c r="E1" s="4"/>
      <c r="F1" s="4"/>
      <c r="G1" s="4"/>
    </row>
    <row r="2" spans="1:13" ht="36" customHeight="1" x14ac:dyDescent="0.25">
      <c r="A2" s="14" t="s">
        <v>2</v>
      </c>
      <c r="B2" s="29" t="s">
        <v>51</v>
      </c>
      <c r="C2" s="28" t="s">
        <v>52</v>
      </c>
      <c r="D2" s="27" t="s">
        <v>53</v>
      </c>
      <c r="E2" s="27" t="s">
        <v>54</v>
      </c>
      <c r="F2" s="28" t="s">
        <v>55</v>
      </c>
      <c r="G2" s="27" t="s">
        <v>56</v>
      </c>
      <c r="H2" s="15" t="s">
        <v>57</v>
      </c>
      <c r="I2" s="16" t="s">
        <v>58</v>
      </c>
      <c r="J2" s="17" t="s">
        <v>59</v>
      </c>
      <c r="K2" s="18" t="s">
        <v>60</v>
      </c>
      <c r="L2" s="20" t="s">
        <v>61</v>
      </c>
      <c r="M2" s="20" t="s">
        <v>62</v>
      </c>
    </row>
    <row r="3" spans="1:13" x14ac:dyDescent="0.25">
      <c r="A3" s="10">
        <f>'Kwh Reading'!A4</f>
        <v>44927</v>
      </c>
      <c r="B3" s="92">
        <f>TOTAL!F2</f>
        <v>0</v>
      </c>
      <c r="C3" s="9" t="e">
        <f>Submeters!#REF!*' Kwh area wise $ '!B3</f>
        <v>#REF!</v>
      </c>
      <c r="D3" s="1">
        <f>Submeters!E2*' Kwh area wise $ '!B3</f>
        <v>0</v>
      </c>
      <c r="E3" s="1">
        <f>Submeters!F2*' Kwh area wise $ '!B3</f>
        <v>0</v>
      </c>
      <c r="F3" s="1">
        <f>Submeters!G2*' Kwh area wise $ '!B3</f>
        <v>0</v>
      </c>
      <c r="G3" s="1">
        <f>(Submeters!I2+Submeters!J2+Submeters!K2)*' Kwh area wise $ '!B3</f>
        <v>0</v>
      </c>
      <c r="H3" s="1">
        <f>(Submeters!L2+Submeters!M2)*' Kwh area wise $ '!B3</f>
        <v>0</v>
      </c>
      <c r="I3" s="1">
        <f>(Submeters!N2+Submeters!O2)*' Kwh area wise $ '!B3</f>
        <v>0</v>
      </c>
      <c r="J3" s="1">
        <f>(Submeters!P2+Submeters!Q2+Submeters!R2+Submeters!S2+Submeters!T2+Submeters!U2)*' Kwh area wise $ '!B3</f>
        <v>0</v>
      </c>
      <c r="K3" s="24">
        <f>(Submeters!V2+Submeters!W2)*' Kwh area wise $ '!B3</f>
        <v>0</v>
      </c>
      <c r="L3" s="1">
        <f>Submeters!X2*' Kwh area wise $ '!B3</f>
        <v>0</v>
      </c>
      <c r="M3" s="24" t="e">
        <f>Submeters!#REF!*' Kwh area wise $ '!B3</f>
        <v>#REF!</v>
      </c>
    </row>
    <row r="4" spans="1:13" x14ac:dyDescent="0.25">
      <c r="A4" s="10">
        <f>'Kwh Reading'!A5</f>
        <v>44928</v>
      </c>
      <c r="B4" s="92">
        <f>TOTAL!F3</f>
        <v>0</v>
      </c>
      <c r="C4" s="9" t="e">
        <f>Submeters!#REF!*' Kwh area wise $ '!B4</f>
        <v>#REF!</v>
      </c>
      <c r="D4" s="1">
        <f>Submeters!E3*' Kwh area wise $ '!B4</f>
        <v>0</v>
      </c>
      <c r="E4" s="1">
        <f>Submeters!F3*' Kwh area wise $ '!B4</f>
        <v>0</v>
      </c>
      <c r="F4" s="1">
        <f>Submeters!G3*' Kwh area wise $ '!B4</f>
        <v>0</v>
      </c>
      <c r="G4" s="1">
        <f>(Submeters!I3+Submeters!J3+Submeters!K3)*' Kwh area wise $ '!B4</f>
        <v>0</v>
      </c>
      <c r="H4" s="1">
        <f>(Submeters!L3+Submeters!M3)*' Kwh area wise $ '!B4</f>
        <v>0</v>
      </c>
      <c r="I4" s="1">
        <f>(Submeters!N3+Submeters!O3)*' Kwh area wise $ '!B4</f>
        <v>0</v>
      </c>
      <c r="J4" s="1">
        <f>(Submeters!P3+Submeters!Q3+Submeters!R3+Submeters!S3+Submeters!T3+Submeters!U3)*' Kwh area wise $ '!B4</f>
        <v>0</v>
      </c>
      <c r="K4" s="24">
        <f>(Submeters!V3+Submeters!W3)*' Kwh area wise $ '!B4</f>
        <v>0</v>
      </c>
      <c r="L4" s="1">
        <f>Submeters!X3*' Kwh area wise $ '!B4</f>
        <v>0</v>
      </c>
      <c r="M4" s="24" t="e">
        <f>Submeters!#REF!*' Kwh area wise $ '!B4</f>
        <v>#REF!</v>
      </c>
    </row>
    <row r="5" spans="1:13" x14ac:dyDescent="0.25">
      <c r="A5" s="10">
        <f>'Kwh Reading'!A6</f>
        <v>44929</v>
      </c>
      <c r="B5" s="92">
        <f>TOTAL!F4</f>
        <v>0</v>
      </c>
      <c r="C5" s="9" t="e">
        <f>Submeters!#REF!*' Kwh area wise $ '!B5</f>
        <v>#REF!</v>
      </c>
      <c r="D5" s="1">
        <f>Submeters!E4*' Kwh area wise $ '!B5</f>
        <v>0</v>
      </c>
      <c r="E5" s="1">
        <f>Submeters!F4*' Kwh area wise $ '!B5</f>
        <v>0</v>
      </c>
      <c r="F5" s="1">
        <f>Submeters!G4*' Kwh area wise $ '!B5</f>
        <v>0</v>
      </c>
      <c r="G5" s="1">
        <f>(Submeters!I4+Submeters!J4+Submeters!K4)*' Kwh area wise $ '!B5</f>
        <v>0</v>
      </c>
      <c r="H5" s="1">
        <f>(Submeters!L4+Submeters!M4)*' Kwh area wise $ '!B5</f>
        <v>0</v>
      </c>
      <c r="I5" s="1">
        <f>(Submeters!N4+Submeters!O4)*' Kwh area wise $ '!B5</f>
        <v>0</v>
      </c>
      <c r="J5" s="1">
        <f>(Submeters!P4+Submeters!Q4+Submeters!R4+Submeters!S4+Submeters!T4+Submeters!U4)*' Kwh area wise $ '!B5</f>
        <v>0</v>
      </c>
      <c r="K5" s="24">
        <f>(Submeters!V4+Submeters!W4)*' Kwh area wise $ '!B5</f>
        <v>0</v>
      </c>
      <c r="L5" s="1">
        <f>Submeters!X4*' Kwh area wise $ '!B5</f>
        <v>0</v>
      </c>
      <c r="M5" s="24" t="e">
        <f>Submeters!#REF!*' Kwh area wise $ '!B5</f>
        <v>#REF!</v>
      </c>
    </row>
    <row r="6" spans="1:13" x14ac:dyDescent="0.25">
      <c r="A6" s="10">
        <f>'Kwh Reading'!A7</f>
        <v>44930</v>
      </c>
      <c r="B6" s="92">
        <f>TOTAL!F5</f>
        <v>0</v>
      </c>
      <c r="C6" s="9" t="e">
        <f>Submeters!#REF!*' Kwh area wise $ '!B6</f>
        <v>#REF!</v>
      </c>
      <c r="D6" s="1">
        <f>Submeters!E5*' Kwh area wise $ '!B6</f>
        <v>0</v>
      </c>
      <c r="E6" s="1">
        <f>Submeters!F5*' Kwh area wise $ '!B6</f>
        <v>0</v>
      </c>
      <c r="F6" s="1">
        <f>Submeters!G5*' Kwh area wise $ '!B6</f>
        <v>0</v>
      </c>
      <c r="G6" s="1">
        <f>(Submeters!I5+Submeters!J5+Submeters!K5)*' Kwh area wise $ '!B6</f>
        <v>0</v>
      </c>
      <c r="H6" s="1">
        <f>(Submeters!L5+Submeters!M5)*' Kwh area wise $ '!B6</f>
        <v>0</v>
      </c>
      <c r="I6" s="1">
        <f>(Submeters!N5+Submeters!O5)*' Kwh area wise $ '!B6</f>
        <v>0</v>
      </c>
      <c r="J6" s="1">
        <f>(Submeters!P5+Submeters!Q5+Submeters!R5+Submeters!S5+Submeters!T5+Submeters!U5)*' Kwh area wise $ '!B6</f>
        <v>0</v>
      </c>
      <c r="K6" s="24">
        <f>(Submeters!V5+Submeters!W5)*' Kwh area wise $ '!B6</f>
        <v>0</v>
      </c>
      <c r="L6" s="1">
        <f>Submeters!X5*' Kwh area wise $ '!B6</f>
        <v>0</v>
      </c>
      <c r="M6" s="24" t="e">
        <f>Submeters!#REF!*' Kwh area wise $ '!B6</f>
        <v>#REF!</v>
      </c>
    </row>
    <row r="7" spans="1:13" x14ac:dyDescent="0.25">
      <c r="A7" s="10">
        <f>'Kwh Reading'!A8</f>
        <v>44931</v>
      </c>
      <c r="B7" s="92">
        <f>TOTAL!F6</f>
        <v>0</v>
      </c>
      <c r="C7" s="9" t="e">
        <f>Submeters!#REF!*' Kwh area wise $ '!B7</f>
        <v>#REF!</v>
      </c>
      <c r="D7" s="1">
        <f>Submeters!E6*' Kwh area wise $ '!B7</f>
        <v>0</v>
      </c>
      <c r="E7" s="1">
        <f>Submeters!F6*' Kwh area wise $ '!B7</f>
        <v>0</v>
      </c>
      <c r="F7" s="1">
        <f>Submeters!G6*' Kwh area wise $ '!B7</f>
        <v>0</v>
      </c>
      <c r="G7" s="1">
        <f>(Submeters!I6+Submeters!J6+Submeters!K6)*' Kwh area wise $ '!B7</f>
        <v>0</v>
      </c>
      <c r="H7" s="1">
        <f>(Submeters!L6+Submeters!M6)*' Kwh area wise $ '!B7</f>
        <v>0</v>
      </c>
      <c r="I7" s="1">
        <f>(Submeters!N6+Submeters!O6)*' Kwh area wise $ '!B7</f>
        <v>0</v>
      </c>
      <c r="J7" s="1">
        <f>(Submeters!P6+Submeters!Q6+Submeters!R6+Submeters!S6+Submeters!T6+Submeters!U6)*' Kwh area wise $ '!B7</f>
        <v>0</v>
      </c>
      <c r="K7" s="24">
        <f>(Submeters!V6+Submeters!W6)*' Kwh area wise $ '!B7</f>
        <v>0</v>
      </c>
      <c r="L7" s="1">
        <f>Submeters!X6*' Kwh area wise $ '!B7</f>
        <v>0</v>
      </c>
      <c r="M7" s="24" t="e">
        <f>Submeters!#REF!*' Kwh area wise $ '!B7</f>
        <v>#REF!</v>
      </c>
    </row>
    <row r="8" spans="1:13" x14ac:dyDescent="0.25">
      <c r="A8" s="10">
        <f>'Kwh Reading'!A9</f>
        <v>44932</v>
      </c>
      <c r="B8" s="92">
        <f>TOTAL!F7</f>
        <v>0</v>
      </c>
      <c r="C8" s="9" t="e">
        <f>Submeters!#REF!*' Kwh area wise $ '!B8</f>
        <v>#REF!</v>
      </c>
      <c r="D8" s="1">
        <f>Submeters!E7*' Kwh area wise $ '!B8</f>
        <v>0</v>
      </c>
      <c r="E8" s="1">
        <f>Submeters!F7*' Kwh area wise $ '!B8</f>
        <v>0</v>
      </c>
      <c r="F8" s="1">
        <f>Submeters!G7*' Kwh area wise $ '!B8</f>
        <v>0</v>
      </c>
      <c r="G8" s="1">
        <f>(Submeters!I7+Submeters!J7+Submeters!K7)*' Kwh area wise $ '!B8</f>
        <v>0</v>
      </c>
      <c r="H8" s="1">
        <f>(Submeters!L7+Submeters!M7)*' Kwh area wise $ '!B8</f>
        <v>0</v>
      </c>
      <c r="I8" s="1">
        <f>(Submeters!N7+Submeters!O7)*' Kwh area wise $ '!B8</f>
        <v>0</v>
      </c>
      <c r="J8" s="1">
        <f>(Submeters!P7+Submeters!Q7+Submeters!R7+Submeters!S7+Submeters!T7+Submeters!U7)*' Kwh area wise $ '!B8</f>
        <v>0</v>
      </c>
      <c r="K8" s="24">
        <f>(Submeters!V7+Submeters!W7)*' Kwh area wise $ '!B8</f>
        <v>0</v>
      </c>
      <c r="L8" s="1">
        <f>Submeters!X7*' Kwh area wise $ '!B8</f>
        <v>0</v>
      </c>
      <c r="M8" s="24" t="e">
        <f>Submeters!#REF!*' Kwh area wise $ '!B8</f>
        <v>#REF!</v>
      </c>
    </row>
    <row r="9" spans="1:13" x14ac:dyDescent="0.25">
      <c r="A9" s="10">
        <f>'Kwh Reading'!A10</f>
        <v>44933</v>
      </c>
      <c r="B9" s="92">
        <f>TOTAL!F8</f>
        <v>0</v>
      </c>
      <c r="C9" s="9" t="e">
        <f>Submeters!#REF!*' Kwh area wise $ '!B9</f>
        <v>#REF!</v>
      </c>
      <c r="D9" s="1">
        <f>Submeters!E8*' Kwh area wise $ '!B9</f>
        <v>0</v>
      </c>
      <c r="E9" s="1">
        <f>Submeters!F8*' Kwh area wise $ '!B9</f>
        <v>0</v>
      </c>
      <c r="F9" s="1">
        <f>Submeters!G8*' Kwh area wise $ '!B9</f>
        <v>0</v>
      </c>
      <c r="G9" s="1">
        <f>(Submeters!I8+Submeters!J8+Submeters!K8)*' Kwh area wise $ '!B9</f>
        <v>0</v>
      </c>
      <c r="H9" s="1">
        <f>(Submeters!L8+Submeters!M8)*' Kwh area wise $ '!B9</f>
        <v>0</v>
      </c>
      <c r="I9" s="1">
        <f>(Submeters!N8+Submeters!O8)*' Kwh area wise $ '!B9</f>
        <v>0</v>
      </c>
      <c r="J9" s="1">
        <f>(Submeters!P8+Submeters!Q8+Submeters!R8+Submeters!S8+Submeters!T8+Submeters!U8)*' Kwh area wise $ '!B9</f>
        <v>0</v>
      </c>
      <c r="K9" s="24">
        <f>(Submeters!V8+Submeters!W8)*' Kwh area wise $ '!B9</f>
        <v>0</v>
      </c>
      <c r="L9" s="1">
        <f>Submeters!X8*' Kwh area wise $ '!B9</f>
        <v>0</v>
      </c>
      <c r="M9" s="24" t="e">
        <f>Submeters!#REF!*' Kwh area wise $ '!B9</f>
        <v>#REF!</v>
      </c>
    </row>
    <row r="10" spans="1:13" x14ac:dyDescent="0.25">
      <c r="A10" s="10">
        <f>'Kwh Reading'!A11</f>
        <v>44934</v>
      </c>
      <c r="B10" s="92">
        <f>TOTAL!F9</f>
        <v>0</v>
      </c>
      <c r="C10" s="9" t="e">
        <f>Submeters!#REF!*' Kwh area wise $ '!B10</f>
        <v>#REF!</v>
      </c>
      <c r="D10" s="1">
        <f>Submeters!E9*' Kwh area wise $ '!B10</f>
        <v>0</v>
      </c>
      <c r="E10" s="1">
        <f>Submeters!F9*' Kwh area wise $ '!B10</f>
        <v>0</v>
      </c>
      <c r="F10" s="1">
        <f>Submeters!G9*' Kwh area wise $ '!B10</f>
        <v>0</v>
      </c>
      <c r="G10" s="1">
        <f>(Submeters!I9+Submeters!J9+Submeters!K9)*' Kwh area wise $ '!B10</f>
        <v>0</v>
      </c>
      <c r="H10" s="1">
        <f>(Submeters!L9+Submeters!M9)*' Kwh area wise $ '!B10</f>
        <v>0</v>
      </c>
      <c r="I10" s="1">
        <f>(Submeters!N9+Submeters!O9)*' Kwh area wise $ '!B10</f>
        <v>0</v>
      </c>
      <c r="J10" s="1">
        <f>(Submeters!P9+Submeters!Q9+Submeters!R9+Submeters!S9+Submeters!T9+Submeters!U9)*' Kwh area wise $ '!B10</f>
        <v>0</v>
      </c>
      <c r="K10" s="24">
        <f>(Submeters!V9+Submeters!W9)*' Kwh area wise $ '!B10</f>
        <v>0</v>
      </c>
      <c r="L10" s="1">
        <f>Submeters!X9*' Kwh area wise $ '!B10</f>
        <v>0</v>
      </c>
      <c r="M10" s="24" t="e">
        <f>Submeters!#REF!*' Kwh area wise $ '!B10</f>
        <v>#REF!</v>
      </c>
    </row>
    <row r="11" spans="1:13" x14ac:dyDescent="0.25">
      <c r="A11" s="10">
        <f>'Kwh Reading'!A12</f>
        <v>44935</v>
      </c>
      <c r="B11" s="92">
        <f>TOTAL!F10</f>
        <v>0</v>
      </c>
      <c r="C11" s="9" t="e">
        <f>Submeters!#REF!*' Kwh area wise $ '!B11</f>
        <v>#REF!</v>
      </c>
      <c r="D11" s="1">
        <f>Submeters!E10*' Kwh area wise $ '!B11</f>
        <v>0</v>
      </c>
      <c r="E11" s="1">
        <f>Submeters!F10*' Kwh area wise $ '!B11</f>
        <v>0</v>
      </c>
      <c r="F11" s="1">
        <f>Submeters!G10*' Kwh area wise $ '!B11</f>
        <v>0</v>
      </c>
      <c r="G11" s="1">
        <f>(Submeters!I10+Submeters!J10+Submeters!K10)*' Kwh area wise $ '!B11</f>
        <v>0</v>
      </c>
      <c r="H11" s="1">
        <f>(Submeters!L10+Submeters!M10)*' Kwh area wise $ '!B11</f>
        <v>0</v>
      </c>
      <c r="I11" s="1">
        <f>(Submeters!N10+Submeters!O10)*' Kwh area wise $ '!B11</f>
        <v>0</v>
      </c>
      <c r="J11" s="1">
        <f>(Submeters!P10+Submeters!Q10+Submeters!R10+Submeters!S10+Submeters!T10+Submeters!U10)*' Kwh area wise $ '!B11</f>
        <v>0</v>
      </c>
      <c r="K11" s="24">
        <f>(Submeters!V10+Submeters!W10)*' Kwh area wise $ '!B11</f>
        <v>0</v>
      </c>
      <c r="L11" s="1">
        <f>Submeters!X10*' Kwh area wise $ '!B11</f>
        <v>0</v>
      </c>
      <c r="M11" s="24" t="e">
        <f>Submeters!#REF!*' Kwh area wise $ '!B11</f>
        <v>#REF!</v>
      </c>
    </row>
    <row r="12" spans="1:13" x14ac:dyDescent="0.25">
      <c r="A12" s="10">
        <f>'Kwh Reading'!A13</f>
        <v>44936</v>
      </c>
      <c r="B12" s="92">
        <f>TOTAL!F11</f>
        <v>0</v>
      </c>
      <c r="C12" s="9" t="e">
        <f>Submeters!#REF!*' Kwh area wise $ '!B12</f>
        <v>#REF!</v>
      </c>
      <c r="D12" s="1">
        <f>Submeters!E11*' Kwh area wise $ '!B12</f>
        <v>0</v>
      </c>
      <c r="E12" s="1">
        <f>Submeters!F11*' Kwh area wise $ '!B12</f>
        <v>0</v>
      </c>
      <c r="F12" s="1">
        <f>Submeters!G11*' Kwh area wise $ '!B12</f>
        <v>0</v>
      </c>
      <c r="G12" s="1">
        <f>(Submeters!I11+Submeters!J11+Submeters!K11)*' Kwh area wise $ '!B12</f>
        <v>0</v>
      </c>
      <c r="H12" s="1">
        <f>(Submeters!L11+Submeters!M11)*' Kwh area wise $ '!B12</f>
        <v>0</v>
      </c>
      <c r="I12" s="1">
        <f>(Submeters!N11+Submeters!O11)*' Kwh area wise $ '!B12</f>
        <v>0</v>
      </c>
      <c r="J12" s="1">
        <f>(Submeters!P11+Submeters!Q11+Submeters!R11+Submeters!S11+Submeters!T11+Submeters!U11)*' Kwh area wise $ '!B12</f>
        <v>0</v>
      </c>
      <c r="K12" s="24">
        <f>(Submeters!V11+Submeters!W11)*' Kwh area wise $ '!B12</f>
        <v>0</v>
      </c>
      <c r="L12" s="1">
        <f>Submeters!X11*' Kwh area wise $ '!B12</f>
        <v>0</v>
      </c>
      <c r="M12" s="24" t="e">
        <f>Submeters!#REF!*' Kwh area wise $ '!B12</f>
        <v>#REF!</v>
      </c>
    </row>
    <row r="13" spans="1:13" x14ac:dyDescent="0.25">
      <c r="A13" s="10">
        <f>'Kwh Reading'!A14</f>
        <v>44937</v>
      </c>
      <c r="B13" s="92">
        <f>TOTAL!F12</f>
        <v>0</v>
      </c>
      <c r="C13" s="9" t="e">
        <f>Submeters!#REF!*' Kwh area wise $ '!B13</f>
        <v>#REF!</v>
      </c>
      <c r="D13" s="1">
        <f>Submeters!E12*' Kwh area wise $ '!B13</f>
        <v>0</v>
      </c>
      <c r="E13" s="1">
        <f>Submeters!F12*' Kwh area wise $ '!B13</f>
        <v>0</v>
      </c>
      <c r="F13" s="1">
        <f>Submeters!G12*' Kwh area wise $ '!B13</f>
        <v>0</v>
      </c>
      <c r="G13" s="1">
        <f>(Submeters!I12+Submeters!J12+Submeters!K12)*' Kwh area wise $ '!B13</f>
        <v>0</v>
      </c>
      <c r="H13" s="1">
        <f>(Submeters!L12+Submeters!M12)*' Kwh area wise $ '!B13</f>
        <v>0</v>
      </c>
      <c r="I13" s="1">
        <f>(Submeters!N12+Submeters!O12)*' Kwh area wise $ '!B13</f>
        <v>0</v>
      </c>
      <c r="J13" s="1">
        <f>(Submeters!P12+Submeters!Q12+Submeters!R12+Submeters!S12+Submeters!T12+Submeters!U12)*' Kwh area wise $ '!B13</f>
        <v>0</v>
      </c>
      <c r="K13" s="24">
        <f>(Submeters!V12+Submeters!W12)*' Kwh area wise $ '!B13</f>
        <v>0</v>
      </c>
      <c r="L13" s="1">
        <f>Submeters!X12*' Kwh area wise $ '!B13</f>
        <v>0</v>
      </c>
      <c r="M13" s="24" t="e">
        <f>Submeters!#REF!*' Kwh area wise $ '!B13</f>
        <v>#REF!</v>
      </c>
    </row>
    <row r="14" spans="1:13" x14ac:dyDescent="0.25">
      <c r="A14" s="10">
        <f>'Kwh Reading'!A15</f>
        <v>44938</v>
      </c>
      <c r="B14" s="92">
        <f>TOTAL!F13</f>
        <v>0</v>
      </c>
      <c r="C14" s="9" t="e">
        <f>Submeters!#REF!*' Kwh area wise $ '!B14</f>
        <v>#REF!</v>
      </c>
      <c r="D14" s="1">
        <f>Submeters!E13*' Kwh area wise $ '!B14</f>
        <v>0</v>
      </c>
      <c r="E14" s="1">
        <f>Submeters!F13*' Kwh area wise $ '!B14</f>
        <v>0</v>
      </c>
      <c r="F14" s="1">
        <f>Submeters!G13*' Kwh area wise $ '!B14</f>
        <v>0</v>
      </c>
      <c r="G14" s="1">
        <f>(Submeters!I13+Submeters!J13+Submeters!K13)*' Kwh area wise $ '!B14</f>
        <v>0</v>
      </c>
      <c r="H14" s="1">
        <f>(Submeters!L13+Submeters!M13)*' Kwh area wise $ '!B14</f>
        <v>0</v>
      </c>
      <c r="I14" s="1">
        <f>(Submeters!N13+Submeters!O13)*' Kwh area wise $ '!B14</f>
        <v>0</v>
      </c>
      <c r="J14" s="1">
        <f>(Submeters!P13+Submeters!Q13+Submeters!R13+Submeters!S13+Submeters!T13+Submeters!U13)*' Kwh area wise $ '!B14</f>
        <v>0</v>
      </c>
      <c r="K14" s="24">
        <f>(Submeters!V13+Submeters!W13)*' Kwh area wise $ '!B14</f>
        <v>0</v>
      </c>
      <c r="L14" s="1">
        <f>Submeters!X13*' Kwh area wise $ '!B14</f>
        <v>0</v>
      </c>
      <c r="M14" s="24" t="e">
        <f>Submeters!#REF!*' Kwh area wise $ '!B14</f>
        <v>#REF!</v>
      </c>
    </row>
    <row r="15" spans="1:13" x14ac:dyDescent="0.25">
      <c r="A15" s="10">
        <f>'Kwh Reading'!A16</f>
        <v>44939</v>
      </c>
      <c r="B15" s="92">
        <f>TOTAL!F14</f>
        <v>0</v>
      </c>
      <c r="C15" s="9" t="e">
        <f>Submeters!#REF!*' Kwh area wise $ '!B15</f>
        <v>#REF!</v>
      </c>
      <c r="D15" s="1">
        <f>Submeters!E14*' Kwh area wise $ '!B15</f>
        <v>0</v>
      </c>
      <c r="E15" s="1">
        <f>Submeters!F14*' Kwh area wise $ '!B15</f>
        <v>0</v>
      </c>
      <c r="F15" s="1">
        <f>Submeters!G14*' Kwh area wise $ '!B15</f>
        <v>0</v>
      </c>
      <c r="G15" s="1">
        <f>(Submeters!I14+Submeters!J14+Submeters!K14)*' Kwh area wise $ '!B15</f>
        <v>0</v>
      </c>
      <c r="H15" s="1">
        <f>(Submeters!L14+Submeters!M14)*' Kwh area wise $ '!B15</f>
        <v>0</v>
      </c>
      <c r="I15" s="1">
        <f>(Submeters!N14+Submeters!O14)*' Kwh area wise $ '!B15</f>
        <v>0</v>
      </c>
      <c r="J15" s="1">
        <f>(Submeters!P14+Submeters!Q14+Submeters!R14+Submeters!S14+Submeters!T14+Submeters!U14)*' Kwh area wise $ '!B15</f>
        <v>0</v>
      </c>
      <c r="K15" s="24">
        <f>(Submeters!V14+Submeters!W14)*' Kwh area wise $ '!B15</f>
        <v>0</v>
      </c>
      <c r="L15" s="1">
        <f>Submeters!X14*' Kwh area wise $ '!B15</f>
        <v>0</v>
      </c>
      <c r="M15" s="24" t="e">
        <f>Submeters!#REF!*' Kwh area wise $ '!B15</f>
        <v>#REF!</v>
      </c>
    </row>
    <row r="16" spans="1:13" x14ac:dyDescent="0.25">
      <c r="A16" s="10">
        <f>'Kwh Reading'!A17</f>
        <v>44940</v>
      </c>
      <c r="B16" s="92">
        <f>TOTAL!F15</f>
        <v>0</v>
      </c>
      <c r="C16" s="9" t="e">
        <f>Submeters!#REF!*' Kwh area wise $ '!B16</f>
        <v>#REF!</v>
      </c>
      <c r="D16" s="1">
        <f>Submeters!E15*' Kwh area wise $ '!B16</f>
        <v>0</v>
      </c>
      <c r="E16" s="1">
        <f>Submeters!F15*' Kwh area wise $ '!B16</f>
        <v>0</v>
      </c>
      <c r="F16" s="1">
        <f>Submeters!G15*' Kwh area wise $ '!B16</f>
        <v>0</v>
      </c>
      <c r="G16" s="1">
        <f>(Submeters!I15+Submeters!J15+Submeters!K15)*' Kwh area wise $ '!B16</f>
        <v>0</v>
      </c>
      <c r="H16" s="1">
        <f>(Submeters!L15+Submeters!M15)*' Kwh area wise $ '!B16</f>
        <v>0</v>
      </c>
      <c r="I16" s="1">
        <f>(Submeters!N15+Submeters!O15)*' Kwh area wise $ '!B16</f>
        <v>0</v>
      </c>
      <c r="J16" s="1">
        <f>(Submeters!P15+Submeters!Q15+Submeters!R15+Submeters!S15+Submeters!T15+Submeters!U15)*' Kwh area wise $ '!B16</f>
        <v>0</v>
      </c>
      <c r="K16" s="24">
        <f>(Submeters!V15+Submeters!W15)*' Kwh area wise $ '!B16</f>
        <v>0</v>
      </c>
      <c r="L16" s="1">
        <f>Submeters!X15*' Kwh area wise $ '!B16</f>
        <v>0</v>
      </c>
      <c r="M16" s="24" t="e">
        <f>Submeters!#REF!*' Kwh area wise $ '!B16</f>
        <v>#REF!</v>
      </c>
    </row>
    <row r="17" spans="1:13" x14ac:dyDescent="0.25">
      <c r="A17" s="10">
        <f>'Kwh Reading'!A18</f>
        <v>44941</v>
      </c>
      <c r="B17" s="92">
        <f>TOTAL!F16</f>
        <v>0</v>
      </c>
      <c r="C17" s="9" t="e">
        <f>Submeters!#REF!*' Kwh area wise $ '!B17</f>
        <v>#REF!</v>
      </c>
      <c r="D17" s="1">
        <f>Submeters!E16*' Kwh area wise $ '!B17</f>
        <v>0</v>
      </c>
      <c r="E17" s="1">
        <f>Submeters!F16*' Kwh area wise $ '!B17</f>
        <v>0</v>
      </c>
      <c r="F17" s="1">
        <f>Submeters!G16*' Kwh area wise $ '!B17</f>
        <v>0</v>
      </c>
      <c r="G17" s="1">
        <f>(Submeters!I16+Submeters!J16+Submeters!K16)*' Kwh area wise $ '!B17</f>
        <v>0</v>
      </c>
      <c r="H17" s="1">
        <f>(Submeters!L16+Submeters!M16)*' Kwh area wise $ '!B17</f>
        <v>0</v>
      </c>
      <c r="I17" s="1">
        <f>(Submeters!N16+Submeters!O16)*' Kwh area wise $ '!B17</f>
        <v>0</v>
      </c>
      <c r="J17" s="1">
        <f>(Submeters!P16+Submeters!Q16+Submeters!R16+Submeters!S16+Submeters!T16+Submeters!U16)*' Kwh area wise $ '!B17</f>
        <v>0</v>
      </c>
      <c r="K17" s="24">
        <f>(Submeters!V16+Submeters!W16)*' Kwh area wise $ '!B17</f>
        <v>0</v>
      </c>
      <c r="L17" s="1">
        <f>Submeters!X16*' Kwh area wise $ '!B17</f>
        <v>0</v>
      </c>
      <c r="M17" s="24" t="e">
        <f>Submeters!#REF!*' Kwh area wise $ '!B17</f>
        <v>#REF!</v>
      </c>
    </row>
    <row r="18" spans="1:13" x14ac:dyDescent="0.25">
      <c r="A18" s="10">
        <f>'Kwh Reading'!A19</f>
        <v>44942</v>
      </c>
      <c r="B18" s="92">
        <f>TOTAL!F17</f>
        <v>0</v>
      </c>
      <c r="C18" s="9" t="e">
        <f>Submeters!#REF!*' Kwh area wise $ '!B18</f>
        <v>#REF!</v>
      </c>
      <c r="D18" s="1">
        <f>Submeters!E17*' Kwh area wise $ '!B18</f>
        <v>0</v>
      </c>
      <c r="E18" s="1">
        <f>Submeters!F17*' Kwh area wise $ '!B18</f>
        <v>0</v>
      </c>
      <c r="F18" s="1">
        <f>Submeters!G17*' Kwh area wise $ '!B18</f>
        <v>0</v>
      </c>
      <c r="G18" s="1">
        <f>(Submeters!I17+Submeters!J17+Submeters!K17)*' Kwh area wise $ '!B18</f>
        <v>0</v>
      </c>
      <c r="H18" s="1">
        <f>(Submeters!L17+Submeters!M17)*' Kwh area wise $ '!B18</f>
        <v>0</v>
      </c>
      <c r="I18" s="1">
        <f>(Submeters!N17+Submeters!O17)*' Kwh area wise $ '!B18</f>
        <v>0</v>
      </c>
      <c r="J18" s="1">
        <f>(Submeters!P17+Submeters!Q17+Submeters!R17+Submeters!S17+Submeters!T17+Submeters!U17)*' Kwh area wise $ '!B18</f>
        <v>0</v>
      </c>
      <c r="K18" s="24">
        <f>(Submeters!V17+Submeters!W17)*' Kwh area wise $ '!B18</f>
        <v>0</v>
      </c>
      <c r="L18" s="1">
        <f>Submeters!X17*' Kwh area wise $ '!B18</f>
        <v>0</v>
      </c>
      <c r="M18" s="24" t="e">
        <f>Submeters!#REF!*' Kwh area wise $ '!B18</f>
        <v>#REF!</v>
      </c>
    </row>
    <row r="19" spans="1:13" x14ac:dyDescent="0.25">
      <c r="A19" s="10">
        <f>'Kwh Reading'!A20</f>
        <v>44943</v>
      </c>
      <c r="B19" s="92">
        <f>TOTAL!F18</f>
        <v>0</v>
      </c>
      <c r="C19" s="9" t="e">
        <f>Submeters!#REF!*' Kwh area wise $ '!B19</f>
        <v>#REF!</v>
      </c>
      <c r="D19" s="1">
        <f>Submeters!E18*' Kwh area wise $ '!B19</f>
        <v>0</v>
      </c>
      <c r="E19" s="1">
        <f>Submeters!F18*' Kwh area wise $ '!B19</f>
        <v>0</v>
      </c>
      <c r="F19" s="1">
        <f>Submeters!G18*' Kwh area wise $ '!B19</f>
        <v>0</v>
      </c>
      <c r="G19" s="1">
        <f>(Submeters!I18+Submeters!J18+Submeters!K18)*' Kwh area wise $ '!B19</f>
        <v>0</v>
      </c>
      <c r="H19" s="1">
        <f>(Submeters!L18+Submeters!M18)*' Kwh area wise $ '!B19</f>
        <v>0</v>
      </c>
      <c r="I19" s="1">
        <f>(Submeters!N18+Submeters!O18)*' Kwh area wise $ '!B19</f>
        <v>0</v>
      </c>
      <c r="J19" s="1">
        <f>(Submeters!P18+Submeters!Q18+Submeters!R18+Submeters!S18+Submeters!T18+Submeters!U18)*' Kwh area wise $ '!B19</f>
        <v>0</v>
      </c>
      <c r="K19" s="24">
        <f>(Submeters!V18+Submeters!W18)*' Kwh area wise $ '!B19</f>
        <v>0</v>
      </c>
      <c r="L19" s="1">
        <f>Submeters!X18*' Kwh area wise $ '!B19</f>
        <v>0</v>
      </c>
      <c r="M19" s="24" t="e">
        <f>Submeters!#REF!*' Kwh area wise $ '!B19</f>
        <v>#REF!</v>
      </c>
    </row>
    <row r="20" spans="1:13" x14ac:dyDescent="0.25">
      <c r="A20" s="10">
        <f>'Kwh Reading'!A21</f>
        <v>44944</v>
      </c>
      <c r="B20" s="92">
        <f>TOTAL!F19</f>
        <v>0</v>
      </c>
      <c r="C20" s="9" t="e">
        <f>Submeters!#REF!*' Kwh area wise $ '!B20</f>
        <v>#REF!</v>
      </c>
      <c r="D20" s="1">
        <f>Submeters!E19*' Kwh area wise $ '!B20</f>
        <v>0</v>
      </c>
      <c r="E20" s="1">
        <f>Submeters!F19*' Kwh area wise $ '!B20</f>
        <v>0</v>
      </c>
      <c r="F20" s="1">
        <f>Submeters!G19*' Kwh area wise $ '!B20</f>
        <v>0</v>
      </c>
      <c r="G20" s="1">
        <f>(Submeters!I19+Submeters!J19+Submeters!K19)*' Kwh area wise $ '!B20</f>
        <v>0</v>
      </c>
      <c r="H20" s="1">
        <f>(Submeters!L19+Submeters!M19)*' Kwh area wise $ '!B20</f>
        <v>0</v>
      </c>
      <c r="I20" s="1">
        <f>(Submeters!N19+Submeters!O19)*' Kwh area wise $ '!B20</f>
        <v>0</v>
      </c>
      <c r="J20" s="1">
        <f>(Submeters!P19+Submeters!Q19+Submeters!R19+Submeters!S19+Submeters!T19+Submeters!U19)*' Kwh area wise $ '!B20</f>
        <v>0</v>
      </c>
      <c r="K20" s="24">
        <f>(Submeters!V19+Submeters!W19)*' Kwh area wise $ '!B20</f>
        <v>0</v>
      </c>
      <c r="L20" s="1">
        <f>Submeters!X19*' Kwh area wise $ '!B20</f>
        <v>0</v>
      </c>
      <c r="M20" s="24" t="e">
        <f>Submeters!#REF!*' Kwh area wise $ '!B20</f>
        <v>#REF!</v>
      </c>
    </row>
    <row r="21" spans="1:13" x14ac:dyDescent="0.25">
      <c r="A21" s="10">
        <f>'Kwh Reading'!A22</f>
        <v>44945</v>
      </c>
      <c r="B21" s="92">
        <f>TOTAL!F20</f>
        <v>0</v>
      </c>
      <c r="C21" s="9" t="e">
        <f>Submeters!#REF!*' Kwh area wise $ '!B21</f>
        <v>#REF!</v>
      </c>
      <c r="D21" s="1">
        <f>Submeters!E20*' Kwh area wise $ '!B21</f>
        <v>0</v>
      </c>
      <c r="E21" s="1">
        <f>Submeters!F20*' Kwh area wise $ '!B21</f>
        <v>0</v>
      </c>
      <c r="F21" s="1">
        <f>Submeters!G20*' Kwh area wise $ '!B21</f>
        <v>0</v>
      </c>
      <c r="G21" s="1">
        <f>(Submeters!I20+Submeters!J20+Submeters!K20)*' Kwh area wise $ '!B21</f>
        <v>0</v>
      </c>
      <c r="H21" s="1">
        <f>(Submeters!L20+Submeters!M20)*' Kwh area wise $ '!B21</f>
        <v>0</v>
      </c>
      <c r="I21" s="1">
        <f>(Submeters!N20+Submeters!O20)*' Kwh area wise $ '!B21</f>
        <v>0</v>
      </c>
      <c r="J21" s="1">
        <f>(Submeters!P20+Submeters!Q20+Submeters!R20+Submeters!S20+Submeters!T20+Submeters!U20)*' Kwh area wise $ '!B21</f>
        <v>0</v>
      </c>
      <c r="K21" s="24">
        <f>(Submeters!V20+Submeters!W20)*' Kwh area wise $ '!B21</f>
        <v>0</v>
      </c>
      <c r="L21" s="1">
        <f>Submeters!X20*' Kwh area wise $ '!B21</f>
        <v>0</v>
      </c>
      <c r="M21" s="24" t="e">
        <f>Submeters!#REF!*' Kwh area wise $ '!B21</f>
        <v>#REF!</v>
      </c>
    </row>
    <row r="22" spans="1:13" x14ac:dyDescent="0.25">
      <c r="A22" s="10">
        <f>'Kwh Reading'!A23</f>
        <v>44946</v>
      </c>
      <c r="B22" s="92">
        <f>TOTAL!F21</f>
        <v>0</v>
      </c>
      <c r="C22" s="9" t="e">
        <f>Submeters!#REF!*' Kwh area wise $ '!B22</f>
        <v>#REF!</v>
      </c>
      <c r="D22" s="1">
        <f>Submeters!E21*' Kwh area wise $ '!B22</f>
        <v>0</v>
      </c>
      <c r="E22" s="1">
        <f>Submeters!F21*' Kwh area wise $ '!B22</f>
        <v>0</v>
      </c>
      <c r="F22" s="1">
        <f>Submeters!G21*' Kwh area wise $ '!B22</f>
        <v>0</v>
      </c>
      <c r="G22" s="1">
        <f>(Submeters!I21+Submeters!J21+Submeters!K21)*' Kwh area wise $ '!B22</f>
        <v>0</v>
      </c>
      <c r="H22" s="1">
        <f>(Submeters!L21+Submeters!M21)*' Kwh area wise $ '!B22</f>
        <v>0</v>
      </c>
      <c r="I22" s="1">
        <f>(Submeters!N21+Submeters!O21)*' Kwh area wise $ '!B22</f>
        <v>0</v>
      </c>
      <c r="J22" s="1">
        <f>(Submeters!P21+Submeters!Q21+Submeters!R21+Submeters!S21+Submeters!T21+Submeters!U21)*' Kwh area wise $ '!B22</f>
        <v>0</v>
      </c>
      <c r="K22" s="24">
        <f>(Submeters!V21+Submeters!W21)*' Kwh area wise $ '!B22</f>
        <v>0</v>
      </c>
      <c r="L22" s="1">
        <f>Submeters!X21*' Kwh area wise $ '!B22</f>
        <v>0</v>
      </c>
      <c r="M22" s="24" t="e">
        <f>Submeters!#REF!*' Kwh area wise $ '!B22</f>
        <v>#REF!</v>
      </c>
    </row>
    <row r="23" spans="1:13" x14ac:dyDescent="0.25">
      <c r="A23" s="10">
        <f>'Kwh Reading'!A24</f>
        <v>44947</v>
      </c>
      <c r="B23" s="92">
        <f>TOTAL!F22</f>
        <v>0</v>
      </c>
      <c r="C23" s="9" t="e">
        <f>Submeters!#REF!*' Kwh area wise $ '!B23</f>
        <v>#REF!</v>
      </c>
      <c r="D23" s="1">
        <f>Submeters!E22*' Kwh area wise $ '!B23</f>
        <v>0</v>
      </c>
      <c r="E23" s="1">
        <f>Submeters!F22*' Kwh area wise $ '!B23</f>
        <v>0</v>
      </c>
      <c r="F23" s="1">
        <f>Submeters!G22*' Kwh area wise $ '!B23</f>
        <v>0</v>
      </c>
      <c r="G23" s="1">
        <f>(Submeters!I22+Submeters!J22+Submeters!K22)*' Kwh area wise $ '!B23</f>
        <v>0</v>
      </c>
      <c r="H23" s="1">
        <f>(Submeters!L22+Submeters!M22)*' Kwh area wise $ '!B23</f>
        <v>0</v>
      </c>
      <c r="I23" s="1">
        <f>(Submeters!N22+Submeters!O22)*' Kwh area wise $ '!B23</f>
        <v>0</v>
      </c>
      <c r="J23" s="1">
        <f>(Submeters!P22+Submeters!Q22+Submeters!R22+Submeters!S22+Submeters!T22+Submeters!U22)*' Kwh area wise $ '!B23</f>
        <v>0</v>
      </c>
      <c r="K23" s="24">
        <f>(Submeters!V22+Submeters!W22)*' Kwh area wise $ '!B23</f>
        <v>0</v>
      </c>
      <c r="L23" s="1">
        <f>Submeters!X22*' Kwh area wise $ '!B23</f>
        <v>0</v>
      </c>
      <c r="M23" s="24" t="e">
        <f>Submeters!#REF!*' Kwh area wise $ '!B23</f>
        <v>#REF!</v>
      </c>
    </row>
    <row r="24" spans="1:13" x14ac:dyDescent="0.25">
      <c r="A24" s="10">
        <f>'Kwh Reading'!A25</f>
        <v>44948</v>
      </c>
      <c r="B24" s="92">
        <f>TOTAL!F23</f>
        <v>0</v>
      </c>
      <c r="C24" s="9" t="e">
        <f>Submeters!#REF!*' Kwh area wise $ '!B24</f>
        <v>#REF!</v>
      </c>
      <c r="D24" s="1">
        <f>Submeters!E23*' Kwh area wise $ '!B24</f>
        <v>0</v>
      </c>
      <c r="E24" s="1">
        <f>Submeters!F23*' Kwh area wise $ '!B24</f>
        <v>0</v>
      </c>
      <c r="F24" s="1">
        <f>Submeters!G23*' Kwh area wise $ '!B24</f>
        <v>0</v>
      </c>
      <c r="G24" s="1">
        <f>(Submeters!I23+Submeters!J23+Submeters!K23)*' Kwh area wise $ '!B24</f>
        <v>0</v>
      </c>
      <c r="H24" s="1">
        <f>(Submeters!L23+Submeters!M23)*' Kwh area wise $ '!B24</f>
        <v>0</v>
      </c>
      <c r="I24" s="1">
        <f>(Submeters!N23+Submeters!O23)*' Kwh area wise $ '!B24</f>
        <v>0</v>
      </c>
      <c r="J24" s="1">
        <f>(Submeters!P23+Submeters!Q23+Submeters!R23+Submeters!S23+Submeters!T23+Submeters!U23)*' Kwh area wise $ '!B24</f>
        <v>0</v>
      </c>
      <c r="K24" s="24">
        <f>(Submeters!V23+Submeters!W23)*' Kwh area wise $ '!B24</f>
        <v>0</v>
      </c>
      <c r="L24" s="1">
        <f>Submeters!X23*' Kwh area wise $ '!B24</f>
        <v>0</v>
      </c>
      <c r="M24" s="24" t="e">
        <f>Submeters!#REF!*' Kwh area wise $ '!B24</f>
        <v>#REF!</v>
      </c>
    </row>
    <row r="25" spans="1:13" x14ac:dyDescent="0.25">
      <c r="A25" s="10">
        <f>'Kwh Reading'!A26</f>
        <v>44949</v>
      </c>
      <c r="B25" s="92">
        <f>TOTAL!F24</f>
        <v>0</v>
      </c>
      <c r="C25" s="9" t="e">
        <f>Submeters!#REF!*' Kwh area wise $ '!B25</f>
        <v>#REF!</v>
      </c>
      <c r="D25" s="1">
        <f>Submeters!E24*' Kwh area wise $ '!B25</f>
        <v>0</v>
      </c>
      <c r="E25" s="1">
        <f>Submeters!F24*' Kwh area wise $ '!B25</f>
        <v>0</v>
      </c>
      <c r="F25" s="1">
        <f>Submeters!G24*' Kwh area wise $ '!B25</f>
        <v>0</v>
      </c>
      <c r="G25" s="1">
        <f>(Submeters!I24+Submeters!J24+Submeters!K24)*' Kwh area wise $ '!B25</f>
        <v>0</v>
      </c>
      <c r="H25" s="1">
        <f>(Submeters!L24+Submeters!M24)*' Kwh area wise $ '!B25</f>
        <v>0</v>
      </c>
      <c r="I25" s="1">
        <f>(Submeters!N24+Submeters!O24)*' Kwh area wise $ '!B25</f>
        <v>0</v>
      </c>
      <c r="J25" s="1">
        <f>(Submeters!P24+Submeters!Q24+Submeters!R24+Submeters!S24+Submeters!T24+Submeters!U24)*' Kwh area wise $ '!B25</f>
        <v>0</v>
      </c>
      <c r="K25" s="24">
        <f>(Submeters!V24+Submeters!W24)*' Kwh area wise $ '!B25</f>
        <v>0</v>
      </c>
      <c r="L25" s="1">
        <f>Submeters!X24*' Kwh area wise $ '!B25</f>
        <v>0</v>
      </c>
      <c r="M25" s="24" t="e">
        <f>Submeters!#REF!*' Kwh area wise $ '!B25</f>
        <v>#REF!</v>
      </c>
    </row>
    <row r="26" spans="1:13" x14ac:dyDescent="0.25">
      <c r="A26" s="10">
        <f>'Kwh Reading'!A27</f>
        <v>44950</v>
      </c>
      <c r="B26" s="92">
        <f>TOTAL!F25</f>
        <v>0</v>
      </c>
      <c r="C26" s="9" t="e">
        <f>Submeters!#REF!*' Kwh area wise $ '!B26</f>
        <v>#REF!</v>
      </c>
      <c r="D26" s="1">
        <f>Submeters!E25*' Kwh area wise $ '!B26</f>
        <v>0</v>
      </c>
      <c r="E26" s="1">
        <f>Submeters!F25*' Kwh area wise $ '!B26</f>
        <v>0</v>
      </c>
      <c r="F26" s="1">
        <f>Submeters!G25*' Kwh area wise $ '!B26</f>
        <v>0</v>
      </c>
      <c r="G26" s="1">
        <f>(Submeters!I25+Submeters!J25+Submeters!K25)*' Kwh area wise $ '!B26</f>
        <v>0</v>
      </c>
      <c r="H26" s="1">
        <f>(Submeters!L25+Submeters!M25)*' Kwh area wise $ '!B26</f>
        <v>0</v>
      </c>
      <c r="I26" s="1">
        <f>(Submeters!N25+Submeters!O25)*' Kwh area wise $ '!B26</f>
        <v>0</v>
      </c>
      <c r="J26" s="1">
        <f>(Submeters!P25+Submeters!Q25+Submeters!R25+Submeters!S25+Submeters!T25+Submeters!U25)*' Kwh area wise $ '!B26</f>
        <v>0</v>
      </c>
      <c r="K26" s="24">
        <f>(Submeters!V25+Submeters!W25)*' Kwh area wise $ '!B26</f>
        <v>0</v>
      </c>
      <c r="L26" s="1">
        <f>Submeters!X25*' Kwh area wise $ '!B26</f>
        <v>0</v>
      </c>
      <c r="M26" s="24" t="e">
        <f>Submeters!#REF!*' Kwh area wise $ '!B26</f>
        <v>#REF!</v>
      </c>
    </row>
    <row r="27" spans="1:13" x14ac:dyDescent="0.25">
      <c r="A27" s="10">
        <f>'Kwh Reading'!A28</f>
        <v>44951</v>
      </c>
      <c r="B27" s="92">
        <f>TOTAL!F26</f>
        <v>0</v>
      </c>
      <c r="C27" s="9" t="e">
        <f>Submeters!#REF!*' Kwh area wise $ '!B27</f>
        <v>#REF!</v>
      </c>
      <c r="D27" s="1">
        <f>Submeters!E26*' Kwh area wise $ '!B27</f>
        <v>0</v>
      </c>
      <c r="E27" s="1">
        <f>Submeters!F26*' Kwh area wise $ '!B27</f>
        <v>0</v>
      </c>
      <c r="F27" s="1">
        <f>Submeters!G26*' Kwh area wise $ '!B27</f>
        <v>0</v>
      </c>
      <c r="G27" s="1">
        <f>(Submeters!I26+Submeters!J26+Submeters!K26)*' Kwh area wise $ '!B27</f>
        <v>0</v>
      </c>
      <c r="H27" s="1">
        <f>(Submeters!L26+Submeters!M26)*' Kwh area wise $ '!B27</f>
        <v>0</v>
      </c>
      <c r="I27" s="1">
        <f>(Submeters!N26+Submeters!O26)*' Kwh area wise $ '!B27</f>
        <v>0</v>
      </c>
      <c r="J27" s="1">
        <f>(Submeters!P26+Submeters!Q26+Submeters!R26+Submeters!S26+Submeters!T26+Submeters!U26)*' Kwh area wise $ '!B27</f>
        <v>0</v>
      </c>
      <c r="K27" s="24">
        <f>(Submeters!V26+Submeters!W26)*' Kwh area wise $ '!B27</f>
        <v>0</v>
      </c>
      <c r="L27" s="1">
        <f>Submeters!X26*' Kwh area wise $ '!B27</f>
        <v>0</v>
      </c>
      <c r="M27" s="24" t="e">
        <f>Submeters!#REF!*' Kwh area wise $ '!B27</f>
        <v>#REF!</v>
      </c>
    </row>
    <row r="28" spans="1:13" x14ac:dyDescent="0.25">
      <c r="A28" s="10">
        <f>'Kwh Reading'!A29</f>
        <v>44952</v>
      </c>
      <c r="B28" s="92">
        <f>TOTAL!F27</f>
        <v>0</v>
      </c>
      <c r="C28" s="9" t="e">
        <f>Submeters!#REF!*' Kwh area wise $ '!B28</f>
        <v>#REF!</v>
      </c>
      <c r="D28" s="1">
        <f>Submeters!E27*' Kwh area wise $ '!B28</f>
        <v>0</v>
      </c>
      <c r="E28" s="1">
        <f>Submeters!F27*' Kwh area wise $ '!B28</f>
        <v>0</v>
      </c>
      <c r="F28" s="1">
        <f>Submeters!G27*' Kwh area wise $ '!B28</f>
        <v>0</v>
      </c>
      <c r="G28" s="1">
        <f>(Submeters!I27+Submeters!J27+Submeters!K27)*' Kwh area wise $ '!B28</f>
        <v>0</v>
      </c>
      <c r="H28" s="1">
        <f>(Submeters!L27+Submeters!M27)*' Kwh area wise $ '!B28</f>
        <v>0</v>
      </c>
      <c r="I28" s="1">
        <f>(Submeters!N27+Submeters!O27)*' Kwh area wise $ '!B28</f>
        <v>0</v>
      </c>
      <c r="J28" s="1">
        <f>(Submeters!P27+Submeters!Q27+Submeters!R27+Submeters!S27+Submeters!T27+Submeters!U27)*' Kwh area wise $ '!B28</f>
        <v>0</v>
      </c>
      <c r="K28" s="24">
        <f>(Submeters!V27+Submeters!W27)*' Kwh area wise $ '!B28</f>
        <v>0</v>
      </c>
      <c r="L28" s="1">
        <f>Submeters!X27*' Kwh area wise $ '!B28</f>
        <v>0</v>
      </c>
      <c r="M28" s="24" t="e">
        <f>Submeters!#REF!*' Kwh area wise $ '!B28</f>
        <v>#REF!</v>
      </c>
    </row>
    <row r="29" spans="1:13" x14ac:dyDescent="0.25">
      <c r="A29" s="10">
        <f>'Kwh Reading'!A30</f>
        <v>44953</v>
      </c>
      <c r="B29" s="92">
        <f>TOTAL!F28</f>
        <v>0</v>
      </c>
      <c r="C29" s="9" t="e">
        <f>Submeters!#REF!*' Kwh area wise $ '!B29</f>
        <v>#REF!</v>
      </c>
      <c r="D29" s="1">
        <f>Submeters!E28*' Kwh area wise $ '!B29</f>
        <v>0</v>
      </c>
      <c r="E29" s="1">
        <f>Submeters!F28*' Kwh area wise $ '!B29</f>
        <v>0</v>
      </c>
      <c r="F29" s="1">
        <f>Submeters!G28*' Kwh area wise $ '!B29</f>
        <v>0</v>
      </c>
      <c r="G29" s="1">
        <f>(Submeters!I28+Submeters!J28+Submeters!K28)*' Kwh area wise $ '!B29</f>
        <v>0</v>
      </c>
      <c r="H29" s="1">
        <f>(Submeters!L28+Submeters!M28)*' Kwh area wise $ '!B29</f>
        <v>0</v>
      </c>
      <c r="I29" s="1">
        <f>(Submeters!N28+Submeters!O28)*' Kwh area wise $ '!B29</f>
        <v>0</v>
      </c>
      <c r="J29" s="1">
        <f>(Submeters!P28+Submeters!Q28+Submeters!R28+Submeters!S28+Submeters!T28+Submeters!U28)*' Kwh area wise $ '!B29</f>
        <v>0</v>
      </c>
      <c r="K29" s="24">
        <f>(Submeters!V28+Submeters!W28)*' Kwh area wise $ '!B29</f>
        <v>0</v>
      </c>
      <c r="L29" s="1">
        <f>Submeters!X28*' Kwh area wise $ '!B29</f>
        <v>0</v>
      </c>
      <c r="M29" s="24" t="e">
        <f>Submeters!#REF!*' Kwh area wise $ '!B29</f>
        <v>#REF!</v>
      </c>
    </row>
    <row r="30" spans="1:13" x14ac:dyDescent="0.25">
      <c r="A30" s="10">
        <f>'Kwh Reading'!A31</f>
        <v>44954</v>
      </c>
      <c r="B30" s="92">
        <f>TOTAL!F29</f>
        <v>0</v>
      </c>
      <c r="C30" s="9" t="e">
        <f>Submeters!#REF!*' Kwh area wise $ '!B30</f>
        <v>#REF!</v>
      </c>
      <c r="D30" s="1">
        <f>Submeters!E29*' Kwh area wise $ '!B30</f>
        <v>0</v>
      </c>
      <c r="E30" s="1">
        <f>Submeters!F29*' Kwh area wise $ '!B30</f>
        <v>0</v>
      </c>
      <c r="F30" s="1">
        <f>Submeters!G29*' Kwh area wise $ '!B30</f>
        <v>0</v>
      </c>
      <c r="G30" s="1">
        <f>(Submeters!I29+Submeters!J29+Submeters!K29)*' Kwh area wise $ '!B30</f>
        <v>0</v>
      </c>
      <c r="H30" s="1">
        <f>(Submeters!L29+Submeters!M29)*' Kwh area wise $ '!B30</f>
        <v>0</v>
      </c>
      <c r="I30" s="1">
        <f>(Submeters!N29+Submeters!O29)*' Kwh area wise $ '!B30</f>
        <v>0</v>
      </c>
      <c r="J30" s="1">
        <f>(Submeters!P29+Submeters!Q29+Submeters!R29+Submeters!S29+Submeters!T29+Submeters!U29)*' Kwh area wise $ '!B30</f>
        <v>0</v>
      </c>
      <c r="K30" s="24">
        <f>(Submeters!V29+Submeters!W29)*' Kwh area wise $ '!B30</f>
        <v>0</v>
      </c>
      <c r="L30" s="1">
        <f>Submeters!X29*' Kwh area wise $ '!B30</f>
        <v>0</v>
      </c>
      <c r="M30" s="24" t="e">
        <f>Submeters!#REF!*' Kwh area wise $ '!B30</f>
        <v>#REF!</v>
      </c>
    </row>
    <row r="31" spans="1:13" x14ac:dyDescent="0.25">
      <c r="A31" s="10">
        <f>'Kwh Reading'!A32</f>
        <v>44955</v>
      </c>
      <c r="B31" s="92">
        <f>TOTAL!F30</f>
        <v>0</v>
      </c>
      <c r="C31" s="9" t="e">
        <f>Submeters!#REF!*' Kwh area wise $ '!B31</f>
        <v>#REF!</v>
      </c>
      <c r="D31" s="1">
        <f>Submeters!E30*' Kwh area wise $ '!B31</f>
        <v>0</v>
      </c>
      <c r="E31" s="1">
        <f>Submeters!F30*' Kwh area wise $ '!B31</f>
        <v>0</v>
      </c>
      <c r="F31" s="1">
        <f>Submeters!G30*' Kwh area wise $ '!B31</f>
        <v>0</v>
      </c>
      <c r="G31" s="1">
        <f>(Submeters!I30+Submeters!J30+Submeters!K30)*' Kwh area wise $ '!B31</f>
        <v>0</v>
      </c>
      <c r="H31" s="1">
        <f>(Submeters!L30+Submeters!M30)*' Kwh area wise $ '!B31</f>
        <v>0</v>
      </c>
      <c r="I31" s="1">
        <f>(Submeters!N30+Submeters!O30)*' Kwh area wise $ '!B31</f>
        <v>0</v>
      </c>
      <c r="J31" s="1">
        <f>(Submeters!P30+Submeters!Q30+Submeters!R30+Submeters!S30+Submeters!T30+Submeters!U30)*' Kwh area wise $ '!B31</f>
        <v>0</v>
      </c>
      <c r="K31" s="24">
        <f>(Submeters!V30+Submeters!W30)*' Kwh area wise $ '!B31</f>
        <v>0</v>
      </c>
      <c r="L31" s="1">
        <f>Submeters!X30*' Kwh area wise $ '!B31</f>
        <v>0</v>
      </c>
      <c r="M31" s="24" t="e">
        <f>Submeters!#REF!*' Kwh area wise $ '!B31</f>
        <v>#REF!</v>
      </c>
    </row>
    <row r="32" spans="1:13" x14ac:dyDescent="0.25">
      <c r="A32" s="10">
        <f>'Kwh Reading'!A33</f>
        <v>44956</v>
      </c>
      <c r="B32" s="92">
        <f>TOTAL!F31</f>
        <v>0</v>
      </c>
      <c r="C32" s="9" t="e">
        <f>Submeters!#REF!*' Kwh area wise $ '!B32</f>
        <v>#REF!</v>
      </c>
      <c r="D32" s="1">
        <f>Submeters!E31*' Kwh area wise $ '!B32</f>
        <v>0</v>
      </c>
      <c r="E32" s="1">
        <f>Submeters!F31*' Kwh area wise $ '!B32</f>
        <v>0</v>
      </c>
      <c r="F32" s="1">
        <f>Submeters!G31*' Kwh area wise $ '!B32</f>
        <v>0</v>
      </c>
      <c r="G32" s="1">
        <f>(Submeters!I31+Submeters!J31+Submeters!K31)*' Kwh area wise $ '!B32</f>
        <v>0</v>
      </c>
      <c r="H32" s="1">
        <f>(Submeters!L31+Submeters!M31)*' Kwh area wise $ '!B32</f>
        <v>0</v>
      </c>
      <c r="I32" s="1">
        <f>(Submeters!N31+Submeters!O31)*' Kwh area wise $ '!B32</f>
        <v>0</v>
      </c>
      <c r="J32" s="1">
        <f>(Submeters!P31+Submeters!Q31+Submeters!R31+Submeters!S31+Submeters!T31+Submeters!U31)*' Kwh area wise $ '!B32</f>
        <v>0</v>
      </c>
      <c r="K32" s="24">
        <f>(Submeters!V31+Submeters!W31)*' Kwh area wise $ '!B32</f>
        <v>0</v>
      </c>
      <c r="L32" s="1">
        <f>Submeters!X31*' Kwh area wise $ '!B32</f>
        <v>0</v>
      </c>
      <c r="M32" s="24" t="e">
        <f>Submeters!#REF!*' Kwh area wise $ '!B32</f>
        <v>#REF!</v>
      </c>
    </row>
    <row r="33" spans="1:14" ht="15.75" x14ac:dyDescent="0.25">
      <c r="A33" s="145" t="s">
        <v>41</v>
      </c>
      <c r="B33" s="145"/>
      <c r="C33" s="60" t="e">
        <f t="shared" ref="C33:L33" si="0">SUM(C3:C32)</f>
        <v>#REF!</v>
      </c>
      <c r="D33" s="60">
        <f t="shared" si="0"/>
        <v>0</v>
      </c>
      <c r="E33" s="60">
        <f t="shared" si="0"/>
        <v>0</v>
      </c>
      <c r="F33" s="60">
        <f t="shared" si="0"/>
        <v>0</v>
      </c>
      <c r="G33" s="60">
        <f t="shared" si="0"/>
        <v>0</v>
      </c>
      <c r="H33" s="60">
        <f t="shared" si="0"/>
        <v>0</v>
      </c>
      <c r="I33" s="60">
        <f t="shared" si="0"/>
        <v>0</v>
      </c>
      <c r="J33" s="60">
        <f t="shared" si="0"/>
        <v>0</v>
      </c>
      <c r="K33" s="60">
        <f t="shared" si="0"/>
        <v>0</v>
      </c>
      <c r="L33" s="60">
        <f t="shared" si="0"/>
        <v>0</v>
      </c>
      <c r="M33" s="60" t="e">
        <f>SUM(M3:M32)</f>
        <v>#REF!</v>
      </c>
      <c r="N33" s="66" t="e">
        <f>D33+E33+F33+G33+H33+I33+J33+K33+L33+M33</f>
        <v>#REF!</v>
      </c>
    </row>
  </sheetData>
  <mergeCells count="1">
    <mergeCell ref="A33:B33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5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Q12" sqref="Q12"/>
    </sheetView>
  </sheetViews>
  <sheetFormatPr defaultRowHeight="15" x14ac:dyDescent="0.25"/>
  <cols>
    <col min="1" max="1" width="12.42578125" style="8" customWidth="1"/>
    <col min="2" max="2" width="14.28515625" style="8" customWidth="1"/>
    <col min="3" max="3" width="12.42578125" style="8" customWidth="1"/>
    <col min="4" max="14" width="10.85546875" style="8" customWidth="1"/>
    <col min="15" max="15" width="14.28515625" style="8" customWidth="1"/>
    <col min="16" max="18" width="10.85546875" style="8" customWidth="1"/>
    <col min="19" max="16384" width="9.140625" style="8"/>
  </cols>
  <sheetData>
    <row r="1" spans="1:21" ht="15.75" thickBot="1" x14ac:dyDescent="0.3">
      <c r="B1" s="39" t="s">
        <v>63</v>
      </c>
      <c r="C1" s="39" t="s">
        <v>64</v>
      </c>
      <c r="D1" s="39" t="s">
        <v>65</v>
      </c>
      <c r="E1" s="39" t="s">
        <v>66</v>
      </c>
      <c r="F1" s="39" t="s">
        <v>67</v>
      </c>
      <c r="G1" s="39" t="s">
        <v>68</v>
      </c>
      <c r="H1" s="39" t="s">
        <v>69</v>
      </c>
      <c r="I1" s="39" t="s">
        <v>70</v>
      </c>
      <c r="J1" s="39" t="s">
        <v>71</v>
      </c>
      <c r="K1" s="39" t="s">
        <v>72</v>
      </c>
      <c r="L1" s="39" t="s">
        <v>73</v>
      </c>
      <c r="M1" s="39" t="s">
        <v>74</v>
      </c>
      <c r="N1" s="39" t="s">
        <v>75</v>
      </c>
      <c r="O1" s="39" t="s">
        <v>76</v>
      </c>
      <c r="P1" s="39" t="s">
        <v>77</v>
      </c>
      <c r="Q1" s="39" t="s">
        <v>78</v>
      </c>
      <c r="R1" s="39" t="s">
        <v>79</v>
      </c>
    </row>
    <row r="2" spans="1:21" s="43" customFormat="1" ht="30.75" thickTop="1" x14ac:dyDescent="0.25">
      <c r="A2" s="40" t="s">
        <v>30</v>
      </c>
      <c r="B2" s="41" t="s">
        <v>80</v>
      </c>
      <c r="C2" s="41" t="s">
        <v>81</v>
      </c>
      <c r="D2" s="89" t="s">
        <v>82</v>
      </c>
      <c r="E2" s="89" t="s">
        <v>83</v>
      </c>
      <c r="F2" s="89" t="s">
        <v>84</v>
      </c>
      <c r="G2" s="89" t="s">
        <v>85</v>
      </c>
      <c r="H2" s="89" t="s">
        <v>86</v>
      </c>
      <c r="I2" s="89" t="s">
        <v>87</v>
      </c>
      <c r="J2" s="42" t="s">
        <v>88</v>
      </c>
      <c r="K2" s="42" t="s">
        <v>89</v>
      </c>
      <c r="L2" s="42" t="s">
        <v>90</v>
      </c>
      <c r="M2" s="42" t="s">
        <v>91</v>
      </c>
      <c r="N2" s="42" t="s">
        <v>92</v>
      </c>
      <c r="O2" s="42" t="s">
        <v>93</v>
      </c>
      <c r="P2" s="42" t="s">
        <v>94</v>
      </c>
      <c r="Q2" s="42" t="s">
        <v>95</v>
      </c>
      <c r="R2" s="42" t="s">
        <v>96</v>
      </c>
    </row>
    <row r="3" spans="1:21" x14ac:dyDescent="0.25">
      <c r="A3" s="44">
        <v>44927</v>
      </c>
      <c r="B3" s="25">
        <v>26481</v>
      </c>
      <c r="C3" s="25">
        <v>41073</v>
      </c>
      <c r="D3" s="25">
        <v>301189</v>
      </c>
      <c r="E3" s="25">
        <v>286364</v>
      </c>
      <c r="F3" s="25">
        <v>26304</v>
      </c>
      <c r="G3" s="25">
        <v>124686</v>
      </c>
      <c r="H3" s="45">
        <v>614</v>
      </c>
      <c r="I3" s="109">
        <v>80326</v>
      </c>
      <c r="J3" s="25">
        <v>24068</v>
      </c>
      <c r="K3" s="25">
        <v>1024</v>
      </c>
      <c r="L3" s="25">
        <v>19597</v>
      </c>
      <c r="M3" s="25">
        <v>28749</v>
      </c>
      <c r="N3" s="25">
        <v>9090</v>
      </c>
      <c r="O3" s="25">
        <v>2479</v>
      </c>
      <c r="P3" s="25">
        <v>33017</v>
      </c>
      <c r="Q3" s="25">
        <v>2365</v>
      </c>
      <c r="R3" s="25">
        <v>1004</v>
      </c>
    </row>
    <row r="4" spans="1:21" x14ac:dyDescent="0.25">
      <c r="A4" s="44">
        <v>44928</v>
      </c>
      <c r="B4" s="25">
        <v>26661</v>
      </c>
      <c r="C4" s="25">
        <v>41423</v>
      </c>
      <c r="D4" s="25">
        <v>301366</v>
      </c>
      <c r="E4" s="25">
        <v>286536</v>
      </c>
      <c r="F4" s="25">
        <v>26304</v>
      </c>
      <c r="G4" s="25">
        <v>124732</v>
      </c>
      <c r="H4" s="45">
        <v>657</v>
      </c>
      <c r="I4" s="109">
        <v>80377</v>
      </c>
      <c r="J4" s="25">
        <v>24076</v>
      </c>
      <c r="K4" s="25">
        <v>1024</v>
      </c>
      <c r="L4" s="25">
        <v>19600</v>
      </c>
      <c r="M4" s="25">
        <v>28754</v>
      </c>
      <c r="N4" s="25">
        <v>9093</v>
      </c>
      <c r="O4" s="25">
        <v>2482</v>
      </c>
      <c r="P4" s="25">
        <v>33024</v>
      </c>
      <c r="Q4" s="25">
        <v>2368</v>
      </c>
      <c r="R4" s="25">
        <v>1011</v>
      </c>
    </row>
    <row r="5" spans="1:21" x14ac:dyDescent="0.25">
      <c r="A5" s="44">
        <v>44929</v>
      </c>
      <c r="B5" s="25">
        <v>26843</v>
      </c>
      <c r="C5" s="25">
        <v>41694</v>
      </c>
      <c r="D5" s="25">
        <v>301572</v>
      </c>
      <c r="E5" s="25">
        <v>286626</v>
      </c>
      <c r="F5" s="25">
        <v>26304</v>
      </c>
      <c r="G5" s="25">
        <v>124770</v>
      </c>
      <c r="H5" s="45">
        <v>700</v>
      </c>
      <c r="I5" s="109">
        <v>80399</v>
      </c>
      <c r="J5" s="25">
        <v>24084</v>
      </c>
      <c r="K5" s="25">
        <v>1024</v>
      </c>
      <c r="L5" s="25">
        <v>28761</v>
      </c>
      <c r="M5" s="25">
        <v>28761</v>
      </c>
      <c r="N5" s="25">
        <v>9097</v>
      </c>
      <c r="O5" s="25">
        <v>2484</v>
      </c>
      <c r="P5" s="25">
        <v>33030</v>
      </c>
      <c r="Q5" s="25">
        <v>2375</v>
      </c>
      <c r="R5" s="25">
        <v>1019</v>
      </c>
    </row>
    <row r="6" spans="1:21" x14ac:dyDescent="0.25">
      <c r="A6" s="44">
        <v>44930</v>
      </c>
      <c r="B6" s="25">
        <v>27035</v>
      </c>
      <c r="C6" s="25">
        <v>41983</v>
      </c>
      <c r="D6" s="25">
        <v>301799</v>
      </c>
      <c r="E6" s="25">
        <v>286716</v>
      </c>
      <c r="F6" s="25">
        <v>26342</v>
      </c>
      <c r="G6" s="25">
        <v>124781</v>
      </c>
      <c r="H6" s="45">
        <v>746</v>
      </c>
      <c r="I6" s="109">
        <v>80421</v>
      </c>
      <c r="J6" s="25">
        <v>24091</v>
      </c>
      <c r="K6" s="25">
        <v>1024</v>
      </c>
      <c r="L6" s="25">
        <v>19606</v>
      </c>
      <c r="M6" s="25">
        <v>28767</v>
      </c>
      <c r="N6" s="25">
        <v>9099</v>
      </c>
      <c r="O6" s="25">
        <v>2486</v>
      </c>
      <c r="P6" s="25">
        <v>33032</v>
      </c>
      <c r="Q6" s="25">
        <v>2379</v>
      </c>
      <c r="R6" s="25">
        <v>1026</v>
      </c>
    </row>
    <row r="7" spans="1:21" x14ac:dyDescent="0.25">
      <c r="A7" s="44">
        <v>44931</v>
      </c>
      <c r="B7" s="25">
        <v>27260</v>
      </c>
      <c r="C7" s="25">
        <v>42327</v>
      </c>
      <c r="D7" s="25">
        <v>302072</v>
      </c>
      <c r="E7" s="25">
        <v>286802</v>
      </c>
      <c r="F7" s="25">
        <v>26371</v>
      </c>
      <c r="G7" s="25">
        <v>124855</v>
      </c>
      <c r="H7" s="45">
        <v>849</v>
      </c>
      <c r="I7" s="109">
        <v>80439</v>
      </c>
      <c r="J7" s="25">
        <v>24099</v>
      </c>
      <c r="K7" s="25">
        <v>1024</v>
      </c>
      <c r="L7" s="25">
        <v>19609</v>
      </c>
      <c r="M7" s="25">
        <v>28773</v>
      </c>
      <c r="N7" s="25">
        <v>9102</v>
      </c>
      <c r="O7" s="25">
        <v>2488</v>
      </c>
      <c r="P7" s="25">
        <v>33095</v>
      </c>
      <c r="Q7" s="25">
        <v>2380</v>
      </c>
      <c r="R7" s="25">
        <v>1034</v>
      </c>
    </row>
    <row r="8" spans="1:21" x14ac:dyDescent="0.25">
      <c r="A8" s="44">
        <v>44932</v>
      </c>
      <c r="B8" s="25">
        <v>27450</v>
      </c>
      <c r="C8" s="25">
        <v>42602</v>
      </c>
      <c r="D8" s="25">
        <v>302302</v>
      </c>
      <c r="E8" s="25">
        <v>286879</v>
      </c>
      <c r="F8" s="25">
        <v>26401</v>
      </c>
      <c r="G8" s="25">
        <v>124894</v>
      </c>
      <c r="H8" s="45">
        <v>904</v>
      </c>
      <c r="I8" s="109">
        <v>80461</v>
      </c>
      <c r="J8" s="25">
        <v>24106</v>
      </c>
      <c r="K8" s="25">
        <v>1024</v>
      </c>
      <c r="L8" s="25">
        <v>19613</v>
      </c>
      <c r="M8" s="25">
        <v>28780</v>
      </c>
      <c r="N8" s="25">
        <v>9104</v>
      </c>
      <c r="O8" s="25">
        <v>2490</v>
      </c>
      <c r="P8" s="25">
        <v>33109</v>
      </c>
      <c r="Q8" s="25">
        <v>2387</v>
      </c>
      <c r="R8" s="25">
        <v>1039</v>
      </c>
    </row>
    <row r="9" spans="1:21" x14ac:dyDescent="0.25">
      <c r="A9" s="44">
        <v>44933</v>
      </c>
      <c r="B9" s="25">
        <v>27688</v>
      </c>
      <c r="C9" s="25">
        <v>42852</v>
      </c>
      <c r="D9" s="25">
        <v>302502</v>
      </c>
      <c r="E9" s="25">
        <v>286965</v>
      </c>
      <c r="F9" s="25">
        <v>26443</v>
      </c>
      <c r="G9" s="25">
        <v>124931</v>
      </c>
      <c r="H9" s="45">
        <v>966</v>
      </c>
      <c r="I9" s="109">
        <v>80471</v>
      </c>
      <c r="J9" s="25">
        <v>24114</v>
      </c>
      <c r="K9" s="25">
        <v>1024</v>
      </c>
      <c r="L9" s="25">
        <v>19616</v>
      </c>
      <c r="M9" s="25">
        <v>28786</v>
      </c>
      <c r="N9" s="25">
        <v>9107</v>
      </c>
      <c r="O9" s="25">
        <v>2491</v>
      </c>
      <c r="P9" s="25">
        <v>33111</v>
      </c>
      <c r="Q9" s="25">
        <v>2388</v>
      </c>
      <c r="R9" s="25">
        <v>1043</v>
      </c>
    </row>
    <row r="10" spans="1:21" x14ac:dyDescent="0.25">
      <c r="A10" s="44">
        <v>44934</v>
      </c>
      <c r="B10" s="25">
        <v>27816</v>
      </c>
      <c r="C10" s="25">
        <v>43158</v>
      </c>
      <c r="D10" s="25">
        <v>302747</v>
      </c>
      <c r="E10" s="25">
        <v>287049</v>
      </c>
      <c r="F10" s="25">
        <v>26477</v>
      </c>
      <c r="G10" s="25">
        <v>124971</v>
      </c>
      <c r="H10" s="45">
        <v>1010</v>
      </c>
      <c r="I10" s="109">
        <v>80499</v>
      </c>
      <c r="J10" s="25">
        <v>24122</v>
      </c>
      <c r="K10" s="25">
        <v>1024</v>
      </c>
      <c r="L10" s="25">
        <v>19619</v>
      </c>
      <c r="M10" s="25">
        <v>28792</v>
      </c>
      <c r="N10" s="25">
        <v>9109</v>
      </c>
      <c r="O10" s="25">
        <v>2495</v>
      </c>
      <c r="P10" s="25">
        <v>33139</v>
      </c>
      <c r="Q10" s="25">
        <v>2394</v>
      </c>
      <c r="R10" s="25">
        <v>1051</v>
      </c>
    </row>
    <row r="11" spans="1:21" x14ac:dyDescent="0.25">
      <c r="A11" s="44">
        <v>44935</v>
      </c>
      <c r="B11" s="25">
        <v>27991</v>
      </c>
      <c r="C11" s="25">
        <v>43467</v>
      </c>
      <c r="D11" s="25">
        <v>303008</v>
      </c>
      <c r="E11" s="25">
        <v>287139</v>
      </c>
      <c r="F11" s="25">
        <v>26514</v>
      </c>
      <c r="G11" s="25">
        <v>125010</v>
      </c>
      <c r="H11" s="45">
        <v>1059</v>
      </c>
      <c r="I11" s="109">
        <v>80504</v>
      </c>
      <c r="J11" s="25">
        <v>24129</v>
      </c>
      <c r="K11" s="25">
        <v>1024</v>
      </c>
      <c r="L11" s="25">
        <v>19623</v>
      </c>
      <c r="M11" s="25">
        <v>28802</v>
      </c>
      <c r="N11" s="25">
        <v>9111</v>
      </c>
      <c r="O11" s="25">
        <v>2498</v>
      </c>
      <c r="P11" s="25">
        <v>33135</v>
      </c>
      <c r="Q11" s="25">
        <v>2401</v>
      </c>
      <c r="R11" s="25">
        <v>1059</v>
      </c>
    </row>
    <row r="12" spans="1:21" x14ac:dyDescent="0.25">
      <c r="A12" s="44">
        <v>44936</v>
      </c>
      <c r="B12" s="25">
        <v>281634</v>
      </c>
      <c r="C12" s="25">
        <v>43752</v>
      </c>
      <c r="D12" s="25">
        <v>303232</v>
      </c>
      <c r="E12" s="25">
        <v>287220</v>
      </c>
      <c r="F12" s="25">
        <v>26548</v>
      </c>
      <c r="G12" s="25">
        <v>125049</v>
      </c>
      <c r="H12" s="45">
        <v>1094</v>
      </c>
      <c r="I12" s="109">
        <v>80535</v>
      </c>
      <c r="J12" s="25">
        <v>24136</v>
      </c>
      <c r="K12" s="25">
        <v>1024</v>
      </c>
      <c r="L12" s="25">
        <v>19627</v>
      </c>
      <c r="M12" s="25">
        <v>28809</v>
      </c>
      <c r="N12" s="25">
        <v>9113</v>
      </c>
      <c r="O12" s="25">
        <v>2500</v>
      </c>
      <c r="P12" s="25">
        <v>33160</v>
      </c>
      <c r="Q12" s="25">
        <v>2408</v>
      </c>
      <c r="R12" s="25">
        <v>1065</v>
      </c>
    </row>
    <row r="13" spans="1:21" x14ac:dyDescent="0.25">
      <c r="A13" s="44">
        <v>44937</v>
      </c>
      <c r="B13" s="25">
        <v>0</v>
      </c>
      <c r="C13" s="25">
        <v>0</v>
      </c>
      <c r="D13" s="25">
        <v>0</v>
      </c>
      <c r="E13" s="25">
        <v>0</v>
      </c>
      <c r="F13" s="25">
        <v>0</v>
      </c>
      <c r="G13" s="25">
        <v>0</v>
      </c>
      <c r="H13" s="45">
        <v>0</v>
      </c>
      <c r="I13" s="109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</row>
    <row r="14" spans="1:21" x14ac:dyDescent="0.25">
      <c r="A14" s="44">
        <v>44938</v>
      </c>
      <c r="B14" s="25">
        <v>0</v>
      </c>
      <c r="C14" s="25">
        <v>0</v>
      </c>
      <c r="D14" s="25">
        <v>0</v>
      </c>
      <c r="E14" s="25">
        <v>0</v>
      </c>
      <c r="F14" s="25">
        <v>0</v>
      </c>
      <c r="G14" s="25">
        <v>0</v>
      </c>
      <c r="H14" s="45">
        <v>0</v>
      </c>
      <c r="I14" s="109">
        <v>0</v>
      </c>
      <c r="J14" s="25">
        <v>0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</row>
    <row r="15" spans="1:21" x14ac:dyDescent="0.25">
      <c r="A15" s="44">
        <v>44939</v>
      </c>
      <c r="B15" s="25">
        <v>0</v>
      </c>
      <c r="C15" s="25">
        <v>0</v>
      </c>
      <c r="D15" s="25">
        <v>0</v>
      </c>
      <c r="E15" s="25">
        <v>0</v>
      </c>
      <c r="F15" s="25">
        <v>0</v>
      </c>
      <c r="G15" s="25">
        <v>0</v>
      </c>
      <c r="H15" s="45">
        <v>0</v>
      </c>
      <c r="I15" s="109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T15" s="82"/>
      <c r="U15" s="82"/>
    </row>
    <row r="16" spans="1:21" x14ac:dyDescent="0.25">
      <c r="A16" s="44">
        <v>44940</v>
      </c>
      <c r="B16" s="25">
        <v>0</v>
      </c>
      <c r="C16" s="25">
        <v>0</v>
      </c>
      <c r="D16" s="25">
        <v>0</v>
      </c>
      <c r="E16" s="25">
        <v>0</v>
      </c>
      <c r="F16" s="25">
        <v>0</v>
      </c>
      <c r="G16" s="25">
        <v>0</v>
      </c>
      <c r="H16" s="45">
        <v>0</v>
      </c>
      <c r="I16" s="109">
        <v>0</v>
      </c>
      <c r="J16" s="25">
        <v>0</v>
      </c>
      <c r="K16" s="25">
        <v>0</v>
      </c>
      <c r="L16" s="25">
        <v>0</v>
      </c>
      <c r="M16" s="25">
        <v>0</v>
      </c>
      <c r="N16" s="25">
        <v>0</v>
      </c>
      <c r="O16" s="25">
        <v>0</v>
      </c>
      <c r="P16" s="25">
        <v>0</v>
      </c>
      <c r="Q16" s="25">
        <v>0</v>
      </c>
      <c r="R16" s="25">
        <v>0</v>
      </c>
    </row>
    <row r="17" spans="1:21" x14ac:dyDescent="0.25">
      <c r="A17" s="44">
        <v>44941</v>
      </c>
      <c r="B17" s="25">
        <v>0</v>
      </c>
      <c r="C17" s="25">
        <v>0</v>
      </c>
      <c r="D17" s="25">
        <v>0</v>
      </c>
      <c r="E17" s="25">
        <v>0</v>
      </c>
      <c r="F17" s="25">
        <v>0</v>
      </c>
      <c r="G17" s="25">
        <v>0</v>
      </c>
      <c r="H17" s="45">
        <v>0</v>
      </c>
      <c r="I17" s="109">
        <v>0</v>
      </c>
      <c r="J17" s="25">
        <v>0</v>
      </c>
      <c r="K17" s="25">
        <v>0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</row>
    <row r="18" spans="1:21" x14ac:dyDescent="0.25">
      <c r="A18" s="44">
        <v>44942</v>
      </c>
      <c r="B18" s="25">
        <v>0</v>
      </c>
      <c r="C18" s="25">
        <v>0</v>
      </c>
      <c r="D18" s="25">
        <v>0</v>
      </c>
      <c r="E18" s="25">
        <v>0</v>
      </c>
      <c r="F18" s="25">
        <v>0</v>
      </c>
      <c r="G18" s="25">
        <v>0</v>
      </c>
      <c r="H18" s="45">
        <v>0</v>
      </c>
      <c r="I18" s="109">
        <v>0</v>
      </c>
      <c r="J18" s="25">
        <v>0</v>
      </c>
      <c r="K18" s="25">
        <v>0</v>
      </c>
      <c r="L18" s="25">
        <v>0</v>
      </c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U18" s="82"/>
    </row>
    <row r="19" spans="1:21" x14ac:dyDescent="0.25">
      <c r="A19" s="44">
        <v>44943</v>
      </c>
      <c r="B19" s="25">
        <v>0</v>
      </c>
      <c r="C19" s="25">
        <v>0</v>
      </c>
      <c r="D19" s="25">
        <v>0</v>
      </c>
      <c r="E19" s="25">
        <v>0</v>
      </c>
      <c r="F19" s="25">
        <v>0</v>
      </c>
      <c r="G19" s="25">
        <v>0</v>
      </c>
      <c r="H19" s="45">
        <v>0</v>
      </c>
      <c r="I19" s="109">
        <v>0</v>
      </c>
      <c r="J19" s="25">
        <v>0</v>
      </c>
      <c r="K19" s="25">
        <v>0</v>
      </c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</row>
    <row r="20" spans="1:21" x14ac:dyDescent="0.25">
      <c r="A20" s="44">
        <v>44944</v>
      </c>
      <c r="B20" s="25">
        <v>0</v>
      </c>
      <c r="C20" s="25">
        <v>0</v>
      </c>
      <c r="D20" s="25">
        <v>0</v>
      </c>
      <c r="E20" s="25">
        <v>0</v>
      </c>
      <c r="F20" s="25">
        <v>0</v>
      </c>
      <c r="G20" s="25">
        <v>0</v>
      </c>
      <c r="H20" s="45">
        <v>0</v>
      </c>
      <c r="I20" s="109">
        <v>0</v>
      </c>
      <c r="J20" s="25">
        <v>0</v>
      </c>
      <c r="K20" s="25">
        <v>0</v>
      </c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</row>
    <row r="21" spans="1:21" x14ac:dyDescent="0.25">
      <c r="A21" s="44">
        <v>44945</v>
      </c>
      <c r="B21" s="25">
        <v>0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45">
        <v>0</v>
      </c>
      <c r="I21" s="109">
        <v>0</v>
      </c>
      <c r="J21" s="25">
        <v>0</v>
      </c>
      <c r="K21" s="25">
        <v>0</v>
      </c>
      <c r="L21" s="25">
        <v>0</v>
      </c>
      <c r="M21" s="25">
        <v>0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</row>
    <row r="22" spans="1:21" x14ac:dyDescent="0.25">
      <c r="A22" s="44">
        <v>44946</v>
      </c>
      <c r="B22" s="25">
        <v>0</v>
      </c>
      <c r="C22" s="25">
        <v>0</v>
      </c>
      <c r="D22" s="25">
        <v>0</v>
      </c>
      <c r="E22" s="25">
        <v>0</v>
      </c>
      <c r="F22" s="25">
        <v>0</v>
      </c>
      <c r="G22" s="25">
        <v>0</v>
      </c>
      <c r="H22" s="45">
        <v>0</v>
      </c>
      <c r="I22" s="109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0</v>
      </c>
      <c r="P22" s="25">
        <v>0</v>
      </c>
      <c r="Q22" s="25">
        <v>0</v>
      </c>
      <c r="R22" s="25">
        <v>0</v>
      </c>
    </row>
    <row r="23" spans="1:21" x14ac:dyDescent="0.25">
      <c r="A23" s="44">
        <v>44947</v>
      </c>
      <c r="B23" s="25">
        <v>0</v>
      </c>
      <c r="C23" s="25">
        <v>0</v>
      </c>
      <c r="D23" s="25">
        <v>0</v>
      </c>
      <c r="E23" s="25">
        <v>0</v>
      </c>
      <c r="F23" s="25">
        <v>0</v>
      </c>
      <c r="G23" s="25">
        <v>0</v>
      </c>
      <c r="H23" s="45">
        <v>0</v>
      </c>
      <c r="I23" s="109">
        <v>0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8" t="s">
        <v>114</v>
      </c>
    </row>
    <row r="24" spans="1:21" x14ac:dyDescent="0.25">
      <c r="A24" s="44">
        <v>44948</v>
      </c>
      <c r="B24" s="25">
        <v>0</v>
      </c>
      <c r="C24" s="25">
        <v>0</v>
      </c>
      <c r="D24" s="25">
        <v>0</v>
      </c>
      <c r="E24" s="25">
        <v>0</v>
      </c>
      <c r="F24" s="25">
        <v>0</v>
      </c>
      <c r="G24" s="25">
        <v>0</v>
      </c>
      <c r="H24" s="45">
        <v>0</v>
      </c>
      <c r="I24" s="109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8" t="s">
        <v>116</v>
      </c>
    </row>
    <row r="25" spans="1:21" x14ac:dyDescent="0.25">
      <c r="A25" s="44">
        <v>44949</v>
      </c>
      <c r="B25" s="25">
        <v>0</v>
      </c>
      <c r="C25" s="25">
        <v>0</v>
      </c>
      <c r="D25" s="25">
        <v>0</v>
      </c>
      <c r="E25" s="25">
        <v>0</v>
      </c>
      <c r="F25" s="25">
        <v>0</v>
      </c>
      <c r="G25" s="25">
        <v>0</v>
      </c>
      <c r="H25" s="45">
        <v>0</v>
      </c>
      <c r="I25" s="109">
        <v>0</v>
      </c>
      <c r="J25" s="25">
        <v>0</v>
      </c>
      <c r="K25" s="25">
        <v>0</v>
      </c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</row>
    <row r="26" spans="1:21" x14ac:dyDescent="0.25">
      <c r="A26" s="44">
        <v>44950</v>
      </c>
      <c r="B26" s="25">
        <v>0</v>
      </c>
      <c r="C26" s="25">
        <v>0</v>
      </c>
      <c r="D26" s="25">
        <v>0</v>
      </c>
      <c r="E26" s="25">
        <v>0</v>
      </c>
      <c r="F26" s="25">
        <v>0</v>
      </c>
      <c r="G26" s="25">
        <v>0</v>
      </c>
      <c r="H26" s="45">
        <v>0</v>
      </c>
      <c r="I26" s="109">
        <v>0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v>0</v>
      </c>
      <c r="R26" s="25">
        <v>0</v>
      </c>
    </row>
    <row r="27" spans="1:21" x14ac:dyDescent="0.25">
      <c r="A27" s="44">
        <v>44951</v>
      </c>
      <c r="B27" s="25">
        <v>0</v>
      </c>
      <c r="C27" s="25">
        <v>0</v>
      </c>
      <c r="D27" s="25">
        <v>0</v>
      </c>
      <c r="E27" s="25">
        <v>0</v>
      </c>
      <c r="F27" s="25">
        <v>0</v>
      </c>
      <c r="G27" s="25">
        <v>0</v>
      </c>
      <c r="H27" s="45">
        <v>0</v>
      </c>
      <c r="I27" s="109">
        <v>0</v>
      </c>
      <c r="J27" s="25">
        <v>0</v>
      </c>
      <c r="K27" s="25">
        <v>0</v>
      </c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</row>
    <row r="28" spans="1:21" x14ac:dyDescent="0.25">
      <c r="A28" s="44">
        <v>44952</v>
      </c>
      <c r="B28" s="25">
        <v>0</v>
      </c>
      <c r="C28" s="25">
        <v>0</v>
      </c>
      <c r="D28" s="25">
        <v>0</v>
      </c>
      <c r="E28" s="25">
        <v>0</v>
      </c>
      <c r="F28" s="25">
        <v>0</v>
      </c>
      <c r="G28" s="25">
        <v>0</v>
      </c>
      <c r="H28" s="45">
        <v>0</v>
      </c>
      <c r="I28" s="109">
        <v>0</v>
      </c>
      <c r="J28" s="25">
        <v>0</v>
      </c>
      <c r="K28" s="25">
        <v>0</v>
      </c>
      <c r="L28" s="25">
        <v>0</v>
      </c>
      <c r="M28" s="25">
        <v>0</v>
      </c>
      <c r="N28" s="25">
        <v>0</v>
      </c>
      <c r="O28" s="25">
        <v>0</v>
      </c>
      <c r="P28" s="25">
        <v>0</v>
      </c>
      <c r="Q28" s="25">
        <v>0</v>
      </c>
      <c r="R28" s="25">
        <v>0</v>
      </c>
    </row>
    <row r="29" spans="1:21" x14ac:dyDescent="0.25">
      <c r="A29" s="44">
        <v>44953</v>
      </c>
      <c r="B29" s="25">
        <v>0</v>
      </c>
      <c r="C29" s="25">
        <v>0</v>
      </c>
      <c r="D29" s="25">
        <v>0</v>
      </c>
      <c r="E29" s="25">
        <v>0</v>
      </c>
      <c r="F29" s="25">
        <v>0</v>
      </c>
      <c r="G29" s="25">
        <v>0</v>
      </c>
      <c r="H29" s="45">
        <v>0</v>
      </c>
      <c r="I29" s="109">
        <v>0</v>
      </c>
      <c r="J29" s="25">
        <v>0</v>
      </c>
      <c r="K29" s="25">
        <v>0</v>
      </c>
      <c r="L29" s="25">
        <v>0</v>
      </c>
      <c r="M29" s="25">
        <v>0</v>
      </c>
      <c r="N29" s="25">
        <v>0</v>
      </c>
      <c r="O29" s="25">
        <v>0</v>
      </c>
      <c r="P29" s="25">
        <v>0</v>
      </c>
      <c r="Q29" s="25">
        <v>0</v>
      </c>
      <c r="R29" s="25">
        <v>0</v>
      </c>
    </row>
    <row r="30" spans="1:21" x14ac:dyDescent="0.25">
      <c r="A30" s="44">
        <v>44954</v>
      </c>
      <c r="B30" s="25">
        <v>0</v>
      </c>
      <c r="C30" s="25">
        <v>0</v>
      </c>
      <c r="D30" s="25">
        <v>0</v>
      </c>
      <c r="E30" s="25">
        <v>0</v>
      </c>
      <c r="F30" s="25">
        <v>0</v>
      </c>
      <c r="G30" s="25">
        <v>0</v>
      </c>
      <c r="H30" s="45">
        <v>0</v>
      </c>
      <c r="I30" s="109">
        <v>0</v>
      </c>
      <c r="J30" s="25">
        <v>0</v>
      </c>
      <c r="K30" s="25">
        <v>0</v>
      </c>
      <c r="L30" s="25">
        <v>0</v>
      </c>
      <c r="M30" s="25">
        <v>0</v>
      </c>
      <c r="N30" s="25">
        <v>0</v>
      </c>
      <c r="O30" s="25">
        <v>0</v>
      </c>
      <c r="P30" s="25">
        <v>0</v>
      </c>
      <c r="Q30" s="25">
        <v>0</v>
      </c>
      <c r="R30" s="25">
        <v>0</v>
      </c>
    </row>
    <row r="31" spans="1:21" x14ac:dyDescent="0.25">
      <c r="A31" s="44">
        <v>44955</v>
      </c>
      <c r="B31" s="25">
        <v>0</v>
      </c>
      <c r="C31" s="25">
        <v>0</v>
      </c>
      <c r="D31" s="25">
        <v>0</v>
      </c>
      <c r="E31" s="25">
        <v>0</v>
      </c>
      <c r="F31" s="25">
        <v>0</v>
      </c>
      <c r="G31" s="25">
        <v>0</v>
      </c>
      <c r="H31" s="45">
        <v>0</v>
      </c>
      <c r="I31" s="109">
        <v>0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0</v>
      </c>
      <c r="P31" s="25">
        <v>0</v>
      </c>
      <c r="Q31" s="25">
        <v>0</v>
      </c>
      <c r="R31" s="25">
        <v>0</v>
      </c>
    </row>
    <row r="32" spans="1:21" x14ac:dyDescent="0.25">
      <c r="A32" s="44">
        <v>44956</v>
      </c>
      <c r="B32" s="25">
        <v>0</v>
      </c>
      <c r="C32" s="25">
        <v>0</v>
      </c>
      <c r="D32" s="25">
        <v>0</v>
      </c>
      <c r="E32" s="25">
        <v>0</v>
      </c>
      <c r="F32" s="25">
        <v>0</v>
      </c>
      <c r="G32" s="25">
        <v>0</v>
      </c>
      <c r="H32" s="45">
        <v>0</v>
      </c>
      <c r="I32" s="109">
        <v>0</v>
      </c>
      <c r="J32" s="25">
        <v>0</v>
      </c>
      <c r="K32" s="25">
        <v>0</v>
      </c>
      <c r="L32" s="25">
        <v>0</v>
      </c>
      <c r="M32" s="25">
        <v>0</v>
      </c>
      <c r="N32" s="25">
        <v>0</v>
      </c>
      <c r="O32" s="25">
        <v>0</v>
      </c>
      <c r="P32" s="25">
        <v>0</v>
      </c>
      <c r="Q32" s="25">
        <v>0</v>
      </c>
      <c r="R32" s="25">
        <v>0</v>
      </c>
    </row>
    <row r="33" spans="1:18" x14ac:dyDescent="0.25">
      <c r="A33" s="44">
        <v>44957</v>
      </c>
      <c r="B33" s="25">
        <v>0</v>
      </c>
      <c r="C33" s="25">
        <v>0</v>
      </c>
      <c r="D33" s="25">
        <v>0</v>
      </c>
      <c r="E33" s="25">
        <v>0</v>
      </c>
      <c r="F33" s="25">
        <v>0</v>
      </c>
      <c r="G33" s="25">
        <v>0</v>
      </c>
      <c r="H33" s="45">
        <v>0</v>
      </c>
      <c r="I33" s="109">
        <v>0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>
        <v>0</v>
      </c>
      <c r="P33" s="25">
        <v>0</v>
      </c>
      <c r="Q33" s="25">
        <v>0</v>
      </c>
      <c r="R33" s="25">
        <v>0</v>
      </c>
    </row>
    <row r="35" spans="1:18" x14ac:dyDescent="0.25">
      <c r="B35" s="82"/>
      <c r="C35" s="82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B1" zoomScale="90" zoomScaleNormal="90" workbookViewId="0">
      <pane ySplit="3" topLeftCell="A4" activePane="bottomLeft" state="frozen"/>
      <selection activeCell="C25" sqref="C25"/>
      <selection pane="bottomLeft" activeCell="Y12" sqref="Y12"/>
    </sheetView>
  </sheetViews>
  <sheetFormatPr defaultRowHeight="15" x14ac:dyDescent="0.25"/>
  <cols>
    <col min="1" max="1" width="13" style="11" customWidth="1"/>
    <col min="2" max="2" width="14.42578125" style="11" customWidth="1"/>
    <col min="3" max="3" width="15.7109375" style="11" customWidth="1"/>
    <col min="4" max="4" width="16.140625" style="11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46" customFormat="1" ht="45" customHeight="1" thickTop="1" x14ac:dyDescent="0.25">
      <c r="A2" s="146" t="s">
        <v>30</v>
      </c>
      <c r="B2" s="147" t="s">
        <v>97</v>
      </c>
      <c r="C2" s="147" t="s">
        <v>98</v>
      </c>
      <c r="D2" s="147"/>
      <c r="E2" s="148" t="s">
        <v>86</v>
      </c>
      <c r="F2" s="149"/>
      <c r="G2" s="150" t="s">
        <v>101</v>
      </c>
      <c r="H2" s="149"/>
      <c r="I2" s="150" t="s">
        <v>99</v>
      </c>
      <c r="J2" s="149"/>
      <c r="K2" s="150" t="s">
        <v>100</v>
      </c>
      <c r="L2" s="149"/>
      <c r="M2" s="150" t="s">
        <v>96</v>
      </c>
      <c r="N2" s="149"/>
      <c r="O2" s="150" t="s">
        <v>95</v>
      </c>
      <c r="P2" s="149"/>
      <c r="Q2" s="150" t="s">
        <v>102</v>
      </c>
      <c r="R2" s="149"/>
      <c r="S2" s="150" t="s">
        <v>103</v>
      </c>
      <c r="T2" s="149"/>
      <c r="U2" s="150" t="s">
        <v>104</v>
      </c>
      <c r="V2" s="149"/>
      <c r="W2" s="150" t="s">
        <v>88</v>
      </c>
      <c r="X2" s="151"/>
      <c r="Y2" s="152" t="s">
        <v>41</v>
      </c>
      <c r="Z2" s="152"/>
    </row>
    <row r="3" spans="1:26" ht="30" x14ac:dyDescent="0.35">
      <c r="A3" s="146"/>
      <c r="B3" s="147"/>
      <c r="C3" s="47" t="s">
        <v>105</v>
      </c>
      <c r="D3" s="47" t="s">
        <v>106</v>
      </c>
      <c r="E3" s="59" t="s">
        <v>105</v>
      </c>
      <c r="F3" s="49" t="s">
        <v>107</v>
      </c>
      <c r="G3" s="48" t="s">
        <v>105</v>
      </c>
      <c r="H3" s="49" t="s">
        <v>107</v>
      </c>
      <c r="I3" s="48" t="s">
        <v>105</v>
      </c>
      <c r="J3" s="49" t="s">
        <v>107</v>
      </c>
      <c r="K3" s="48" t="s">
        <v>105</v>
      </c>
      <c r="L3" s="49" t="s">
        <v>107</v>
      </c>
      <c r="M3" s="48" t="s">
        <v>105</v>
      </c>
      <c r="N3" s="49" t="s">
        <v>107</v>
      </c>
      <c r="O3" s="48" t="s">
        <v>105</v>
      </c>
      <c r="P3" s="49" t="s">
        <v>107</v>
      </c>
      <c r="Q3" s="48" t="s">
        <v>105</v>
      </c>
      <c r="R3" s="49" t="s">
        <v>107</v>
      </c>
      <c r="S3" s="48" t="s">
        <v>105</v>
      </c>
      <c r="T3" s="49" t="s">
        <v>107</v>
      </c>
      <c r="U3" s="48" t="s">
        <v>105</v>
      </c>
      <c r="V3" s="49" t="s">
        <v>107</v>
      </c>
      <c r="W3" s="48" t="s">
        <v>105</v>
      </c>
      <c r="X3" s="50" t="s">
        <v>107</v>
      </c>
      <c r="Y3" s="51" t="s">
        <v>105</v>
      </c>
      <c r="Z3" s="51" t="s">
        <v>107</v>
      </c>
    </row>
    <row r="4" spans="1:26" x14ac:dyDescent="0.25">
      <c r="A4" s="6">
        <f>'Water Reading'!A3</f>
        <v>44927</v>
      </c>
      <c r="B4" s="52">
        <f>TOTAL!I2</f>
        <v>498</v>
      </c>
      <c r="C4" s="53">
        <f>('Water Reading'!B4-'Water Reading'!B3)+('Water Reading'!C4-'Water Reading'!C3)</f>
        <v>530</v>
      </c>
      <c r="D4" s="54">
        <f>C4/B4</f>
        <v>1.0642570281124497</v>
      </c>
      <c r="E4" s="68">
        <f>'Water Reading'!H4-'Water Reading'!H3</f>
        <v>43</v>
      </c>
      <c r="F4" s="69">
        <f>E4/C4</f>
        <v>8.1132075471698109E-2</v>
      </c>
      <c r="G4" s="73">
        <f>('Water Reading'!D4-'Water Reading'!D3)-('Water Reading'!R4-'Water Reading'!R3)-('Water Reading'!Q4-'Water Reading'!Q3)</f>
        <v>167</v>
      </c>
      <c r="H4" s="69">
        <f>G4/C4</f>
        <v>0.31509433962264149</v>
      </c>
      <c r="I4" s="70">
        <f>'Water Reading'!P4-'Water Reading'!P3</f>
        <v>7</v>
      </c>
      <c r="J4" s="55">
        <f>I4/C4</f>
        <v>1.3207547169811321E-2</v>
      </c>
      <c r="K4" s="71">
        <f>('Water Reading'!I4-'Water Reading'!I3)-('Water Reading'!P4-'Water Reading'!P3)</f>
        <v>44</v>
      </c>
      <c r="L4" s="55">
        <f>K4/C4</f>
        <v>8.3018867924528297E-2</v>
      </c>
      <c r="M4" s="70">
        <f>'Water Reading'!R4-'Water Reading'!R3</f>
        <v>7</v>
      </c>
      <c r="N4" s="72">
        <f>M4/C4</f>
        <v>1.3207547169811321E-2</v>
      </c>
      <c r="O4" s="70">
        <f>'Water Reading'!Q4-'Water Reading'!Q3</f>
        <v>3</v>
      </c>
      <c r="P4" s="77">
        <f>O4/C4</f>
        <v>5.6603773584905656E-3</v>
      </c>
      <c r="Q4" s="71">
        <f>'Water Reading'!F4-'Water Reading'!F3</f>
        <v>0</v>
      </c>
      <c r="R4" s="78">
        <f>Q4/C4</f>
        <v>0</v>
      </c>
      <c r="S4" s="70">
        <f>'Water Reading'!E4-'Water Reading'!E3</f>
        <v>172</v>
      </c>
      <c r="T4" s="78">
        <f>S4/C4</f>
        <v>0.32452830188679244</v>
      </c>
      <c r="U4" s="70">
        <f>'Water Reading'!G4-'Water Reading'!G3</f>
        <v>46</v>
      </c>
      <c r="V4" s="78">
        <f>U4/C4</f>
        <v>8.6792452830188674E-2</v>
      </c>
      <c r="W4" s="71">
        <f>'Water Reading'!J4-'Water Reading'!J3</f>
        <v>8</v>
      </c>
      <c r="X4" s="78">
        <f>W4/C4</f>
        <v>1.509433962264151E-2</v>
      </c>
      <c r="Y4" s="53">
        <f t="shared" ref="Y4:Y33" si="0">E4+I4+K4+M4+O4+G4+Q4+S4+U4+W4</f>
        <v>497</v>
      </c>
      <c r="Z4" s="54">
        <f t="shared" ref="Z4:Z35" si="1">Y4/B4</f>
        <v>0.99799196787148592</v>
      </c>
    </row>
    <row r="5" spans="1:26" x14ac:dyDescent="0.25">
      <c r="A5" s="6">
        <f>'Water Reading'!A4</f>
        <v>44928</v>
      </c>
      <c r="B5" s="52">
        <f>TOTAL!I3</f>
        <v>407</v>
      </c>
      <c r="C5" s="53">
        <f>('Water Reading'!B5-'Water Reading'!B4)+('Water Reading'!C5-'Water Reading'!C4)</f>
        <v>453</v>
      </c>
      <c r="D5" s="54">
        <f t="shared" ref="D5:D33" si="2">C5/B5</f>
        <v>1.113022113022113</v>
      </c>
      <c r="E5" s="68">
        <f>'Water Reading'!H5-'Water Reading'!H4</f>
        <v>43</v>
      </c>
      <c r="F5" s="69">
        <f t="shared" ref="F5:F33" si="3">E5/C5</f>
        <v>9.4922737306843266E-2</v>
      </c>
      <c r="G5" s="73">
        <f>('Water Reading'!D5-'Water Reading'!D4)-('Water Reading'!R5-'Water Reading'!R4)-('Water Reading'!Q5-'Water Reading'!Q4)</f>
        <v>191</v>
      </c>
      <c r="H5" s="69">
        <f t="shared" ref="H5:H33" si="4">G5/C5</f>
        <v>0.4216335540838852</v>
      </c>
      <c r="I5" s="70">
        <f>'Water Reading'!P5-'Water Reading'!P4</f>
        <v>6</v>
      </c>
      <c r="J5" s="55">
        <f t="shared" ref="J5:J33" si="5">I5/C5</f>
        <v>1.3245033112582781E-2</v>
      </c>
      <c r="K5" s="71">
        <f>('Water Reading'!I5-'Water Reading'!I4)-('Water Reading'!P5-'Water Reading'!P4)</f>
        <v>16</v>
      </c>
      <c r="L5" s="55">
        <f t="shared" ref="L5:L33" si="6">K5/C5</f>
        <v>3.5320088300220751E-2</v>
      </c>
      <c r="M5" s="70">
        <f>'Water Reading'!R5-'Water Reading'!R4</f>
        <v>8</v>
      </c>
      <c r="N5" s="72">
        <f t="shared" ref="N5:N33" si="7">M5/C5</f>
        <v>1.7660044150110375E-2</v>
      </c>
      <c r="O5" s="70">
        <f>'Water Reading'!Q5-'Water Reading'!Q4</f>
        <v>7</v>
      </c>
      <c r="P5" s="77">
        <f t="shared" ref="P5:P33" si="8">O5/C5</f>
        <v>1.5452538631346579E-2</v>
      </c>
      <c r="Q5" s="71">
        <f>'Water Reading'!F5-'Water Reading'!F4</f>
        <v>0</v>
      </c>
      <c r="R5" s="78">
        <f t="shared" ref="R5:R33" si="9">Q5/C5</f>
        <v>0</v>
      </c>
      <c r="S5" s="70">
        <f>'Water Reading'!E5-'Water Reading'!E4</f>
        <v>90</v>
      </c>
      <c r="T5" s="78">
        <f t="shared" ref="T5:T33" si="10">S5/C5</f>
        <v>0.19867549668874171</v>
      </c>
      <c r="U5" s="70">
        <f>'Water Reading'!G5-'Water Reading'!G4</f>
        <v>38</v>
      </c>
      <c r="V5" s="78">
        <f t="shared" ref="V5:V33" si="11">U5/C5</f>
        <v>8.3885209713024281E-2</v>
      </c>
      <c r="W5" s="71">
        <f>'Water Reading'!J5-'Water Reading'!J4</f>
        <v>8</v>
      </c>
      <c r="X5" s="78">
        <f t="shared" ref="X5:X33" si="12">W5/C5</f>
        <v>1.7660044150110375E-2</v>
      </c>
      <c r="Y5" s="53">
        <f t="shared" si="0"/>
        <v>407</v>
      </c>
      <c r="Z5" s="54">
        <f t="shared" si="1"/>
        <v>1</v>
      </c>
    </row>
    <row r="6" spans="1:26" x14ac:dyDescent="0.25">
      <c r="A6" s="6">
        <f>'Water Reading'!A5</f>
        <v>44929</v>
      </c>
      <c r="B6" s="52">
        <f>TOTAL!I4</f>
        <v>441</v>
      </c>
      <c r="C6" s="53">
        <f>('Water Reading'!B6-'Water Reading'!B5)+('Water Reading'!C6-'Water Reading'!C5)</f>
        <v>481</v>
      </c>
      <c r="D6" s="54">
        <f t="shared" si="2"/>
        <v>1.090702947845805</v>
      </c>
      <c r="E6" s="68">
        <f>'Water Reading'!H6-'Water Reading'!H5</f>
        <v>46</v>
      </c>
      <c r="F6" s="69">
        <f t="shared" si="3"/>
        <v>9.5634095634095639E-2</v>
      </c>
      <c r="G6" s="73">
        <f>('Water Reading'!D6-'Water Reading'!D5)-('Water Reading'!R6-'Water Reading'!R5)-('Water Reading'!Q6-'Water Reading'!Q5)</f>
        <v>216</v>
      </c>
      <c r="H6" s="69">
        <f t="shared" si="4"/>
        <v>0.44906444906444909</v>
      </c>
      <c r="I6" s="70">
        <f>'Water Reading'!P6-'Water Reading'!P5</f>
        <v>2</v>
      </c>
      <c r="J6" s="55">
        <f t="shared" si="5"/>
        <v>4.1580041580041582E-3</v>
      </c>
      <c r="K6" s="71">
        <f>('Water Reading'!I6-'Water Reading'!I5)-('Water Reading'!P6-'Water Reading'!P5)</f>
        <v>20</v>
      </c>
      <c r="L6" s="55">
        <f t="shared" si="6"/>
        <v>4.1580041580041582E-2</v>
      </c>
      <c r="M6" s="70">
        <f>'Water Reading'!R6-'Water Reading'!R5</f>
        <v>7</v>
      </c>
      <c r="N6" s="72">
        <f t="shared" si="7"/>
        <v>1.4553014553014554E-2</v>
      </c>
      <c r="O6" s="70">
        <f>'Water Reading'!Q6-'Water Reading'!Q5</f>
        <v>4</v>
      </c>
      <c r="P6" s="77">
        <f t="shared" si="8"/>
        <v>8.3160083160083165E-3</v>
      </c>
      <c r="Q6" s="71">
        <f>'Water Reading'!F6-'Water Reading'!F5</f>
        <v>38</v>
      </c>
      <c r="R6" s="78">
        <f t="shared" si="9"/>
        <v>7.9002079002079006E-2</v>
      </c>
      <c r="S6" s="70">
        <f>'Water Reading'!E6-'Water Reading'!E5</f>
        <v>90</v>
      </c>
      <c r="T6" s="78">
        <f t="shared" si="10"/>
        <v>0.18711018711018712</v>
      </c>
      <c r="U6" s="70">
        <f>'Water Reading'!G6-'Water Reading'!G5</f>
        <v>11</v>
      </c>
      <c r="V6" s="78">
        <f t="shared" si="11"/>
        <v>2.286902286902287E-2</v>
      </c>
      <c r="W6" s="71">
        <f>'Water Reading'!J6-'Water Reading'!J5</f>
        <v>7</v>
      </c>
      <c r="X6" s="78">
        <f t="shared" si="12"/>
        <v>1.4553014553014554E-2</v>
      </c>
      <c r="Y6" s="53">
        <f t="shared" si="0"/>
        <v>441</v>
      </c>
      <c r="Z6" s="54">
        <f t="shared" si="1"/>
        <v>1</v>
      </c>
    </row>
    <row r="7" spans="1:26" x14ac:dyDescent="0.25">
      <c r="A7" s="6">
        <f>'Water Reading'!A6</f>
        <v>44930</v>
      </c>
      <c r="B7" s="52">
        <f>TOTAL!I5</f>
        <v>591</v>
      </c>
      <c r="C7" s="53">
        <f>('Water Reading'!B7-'Water Reading'!B6)+('Water Reading'!C7-'Water Reading'!C6)</f>
        <v>569</v>
      </c>
      <c r="D7" s="54">
        <f t="shared" si="2"/>
        <v>0.9627749576988156</v>
      </c>
      <c r="E7" s="68">
        <f>'Water Reading'!H7-'Water Reading'!H6</f>
        <v>103</v>
      </c>
      <c r="F7" s="69">
        <f t="shared" si="3"/>
        <v>0.18101933216168717</v>
      </c>
      <c r="G7" s="73">
        <f>('Water Reading'!D7-'Water Reading'!D6)-('Water Reading'!R7-'Water Reading'!R6)-('Water Reading'!Q7-'Water Reading'!Q6)</f>
        <v>264</v>
      </c>
      <c r="H7" s="69">
        <f t="shared" si="4"/>
        <v>0.46397188049209137</v>
      </c>
      <c r="I7" s="70">
        <f>'Water Reading'!P7-'Water Reading'!P6</f>
        <v>63</v>
      </c>
      <c r="J7" s="55">
        <f t="shared" si="5"/>
        <v>0.11072056239015818</v>
      </c>
      <c r="K7" s="71">
        <f>('Water Reading'!I7-'Water Reading'!I6)-('Water Reading'!P7-'Water Reading'!P6)</f>
        <v>-45</v>
      </c>
      <c r="L7" s="55">
        <f t="shared" si="6"/>
        <v>-7.9086115992970121E-2</v>
      </c>
      <c r="M7" s="70">
        <f>'Water Reading'!R7-'Water Reading'!R6</f>
        <v>8</v>
      </c>
      <c r="N7" s="72">
        <f t="shared" si="7"/>
        <v>1.4059753954305799E-2</v>
      </c>
      <c r="O7" s="70">
        <f>'Water Reading'!Q7-'Water Reading'!Q6</f>
        <v>1</v>
      </c>
      <c r="P7" s="77">
        <f t="shared" si="8"/>
        <v>1.7574692442882249E-3</v>
      </c>
      <c r="Q7" s="71">
        <f>'Water Reading'!F7-'Water Reading'!F6</f>
        <v>29</v>
      </c>
      <c r="R7" s="78">
        <f t="shared" si="9"/>
        <v>5.0966608084358524E-2</v>
      </c>
      <c r="S7" s="70">
        <f>'Water Reading'!E7-'Water Reading'!E6</f>
        <v>86</v>
      </c>
      <c r="T7" s="78">
        <f t="shared" si="10"/>
        <v>0.15114235500878734</v>
      </c>
      <c r="U7" s="70">
        <f>'Water Reading'!G7-'Water Reading'!G6</f>
        <v>74</v>
      </c>
      <c r="V7" s="78">
        <f t="shared" si="11"/>
        <v>0.13005272407732865</v>
      </c>
      <c r="W7" s="71">
        <f>'Water Reading'!J7-'Water Reading'!J6</f>
        <v>8</v>
      </c>
      <c r="X7" s="78">
        <f t="shared" si="12"/>
        <v>1.4059753954305799E-2</v>
      </c>
      <c r="Y7" s="53">
        <f t="shared" si="0"/>
        <v>591</v>
      </c>
      <c r="Z7" s="54">
        <f t="shared" si="1"/>
        <v>1</v>
      </c>
    </row>
    <row r="8" spans="1:26" x14ac:dyDescent="0.25">
      <c r="A8" s="6">
        <f>'Water Reading'!A7</f>
        <v>44931</v>
      </c>
      <c r="B8" s="52">
        <f>TOTAL!I6</f>
        <v>460</v>
      </c>
      <c r="C8" s="53">
        <f>('Water Reading'!B8-'Water Reading'!B7)+('Water Reading'!C8-'Water Reading'!C7)</f>
        <v>465</v>
      </c>
      <c r="D8" s="54">
        <f t="shared" si="2"/>
        <v>1.0108695652173914</v>
      </c>
      <c r="E8" s="68">
        <f>'Water Reading'!H8-'Water Reading'!H7</f>
        <v>55</v>
      </c>
      <c r="F8" s="69">
        <f t="shared" si="3"/>
        <v>0.11827956989247312</v>
      </c>
      <c r="G8" s="73">
        <f>('Water Reading'!D8-'Water Reading'!D7)-('Water Reading'!R8-'Water Reading'!R7)-('Water Reading'!Q8-'Water Reading'!Q7)</f>
        <v>218</v>
      </c>
      <c r="H8" s="69">
        <f t="shared" si="4"/>
        <v>0.46881720430107526</v>
      </c>
      <c r="I8" s="70">
        <f>'Water Reading'!P8-'Water Reading'!P7</f>
        <v>14</v>
      </c>
      <c r="J8" s="55">
        <f t="shared" si="5"/>
        <v>3.0107526881720432E-2</v>
      </c>
      <c r="K8" s="71">
        <f>('Water Reading'!I8-'Water Reading'!I7)-('Water Reading'!P8-'Water Reading'!P7)</f>
        <v>8</v>
      </c>
      <c r="L8" s="55">
        <f t="shared" si="6"/>
        <v>1.7204301075268817E-2</v>
      </c>
      <c r="M8" s="70">
        <f>'Water Reading'!R8-'Water Reading'!R7</f>
        <v>5</v>
      </c>
      <c r="N8" s="72">
        <f t="shared" si="7"/>
        <v>1.0752688172043012E-2</v>
      </c>
      <c r="O8" s="70">
        <f>'Water Reading'!Q8-'Water Reading'!Q7</f>
        <v>7</v>
      </c>
      <c r="P8" s="77">
        <f t="shared" si="8"/>
        <v>1.5053763440860216E-2</v>
      </c>
      <c r="Q8" s="71">
        <f>'Water Reading'!F8-'Water Reading'!F7</f>
        <v>30</v>
      </c>
      <c r="R8" s="78">
        <f t="shared" si="9"/>
        <v>6.4516129032258063E-2</v>
      </c>
      <c r="S8" s="70">
        <f>'Water Reading'!E8-'Water Reading'!E7</f>
        <v>77</v>
      </c>
      <c r="T8" s="78">
        <f t="shared" si="10"/>
        <v>0.16559139784946236</v>
      </c>
      <c r="U8" s="70">
        <f>'Water Reading'!G8-'Water Reading'!G7</f>
        <v>39</v>
      </c>
      <c r="V8" s="78">
        <f t="shared" si="11"/>
        <v>8.387096774193549E-2</v>
      </c>
      <c r="W8" s="71">
        <f>'Water Reading'!J8-'Water Reading'!J7</f>
        <v>7</v>
      </c>
      <c r="X8" s="78">
        <f t="shared" si="12"/>
        <v>1.5053763440860216E-2</v>
      </c>
      <c r="Y8" s="53">
        <f t="shared" si="0"/>
        <v>460</v>
      </c>
      <c r="Z8" s="54">
        <f t="shared" si="1"/>
        <v>1</v>
      </c>
    </row>
    <row r="9" spans="1:26" x14ac:dyDescent="0.25">
      <c r="A9" s="6">
        <f>'Water Reading'!A8</f>
        <v>44932</v>
      </c>
      <c r="B9" s="52">
        <f>TOTAL!I7</f>
        <v>445</v>
      </c>
      <c r="C9" s="53">
        <f>('Water Reading'!B9-'Water Reading'!B8)+('Water Reading'!C9-'Water Reading'!C8)</f>
        <v>488</v>
      </c>
      <c r="D9" s="54">
        <f t="shared" si="2"/>
        <v>1.0966292134831461</v>
      </c>
      <c r="E9" s="68">
        <f>'Water Reading'!H9-'Water Reading'!H8</f>
        <v>62</v>
      </c>
      <c r="F9" s="69">
        <f t="shared" si="3"/>
        <v>0.12704918032786885</v>
      </c>
      <c r="G9" s="73">
        <f>('Water Reading'!D9-'Water Reading'!D8)-('Water Reading'!R9-'Water Reading'!R8)-('Water Reading'!Q9-'Water Reading'!Q8)</f>
        <v>195</v>
      </c>
      <c r="H9" s="69">
        <f t="shared" si="4"/>
        <v>0.39959016393442626</v>
      </c>
      <c r="I9" s="70">
        <f>'Water Reading'!P9-'Water Reading'!P8</f>
        <v>2</v>
      </c>
      <c r="J9" s="55">
        <f t="shared" si="5"/>
        <v>4.0983606557377051E-3</v>
      </c>
      <c r="K9" s="71">
        <f>('Water Reading'!I9-'Water Reading'!I8)-('Water Reading'!P9-'Water Reading'!P8)</f>
        <v>8</v>
      </c>
      <c r="L9" s="55">
        <f t="shared" si="6"/>
        <v>1.6393442622950821E-2</v>
      </c>
      <c r="M9" s="99">
        <f>'Water Reading'!R9-'Water Reading'!R8</f>
        <v>4</v>
      </c>
      <c r="N9" s="72">
        <f t="shared" si="7"/>
        <v>8.1967213114754103E-3</v>
      </c>
      <c r="O9" s="70">
        <f>'Water Reading'!Q9-'Water Reading'!Q8</f>
        <v>1</v>
      </c>
      <c r="P9" s="77">
        <f t="shared" si="8"/>
        <v>2.0491803278688526E-3</v>
      </c>
      <c r="Q9" s="71">
        <f>'Water Reading'!F9-'Water Reading'!F8</f>
        <v>42</v>
      </c>
      <c r="R9" s="78">
        <f t="shared" si="9"/>
        <v>8.6065573770491802E-2</v>
      </c>
      <c r="S9" s="70">
        <f>'Water Reading'!E9-'Water Reading'!E8</f>
        <v>86</v>
      </c>
      <c r="T9" s="78">
        <f t="shared" si="10"/>
        <v>0.17622950819672131</v>
      </c>
      <c r="U9" s="70">
        <f>'Water Reading'!G9-'Water Reading'!G8</f>
        <v>37</v>
      </c>
      <c r="V9" s="78">
        <f t="shared" si="11"/>
        <v>7.5819672131147542E-2</v>
      </c>
      <c r="W9" s="71">
        <f>'Water Reading'!J9-'Water Reading'!J8</f>
        <v>8</v>
      </c>
      <c r="X9" s="78">
        <f t="shared" si="12"/>
        <v>1.6393442622950821E-2</v>
      </c>
      <c r="Y9" s="53">
        <f t="shared" si="0"/>
        <v>445</v>
      </c>
      <c r="Z9" s="54">
        <f t="shared" si="1"/>
        <v>1</v>
      </c>
    </row>
    <row r="10" spans="1:26" x14ac:dyDescent="0.25">
      <c r="A10" s="6">
        <f>'Water Reading'!A9</f>
        <v>44933</v>
      </c>
      <c r="B10" s="52">
        <f>TOTAL!I8</f>
        <v>457</v>
      </c>
      <c r="C10" s="53">
        <f>('Water Reading'!B10-'Water Reading'!B9)+('Water Reading'!C10-'Water Reading'!C9)</f>
        <v>434</v>
      </c>
      <c r="D10" s="54">
        <f t="shared" ref="D10" si="13">C10/B10</f>
        <v>0.94967177242888401</v>
      </c>
      <c r="E10" s="68">
        <v>18</v>
      </c>
      <c r="F10" s="69">
        <v>6.1016949152542375E-2</v>
      </c>
      <c r="G10" s="73">
        <f>('Water Reading'!D10-'Water Reading'!D9)-('Water Reading'!R10-'Water Reading'!R9)-('Water Reading'!Q10-'Water Reading'!Q9)</f>
        <v>231</v>
      </c>
      <c r="H10" s="69">
        <f t="shared" si="4"/>
        <v>0.532258064516129</v>
      </c>
      <c r="I10" s="70">
        <f>'Water Reading'!P10-'Water Reading'!P9</f>
        <v>28</v>
      </c>
      <c r="J10" s="55">
        <f t="shared" si="5"/>
        <v>6.4516129032258063E-2</v>
      </c>
      <c r="K10" s="94">
        <f>('Water Reading'!I10-'Water Reading'!I9)-('Water Reading'!P10-'Water Reading'!P9)</f>
        <v>0</v>
      </c>
      <c r="L10" s="55">
        <f t="shared" si="6"/>
        <v>0</v>
      </c>
      <c r="M10" s="70">
        <f>'Water Reading'!R10-'Water Reading'!R9</f>
        <v>8</v>
      </c>
      <c r="N10" s="72">
        <f t="shared" si="7"/>
        <v>1.8433179723502304E-2</v>
      </c>
      <c r="O10" s="70">
        <f>'Water Reading'!Q10-'Water Reading'!Q9</f>
        <v>6</v>
      </c>
      <c r="P10" s="77">
        <f t="shared" si="8"/>
        <v>1.3824884792626729E-2</v>
      </c>
      <c r="Q10" s="71">
        <f>'Water Reading'!F10-'Water Reading'!F9</f>
        <v>34</v>
      </c>
      <c r="R10" s="78">
        <f t="shared" si="9"/>
        <v>7.8341013824884786E-2</v>
      </c>
      <c r="S10" s="70">
        <f>'Water Reading'!E10-'Water Reading'!E9</f>
        <v>84</v>
      </c>
      <c r="T10" s="78">
        <f t="shared" si="10"/>
        <v>0.19354838709677419</v>
      </c>
      <c r="U10" s="70">
        <f>'Water Reading'!G10-'Water Reading'!G9</f>
        <v>40</v>
      </c>
      <c r="V10" s="78">
        <f t="shared" si="11"/>
        <v>9.2165898617511524E-2</v>
      </c>
      <c r="W10" s="71">
        <f>'Water Reading'!J10-'Water Reading'!J9</f>
        <v>8</v>
      </c>
      <c r="X10" s="78">
        <f t="shared" si="12"/>
        <v>1.8433179723502304E-2</v>
      </c>
      <c r="Y10" s="53">
        <f t="shared" si="0"/>
        <v>457</v>
      </c>
      <c r="Z10" s="54">
        <f t="shared" si="1"/>
        <v>1</v>
      </c>
    </row>
    <row r="11" spans="1:26" x14ac:dyDescent="0.25">
      <c r="A11" s="6">
        <f>'Water Reading'!A10</f>
        <v>44934</v>
      </c>
      <c r="B11" s="52">
        <f>TOTAL!I9</f>
        <v>488</v>
      </c>
      <c r="C11" s="53">
        <f>('Water Reading'!B11-'Water Reading'!B10)+('Water Reading'!C11-'Water Reading'!C10)</f>
        <v>484</v>
      </c>
      <c r="D11" s="54">
        <f t="shared" si="2"/>
        <v>0.99180327868852458</v>
      </c>
      <c r="E11" s="68">
        <f>'Water Reading'!H11-'Water Reading'!H10</f>
        <v>49</v>
      </c>
      <c r="F11" s="69">
        <f t="shared" si="3"/>
        <v>0.1012396694214876</v>
      </c>
      <c r="G11" s="73">
        <f>('Water Reading'!D11-'Water Reading'!D10)-('Water Reading'!R11-'Water Reading'!R10)-('Water Reading'!Q11-'Water Reading'!Q10)</f>
        <v>246</v>
      </c>
      <c r="H11" s="69">
        <f t="shared" si="4"/>
        <v>0.50826446280991733</v>
      </c>
      <c r="I11" s="70">
        <f>'Water Reading'!P11-'Water Reading'!P10</f>
        <v>-4</v>
      </c>
      <c r="J11" s="55">
        <f t="shared" si="5"/>
        <v>-8.2644628099173556E-3</v>
      </c>
      <c r="K11" s="71">
        <f>('Water Reading'!I11-'Water Reading'!I10)-('Water Reading'!P11-'Water Reading'!P10)</f>
        <v>9</v>
      </c>
      <c r="L11" s="55">
        <f t="shared" si="6"/>
        <v>1.859504132231405E-2</v>
      </c>
      <c r="M11" s="70">
        <f>'Water Reading'!R11-'Water Reading'!R10</f>
        <v>8</v>
      </c>
      <c r="N11" s="72">
        <f t="shared" si="7"/>
        <v>1.6528925619834711E-2</v>
      </c>
      <c r="O11" s="70">
        <f>'Water Reading'!Q11-'Water Reading'!Q10</f>
        <v>7</v>
      </c>
      <c r="P11" s="77">
        <f t="shared" si="8"/>
        <v>1.4462809917355372E-2</v>
      </c>
      <c r="Q11" s="71">
        <f>'Water Reading'!F11-'Water Reading'!F10</f>
        <v>37</v>
      </c>
      <c r="R11" s="78">
        <f t="shared" si="9"/>
        <v>7.6446280991735532E-2</v>
      </c>
      <c r="S11" s="70">
        <f>'Water Reading'!E11-'Water Reading'!E10</f>
        <v>90</v>
      </c>
      <c r="T11" s="78">
        <f t="shared" si="10"/>
        <v>0.18595041322314049</v>
      </c>
      <c r="U11" s="70">
        <f>'Water Reading'!G11-'Water Reading'!G10</f>
        <v>39</v>
      </c>
      <c r="V11" s="78">
        <f t="shared" si="11"/>
        <v>8.057851239669421E-2</v>
      </c>
      <c r="W11" s="71">
        <f>'Water Reading'!J11-'Water Reading'!J10</f>
        <v>7</v>
      </c>
      <c r="X11" s="78">
        <f t="shared" si="12"/>
        <v>1.4462809917355372E-2</v>
      </c>
      <c r="Y11" s="53">
        <f t="shared" si="0"/>
        <v>488</v>
      </c>
      <c r="Z11" s="54">
        <f t="shared" si="1"/>
        <v>1</v>
      </c>
    </row>
    <row r="12" spans="1:26" x14ac:dyDescent="0.25">
      <c r="A12" s="6">
        <f>'Water Reading'!A11</f>
        <v>44935</v>
      </c>
      <c r="B12" s="52">
        <f>TOTAL!I10</f>
        <v>451</v>
      </c>
      <c r="C12" s="53">
        <f>('Water Reading'!B12-'Water Reading'!B11)+('Water Reading'!C12-'Water Reading'!C11)</f>
        <v>253928</v>
      </c>
      <c r="D12" s="54">
        <f t="shared" si="2"/>
        <v>563.0332594235033</v>
      </c>
      <c r="E12" s="68">
        <f>'Water Reading'!H12-'Water Reading'!H11</f>
        <v>35</v>
      </c>
      <c r="F12" s="69">
        <f t="shared" si="3"/>
        <v>1.3783434674395891E-4</v>
      </c>
      <c r="G12" s="73">
        <f>('Water Reading'!D12-'Water Reading'!D11)-('Water Reading'!R12-'Water Reading'!R11)-('Water Reading'!Q12-'Water Reading'!Q11)</f>
        <v>211</v>
      </c>
      <c r="H12" s="69">
        <f t="shared" si="4"/>
        <v>8.3094420465643808E-4</v>
      </c>
      <c r="I12" s="70">
        <f>'Water Reading'!P12-'Water Reading'!P11</f>
        <v>25</v>
      </c>
      <c r="J12" s="55">
        <f t="shared" si="5"/>
        <v>9.8453104817113513E-5</v>
      </c>
      <c r="K12" s="71">
        <f>('Water Reading'!I12-'Water Reading'!I11)-('Water Reading'!P12-'Water Reading'!P11)</f>
        <v>6</v>
      </c>
      <c r="L12" s="55">
        <f t="shared" si="6"/>
        <v>2.3628745156107243E-5</v>
      </c>
      <c r="M12" s="70">
        <f>'Water Reading'!R12-'Water Reading'!R11</f>
        <v>6</v>
      </c>
      <c r="N12" s="72">
        <f t="shared" si="7"/>
        <v>2.3628745156107243E-5</v>
      </c>
      <c r="O12" s="70">
        <f>'Water Reading'!Q12-'Water Reading'!Q11</f>
        <v>7</v>
      </c>
      <c r="P12" s="77">
        <f t="shared" si="8"/>
        <v>2.7566869348791783E-5</v>
      </c>
      <c r="Q12" s="71">
        <f>'Water Reading'!F12-'Water Reading'!F11</f>
        <v>34</v>
      </c>
      <c r="R12" s="78">
        <f t="shared" si="9"/>
        <v>1.3389622255127439E-4</v>
      </c>
      <c r="S12" s="70">
        <f>'Water Reading'!E12-'Water Reading'!E11</f>
        <v>81</v>
      </c>
      <c r="T12" s="78">
        <f t="shared" si="10"/>
        <v>3.1898805960744781E-4</v>
      </c>
      <c r="U12" s="70">
        <f>'Water Reading'!G12-'Water Reading'!G11</f>
        <v>39</v>
      </c>
      <c r="V12" s="78">
        <f t="shared" si="11"/>
        <v>1.5358684351469707E-4</v>
      </c>
      <c r="W12" s="71">
        <f>'Water Reading'!J12-'Water Reading'!J11</f>
        <v>7</v>
      </c>
      <c r="X12" s="78">
        <f t="shared" si="12"/>
        <v>2.7566869348791783E-5</v>
      </c>
      <c r="Y12" s="53">
        <f t="shared" si="0"/>
        <v>451</v>
      </c>
      <c r="Z12" s="54">
        <f t="shared" si="1"/>
        <v>1</v>
      </c>
    </row>
    <row r="13" spans="1:26" x14ac:dyDescent="0.25">
      <c r="A13" s="6">
        <f>'Water Reading'!A12</f>
        <v>44936</v>
      </c>
      <c r="B13" s="52">
        <f>TOTAL!I11</f>
        <v>0</v>
      </c>
      <c r="C13" s="53">
        <f>('Water Reading'!B13-'Water Reading'!B12)+('Water Reading'!C13-'Water Reading'!C12)</f>
        <v>-325386</v>
      </c>
      <c r="D13" s="54" t="e">
        <f t="shared" si="2"/>
        <v>#DIV/0!</v>
      </c>
      <c r="E13" s="68">
        <f>'Water Reading'!H13-'Water Reading'!H12</f>
        <v>-1094</v>
      </c>
      <c r="F13" s="69">
        <f t="shared" si="3"/>
        <v>3.3621606338318181E-3</v>
      </c>
      <c r="G13" s="73">
        <f>('Water Reading'!D13-'Water Reading'!D12)-('Water Reading'!R13-'Water Reading'!R12)-('Water Reading'!Q13-'Water Reading'!Q12)</f>
        <v>-299759</v>
      </c>
      <c r="H13" s="69">
        <f t="shared" si="4"/>
        <v>0.9212412334888409</v>
      </c>
      <c r="I13" s="70">
        <f>'Water Reading'!P13-'Water Reading'!P12</f>
        <v>-33160</v>
      </c>
      <c r="J13" s="55">
        <f t="shared" si="5"/>
        <v>0.10190973182620026</v>
      </c>
      <c r="K13" s="71">
        <f>('Water Reading'!I13-'Water Reading'!I12)-('Water Reading'!P13-'Water Reading'!P12)</f>
        <v>-47375</v>
      </c>
      <c r="L13" s="55">
        <f t="shared" si="6"/>
        <v>0.14559630715519414</v>
      </c>
      <c r="M13" s="70">
        <f>'Water Reading'!R13-'Water Reading'!R12</f>
        <v>-1065</v>
      </c>
      <c r="N13" s="72">
        <f t="shared" si="7"/>
        <v>3.2730357175785067E-3</v>
      </c>
      <c r="O13" s="70">
        <f>'Water Reading'!Q13-'Water Reading'!Q12</f>
        <v>-2408</v>
      </c>
      <c r="P13" s="77">
        <f t="shared" si="8"/>
        <v>7.4004413219991025E-3</v>
      </c>
      <c r="Q13" s="71">
        <f>'Water Reading'!F13-'Water Reading'!F12</f>
        <v>-26548</v>
      </c>
      <c r="R13" s="78">
        <f t="shared" si="9"/>
        <v>8.158925092044525E-2</v>
      </c>
      <c r="S13" s="70">
        <f>'Water Reading'!E13-'Water Reading'!E12</f>
        <v>-287220</v>
      </c>
      <c r="T13" s="78">
        <f t="shared" si="10"/>
        <v>0.8827054636646936</v>
      </c>
      <c r="U13" s="70">
        <f>'Water Reading'!G13-'Water Reading'!G12</f>
        <v>-125049</v>
      </c>
      <c r="V13" s="78">
        <f t="shared" si="11"/>
        <v>0.38430971215725324</v>
      </c>
      <c r="W13" s="71">
        <f>'Water Reading'!J13-'Water Reading'!J12</f>
        <v>-24136</v>
      </c>
      <c r="X13" s="78">
        <f t="shared" si="12"/>
        <v>7.4176516506549148E-2</v>
      </c>
      <c r="Y13" s="53">
        <f t="shared" si="0"/>
        <v>-847814</v>
      </c>
      <c r="Z13" s="54" t="e">
        <f t="shared" si="1"/>
        <v>#DIV/0!</v>
      </c>
    </row>
    <row r="14" spans="1:26" x14ac:dyDescent="0.25">
      <c r="A14" s="6">
        <f>'Water Reading'!A13</f>
        <v>44937</v>
      </c>
      <c r="B14" s="52">
        <f>TOTAL!I12</f>
        <v>0</v>
      </c>
      <c r="C14" s="53">
        <f>('Water Reading'!B14-'Water Reading'!B13)+('Water Reading'!C14-'Water Reading'!C13)</f>
        <v>0</v>
      </c>
      <c r="D14" s="54" t="e">
        <f t="shared" si="2"/>
        <v>#DIV/0!</v>
      </c>
      <c r="E14" s="68">
        <f>'Water Reading'!H14-'Water Reading'!H13</f>
        <v>0</v>
      </c>
      <c r="F14" s="69" t="e">
        <f t="shared" si="3"/>
        <v>#DIV/0!</v>
      </c>
      <c r="G14" s="73">
        <f>('Water Reading'!D14-'Water Reading'!D13)-('Water Reading'!R14-'Water Reading'!R13)-('Water Reading'!Q14-'Water Reading'!Q13)</f>
        <v>0</v>
      </c>
      <c r="H14" s="69" t="e">
        <f t="shared" si="4"/>
        <v>#DIV/0!</v>
      </c>
      <c r="I14" s="70">
        <f>'Water Reading'!P14-'Water Reading'!P13</f>
        <v>0</v>
      </c>
      <c r="J14" s="55" t="e">
        <f t="shared" si="5"/>
        <v>#DIV/0!</v>
      </c>
      <c r="K14" s="71">
        <f>('Water Reading'!I14-'Water Reading'!I13)-('Water Reading'!P14-'Water Reading'!P13)</f>
        <v>0</v>
      </c>
      <c r="L14" s="55" t="e">
        <f t="shared" si="6"/>
        <v>#DIV/0!</v>
      </c>
      <c r="M14" s="70">
        <f>'Water Reading'!R14-'Water Reading'!R13</f>
        <v>0</v>
      </c>
      <c r="N14" s="72" t="e">
        <f t="shared" si="7"/>
        <v>#DIV/0!</v>
      </c>
      <c r="O14" s="70">
        <f>'Water Reading'!Q14-'Water Reading'!Q13</f>
        <v>0</v>
      </c>
      <c r="P14" s="77" t="e">
        <f t="shared" si="8"/>
        <v>#DIV/0!</v>
      </c>
      <c r="Q14" s="71">
        <f>'Water Reading'!F14-'Water Reading'!F13</f>
        <v>0</v>
      </c>
      <c r="R14" s="78" t="e">
        <f t="shared" si="9"/>
        <v>#DIV/0!</v>
      </c>
      <c r="S14" s="70">
        <f>'Water Reading'!E14-'Water Reading'!E13</f>
        <v>0</v>
      </c>
      <c r="T14" s="78" t="e">
        <f t="shared" si="10"/>
        <v>#DIV/0!</v>
      </c>
      <c r="U14" s="70">
        <f>'Water Reading'!G14-'Water Reading'!G13</f>
        <v>0</v>
      </c>
      <c r="V14" s="78" t="e">
        <f t="shared" si="11"/>
        <v>#DIV/0!</v>
      </c>
      <c r="W14" s="71">
        <f>'Water Reading'!J14-'Water Reading'!J13</f>
        <v>0</v>
      </c>
      <c r="X14" s="78" t="e">
        <f t="shared" si="12"/>
        <v>#DIV/0!</v>
      </c>
      <c r="Y14" s="53">
        <f t="shared" si="0"/>
        <v>0</v>
      </c>
      <c r="Z14" s="54" t="e">
        <f t="shared" si="1"/>
        <v>#DIV/0!</v>
      </c>
    </row>
    <row r="15" spans="1:26" s="96" customFormat="1" x14ac:dyDescent="0.25">
      <c r="A15" s="101">
        <f>'Water Reading'!A14</f>
        <v>44938</v>
      </c>
      <c r="B15" s="102">
        <f>TOTAL!I13</f>
        <v>0</v>
      </c>
      <c r="C15" s="103">
        <f>('Water Reading'!B15-'Water Reading'!B14)+('Water Reading'!C15-'Water Reading'!C14)</f>
        <v>0</v>
      </c>
      <c r="D15" s="104" t="e">
        <f t="shared" si="2"/>
        <v>#DIV/0!</v>
      </c>
      <c r="E15" s="68">
        <f>'Water Reading'!H15-'Water Reading'!H14</f>
        <v>0</v>
      </c>
      <c r="F15" s="105" t="e">
        <f t="shared" si="3"/>
        <v>#DIV/0!</v>
      </c>
      <c r="G15" s="73">
        <f>('Water Reading'!D15-'Water Reading'!D14)-('Water Reading'!R15-'Water Reading'!R14)-('Water Reading'!Q15-'Water Reading'!Q14)</f>
        <v>0</v>
      </c>
      <c r="H15" s="105" t="e">
        <f t="shared" si="4"/>
        <v>#DIV/0!</v>
      </c>
      <c r="I15" s="99">
        <f>'Water Reading'!P15-'Water Reading'!P14</f>
        <v>0</v>
      </c>
      <c r="J15" s="100" t="e">
        <f t="shared" si="5"/>
        <v>#DIV/0!</v>
      </c>
      <c r="K15" s="94">
        <f>('Water Reading'!I15-'Water Reading'!I14)-('Water Reading'!P15-'Water Reading'!P14)</f>
        <v>0</v>
      </c>
      <c r="L15" s="100" t="e">
        <f t="shared" si="6"/>
        <v>#DIV/0!</v>
      </c>
      <c r="M15" s="99">
        <f>'Water Reading'!R15-'Water Reading'!R14</f>
        <v>0</v>
      </c>
      <c r="N15" s="106" t="e">
        <f t="shared" si="7"/>
        <v>#DIV/0!</v>
      </c>
      <c r="O15" s="99">
        <f>'Water Reading'!Q15-'Water Reading'!Q14</f>
        <v>0</v>
      </c>
      <c r="P15" s="107" t="e">
        <f t="shared" si="8"/>
        <v>#DIV/0!</v>
      </c>
      <c r="Q15" s="94">
        <f>'Water Reading'!F15-'Water Reading'!F14</f>
        <v>0</v>
      </c>
      <c r="R15" s="108" t="e">
        <f t="shared" si="9"/>
        <v>#DIV/0!</v>
      </c>
      <c r="S15" s="99">
        <f>'Water Reading'!E15-'Water Reading'!E14</f>
        <v>0</v>
      </c>
      <c r="T15" s="108" t="e">
        <f t="shared" si="10"/>
        <v>#DIV/0!</v>
      </c>
      <c r="U15" s="99">
        <f>'Water Reading'!G15-'Water Reading'!G14</f>
        <v>0</v>
      </c>
      <c r="V15" s="108" t="e">
        <f t="shared" si="11"/>
        <v>#DIV/0!</v>
      </c>
      <c r="W15" s="94">
        <f>'Water Reading'!J15-'Water Reading'!J14</f>
        <v>0</v>
      </c>
      <c r="X15" s="108" t="e">
        <f t="shared" si="12"/>
        <v>#DIV/0!</v>
      </c>
      <c r="Y15" s="103">
        <f t="shared" si="0"/>
        <v>0</v>
      </c>
      <c r="Z15" s="104" t="e">
        <f t="shared" si="1"/>
        <v>#DIV/0!</v>
      </c>
    </row>
    <row r="16" spans="1:26" x14ac:dyDescent="0.25">
      <c r="A16" s="6">
        <f>'Water Reading'!A15</f>
        <v>44939</v>
      </c>
      <c r="B16" s="52">
        <f>TOTAL!I14</f>
        <v>0</v>
      </c>
      <c r="C16" s="53">
        <f>('Water Reading'!B16-'Water Reading'!B15)+('Water Reading'!C16-'Water Reading'!C15)</f>
        <v>0</v>
      </c>
      <c r="D16" s="54" t="e">
        <f t="shared" si="2"/>
        <v>#DIV/0!</v>
      </c>
      <c r="E16" s="68">
        <f>'Water Reading'!H16-'Water Reading'!H15</f>
        <v>0</v>
      </c>
      <c r="F16" s="69" t="e">
        <f t="shared" si="3"/>
        <v>#DIV/0!</v>
      </c>
      <c r="G16" s="73">
        <f>('Water Reading'!D16-'Water Reading'!D15)-('Water Reading'!R16-'Water Reading'!R15)-('Water Reading'!Q16-'Water Reading'!Q15)</f>
        <v>0</v>
      </c>
      <c r="H16" s="69" t="e">
        <f t="shared" si="4"/>
        <v>#DIV/0!</v>
      </c>
      <c r="I16" s="70">
        <f>'Water Reading'!P16-'Water Reading'!P15</f>
        <v>0</v>
      </c>
      <c r="J16" s="55" t="e">
        <f t="shared" si="5"/>
        <v>#DIV/0!</v>
      </c>
      <c r="K16" s="71">
        <f>('Water Reading'!I16-'Water Reading'!I15)-('Water Reading'!P16-'Water Reading'!P15)</f>
        <v>0</v>
      </c>
      <c r="L16" s="55" t="e">
        <f t="shared" si="6"/>
        <v>#DIV/0!</v>
      </c>
      <c r="M16" s="70">
        <f>'Water Reading'!R16-'Water Reading'!R15</f>
        <v>0</v>
      </c>
      <c r="N16" s="72" t="e">
        <f t="shared" si="7"/>
        <v>#DIV/0!</v>
      </c>
      <c r="O16" s="70">
        <f>'Water Reading'!Q16-'Water Reading'!Q15</f>
        <v>0</v>
      </c>
      <c r="P16" s="77" t="e">
        <f t="shared" si="8"/>
        <v>#DIV/0!</v>
      </c>
      <c r="Q16" s="71">
        <f>'Water Reading'!F16-'Water Reading'!F15</f>
        <v>0</v>
      </c>
      <c r="R16" s="78" t="e">
        <f t="shared" si="9"/>
        <v>#DIV/0!</v>
      </c>
      <c r="S16" s="70">
        <f>'Water Reading'!E16-'Water Reading'!E15</f>
        <v>0</v>
      </c>
      <c r="T16" s="78" t="e">
        <f t="shared" si="10"/>
        <v>#DIV/0!</v>
      </c>
      <c r="U16" s="70">
        <f>'Water Reading'!G16-'Water Reading'!G15</f>
        <v>0</v>
      </c>
      <c r="V16" s="78" t="e">
        <f t="shared" si="11"/>
        <v>#DIV/0!</v>
      </c>
      <c r="W16" s="71">
        <f>'Water Reading'!J16-'Water Reading'!J15</f>
        <v>0</v>
      </c>
      <c r="X16" s="78" t="e">
        <f t="shared" si="12"/>
        <v>#DIV/0!</v>
      </c>
      <c r="Y16" s="53">
        <f t="shared" si="0"/>
        <v>0</v>
      </c>
      <c r="Z16" s="54" t="e">
        <f t="shared" si="1"/>
        <v>#DIV/0!</v>
      </c>
    </row>
    <row r="17" spans="1:26" x14ac:dyDescent="0.25">
      <c r="A17" s="6">
        <f>'Water Reading'!A16</f>
        <v>44940</v>
      </c>
      <c r="B17" s="52">
        <f>TOTAL!I15</f>
        <v>0</v>
      </c>
      <c r="C17" s="53">
        <f>('Water Reading'!B17-'Water Reading'!B16)+('Water Reading'!C17-'Water Reading'!C16)</f>
        <v>0</v>
      </c>
      <c r="D17" s="54" t="e">
        <f t="shared" si="2"/>
        <v>#DIV/0!</v>
      </c>
      <c r="E17" s="68">
        <f>'Water Reading'!H17-'Water Reading'!H16</f>
        <v>0</v>
      </c>
      <c r="F17" s="69" t="e">
        <f t="shared" si="3"/>
        <v>#DIV/0!</v>
      </c>
      <c r="G17" s="73">
        <f>('Water Reading'!D17-'Water Reading'!D16)-('Water Reading'!R17-'Water Reading'!R16)-('Water Reading'!Q17-'Water Reading'!Q16)</f>
        <v>0</v>
      </c>
      <c r="H17" s="69" t="e">
        <f t="shared" si="4"/>
        <v>#DIV/0!</v>
      </c>
      <c r="I17" s="70">
        <f>'Water Reading'!P17-'Water Reading'!P16</f>
        <v>0</v>
      </c>
      <c r="J17" s="100" t="e">
        <f t="shared" si="5"/>
        <v>#DIV/0!</v>
      </c>
      <c r="K17" s="71">
        <f>('Water Reading'!I17-'Water Reading'!I16)-('Water Reading'!P17-'Water Reading'!P16)</f>
        <v>0</v>
      </c>
      <c r="L17" s="55" t="e">
        <f t="shared" si="6"/>
        <v>#DIV/0!</v>
      </c>
      <c r="M17" s="70">
        <f>'Water Reading'!R17-'Water Reading'!R16</f>
        <v>0</v>
      </c>
      <c r="N17" s="72" t="e">
        <f t="shared" si="7"/>
        <v>#DIV/0!</v>
      </c>
      <c r="O17" s="70">
        <f>'Water Reading'!Q17-'Water Reading'!Q16</f>
        <v>0</v>
      </c>
      <c r="P17" s="77" t="e">
        <f t="shared" si="8"/>
        <v>#DIV/0!</v>
      </c>
      <c r="Q17" s="71">
        <f>'Water Reading'!F17-'Water Reading'!F16</f>
        <v>0</v>
      </c>
      <c r="R17" s="78" t="e">
        <f t="shared" si="9"/>
        <v>#DIV/0!</v>
      </c>
      <c r="S17" s="70">
        <f>'Water Reading'!E17-'Water Reading'!E16</f>
        <v>0</v>
      </c>
      <c r="T17" s="78" t="e">
        <f t="shared" si="10"/>
        <v>#DIV/0!</v>
      </c>
      <c r="U17" s="70">
        <f>'Water Reading'!G17-'Water Reading'!G16</f>
        <v>0</v>
      </c>
      <c r="V17" s="78" t="e">
        <f t="shared" si="11"/>
        <v>#DIV/0!</v>
      </c>
      <c r="W17" s="71">
        <f>'Water Reading'!J17-'Water Reading'!J16</f>
        <v>0</v>
      </c>
      <c r="X17" s="78" t="e">
        <f t="shared" si="12"/>
        <v>#DIV/0!</v>
      </c>
      <c r="Y17" s="53">
        <f t="shared" si="0"/>
        <v>0</v>
      </c>
      <c r="Z17" s="54" t="e">
        <f t="shared" si="1"/>
        <v>#DIV/0!</v>
      </c>
    </row>
    <row r="18" spans="1:26" x14ac:dyDescent="0.25">
      <c r="A18" s="6">
        <f>'Water Reading'!A17</f>
        <v>44941</v>
      </c>
      <c r="B18" s="52">
        <f>TOTAL!I16</f>
        <v>0</v>
      </c>
      <c r="C18" s="53">
        <f>('Water Reading'!B18-'Water Reading'!B17)+('Water Reading'!C18-'Water Reading'!C17)</f>
        <v>0</v>
      </c>
      <c r="D18" s="54" t="e">
        <f t="shared" si="2"/>
        <v>#DIV/0!</v>
      </c>
      <c r="E18" s="68">
        <f>'Water Reading'!H18-'Water Reading'!H17</f>
        <v>0</v>
      </c>
      <c r="F18" s="69" t="e">
        <f t="shared" si="3"/>
        <v>#DIV/0!</v>
      </c>
      <c r="G18" s="73">
        <f>('Water Reading'!D18-'Water Reading'!D17)-('Water Reading'!R18-'Water Reading'!R17)-('Water Reading'!Q18-'Water Reading'!Q17)</f>
        <v>0</v>
      </c>
      <c r="H18" s="69" t="e">
        <f t="shared" si="4"/>
        <v>#DIV/0!</v>
      </c>
      <c r="I18" s="70">
        <f>'Water Reading'!P18-'Water Reading'!P17</f>
        <v>0</v>
      </c>
      <c r="J18" s="55" t="e">
        <f t="shared" si="5"/>
        <v>#DIV/0!</v>
      </c>
      <c r="K18" s="71">
        <f>('Water Reading'!I18-'Water Reading'!I17)-('Water Reading'!P18-'Water Reading'!P17)</f>
        <v>0</v>
      </c>
      <c r="L18" s="55" t="e">
        <f t="shared" si="6"/>
        <v>#DIV/0!</v>
      </c>
      <c r="M18" s="70">
        <f>'Water Reading'!R18-'Water Reading'!R17</f>
        <v>0</v>
      </c>
      <c r="N18" s="72" t="e">
        <f t="shared" si="7"/>
        <v>#DIV/0!</v>
      </c>
      <c r="O18" s="70">
        <f>'Water Reading'!Q18-'Water Reading'!Q17</f>
        <v>0</v>
      </c>
      <c r="P18" s="77" t="e">
        <f t="shared" si="8"/>
        <v>#DIV/0!</v>
      </c>
      <c r="Q18" s="71">
        <f>'Water Reading'!F18-'Water Reading'!F17</f>
        <v>0</v>
      </c>
      <c r="R18" s="78" t="e">
        <f t="shared" si="9"/>
        <v>#DIV/0!</v>
      </c>
      <c r="S18" s="70">
        <f>'Water Reading'!E18-'Water Reading'!E17</f>
        <v>0</v>
      </c>
      <c r="T18" s="78" t="e">
        <f t="shared" si="10"/>
        <v>#DIV/0!</v>
      </c>
      <c r="U18" s="70">
        <f>'Water Reading'!G18-'Water Reading'!G17</f>
        <v>0</v>
      </c>
      <c r="V18" s="78" t="e">
        <f t="shared" si="11"/>
        <v>#DIV/0!</v>
      </c>
      <c r="W18" s="71">
        <f>'Water Reading'!J18-'Water Reading'!J17</f>
        <v>0</v>
      </c>
      <c r="X18" s="78" t="e">
        <f t="shared" si="12"/>
        <v>#DIV/0!</v>
      </c>
      <c r="Y18" s="53">
        <f t="shared" si="0"/>
        <v>0</v>
      </c>
      <c r="Z18" s="54" t="e">
        <f t="shared" si="1"/>
        <v>#DIV/0!</v>
      </c>
    </row>
    <row r="19" spans="1:26" x14ac:dyDescent="0.25">
      <c r="A19" s="6">
        <f>'Water Reading'!A18</f>
        <v>44942</v>
      </c>
      <c r="B19" s="52">
        <f>TOTAL!I17</f>
        <v>0</v>
      </c>
      <c r="C19" s="53">
        <f>('Water Reading'!B19-'Water Reading'!B18)+('Water Reading'!C19-'Water Reading'!C18)</f>
        <v>0</v>
      </c>
      <c r="D19" s="54" t="e">
        <f t="shared" si="2"/>
        <v>#DIV/0!</v>
      </c>
      <c r="E19" s="68">
        <f>'Water Reading'!H19-'Water Reading'!H18</f>
        <v>0</v>
      </c>
      <c r="F19" s="69" t="e">
        <f t="shared" si="3"/>
        <v>#DIV/0!</v>
      </c>
      <c r="G19" s="73">
        <f>('Water Reading'!D19-'Water Reading'!D18)-('Water Reading'!R19-'Water Reading'!R18)-('Water Reading'!Q19-'Water Reading'!Q18)</f>
        <v>0</v>
      </c>
      <c r="H19" s="69" t="e">
        <f t="shared" si="4"/>
        <v>#DIV/0!</v>
      </c>
      <c r="I19" s="70">
        <f>'Water Reading'!P19-'Water Reading'!P18</f>
        <v>0</v>
      </c>
      <c r="J19" s="55" t="e">
        <f t="shared" si="5"/>
        <v>#DIV/0!</v>
      </c>
      <c r="K19" s="71">
        <f>('Water Reading'!I19-'Water Reading'!I18)-('Water Reading'!P19-'Water Reading'!P18)</f>
        <v>0</v>
      </c>
      <c r="L19" s="55" t="e">
        <f t="shared" si="6"/>
        <v>#DIV/0!</v>
      </c>
      <c r="M19" s="70">
        <f>'Water Reading'!R19-'Water Reading'!R18</f>
        <v>0</v>
      </c>
      <c r="N19" s="72" t="e">
        <f t="shared" si="7"/>
        <v>#DIV/0!</v>
      </c>
      <c r="O19" s="70">
        <f>'Water Reading'!Q19-'Water Reading'!Q18</f>
        <v>0</v>
      </c>
      <c r="P19" s="77" t="e">
        <f t="shared" si="8"/>
        <v>#DIV/0!</v>
      </c>
      <c r="Q19" s="71">
        <f>'Water Reading'!F19-'Water Reading'!F18</f>
        <v>0</v>
      </c>
      <c r="R19" s="78" t="e">
        <f t="shared" si="9"/>
        <v>#DIV/0!</v>
      </c>
      <c r="S19" s="70">
        <f>'Water Reading'!E19-'Water Reading'!E18</f>
        <v>0</v>
      </c>
      <c r="T19" s="78" t="e">
        <f t="shared" si="10"/>
        <v>#DIV/0!</v>
      </c>
      <c r="U19" s="70">
        <f>'Water Reading'!G19-'Water Reading'!G18</f>
        <v>0</v>
      </c>
      <c r="V19" s="78" t="e">
        <f t="shared" si="11"/>
        <v>#DIV/0!</v>
      </c>
      <c r="W19" s="71">
        <f>'Water Reading'!J19-'Water Reading'!J18</f>
        <v>0</v>
      </c>
      <c r="X19" s="78" t="e">
        <f t="shared" si="12"/>
        <v>#DIV/0!</v>
      </c>
      <c r="Y19" s="53">
        <f t="shared" si="0"/>
        <v>0</v>
      </c>
      <c r="Z19" s="54" t="e">
        <f t="shared" si="1"/>
        <v>#DIV/0!</v>
      </c>
    </row>
    <row r="20" spans="1:26" x14ac:dyDescent="0.25">
      <c r="A20" s="6">
        <f>'Water Reading'!A19</f>
        <v>44943</v>
      </c>
      <c r="B20" s="52">
        <f>TOTAL!I18</f>
        <v>0</v>
      </c>
      <c r="C20" s="53">
        <f>('Water Reading'!B20-'Water Reading'!B19)+('Water Reading'!C20-'Water Reading'!C19)</f>
        <v>0</v>
      </c>
      <c r="D20" s="54" t="e">
        <f t="shared" si="2"/>
        <v>#DIV/0!</v>
      </c>
      <c r="E20" s="68">
        <f>'Water Reading'!H20-'Water Reading'!H19</f>
        <v>0</v>
      </c>
      <c r="F20" s="69" t="e">
        <f t="shared" si="3"/>
        <v>#DIV/0!</v>
      </c>
      <c r="G20" s="73">
        <f>('Water Reading'!D20-'Water Reading'!D19)-('Water Reading'!R20-'Water Reading'!R19)-('Water Reading'!Q20-'Water Reading'!Q19)</f>
        <v>0</v>
      </c>
      <c r="H20" s="69" t="e">
        <f t="shared" si="4"/>
        <v>#DIV/0!</v>
      </c>
      <c r="I20" s="70">
        <f>'Water Reading'!P20-'Water Reading'!P19</f>
        <v>0</v>
      </c>
      <c r="J20" s="55" t="e">
        <f t="shared" si="5"/>
        <v>#DIV/0!</v>
      </c>
      <c r="K20" s="71">
        <f>('Water Reading'!I20-'Water Reading'!I19)-('Water Reading'!P20-'Water Reading'!P19)</f>
        <v>0</v>
      </c>
      <c r="L20" s="55" t="e">
        <f t="shared" si="6"/>
        <v>#DIV/0!</v>
      </c>
      <c r="M20" s="70">
        <f>'Water Reading'!R20-'Water Reading'!R19</f>
        <v>0</v>
      </c>
      <c r="N20" s="72" t="e">
        <f t="shared" si="7"/>
        <v>#DIV/0!</v>
      </c>
      <c r="O20" s="70">
        <f>'Water Reading'!Q20-'Water Reading'!Q19</f>
        <v>0</v>
      </c>
      <c r="P20" s="77" t="e">
        <f t="shared" si="8"/>
        <v>#DIV/0!</v>
      </c>
      <c r="Q20" s="71">
        <f>'Water Reading'!F20-'Water Reading'!F19</f>
        <v>0</v>
      </c>
      <c r="R20" s="78" t="e">
        <f t="shared" si="9"/>
        <v>#DIV/0!</v>
      </c>
      <c r="S20" s="70">
        <f>'Water Reading'!E20-'Water Reading'!E19</f>
        <v>0</v>
      </c>
      <c r="T20" s="78" t="e">
        <f t="shared" si="10"/>
        <v>#DIV/0!</v>
      </c>
      <c r="U20" s="70">
        <f>'Water Reading'!G20-'Water Reading'!G19</f>
        <v>0</v>
      </c>
      <c r="V20" s="78" t="e">
        <f t="shared" si="11"/>
        <v>#DIV/0!</v>
      </c>
      <c r="W20" s="94">
        <f>'Water Reading'!J20-'Water Reading'!J19</f>
        <v>0</v>
      </c>
      <c r="X20" s="78" t="e">
        <f t="shared" si="12"/>
        <v>#DIV/0!</v>
      </c>
      <c r="Y20" s="53">
        <f t="shared" si="0"/>
        <v>0</v>
      </c>
      <c r="Z20" s="54" t="e">
        <f t="shared" si="1"/>
        <v>#DIV/0!</v>
      </c>
    </row>
    <row r="21" spans="1:26" x14ac:dyDescent="0.25">
      <c r="A21" s="6">
        <f>'Water Reading'!A20</f>
        <v>44944</v>
      </c>
      <c r="B21" s="52">
        <f>TOTAL!I19</f>
        <v>0</v>
      </c>
      <c r="C21" s="53">
        <f>('Water Reading'!B21-'Water Reading'!B20)+('Water Reading'!C21-'Water Reading'!C20)</f>
        <v>0</v>
      </c>
      <c r="D21" s="54" t="e">
        <f t="shared" si="2"/>
        <v>#DIV/0!</v>
      </c>
      <c r="E21" s="68">
        <f>'Water Reading'!H21-'Water Reading'!H20</f>
        <v>0</v>
      </c>
      <c r="F21" s="69" t="e">
        <f t="shared" si="3"/>
        <v>#DIV/0!</v>
      </c>
      <c r="G21" s="73">
        <f>('Water Reading'!D21-'Water Reading'!D20)-('Water Reading'!R21-'Water Reading'!R20)-('Water Reading'!Q21-'Water Reading'!Q20)</f>
        <v>0</v>
      </c>
      <c r="H21" s="69" t="e">
        <f t="shared" si="4"/>
        <v>#DIV/0!</v>
      </c>
      <c r="I21" s="70">
        <f>'Water Reading'!P21-'Water Reading'!P20</f>
        <v>0</v>
      </c>
      <c r="J21" s="55" t="e">
        <f t="shared" si="5"/>
        <v>#DIV/0!</v>
      </c>
      <c r="K21" s="71">
        <f>('Water Reading'!I21-'Water Reading'!I20)-('Water Reading'!P21-'Water Reading'!P20)</f>
        <v>0</v>
      </c>
      <c r="L21" s="55" t="e">
        <f t="shared" si="6"/>
        <v>#DIV/0!</v>
      </c>
      <c r="M21" s="70">
        <f>'Water Reading'!R21-'Water Reading'!R20</f>
        <v>0</v>
      </c>
      <c r="N21" s="72" t="e">
        <f t="shared" si="7"/>
        <v>#DIV/0!</v>
      </c>
      <c r="O21" s="70">
        <f>'Water Reading'!Q21-'Water Reading'!Q20</f>
        <v>0</v>
      </c>
      <c r="P21" s="77" t="e">
        <f t="shared" si="8"/>
        <v>#DIV/0!</v>
      </c>
      <c r="Q21" s="71">
        <f>'Water Reading'!F21-'Water Reading'!F20</f>
        <v>0</v>
      </c>
      <c r="R21" s="78" t="e">
        <f t="shared" si="9"/>
        <v>#DIV/0!</v>
      </c>
      <c r="S21" s="70">
        <f>'Water Reading'!E21-'Water Reading'!E20</f>
        <v>0</v>
      </c>
      <c r="T21" s="78" t="e">
        <f t="shared" si="10"/>
        <v>#DIV/0!</v>
      </c>
      <c r="U21" s="70">
        <f>'Water Reading'!G21-'Water Reading'!G20</f>
        <v>0</v>
      </c>
      <c r="V21" s="78" t="e">
        <f t="shared" si="11"/>
        <v>#DIV/0!</v>
      </c>
      <c r="W21" s="71">
        <f>'Water Reading'!J21-'Water Reading'!J20</f>
        <v>0</v>
      </c>
      <c r="X21" s="78" t="e">
        <f t="shared" si="12"/>
        <v>#DIV/0!</v>
      </c>
      <c r="Y21" s="53">
        <f t="shared" si="0"/>
        <v>0</v>
      </c>
      <c r="Z21" s="54" t="e">
        <f t="shared" si="1"/>
        <v>#DIV/0!</v>
      </c>
    </row>
    <row r="22" spans="1:26" x14ac:dyDescent="0.25">
      <c r="A22" s="6">
        <f>'Water Reading'!A21</f>
        <v>44945</v>
      </c>
      <c r="B22" s="52">
        <f>TOTAL!I20</f>
        <v>0</v>
      </c>
      <c r="C22" s="53">
        <f>('Water Reading'!B22-'Water Reading'!B21)+('Water Reading'!C22-'Water Reading'!C21)</f>
        <v>0</v>
      </c>
      <c r="D22" s="54" t="e">
        <f t="shared" si="2"/>
        <v>#DIV/0!</v>
      </c>
      <c r="E22" s="68">
        <f>'Water Reading'!H22-'Water Reading'!H21</f>
        <v>0</v>
      </c>
      <c r="F22" s="69" t="e">
        <f t="shared" si="3"/>
        <v>#DIV/0!</v>
      </c>
      <c r="G22" s="73">
        <f>('Water Reading'!D22-'Water Reading'!D21)-('Water Reading'!R22-'Water Reading'!R21)-('Water Reading'!Q22-'Water Reading'!Q21)</f>
        <v>0</v>
      </c>
      <c r="H22" s="69" t="e">
        <f t="shared" si="4"/>
        <v>#DIV/0!</v>
      </c>
      <c r="I22" s="99">
        <f>'Water Reading'!P22-'Water Reading'!P21</f>
        <v>0</v>
      </c>
      <c r="J22" s="55" t="e">
        <f t="shared" si="5"/>
        <v>#DIV/0!</v>
      </c>
      <c r="K22" s="71">
        <f>('Water Reading'!I22-'Water Reading'!I21)-('Water Reading'!P22-'Water Reading'!P21)</f>
        <v>0</v>
      </c>
      <c r="L22" s="55" t="e">
        <f t="shared" si="6"/>
        <v>#DIV/0!</v>
      </c>
      <c r="M22" s="70">
        <f>'Water Reading'!R22-'Water Reading'!R21</f>
        <v>0</v>
      </c>
      <c r="N22" s="72" t="e">
        <f t="shared" si="7"/>
        <v>#DIV/0!</v>
      </c>
      <c r="O22" s="70">
        <f>'Water Reading'!Q22-'Water Reading'!Q21</f>
        <v>0</v>
      </c>
      <c r="P22" s="77" t="e">
        <f t="shared" si="8"/>
        <v>#DIV/0!</v>
      </c>
      <c r="Q22" s="71">
        <f>'Water Reading'!F22-'Water Reading'!F21</f>
        <v>0</v>
      </c>
      <c r="R22" s="78" t="e">
        <f t="shared" si="9"/>
        <v>#DIV/0!</v>
      </c>
      <c r="S22" s="70">
        <f>'Water Reading'!E22-'Water Reading'!E21</f>
        <v>0</v>
      </c>
      <c r="T22" s="78" t="e">
        <f t="shared" si="10"/>
        <v>#DIV/0!</v>
      </c>
      <c r="U22" s="70">
        <f>'Water Reading'!G22-'Water Reading'!G21</f>
        <v>0</v>
      </c>
      <c r="V22" s="78" t="e">
        <f t="shared" si="11"/>
        <v>#DIV/0!</v>
      </c>
      <c r="W22" s="71">
        <f>'Water Reading'!J22-'Water Reading'!J21</f>
        <v>0</v>
      </c>
      <c r="X22" s="78" t="e">
        <f t="shared" si="12"/>
        <v>#DIV/0!</v>
      </c>
      <c r="Y22" s="53">
        <f t="shared" si="0"/>
        <v>0</v>
      </c>
      <c r="Z22" s="54" t="e">
        <f t="shared" si="1"/>
        <v>#DIV/0!</v>
      </c>
    </row>
    <row r="23" spans="1:26" x14ac:dyDescent="0.25">
      <c r="A23" s="6">
        <f>'Water Reading'!A22</f>
        <v>44946</v>
      </c>
      <c r="B23" s="52">
        <f>TOTAL!I21</f>
        <v>0</v>
      </c>
      <c r="C23" s="53">
        <f>('Water Reading'!B23-'Water Reading'!B22)+('Water Reading'!C23-'Water Reading'!C22)</f>
        <v>0</v>
      </c>
      <c r="D23" s="54" t="e">
        <f t="shared" si="2"/>
        <v>#DIV/0!</v>
      </c>
      <c r="E23" s="68">
        <f>'Water Reading'!H23-'Water Reading'!H22</f>
        <v>0</v>
      </c>
      <c r="F23" s="69" t="e">
        <f t="shared" si="3"/>
        <v>#DIV/0!</v>
      </c>
      <c r="G23" s="73">
        <f>('Water Reading'!D23-'Water Reading'!D22)-('Water Reading'!R23-'Water Reading'!R22)-('Water Reading'!Q23-'Water Reading'!Q22)</f>
        <v>0</v>
      </c>
      <c r="H23" s="69" t="e">
        <f t="shared" si="4"/>
        <v>#DIV/0!</v>
      </c>
      <c r="I23" s="99">
        <f>'Water Reading'!P23-'Water Reading'!P22</f>
        <v>0</v>
      </c>
      <c r="J23" s="55" t="e">
        <f t="shared" si="5"/>
        <v>#DIV/0!</v>
      </c>
      <c r="K23" s="71">
        <f>('Water Reading'!I23-'Water Reading'!I22)-('Water Reading'!P23-'Water Reading'!P22)</f>
        <v>0</v>
      </c>
      <c r="L23" s="55" t="e">
        <f t="shared" si="6"/>
        <v>#DIV/0!</v>
      </c>
      <c r="M23" s="70">
        <f>'Water Reading'!R23-'Water Reading'!R22</f>
        <v>0</v>
      </c>
      <c r="N23" s="72" t="e">
        <f t="shared" si="7"/>
        <v>#DIV/0!</v>
      </c>
      <c r="O23" s="99">
        <f>'Water Reading'!Q23-'Water Reading'!Q22</f>
        <v>0</v>
      </c>
      <c r="P23" s="77" t="e">
        <f t="shared" si="8"/>
        <v>#DIV/0!</v>
      </c>
      <c r="Q23" s="71">
        <f>'Water Reading'!F23-'Water Reading'!F22</f>
        <v>0</v>
      </c>
      <c r="R23" s="78" t="e">
        <f t="shared" si="9"/>
        <v>#DIV/0!</v>
      </c>
      <c r="S23" s="70">
        <f>'Water Reading'!E23-'Water Reading'!E22</f>
        <v>0</v>
      </c>
      <c r="T23" s="78" t="e">
        <f t="shared" si="10"/>
        <v>#DIV/0!</v>
      </c>
      <c r="U23" s="70">
        <f>'Water Reading'!G23-'Water Reading'!G22</f>
        <v>0</v>
      </c>
      <c r="V23" s="78" t="e">
        <f t="shared" si="11"/>
        <v>#DIV/0!</v>
      </c>
      <c r="W23" s="71">
        <f>'Water Reading'!J23-'Water Reading'!J22</f>
        <v>0</v>
      </c>
      <c r="X23" s="78" t="e">
        <f t="shared" si="12"/>
        <v>#DIV/0!</v>
      </c>
      <c r="Y23" s="53">
        <f t="shared" si="0"/>
        <v>0</v>
      </c>
      <c r="Z23" s="54" t="e">
        <f t="shared" si="1"/>
        <v>#DIV/0!</v>
      </c>
    </row>
    <row r="24" spans="1:26" x14ac:dyDescent="0.25">
      <c r="A24" s="6">
        <f>'Water Reading'!A23</f>
        <v>44947</v>
      </c>
      <c r="B24" s="52">
        <f>TOTAL!I22</f>
        <v>0</v>
      </c>
      <c r="C24" s="53">
        <f>('Water Reading'!B24-'Water Reading'!B23)+('Water Reading'!C24-'Water Reading'!C23)</f>
        <v>0</v>
      </c>
      <c r="D24" s="54" t="e">
        <f t="shared" si="2"/>
        <v>#DIV/0!</v>
      </c>
      <c r="E24" s="68">
        <f>'Water Reading'!H24-'Water Reading'!H23</f>
        <v>0</v>
      </c>
      <c r="F24" s="69" t="e">
        <f t="shared" si="3"/>
        <v>#DIV/0!</v>
      </c>
      <c r="G24" s="73">
        <f>('Water Reading'!D24-'Water Reading'!D23)-('Water Reading'!R24-'Water Reading'!R23)-('Water Reading'!Q24-'Water Reading'!Q23)</f>
        <v>0</v>
      </c>
      <c r="H24" s="69" t="e">
        <f t="shared" si="4"/>
        <v>#DIV/0!</v>
      </c>
      <c r="I24" s="70">
        <f>'Water Reading'!P24-'Water Reading'!P23</f>
        <v>0</v>
      </c>
      <c r="J24" s="55" t="e">
        <f t="shared" si="5"/>
        <v>#DIV/0!</v>
      </c>
      <c r="K24" s="71">
        <f>('Water Reading'!I24-'Water Reading'!I23)-('Water Reading'!P24-'Water Reading'!P23)</f>
        <v>0</v>
      </c>
      <c r="L24" s="55" t="e">
        <f t="shared" si="6"/>
        <v>#DIV/0!</v>
      </c>
      <c r="M24" s="70">
        <f>'Water Reading'!R24-'Water Reading'!R23</f>
        <v>0</v>
      </c>
      <c r="N24" s="72" t="e">
        <f t="shared" si="7"/>
        <v>#DIV/0!</v>
      </c>
      <c r="O24" s="70">
        <f>'Water Reading'!Q24-'Water Reading'!Q23</f>
        <v>0</v>
      </c>
      <c r="P24" s="77" t="e">
        <f t="shared" si="8"/>
        <v>#DIV/0!</v>
      </c>
      <c r="Q24" s="71">
        <f>'Water Reading'!F24-'Water Reading'!F23</f>
        <v>0</v>
      </c>
      <c r="R24" s="78" t="e">
        <f t="shared" si="9"/>
        <v>#DIV/0!</v>
      </c>
      <c r="S24" s="70">
        <f>'Water Reading'!E24-'Water Reading'!E23</f>
        <v>0</v>
      </c>
      <c r="T24" s="78" t="e">
        <f t="shared" si="10"/>
        <v>#DIV/0!</v>
      </c>
      <c r="U24" s="70">
        <f>'Water Reading'!G24-'Water Reading'!G23</f>
        <v>0</v>
      </c>
      <c r="V24" s="78" t="e">
        <f t="shared" si="11"/>
        <v>#DIV/0!</v>
      </c>
      <c r="W24" s="71">
        <f>'Water Reading'!J24-'Water Reading'!J23</f>
        <v>0</v>
      </c>
      <c r="X24" s="78" t="e">
        <f t="shared" si="12"/>
        <v>#DIV/0!</v>
      </c>
      <c r="Y24" s="53">
        <f t="shared" si="0"/>
        <v>0</v>
      </c>
      <c r="Z24" s="54" t="e">
        <f t="shared" si="1"/>
        <v>#DIV/0!</v>
      </c>
    </row>
    <row r="25" spans="1:26" x14ac:dyDescent="0.25">
      <c r="A25" s="6">
        <f>'Water Reading'!A24</f>
        <v>44948</v>
      </c>
      <c r="B25" s="52">
        <f>TOTAL!I23</f>
        <v>0</v>
      </c>
      <c r="C25" s="53">
        <f>('Water Reading'!B25-'Water Reading'!B24)+('Water Reading'!C25-'Water Reading'!C24)</f>
        <v>0</v>
      </c>
      <c r="D25" s="54" t="e">
        <f t="shared" si="2"/>
        <v>#DIV/0!</v>
      </c>
      <c r="E25" s="68">
        <f>'Water Reading'!H25-'Water Reading'!H24</f>
        <v>0</v>
      </c>
      <c r="F25" s="69" t="e">
        <f t="shared" si="3"/>
        <v>#DIV/0!</v>
      </c>
      <c r="G25" s="73">
        <f>('Water Reading'!D25-'Water Reading'!D24)-('Water Reading'!R25-'Water Reading'!R24)-('Water Reading'!Q25-'Water Reading'!Q24)</f>
        <v>0</v>
      </c>
      <c r="H25" s="69" t="e">
        <f t="shared" si="4"/>
        <v>#DIV/0!</v>
      </c>
      <c r="I25" s="70">
        <f>'Water Reading'!P25-'Water Reading'!P24</f>
        <v>0</v>
      </c>
      <c r="J25" s="55" t="e">
        <f t="shared" si="5"/>
        <v>#DIV/0!</v>
      </c>
      <c r="K25" s="71">
        <f>('Water Reading'!I25-'Water Reading'!I24)-('Water Reading'!P25-'Water Reading'!P24)</f>
        <v>0</v>
      </c>
      <c r="L25" s="55" t="e">
        <f t="shared" si="6"/>
        <v>#DIV/0!</v>
      </c>
      <c r="M25" s="70">
        <f>'Water Reading'!R25-'Water Reading'!R24</f>
        <v>0</v>
      </c>
      <c r="N25" s="72" t="e">
        <f t="shared" si="7"/>
        <v>#DIV/0!</v>
      </c>
      <c r="O25" s="70">
        <f>'Water Reading'!Q25-'Water Reading'!Q24</f>
        <v>0</v>
      </c>
      <c r="P25" s="77" t="e">
        <f t="shared" si="8"/>
        <v>#DIV/0!</v>
      </c>
      <c r="Q25" s="71">
        <f>'Water Reading'!F25-'Water Reading'!F24</f>
        <v>0</v>
      </c>
      <c r="R25" s="78" t="e">
        <f t="shared" si="9"/>
        <v>#DIV/0!</v>
      </c>
      <c r="S25" s="70">
        <f>'Water Reading'!E25-'Water Reading'!E24</f>
        <v>0</v>
      </c>
      <c r="T25" s="78" t="e">
        <f t="shared" si="10"/>
        <v>#DIV/0!</v>
      </c>
      <c r="U25" s="70">
        <f>'Water Reading'!G25-'Water Reading'!G24</f>
        <v>0</v>
      </c>
      <c r="V25" s="78" t="e">
        <f t="shared" si="11"/>
        <v>#DIV/0!</v>
      </c>
      <c r="W25" s="94">
        <f>'Water Reading'!J25-'Water Reading'!J24</f>
        <v>0</v>
      </c>
      <c r="X25" s="78" t="e">
        <f t="shared" si="12"/>
        <v>#DIV/0!</v>
      </c>
      <c r="Y25" s="53">
        <f t="shared" si="0"/>
        <v>0</v>
      </c>
      <c r="Z25" s="54" t="e">
        <f t="shared" si="1"/>
        <v>#DIV/0!</v>
      </c>
    </row>
    <row r="26" spans="1:26" x14ac:dyDescent="0.25">
      <c r="A26" s="6">
        <f>'Water Reading'!A25</f>
        <v>44949</v>
      </c>
      <c r="B26" s="52">
        <f>TOTAL!I24</f>
        <v>0</v>
      </c>
      <c r="C26" s="53">
        <f>('Water Reading'!B26-'Water Reading'!B25)+('Water Reading'!C26-'Water Reading'!C25)</f>
        <v>0</v>
      </c>
      <c r="D26" s="54" t="e">
        <f t="shared" si="2"/>
        <v>#DIV/0!</v>
      </c>
      <c r="E26" s="68">
        <f>'Water Reading'!H26-'Water Reading'!H25</f>
        <v>0</v>
      </c>
      <c r="F26" s="69" t="e">
        <f t="shared" si="3"/>
        <v>#DIV/0!</v>
      </c>
      <c r="G26" s="73">
        <f>('Water Reading'!D26-'Water Reading'!D25)-('Water Reading'!R26-'Water Reading'!R25)-('Water Reading'!Q26-'Water Reading'!Q25)</f>
        <v>0</v>
      </c>
      <c r="H26" s="69" t="e">
        <f t="shared" si="4"/>
        <v>#DIV/0!</v>
      </c>
      <c r="I26" s="70">
        <f>'Water Reading'!P26-'Water Reading'!P25</f>
        <v>0</v>
      </c>
      <c r="J26" s="55" t="e">
        <f t="shared" si="5"/>
        <v>#DIV/0!</v>
      </c>
      <c r="K26" s="71">
        <f>('Water Reading'!I26-'Water Reading'!I25)-('Water Reading'!P26-'Water Reading'!P25)</f>
        <v>0</v>
      </c>
      <c r="L26" s="55" t="e">
        <f t="shared" si="6"/>
        <v>#DIV/0!</v>
      </c>
      <c r="M26" s="70">
        <f>'Water Reading'!R26-'Water Reading'!R25</f>
        <v>0</v>
      </c>
      <c r="N26" s="72" t="e">
        <f t="shared" si="7"/>
        <v>#DIV/0!</v>
      </c>
      <c r="O26" s="70">
        <f>'Water Reading'!Q26-'Water Reading'!Q25</f>
        <v>0</v>
      </c>
      <c r="P26" s="77" t="e">
        <f t="shared" si="8"/>
        <v>#DIV/0!</v>
      </c>
      <c r="Q26" s="71">
        <f>'Water Reading'!F26-'Water Reading'!F25</f>
        <v>0</v>
      </c>
      <c r="R26" s="78" t="e">
        <f t="shared" si="9"/>
        <v>#DIV/0!</v>
      </c>
      <c r="S26" s="70">
        <f>'Water Reading'!E26-'Water Reading'!E25</f>
        <v>0</v>
      </c>
      <c r="T26" s="78" t="e">
        <f t="shared" si="10"/>
        <v>#DIV/0!</v>
      </c>
      <c r="U26" s="70">
        <f>'Water Reading'!G26-'Water Reading'!G25</f>
        <v>0</v>
      </c>
      <c r="V26" s="78" t="e">
        <f t="shared" si="11"/>
        <v>#DIV/0!</v>
      </c>
      <c r="W26" s="71">
        <f>'Water Reading'!J26-'Water Reading'!J25</f>
        <v>0</v>
      </c>
      <c r="X26" s="78" t="e">
        <f t="shared" si="12"/>
        <v>#DIV/0!</v>
      </c>
      <c r="Y26" s="53">
        <f t="shared" si="0"/>
        <v>0</v>
      </c>
      <c r="Z26" s="54" t="e">
        <f t="shared" si="1"/>
        <v>#DIV/0!</v>
      </c>
    </row>
    <row r="27" spans="1:26" x14ac:dyDescent="0.25">
      <c r="A27" s="6">
        <f>'Water Reading'!A26</f>
        <v>44950</v>
      </c>
      <c r="B27" s="52">
        <f>TOTAL!I25</f>
        <v>0</v>
      </c>
      <c r="C27" s="53">
        <f>('Water Reading'!B27-'Water Reading'!B26)+('Water Reading'!C27-'Water Reading'!C26)</f>
        <v>0</v>
      </c>
      <c r="D27" s="54" t="e">
        <f t="shared" si="2"/>
        <v>#DIV/0!</v>
      </c>
      <c r="E27" s="68">
        <f>'Water Reading'!H27-'Water Reading'!H26</f>
        <v>0</v>
      </c>
      <c r="F27" s="69" t="e">
        <f t="shared" si="3"/>
        <v>#DIV/0!</v>
      </c>
      <c r="G27" s="73">
        <f>('Water Reading'!D27-'Water Reading'!D26)-('Water Reading'!R27-'Water Reading'!R26)-('Water Reading'!Q27-'Water Reading'!Q26)</f>
        <v>0</v>
      </c>
      <c r="H27" s="69" t="e">
        <f t="shared" si="4"/>
        <v>#DIV/0!</v>
      </c>
      <c r="I27" s="70">
        <f>'Water Reading'!P27-'Water Reading'!P26</f>
        <v>0</v>
      </c>
      <c r="J27" s="55" t="e">
        <f t="shared" si="5"/>
        <v>#DIV/0!</v>
      </c>
      <c r="K27" s="71">
        <f>('Water Reading'!I27-'Water Reading'!I26)-('Water Reading'!P27-'Water Reading'!P26)</f>
        <v>0</v>
      </c>
      <c r="L27" s="55" t="e">
        <f t="shared" si="6"/>
        <v>#DIV/0!</v>
      </c>
      <c r="M27" s="70">
        <f>'Water Reading'!R27-'Water Reading'!R26</f>
        <v>0</v>
      </c>
      <c r="N27" s="72" t="e">
        <f t="shared" si="7"/>
        <v>#DIV/0!</v>
      </c>
      <c r="O27" s="70">
        <f>'Water Reading'!Q27-'Water Reading'!Q26</f>
        <v>0</v>
      </c>
      <c r="P27" s="77" t="e">
        <f t="shared" si="8"/>
        <v>#DIV/0!</v>
      </c>
      <c r="Q27" s="71">
        <f>'Water Reading'!F27-'Water Reading'!F26</f>
        <v>0</v>
      </c>
      <c r="R27" s="78" t="e">
        <f t="shared" si="9"/>
        <v>#DIV/0!</v>
      </c>
      <c r="S27" s="70">
        <f>'Water Reading'!E27-'Water Reading'!E26</f>
        <v>0</v>
      </c>
      <c r="T27" s="78" t="e">
        <f t="shared" si="10"/>
        <v>#DIV/0!</v>
      </c>
      <c r="U27" s="70">
        <f>'Water Reading'!G27-'Water Reading'!G26</f>
        <v>0</v>
      </c>
      <c r="V27" s="78" t="e">
        <f t="shared" si="11"/>
        <v>#DIV/0!</v>
      </c>
      <c r="W27" s="71">
        <f>'Water Reading'!J27-'Water Reading'!J26</f>
        <v>0</v>
      </c>
      <c r="X27" s="78" t="e">
        <f t="shared" si="12"/>
        <v>#DIV/0!</v>
      </c>
      <c r="Y27" s="53">
        <f t="shared" si="0"/>
        <v>0</v>
      </c>
      <c r="Z27" s="54" t="e">
        <f t="shared" si="1"/>
        <v>#DIV/0!</v>
      </c>
    </row>
    <row r="28" spans="1:26" x14ac:dyDescent="0.25">
      <c r="A28" s="6">
        <f>'Water Reading'!A27</f>
        <v>44951</v>
      </c>
      <c r="B28" s="52">
        <f>TOTAL!I26</f>
        <v>0</v>
      </c>
      <c r="C28" s="53">
        <f>('Water Reading'!B28-'Water Reading'!B27)+('Water Reading'!C28-'Water Reading'!C27)</f>
        <v>0</v>
      </c>
      <c r="D28" s="54" t="e">
        <f t="shared" si="2"/>
        <v>#DIV/0!</v>
      </c>
      <c r="E28" s="68">
        <f>'Water Reading'!H28-'Water Reading'!H27</f>
        <v>0</v>
      </c>
      <c r="F28" s="69" t="e">
        <f t="shared" si="3"/>
        <v>#DIV/0!</v>
      </c>
      <c r="G28" s="73">
        <f>('Water Reading'!D28-'Water Reading'!D27)-('Water Reading'!R28-'Water Reading'!R27)-('Water Reading'!Q28-'Water Reading'!Q27)</f>
        <v>0</v>
      </c>
      <c r="H28" s="69" t="e">
        <f t="shared" si="4"/>
        <v>#DIV/0!</v>
      </c>
      <c r="I28" s="70">
        <f>'Water Reading'!P28-'Water Reading'!P27</f>
        <v>0</v>
      </c>
      <c r="J28" s="55" t="e">
        <f t="shared" si="5"/>
        <v>#DIV/0!</v>
      </c>
      <c r="K28" s="94">
        <f>('Water Reading'!I28-'Water Reading'!I27)-('Water Reading'!P28-'Water Reading'!P27)</f>
        <v>0</v>
      </c>
      <c r="L28" s="100" t="e">
        <f t="shared" si="6"/>
        <v>#DIV/0!</v>
      </c>
      <c r="M28" s="70">
        <f>'Water Reading'!R28-'Water Reading'!R27</f>
        <v>0</v>
      </c>
      <c r="N28" s="72" t="e">
        <f t="shared" si="7"/>
        <v>#DIV/0!</v>
      </c>
      <c r="O28" s="70">
        <f>'Water Reading'!Q28-'Water Reading'!Q27</f>
        <v>0</v>
      </c>
      <c r="P28" s="77" t="e">
        <f t="shared" si="8"/>
        <v>#DIV/0!</v>
      </c>
      <c r="Q28" s="94">
        <f>'Water Reading'!F28-'Water Reading'!F27</f>
        <v>0</v>
      </c>
      <c r="R28" s="78" t="e">
        <f t="shared" si="9"/>
        <v>#DIV/0!</v>
      </c>
      <c r="S28" s="70">
        <f>'Water Reading'!E28-'Water Reading'!E27</f>
        <v>0</v>
      </c>
      <c r="T28" s="78" t="e">
        <f t="shared" si="10"/>
        <v>#DIV/0!</v>
      </c>
      <c r="U28" s="70">
        <f>'Water Reading'!G28-'Water Reading'!G27</f>
        <v>0</v>
      </c>
      <c r="V28" s="78" t="e">
        <f t="shared" si="11"/>
        <v>#DIV/0!</v>
      </c>
      <c r="W28" s="71">
        <f>'Water Reading'!J28-'Water Reading'!J27</f>
        <v>0</v>
      </c>
      <c r="X28" s="78" t="e">
        <f t="shared" si="12"/>
        <v>#DIV/0!</v>
      </c>
      <c r="Y28" s="53">
        <f t="shared" si="0"/>
        <v>0</v>
      </c>
      <c r="Z28" s="54" t="e">
        <f t="shared" si="1"/>
        <v>#DIV/0!</v>
      </c>
    </row>
    <row r="29" spans="1:26" x14ac:dyDescent="0.25">
      <c r="A29" s="6">
        <f>'Water Reading'!A28</f>
        <v>44952</v>
      </c>
      <c r="B29" s="52">
        <f>TOTAL!I27</f>
        <v>0</v>
      </c>
      <c r="C29" s="53">
        <f>('Water Reading'!B29-'Water Reading'!B28)+('Water Reading'!C29-'Water Reading'!C28)</f>
        <v>0</v>
      </c>
      <c r="D29" s="54" t="e">
        <f t="shared" si="2"/>
        <v>#DIV/0!</v>
      </c>
      <c r="E29" s="68">
        <f>'Water Reading'!H29-'Water Reading'!H28</f>
        <v>0</v>
      </c>
      <c r="F29" s="69" t="e">
        <f t="shared" si="3"/>
        <v>#DIV/0!</v>
      </c>
      <c r="G29" s="73">
        <f>('Water Reading'!D29-'Water Reading'!D28)-('Water Reading'!R29-'Water Reading'!R28)-('Water Reading'!Q29-'Water Reading'!Q28)</f>
        <v>0</v>
      </c>
      <c r="H29" s="69" t="e">
        <f t="shared" si="4"/>
        <v>#DIV/0!</v>
      </c>
      <c r="I29" s="70">
        <f>'Water Reading'!P29-'Water Reading'!P28</f>
        <v>0</v>
      </c>
      <c r="J29" s="55" t="e">
        <f t="shared" si="5"/>
        <v>#DIV/0!</v>
      </c>
      <c r="K29" s="71">
        <f>('Water Reading'!I29-'Water Reading'!I28)-('Water Reading'!P29-'Water Reading'!P28)</f>
        <v>0</v>
      </c>
      <c r="L29" s="55" t="e">
        <f t="shared" si="6"/>
        <v>#DIV/0!</v>
      </c>
      <c r="M29" s="70">
        <f>'Water Reading'!R29-'Water Reading'!R28</f>
        <v>0</v>
      </c>
      <c r="N29" s="72" t="e">
        <f t="shared" si="7"/>
        <v>#DIV/0!</v>
      </c>
      <c r="O29" s="70">
        <f>'Water Reading'!Q29-'Water Reading'!Q28</f>
        <v>0</v>
      </c>
      <c r="P29" s="77" t="e">
        <f t="shared" si="8"/>
        <v>#DIV/0!</v>
      </c>
      <c r="Q29" s="71">
        <f>'Water Reading'!F29-'Water Reading'!F28</f>
        <v>0</v>
      </c>
      <c r="R29" s="78" t="e">
        <f t="shared" si="9"/>
        <v>#DIV/0!</v>
      </c>
      <c r="S29" s="70">
        <f>'Water Reading'!E29-'Water Reading'!E28</f>
        <v>0</v>
      </c>
      <c r="T29" s="78" t="e">
        <f t="shared" si="10"/>
        <v>#DIV/0!</v>
      </c>
      <c r="U29" s="70">
        <f>'Water Reading'!G29-'Water Reading'!G28</f>
        <v>0</v>
      </c>
      <c r="V29" s="78" t="e">
        <f t="shared" si="11"/>
        <v>#DIV/0!</v>
      </c>
      <c r="W29" s="71">
        <f>'Water Reading'!J29-'Water Reading'!J28</f>
        <v>0</v>
      </c>
      <c r="X29" s="78" t="e">
        <f t="shared" si="12"/>
        <v>#DIV/0!</v>
      </c>
      <c r="Y29" s="53">
        <f t="shared" si="0"/>
        <v>0</v>
      </c>
      <c r="Z29" s="54" t="e">
        <f t="shared" si="1"/>
        <v>#DIV/0!</v>
      </c>
    </row>
    <row r="30" spans="1:26" x14ac:dyDescent="0.25">
      <c r="A30" s="6">
        <f>'Water Reading'!A29</f>
        <v>44953</v>
      </c>
      <c r="B30" s="52">
        <f>TOTAL!I28</f>
        <v>0</v>
      </c>
      <c r="C30" s="53">
        <f>('Water Reading'!B30-'Water Reading'!B29)+('Water Reading'!C30-'Water Reading'!C29)</f>
        <v>0</v>
      </c>
      <c r="D30" s="54" t="e">
        <f t="shared" si="2"/>
        <v>#DIV/0!</v>
      </c>
      <c r="E30" s="68">
        <f>'Water Reading'!H30-'Water Reading'!H29</f>
        <v>0</v>
      </c>
      <c r="F30" s="69" t="e">
        <f t="shared" si="3"/>
        <v>#DIV/0!</v>
      </c>
      <c r="G30" s="73">
        <f>('Water Reading'!D30-'Water Reading'!D29)-('Water Reading'!R30-'Water Reading'!R29)-('Water Reading'!Q30-'Water Reading'!Q29)</f>
        <v>0</v>
      </c>
      <c r="H30" s="69" t="e">
        <f t="shared" si="4"/>
        <v>#DIV/0!</v>
      </c>
      <c r="I30" s="70">
        <f>'Water Reading'!P30-'Water Reading'!P29</f>
        <v>0</v>
      </c>
      <c r="J30" s="55" t="e">
        <f t="shared" si="5"/>
        <v>#DIV/0!</v>
      </c>
      <c r="K30" s="71">
        <f>('Water Reading'!I30-'Water Reading'!I29)-('Water Reading'!P30-'Water Reading'!P29)</f>
        <v>0</v>
      </c>
      <c r="L30" s="55" t="e">
        <f t="shared" si="6"/>
        <v>#DIV/0!</v>
      </c>
      <c r="M30" s="70">
        <f>'Water Reading'!R30-'Water Reading'!R29</f>
        <v>0</v>
      </c>
      <c r="N30" s="72" t="e">
        <f t="shared" si="7"/>
        <v>#DIV/0!</v>
      </c>
      <c r="O30" s="70">
        <f>'Water Reading'!Q30-'Water Reading'!Q29</f>
        <v>0</v>
      </c>
      <c r="P30" s="77" t="e">
        <f t="shared" si="8"/>
        <v>#DIV/0!</v>
      </c>
      <c r="Q30" s="71">
        <f>'Water Reading'!F30-'Water Reading'!F29</f>
        <v>0</v>
      </c>
      <c r="R30" s="78" t="e">
        <f t="shared" si="9"/>
        <v>#DIV/0!</v>
      </c>
      <c r="S30" s="70">
        <f>'Water Reading'!E30-'Water Reading'!E29</f>
        <v>0</v>
      </c>
      <c r="T30" s="78" t="e">
        <f t="shared" si="10"/>
        <v>#DIV/0!</v>
      </c>
      <c r="U30" s="70">
        <f>'Water Reading'!G30-'Water Reading'!G29</f>
        <v>0</v>
      </c>
      <c r="V30" s="78" t="e">
        <f t="shared" si="11"/>
        <v>#DIV/0!</v>
      </c>
      <c r="W30" s="71">
        <f>'Water Reading'!J30-'Water Reading'!J29</f>
        <v>0</v>
      </c>
      <c r="X30" s="78" t="e">
        <f t="shared" si="12"/>
        <v>#DIV/0!</v>
      </c>
      <c r="Y30" s="53">
        <f t="shared" si="0"/>
        <v>0</v>
      </c>
      <c r="Z30" s="54" t="e">
        <f t="shared" si="1"/>
        <v>#DIV/0!</v>
      </c>
    </row>
    <row r="31" spans="1:26" x14ac:dyDescent="0.25">
      <c r="A31" s="6">
        <f>'Water Reading'!A30</f>
        <v>44954</v>
      </c>
      <c r="B31" s="52">
        <f>TOTAL!I29</f>
        <v>0</v>
      </c>
      <c r="C31" s="53">
        <f>('Water Reading'!B31-'Water Reading'!B30)+('Water Reading'!C31-'Water Reading'!C30)</f>
        <v>0</v>
      </c>
      <c r="D31" s="54" t="e">
        <f t="shared" si="2"/>
        <v>#DIV/0!</v>
      </c>
      <c r="E31" s="68">
        <f>'Water Reading'!H31-'Water Reading'!H30</f>
        <v>0</v>
      </c>
      <c r="F31" s="69" t="e">
        <f t="shared" si="3"/>
        <v>#DIV/0!</v>
      </c>
      <c r="G31" s="73">
        <f>('Water Reading'!D31-'Water Reading'!D30)-('Water Reading'!R31-'Water Reading'!R30)-('Water Reading'!Q31-'Water Reading'!Q30)</f>
        <v>0</v>
      </c>
      <c r="H31" s="69" t="e">
        <f t="shared" si="4"/>
        <v>#DIV/0!</v>
      </c>
      <c r="I31" s="70">
        <f>'Water Reading'!P31-'Water Reading'!P30</f>
        <v>0</v>
      </c>
      <c r="J31" s="55" t="e">
        <f t="shared" si="5"/>
        <v>#DIV/0!</v>
      </c>
      <c r="K31" s="71">
        <f>('Water Reading'!I31-'Water Reading'!I30)-('Water Reading'!P31-'Water Reading'!P30)</f>
        <v>0</v>
      </c>
      <c r="L31" s="55" t="e">
        <f t="shared" si="6"/>
        <v>#DIV/0!</v>
      </c>
      <c r="M31" s="70">
        <f>'Water Reading'!R31-'Water Reading'!R30</f>
        <v>0</v>
      </c>
      <c r="N31" s="72" t="e">
        <f t="shared" si="7"/>
        <v>#DIV/0!</v>
      </c>
      <c r="O31" s="70">
        <f>'Water Reading'!Q31-'Water Reading'!Q30</f>
        <v>0</v>
      </c>
      <c r="P31" s="77" t="e">
        <f t="shared" si="8"/>
        <v>#DIV/0!</v>
      </c>
      <c r="Q31" s="71">
        <f>'Water Reading'!F31-'Water Reading'!F30</f>
        <v>0</v>
      </c>
      <c r="R31" s="78" t="e">
        <f t="shared" si="9"/>
        <v>#DIV/0!</v>
      </c>
      <c r="S31" s="70">
        <f>'Water Reading'!E31-'Water Reading'!E30</f>
        <v>0</v>
      </c>
      <c r="T31" s="78" t="e">
        <f t="shared" si="10"/>
        <v>#DIV/0!</v>
      </c>
      <c r="U31" s="70">
        <f>'Water Reading'!G31-'Water Reading'!G30</f>
        <v>0</v>
      </c>
      <c r="V31" s="78" t="e">
        <f t="shared" si="11"/>
        <v>#DIV/0!</v>
      </c>
      <c r="W31" s="71">
        <f>'Water Reading'!J31-'Water Reading'!J30</f>
        <v>0</v>
      </c>
      <c r="X31" s="78" t="e">
        <f t="shared" si="12"/>
        <v>#DIV/0!</v>
      </c>
      <c r="Y31" s="53">
        <f t="shared" si="0"/>
        <v>0</v>
      </c>
      <c r="Z31" s="54" t="e">
        <f t="shared" si="1"/>
        <v>#DIV/0!</v>
      </c>
    </row>
    <row r="32" spans="1:26" x14ac:dyDescent="0.25">
      <c r="A32" s="6">
        <f>'Water Reading'!A31</f>
        <v>44955</v>
      </c>
      <c r="B32" s="52">
        <f>TOTAL!I30</f>
        <v>0</v>
      </c>
      <c r="C32" s="53">
        <f>('Water Reading'!B32-'Water Reading'!B31)+('Water Reading'!C32-'Water Reading'!C31)</f>
        <v>0</v>
      </c>
      <c r="D32" s="54" t="e">
        <f t="shared" si="2"/>
        <v>#DIV/0!</v>
      </c>
      <c r="E32" s="68">
        <f>'Water Reading'!H32-'Water Reading'!H31</f>
        <v>0</v>
      </c>
      <c r="F32" s="69" t="e">
        <f t="shared" si="3"/>
        <v>#DIV/0!</v>
      </c>
      <c r="G32" s="73">
        <f>('Water Reading'!D32-'Water Reading'!D31)-('Water Reading'!R32-'Water Reading'!R31)-('Water Reading'!Q32-'Water Reading'!Q31)</f>
        <v>0</v>
      </c>
      <c r="H32" s="69" t="e">
        <f t="shared" si="4"/>
        <v>#DIV/0!</v>
      </c>
      <c r="I32" s="70">
        <f>'Water Reading'!P32-'Water Reading'!P31</f>
        <v>0</v>
      </c>
      <c r="J32" s="55" t="e">
        <f t="shared" si="5"/>
        <v>#DIV/0!</v>
      </c>
      <c r="K32" s="71">
        <f>('Water Reading'!I32-'Water Reading'!I31)-('Water Reading'!P32-'Water Reading'!P31)</f>
        <v>0</v>
      </c>
      <c r="L32" s="55" t="e">
        <f t="shared" si="6"/>
        <v>#DIV/0!</v>
      </c>
      <c r="M32" s="70">
        <f>'Water Reading'!R32-'Water Reading'!R31</f>
        <v>0</v>
      </c>
      <c r="N32" s="72" t="e">
        <f t="shared" si="7"/>
        <v>#DIV/0!</v>
      </c>
      <c r="O32" s="70">
        <f>'Water Reading'!Q32-'Water Reading'!Q31</f>
        <v>0</v>
      </c>
      <c r="P32" s="77" t="e">
        <f t="shared" si="8"/>
        <v>#DIV/0!</v>
      </c>
      <c r="Q32" s="71">
        <f>'Water Reading'!F32-'Water Reading'!F31</f>
        <v>0</v>
      </c>
      <c r="R32" s="78" t="e">
        <f t="shared" si="9"/>
        <v>#DIV/0!</v>
      </c>
      <c r="S32" s="70">
        <f>'Water Reading'!E32-'Water Reading'!E31</f>
        <v>0</v>
      </c>
      <c r="T32" s="78" t="e">
        <f t="shared" si="10"/>
        <v>#DIV/0!</v>
      </c>
      <c r="U32" s="70">
        <f>'Water Reading'!G32-'Water Reading'!G31</f>
        <v>0</v>
      </c>
      <c r="V32" s="78" t="e">
        <f t="shared" si="11"/>
        <v>#DIV/0!</v>
      </c>
      <c r="W32" s="71">
        <f>'Water Reading'!J32-'Water Reading'!J31</f>
        <v>0</v>
      </c>
      <c r="X32" s="78" t="e">
        <f t="shared" si="12"/>
        <v>#DIV/0!</v>
      </c>
      <c r="Y32" s="53">
        <f t="shared" si="0"/>
        <v>0</v>
      </c>
      <c r="Z32" s="54" t="e">
        <f t="shared" si="1"/>
        <v>#DIV/0!</v>
      </c>
    </row>
    <row r="33" spans="1:26" x14ac:dyDescent="0.25">
      <c r="A33" s="6">
        <f>'Water Reading'!A32</f>
        <v>44956</v>
      </c>
      <c r="B33" s="52">
        <f>TOTAL!I31</f>
        <v>0</v>
      </c>
      <c r="C33" s="53">
        <f>('Water Reading'!B33-'Water Reading'!B32)+('Water Reading'!C33-'Water Reading'!C32)</f>
        <v>0</v>
      </c>
      <c r="D33" s="54" t="e">
        <f t="shared" si="2"/>
        <v>#DIV/0!</v>
      </c>
      <c r="E33" s="68">
        <f>'Water Reading'!H33-'Water Reading'!H32</f>
        <v>0</v>
      </c>
      <c r="F33" s="69" t="e">
        <f t="shared" si="3"/>
        <v>#DIV/0!</v>
      </c>
      <c r="G33" s="73">
        <f>('Water Reading'!D33-'Water Reading'!D32)-('Water Reading'!R33-'Water Reading'!R32)-('Water Reading'!Q33-'Water Reading'!Q32)</f>
        <v>0</v>
      </c>
      <c r="H33" s="69" t="e">
        <f t="shared" si="4"/>
        <v>#DIV/0!</v>
      </c>
      <c r="I33" s="70">
        <f>'Water Reading'!P33-'Water Reading'!P32</f>
        <v>0</v>
      </c>
      <c r="J33" s="55" t="e">
        <f t="shared" si="5"/>
        <v>#DIV/0!</v>
      </c>
      <c r="K33" s="71">
        <f>('Water Reading'!I33-'Water Reading'!I32)-('Water Reading'!P33-'Water Reading'!P32)</f>
        <v>0</v>
      </c>
      <c r="L33" s="55" t="e">
        <f t="shared" si="6"/>
        <v>#DIV/0!</v>
      </c>
      <c r="M33" s="70">
        <f>'Water Reading'!R33-'Water Reading'!R32</f>
        <v>0</v>
      </c>
      <c r="N33" s="72" t="e">
        <f t="shared" si="7"/>
        <v>#DIV/0!</v>
      </c>
      <c r="O33" s="70">
        <f>'Water Reading'!Q33-'Water Reading'!Q32</f>
        <v>0</v>
      </c>
      <c r="P33" s="77" t="e">
        <f t="shared" si="8"/>
        <v>#DIV/0!</v>
      </c>
      <c r="Q33" s="71">
        <f>'Water Reading'!F33-'Water Reading'!F32</f>
        <v>0</v>
      </c>
      <c r="R33" s="78" t="e">
        <f t="shared" si="9"/>
        <v>#DIV/0!</v>
      </c>
      <c r="S33" s="70">
        <f>'Water Reading'!E33-'Water Reading'!E32</f>
        <v>0</v>
      </c>
      <c r="T33" s="78" t="e">
        <f t="shared" si="10"/>
        <v>#DIV/0!</v>
      </c>
      <c r="U33" s="70">
        <f>'Water Reading'!G33-'Water Reading'!G32</f>
        <v>0</v>
      </c>
      <c r="V33" s="78" t="e">
        <f t="shared" si="11"/>
        <v>#DIV/0!</v>
      </c>
      <c r="W33" s="71">
        <f>'Water Reading'!J33-'Water Reading'!J32</f>
        <v>0</v>
      </c>
      <c r="X33" s="78" t="e">
        <f t="shared" si="12"/>
        <v>#DIV/0!</v>
      </c>
      <c r="Y33" s="53">
        <f t="shared" si="0"/>
        <v>0</v>
      </c>
      <c r="Z33" s="54" t="e">
        <f t="shared" si="1"/>
        <v>#DIV/0!</v>
      </c>
    </row>
    <row r="34" spans="1:26" x14ac:dyDescent="0.25">
      <c r="A34" s="6">
        <f>'Water Reading'!A33</f>
        <v>44957</v>
      </c>
      <c r="B34" s="52">
        <f>TOTAL!I32</f>
        <v>0</v>
      </c>
      <c r="C34" s="53" t="e">
        <f>('Water Reading'!#REF!-'Water Reading'!B33)+('Water Reading'!#REF!-'Water Reading'!C33)</f>
        <v>#REF!</v>
      </c>
      <c r="D34" s="54" t="e">
        <f t="shared" ref="D34" si="14">C34/B34</f>
        <v>#REF!</v>
      </c>
      <c r="E34" s="68" t="e">
        <f>'Water Reading'!#REF!-'Water Reading'!H33</f>
        <v>#REF!</v>
      </c>
      <c r="F34" s="69" t="e">
        <f t="shared" ref="F34" si="15">E34/C34</f>
        <v>#REF!</v>
      </c>
      <c r="G34" s="73" t="e">
        <f>('Water Reading'!#REF!-'Water Reading'!D33)-('Water Reading'!#REF!-'Water Reading'!R33)-('Water Reading'!#REF!-'Water Reading'!Q33)</f>
        <v>#REF!</v>
      </c>
      <c r="H34" s="69" t="e">
        <f t="shared" ref="H34" si="16">G34/C34</f>
        <v>#REF!</v>
      </c>
      <c r="I34" s="70" t="e">
        <f>'Water Reading'!#REF!-'Water Reading'!P33</f>
        <v>#REF!</v>
      </c>
      <c r="J34" s="55" t="e">
        <f t="shared" ref="J34" si="17">I34/C34</f>
        <v>#REF!</v>
      </c>
      <c r="K34" s="71" t="e">
        <f>('Water Reading'!#REF!-'Water Reading'!I33)-('Water Reading'!#REF!-'Water Reading'!P33)</f>
        <v>#REF!</v>
      </c>
      <c r="L34" s="55" t="e">
        <f t="shared" ref="L34" si="18">K34/C34</f>
        <v>#REF!</v>
      </c>
      <c r="M34" s="70" t="e">
        <f>'Water Reading'!#REF!-'Water Reading'!R33</f>
        <v>#REF!</v>
      </c>
      <c r="N34" s="72" t="e">
        <f t="shared" ref="N34" si="19">M34/C34</f>
        <v>#REF!</v>
      </c>
      <c r="O34" s="70" t="e">
        <f>'Water Reading'!#REF!-'Water Reading'!Q33</f>
        <v>#REF!</v>
      </c>
      <c r="P34" s="77" t="e">
        <f t="shared" ref="P34" si="20">O34/C34</f>
        <v>#REF!</v>
      </c>
      <c r="Q34" s="71" t="e">
        <f>'Water Reading'!#REF!-'Water Reading'!F33</f>
        <v>#REF!</v>
      </c>
      <c r="R34" s="78" t="e">
        <f t="shared" ref="R34" si="21">Q34/C34</f>
        <v>#REF!</v>
      </c>
      <c r="S34" s="70" t="e">
        <f>'Water Reading'!#REF!-'Water Reading'!E33</f>
        <v>#REF!</v>
      </c>
      <c r="T34" s="78" t="e">
        <f t="shared" ref="T34" si="22">S34/C34</f>
        <v>#REF!</v>
      </c>
      <c r="U34" s="70" t="e">
        <f>'Water Reading'!#REF!-'Water Reading'!G33</f>
        <v>#REF!</v>
      </c>
      <c r="V34" s="78" t="e">
        <f t="shared" ref="V34" si="23">U34/C34</f>
        <v>#REF!</v>
      </c>
      <c r="W34" s="71" t="e">
        <f>'Water Reading'!#REF!-'Water Reading'!J33</f>
        <v>#REF!</v>
      </c>
      <c r="X34" s="78" t="e">
        <f t="shared" ref="X34" si="24">W34/C34</f>
        <v>#REF!</v>
      </c>
      <c r="Y34" s="53" t="e">
        <f t="shared" ref="Y34" si="25">E34+I34+K34+M34+O34+G34+Q34+S34+U34+W34</f>
        <v>#REF!</v>
      </c>
      <c r="Z34" s="54" t="e">
        <f t="shared" ref="Z34" si="26">Y34/B34</f>
        <v>#REF!</v>
      </c>
    </row>
    <row r="35" spans="1:26" ht="24" customHeight="1" x14ac:dyDescent="0.25">
      <c r="A35" s="56" t="s">
        <v>41</v>
      </c>
      <c r="B35" s="76" t="s">
        <v>116</v>
      </c>
      <c r="C35" s="60">
        <f>SUM(C4:C33)</f>
        <v>-67554</v>
      </c>
      <c r="D35" s="75" t="e">
        <f>C35/B35</f>
        <v>#VALUE!</v>
      </c>
      <c r="E35" s="5">
        <f>SUM(E4:E33)</f>
        <v>-640</v>
      </c>
      <c r="F35" s="74">
        <f>E35/C35</f>
        <v>9.4739023595938072E-3</v>
      </c>
      <c r="G35" s="60">
        <f>SUM(G4:G33)</f>
        <v>-297820</v>
      </c>
      <c r="H35" s="74">
        <f>G35/C35</f>
        <v>4.4086212511472302</v>
      </c>
      <c r="I35" s="5">
        <f>SUM(I4:I33)</f>
        <v>-33017</v>
      </c>
      <c r="J35" s="74">
        <f>I35/C35</f>
        <v>0.48874974094798235</v>
      </c>
      <c r="K35" s="5">
        <f>SUM(K4:K33)</f>
        <v>-47309</v>
      </c>
      <c r="L35" s="74">
        <f>K35/C35</f>
        <v>0.70031382301566159</v>
      </c>
      <c r="M35" s="5">
        <f>SUM(M4:M33)</f>
        <v>-1004</v>
      </c>
      <c r="N35" s="74">
        <f>M35/C35</f>
        <v>1.4862184326612784E-2</v>
      </c>
      <c r="O35" s="5">
        <f>SUM(O4:O33)</f>
        <v>-2365</v>
      </c>
      <c r="P35" s="74">
        <f>O35/C35</f>
        <v>3.5009029813186487E-2</v>
      </c>
      <c r="Q35" s="5">
        <f>SUM(Q4:Q33)</f>
        <v>-26304</v>
      </c>
      <c r="R35" s="74">
        <f>Q35/C35</f>
        <v>0.38937738697930546</v>
      </c>
      <c r="S35" s="60">
        <f>SUM(S4:S33)</f>
        <v>-286364</v>
      </c>
      <c r="T35" s="74">
        <f>S35/C35</f>
        <v>4.2390383989105009</v>
      </c>
      <c r="U35" s="5">
        <f>SUM(U4:U33)</f>
        <v>-124686</v>
      </c>
      <c r="V35" s="74">
        <f>U35/C35</f>
        <v>1.8457234212629896</v>
      </c>
      <c r="W35" s="5">
        <f>SUM(W4:W33)</f>
        <v>-24068</v>
      </c>
      <c r="X35" s="74">
        <f>W35/C35</f>
        <v>0.35627794061047457</v>
      </c>
      <c r="Y35" s="60">
        <f>SUM(Y4:Y33)</f>
        <v>-843577</v>
      </c>
      <c r="Z35" s="74" t="e">
        <f t="shared" si="1"/>
        <v>#VALUE!</v>
      </c>
    </row>
    <row r="44" spans="1:26" x14ac:dyDescent="0.25">
      <c r="Y44" s="63"/>
    </row>
    <row r="64" spans="4:4" x14ac:dyDescent="0.25">
      <c r="D64" s="57"/>
    </row>
    <row r="65" spans="4:4" x14ac:dyDescent="0.25">
      <c r="D65" s="57"/>
    </row>
    <row r="66" spans="4:4" x14ac:dyDescent="0.25">
      <c r="D66" s="57"/>
    </row>
    <row r="67" spans="4:4" x14ac:dyDescent="0.25">
      <c r="D67" s="57"/>
    </row>
    <row r="68" spans="4:4" x14ac:dyDescent="0.25">
      <c r="D68" s="57"/>
    </row>
    <row r="69" spans="4:4" x14ac:dyDescent="0.25">
      <c r="D69" s="57"/>
    </row>
    <row r="70" spans="4:4" x14ac:dyDescent="0.25">
      <c r="D70" s="57"/>
    </row>
    <row r="71" spans="4:4" x14ac:dyDescent="0.25">
      <c r="D71" s="57"/>
    </row>
    <row r="72" spans="4:4" x14ac:dyDescent="0.25">
      <c r="D72" s="57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Submeters</vt:lpstr>
      <vt:lpstr>Kwh Reading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2023-01-10T05:38:08Z</dcterms:modified>
  <cp:category/>
  <cp:contentStatus/>
</cp:coreProperties>
</file>