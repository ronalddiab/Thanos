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64" documentId="13_ncr:1_{76C55D63-F869-4AF5-AAA3-3D809A91432B}" xr6:coauthVersionLast="47" xr6:coauthVersionMax="47" xr10:uidLastSave="{EA888816-60A3-48B8-AEA2-BDB16B2AD478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" i="27" l="1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<sst xmlns="http://schemas.openxmlformats.org/spreadsheetml/2006/main" count="72" uniqueCount="33">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</sst>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topLeftCell="B10" workbookViewId="0">
      <selection activeCell="F32" sqref="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3">
        <v>0.58489999999999998</v>
      </c>
      <c r="I2" s="11">
        <f>IF('Water, Gas, Diesel'!C6&lt;0,0,'Water, Gas, Diesel'!C6)</f>
        <v>3271</v>
      </c>
      <c r="J2" s="93">
        <v>0.21186441</v>
      </c>
      <c r="K2" s="11">
        <f>IF('Water, Gas, Diesel'!F6&lt;0,0,'Water, Gas, Diesel'!F6)</f>
        <v>209</v>
      </c>
      <c r="L2" s="93">
        <v>1.6949000000000001</v>
      </c>
      <c r="M2" s="11">
        <f>Electricity!H8</f>
        <v>66</v>
      </c>
      <c r="O2" s="131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2966</v>
      </c>
      <c r="J3" s="93">
        <v>0.21186441</v>
      </c>
      <c r="K3" s="11">
        <f>IF('Water, Gas, Diesel'!F7&lt;0,0,'Water, Gas, Diesel'!F7)</f>
        <v>158</v>
      </c>
      <c r="L3" s="93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3433</v>
      </c>
      <c r="J4" s="93">
        <v>0.21186441</v>
      </c>
      <c r="K4" s="11">
        <f>IF('Water, Gas, Diesel'!F8&lt;0,0,'Water, Gas, Diesel'!F8)</f>
        <v>153</v>
      </c>
      <c r="L4" s="93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3149</v>
      </c>
      <c r="J5" s="93">
        <v>0.21186441</v>
      </c>
      <c r="K5" s="11">
        <f>IF('Water, Gas, Diesel'!F9&lt;0,0,'Water, Gas, Diesel'!F9)</f>
        <v>181</v>
      </c>
      <c r="L5" s="93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3218</v>
      </c>
      <c r="J6" s="93">
        <v>0.21186441</v>
      </c>
      <c r="K6" s="11">
        <f>IF('Water, Gas, Diesel'!F10&lt;0,0,'Water, Gas, Diesel'!F10)</f>
        <v>188</v>
      </c>
      <c r="L6" s="93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154</v>
      </c>
      <c r="L7" s="93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2915</v>
      </c>
      <c r="J8" s="93">
        <v>0.21186441</v>
      </c>
      <c r="K8" s="11">
        <f>IF('Water, Gas, Diesel'!F12&lt;0,0,'Water, Gas, Diesel'!F12)</f>
        <v>174</v>
      </c>
      <c r="L8" s="93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3778</v>
      </c>
      <c r="J9" s="93">
        <v>0.21186441</v>
      </c>
      <c r="K9" s="11">
        <f>IF('Water, Gas, Diesel'!F13&lt;0,0,'Water, Gas, Diesel'!F13)</f>
        <v>179</v>
      </c>
      <c r="L9" s="93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3134</v>
      </c>
      <c r="J10" s="93">
        <v>0.21186441</v>
      </c>
      <c r="K10" s="11">
        <f>IF('Water, Gas, Diesel'!F14&lt;0,0,'Water, Gas, Diesel'!F14)</f>
        <v>163</v>
      </c>
      <c r="L10" s="93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3255</v>
      </c>
      <c r="J11" s="93">
        <v>0.21186441</v>
      </c>
      <c r="K11" s="11">
        <f>IF('Water, Gas, Diesel'!F15&lt;0,0,'Water, Gas, Diesel'!F15)</f>
        <v>182</v>
      </c>
      <c r="L11" s="93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3347</v>
      </c>
      <c r="J12" s="93">
        <v>0.21186441</v>
      </c>
      <c r="K12" s="11">
        <f>IF('Water, Gas, Diesel'!F16&lt;0,0,'Water, Gas, Diesel'!F16)</f>
        <v>193</v>
      </c>
      <c r="L12" s="93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2836</v>
      </c>
      <c r="J13" s="93">
        <v>0.21186441</v>
      </c>
      <c r="K13" s="11">
        <f>IF('Water, Gas, Diesel'!F17&lt;0,0,'Water, Gas, Diesel'!F17)</f>
        <v>191</v>
      </c>
      <c r="L13" s="93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3102</v>
      </c>
      <c r="J14" s="93">
        <v>0.21186441</v>
      </c>
      <c r="K14" s="11">
        <f>IF('Water, Gas, Diesel'!F18&lt;0,0,'Water, Gas, Diesel'!F18)</f>
        <v>190</v>
      </c>
      <c r="L14" s="93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3">
        <v>0.58489999999999998</v>
      </c>
      <c r="I15" s="11">
        <f>IF('Water, Gas, Diesel'!C19&lt;0,0,'Water, Gas, Diesel'!C19)</f>
        <v>4168</v>
      </c>
      <c r="J15" s="93">
        <v>0.21186441</v>
      </c>
      <c r="K15" s="11">
        <f>IF('Water, Gas, Diesel'!F19&lt;0,0,'Water, Gas, Diesel'!F19)</f>
        <v>175</v>
      </c>
      <c r="L15" s="93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2916</v>
      </c>
      <c r="J16" s="93">
        <v>0.21186441</v>
      </c>
      <c r="K16" s="11">
        <f>IF('Water, Gas, Diesel'!F20&lt;0,0,'Water, Gas, Diesel'!F20)</f>
        <v>167</v>
      </c>
      <c r="L16" s="93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12240</v>
      </c>
      <c r="H17" s="93">
        <v>0.58489999999999998</v>
      </c>
      <c r="I17" s="11">
        <f>IF('Water, Gas, Diesel'!C21&lt;0,0,'Water, Gas, Diesel'!C21)</f>
        <v>4235</v>
      </c>
      <c r="J17" s="93">
        <v>0.21186441</v>
      </c>
      <c r="K17" s="11">
        <f>IF('Water, Gas, Diesel'!F21&lt;0,0,'Water, Gas, Diesel'!F21)</f>
        <v>201</v>
      </c>
      <c r="L17" s="93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9.3200000000000005E-2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9.3200000000000005E-2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9.3200000000000005E-2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9.3200000000000005E-2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9.3200000000000005E-2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9.3200000000000005E-2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7" activePane="bottomLeft" state="frozen"/>
      <selection pane="bottomLeft" activeCell="M22" sqref="M22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8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19"/>
      <c r="B6" s="24"/>
      <c r="C6" s="74"/>
      <c r="D6" s="75"/>
      <c r="E6" s="74"/>
      <c r="F6" s="27"/>
      <c r="G6" s="76"/>
      <c r="H6" s="120"/>
    </row>
    <row r="7" spans="1:8" ht="27.75" customHeight="1">
      <c r="A7" s="121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7">
        <f t="shared" ref="F7:F38" si="2">C7+E7</f>
        <v>20774.999999994179</v>
      </c>
      <c r="G7" s="77">
        <f>F7*0.0932</f>
        <v>1936.2299999994575</v>
      </c>
      <c r="H7" s="141">
        <v>57</v>
      </c>
    </row>
    <row r="8" spans="1:8" ht="30.95" customHeight="1">
      <c r="A8" s="122">
        <v>1</v>
      </c>
      <c r="B8" s="116">
        <v>14933.380999999999</v>
      </c>
      <c r="C8" s="80">
        <f t="shared" si="0"/>
        <v>8132.500000001528</v>
      </c>
      <c r="D8" s="81">
        <v>15272.514999999999</v>
      </c>
      <c r="E8" s="80">
        <f t="shared" si="1"/>
        <v>9895.0000000013461</v>
      </c>
      <c r="F8" s="51">
        <f t="shared" si="2"/>
        <v>18027.500000002874</v>
      </c>
      <c r="G8" s="77">
        <f t="shared" ref="G8:G39" si="3">F8*0.0932</f>
        <v>1680.1630000002679</v>
      </c>
      <c r="H8" s="123">
        <v>66</v>
      </c>
    </row>
    <row r="9" spans="1:8" ht="30.95" customHeight="1">
      <c r="A9" s="124">
        <v>2</v>
      </c>
      <c r="B9" s="82">
        <v>14936.634</v>
      </c>
      <c r="C9" s="39">
        <f t="shared" si="0"/>
        <v>8204.9999999981083</v>
      </c>
      <c r="D9" s="81">
        <v>15276.473</v>
      </c>
      <c r="E9" s="39">
        <f t="shared" si="1"/>
        <v>10037.499999998545</v>
      </c>
      <c r="F9" s="47">
        <f t="shared" si="2"/>
        <v>18242.499999996653</v>
      </c>
      <c r="G9" s="77">
        <f t="shared" si="3"/>
        <v>1700.2009999996881</v>
      </c>
      <c r="H9" s="125">
        <v>72</v>
      </c>
    </row>
    <row r="10" spans="1:8" ht="30.95" customHeight="1">
      <c r="A10" s="122">
        <v>3</v>
      </c>
      <c r="B10" s="83">
        <v>14939.915999999999</v>
      </c>
      <c r="C10" s="80">
        <f t="shared" si="0"/>
        <v>8487.5000000010914</v>
      </c>
      <c r="D10" s="84">
        <v>15280.487999999999</v>
      </c>
      <c r="E10" s="80">
        <f t="shared" si="1"/>
        <v>10085.000000003674</v>
      </c>
      <c r="F10" s="51">
        <f t="shared" si="2"/>
        <v>18572.500000004766</v>
      </c>
      <c r="G10" s="77">
        <f t="shared" si="3"/>
        <v>1730.9570000004442</v>
      </c>
      <c r="H10" s="125">
        <v>87</v>
      </c>
    </row>
    <row r="11" spans="1:8" ht="30.95" customHeight="1">
      <c r="A11" s="124">
        <v>4</v>
      </c>
      <c r="B11" s="85">
        <v>14943.311</v>
      </c>
      <c r="C11" s="39">
        <f t="shared" si="0"/>
        <v>8052.4999999988722</v>
      </c>
      <c r="D11" s="86">
        <v>15284.522000000001</v>
      </c>
      <c r="E11" s="39">
        <f t="shared" si="1"/>
        <v>10199.999999999818</v>
      </c>
      <c r="F11" s="47">
        <f t="shared" si="2"/>
        <v>18252.49999999869</v>
      </c>
      <c r="G11" s="77">
        <f t="shared" si="3"/>
        <v>1701.1329999998779</v>
      </c>
      <c r="H11" s="125">
        <v>109</v>
      </c>
    </row>
    <row r="12" spans="1:8" ht="30.95" customHeight="1">
      <c r="A12" s="122">
        <v>5</v>
      </c>
      <c r="B12" s="87">
        <v>14946.531999999999</v>
      </c>
      <c r="C12" s="80">
        <f t="shared" si="0"/>
        <v>8155.0000000015643</v>
      </c>
      <c r="D12" s="84">
        <v>15288.602000000001</v>
      </c>
      <c r="E12" s="80">
        <f t="shared" si="1"/>
        <v>10064.9999999996</v>
      </c>
      <c r="F12" s="51">
        <f t="shared" si="2"/>
        <v>18220.000000001164</v>
      </c>
      <c r="G12" s="77">
        <f t="shared" si="3"/>
        <v>1698.1040000001085</v>
      </c>
      <c r="H12" s="125">
        <v>83</v>
      </c>
    </row>
    <row r="13" spans="1:8" ht="30.95" customHeight="1">
      <c r="A13" s="124">
        <v>6</v>
      </c>
      <c r="B13" s="85">
        <v>14949.794</v>
      </c>
      <c r="C13" s="39">
        <f t="shared" si="0"/>
        <v>7282.5000000011642</v>
      </c>
      <c r="D13" s="86">
        <v>15292.628000000001</v>
      </c>
      <c r="E13" s="39">
        <f t="shared" si="1"/>
        <v>9344.9999999984357</v>
      </c>
      <c r="F13" s="47">
        <f t="shared" si="2"/>
        <v>16627.4999999996</v>
      </c>
      <c r="G13" s="77">
        <f t="shared" si="3"/>
        <v>1549.6829999999627</v>
      </c>
      <c r="H13" s="125">
        <v>63</v>
      </c>
    </row>
    <row r="14" spans="1:8" ht="30.95" customHeight="1">
      <c r="A14" s="122">
        <v>7</v>
      </c>
      <c r="B14" s="87">
        <v>14952.707</v>
      </c>
      <c r="C14" s="80">
        <f t="shared" si="0"/>
        <v>8379.9999999973807</v>
      </c>
      <c r="D14" s="126">
        <v>15296.366</v>
      </c>
      <c r="E14" s="80">
        <f t="shared" si="1"/>
        <v>10005.000000001019</v>
      </c>
      <c r="F14" s="51">
        <f t="shared" si="2"/>
        <v>18384.999999998399</v>
      </c>
      <c r="G14" s="77">
        <f t="shared" si="3"/>
        <v>1713.4819999998508</v>
      </c>
      <c r="H14" s="125">
        <v>50</v>
      </c>
    </row>
    <row r="15" spans="1:8" ht="30.95" customHeight="1">
      <c r="A15" s="124">
        <v>8</v>
      </c>
      <c r="B15" s="85">
        <v>14956.058999999999</v>
      </c>
      <c r="C15" s="39">
        <f t="shared" si="0"/>
        <v>8704.9999999999272</v>
      </c>
      <c r="D15" s="88">
        <v>15300.368</v>
      </c>
      <c r="E15" s="39">
        <f t="shared" si="1"/>
        <v>11237.499999997453</v>
      </c>
      <c r="F15" s="47">
        <f t="shared" si="2"/>
        <v>19942.499999997381</v>
      </c>
      <c r="G15" s="77">
        <f t="shared" si="3"/>
        <v>1858.6409999997559</v>
      </c>
      <c r="H15" s="125">
        <v>77</v>
      </c>
    </row>
    <row r="16" spans="1:8" ht="30.95" customHeight="1">
      <c r="A16" s="122">
        <v>9</v>
      </c>
      <c r="B16" s="89">
        <v>14959.540999999999</v>
      </c>
      <c r="C16" s="80">
        <f t="shared" si="0"/>
        <v>7695.0000000033469</v>
      </c>
      <c r="D16" s="90">
        <v>15304.862999999999</v>
      </c>
      <c r="E16" s="80">
        <f t="shared" si="1"/>
        <v>9152.5000000001455</v>
      </c>
      <c r="F16" s="51">
        <f t="shared" si="2"/>
        <v>16847.500000003492</v>
      </c>
      <c r="G16" s="77">
        <f t="shared" si="3"/>
        <v>1570.1870000003255</v>
      </c>
      <c r="H16" s="125">
        <v>62</v>
      </c>
    </row>
    <row r="17" spans="1:8" ht="30.95" customHeight="1">
      <c r="A17" s="124">
        <v>10</v>
      </c>
      <c r="B17" s="45">
        <v>14962.619000000001</v>
      </c>
      <c r="C17" s="39">
        <f t="shared" si="0"/>
        <v>7729.999999996835</v>
      </c>
      <c r="D17" s="126">
        <v>15308.523999999999</v>
      </c>
      <c r="E17" s="39">
        <f t="shared" si="1"/>
        <v>9597.4999999998545</v>
      </c>
      <c r="F17" s="47">
        <f t="shared" si="2"/>
        <v>17327.499999996689</v>
      </c>
      <c r="G17" s="77">
        <f t="shared" si="3"/>
        <v>1614.9229999996915</v>
      </c>
      <c r="H17" s="125">
        <v>49</v>
      </c>
    </row>
    <row r="18" spans="1:8" ht="30.95" customHeight="1">
      <c r="A18" s="122">
        <v>11</v>
      </c>
      <c r="B18" s="85">
        <v>14965.710999999999</v>
      </c>
      <c r="C18" s="80">
        <f t="shared" si="0"/>
        <v>8040.0000000008731</v>
      </c>
      <c r="D18" s="88">
        <v>15312.362999999999</v>
      </c>
      <c r="E18" s="80">
        <f t="shared" si="1"/>
        <v>9462.4999999996362</v>
      </c>
      <c r="F18" s="51">
        <f t="shared" si="2"/>
        <v>17502.500000000509</v>
      </c>
      <c r="G18" s="77">
        <f t="shared" si="3"/>
        <v>1631.2330000000475</v>
      </c>
      <c r="H18" s="125">
        <v>44</v>
      </c>
    </row>
    <row r="19" spans="1:8" ht="30.95" customHeight="1">
      <c r="A19" s="124">
        <v>12</v>
      </c>
      <c r="B19" s="87">
        <v>14968.927</v>
      </c>
      <c r="C19" s="39">
        <f t="shared" si="0"/>
        <v>7029.9999999997453</v>
      </c>
      <c r="D19" s="126">
        <v>15316.147999999999</v>
      </c>
      <c r="E19" s="39">
        <f t="shared" si="1"/>
        <v>8582.5000000022555</v>
      </c>
      <c r="F19" s="47">
        <f t="shared" si="2"/>
        <v>15612.500000002001</v>
      </c>
      <c r="G19" s="77">
        <f t="shared" si="3"/>
        <v>1455.0850000001865</v>
      </c>
      <c r="H19" s="125">
        <v>53</v>
      </c>
    </row>
    <row r="20" spans="1:8" ht="30.95" customHeight="1">
      <c r="A20" s="122">
        <v>13</v>
      </c>
      <c r="B20" s="85">
        <v>14971.739</v>
      </c>
      <c r="C20" s="80">
        <f t="shared" si="0"/>
        <v>7710.0000000018554</v>
      </c>
      <c r="D20" s="91">
        <v>15319.581</v>
      </c>
      <c r="E20" s="80">
        <f t="shared" si="1"/>
        <v>9200.0000000007276</v>
      </c>
      <c r="F20" s="51">
        <f t="shared" si="2"/>
        <v>16910.000000002583</v>
      </c>
      <c r="G20" s="77">
        <f t="shared" si="3"/>
        <v>1576.0120000002407</v>
      </c>
      <c r="H20" s="125">
        <v>52</v>
      </c>
    </row>
    <row r="21" spans="1:8" ht="30.95" customHeight="1">
      <c r="A21" s="124">
        <v>14</v>
      </c>
      <c r="B21" s="85">
        <v>14974.823</v>
      </c>
      <c r="C21" s="39">
        <f t="shared" si="0"/>
        <v>7725.0000000003638</v>
      </c>
      <c r="D21" s="88">
        <v>15323.261</v>
      </c>
      <c r="E21" s="39">
        <f t="shared" si="1"/>
        <v>8934.9999999967622</v>
      </c>
      <c r="F21" s="47">
        <f t="shared" si="2"/>
        <v>16659.999999997126</v>
      </c>
      <c r="G21" s="77">
        <f t="shared" si="3"/>
        <v>1552.7119999997321</v>
      </c>
      <c r="H21" s="125">
        <v>54</v>
      </c>
    </row>
    <row r="22" spans="1:8" ht="30.95" customHeight="1">
      <c r="A22" s="122">
        <v>15</v>
      </c>
      <c r="B22" s="85">
        <v>14977.913</v>
      </c>
      <c r="C22" s="80">
        <f t="shared" si="0"/>
        <v>8714.999999997417</v>
      </c>
      <c r="D22" s="67">
        <v>15326.834999999999</v>
      </c>
      <c r="E22" s="80">
        <f t="shared" si="1"/>
        <v>10072.500000001128</v>
      </c>
      <c r="F22" s="51">
        <f t="shared" si="2"/>
        <v>18787.499999998545</v>
      </c>
      <c r="G22" s="77">
        <f t="shared" si="3"/>
        <v>1750.9949999998644</v>
      </c>
      <c r="H22" s="125">
        <v>86</v>
      </c>
    </row>
    <row r="23" spans="1:8" ht="30.95" customHeight="1">
      <c r="A23" s="124">
        <v>16</v>
      </c>
      <c r="B23" s="94">
        <v>14981.398999999999</v>
      </c>
      <c r="C23" s="39">
        <f t="shared" si="0"/>
        <v>9115.0000000016007</v>
      </c>
      <c r="D23" s="95">
        <v>15330.864</v>
      </c>
      <c r="E23" s="39">
        <f t="shared" si="1"/>
        <v>11385.000000000218</v>
      </c>
      <c r="F23" s="47">
        <f t="shared" si="2"/>
        <v>20500.000000001819</v>
      </c>
      <c r="G23" s="77">
        <f t="shared" si="3"/>
        <v>1910.6000000001695</v>
      </c>
      <c r="H23" s="125">
        <v>101</v>
      </c>
    </row>
    <row r="24" spans="1:8" ht="30.95" customHeight="1">
      <c r="A24" s="122">
        <v>17</v>
      </c>
      <c r="B24" s="96">
        <v>14985.045</v>
      </c>
      <c r="C24" s="80">
        <f t="shared" si="0"/>
        <v>-37462612.5</v>
      </c>
      <c r="D24" s="126">
        <v>15335.418</v>
      </c>
      <c r="E24" s="80">
        <f t="shared" si="1"/>
        <v>-38338545</v>
      </c>
      <c r="F24" s="51">
        <f t="shared" si="2"/>
        <v>-75801157.5</v>
      </c>
      <c r="G24" s="77">
        <f t="shared" si="3"/>
        <v>-7064667.8790000007</v>
      </c>
      <c r="H24" s="125">
        <v>89</v>
      </c>
    </row>
    <row r="25" spans="1:8" ht="30.95" customHeight="1">
      <c r="A25" s="124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5"/>
    </row>
    <row r="26" spans="1:8" ht="30.95" customHeight="1">
      <c r="A26" s="122">
        <v>19</v>
      </c>
      <c r="B26" s="87"/>
      <c r="C26" s="80">
        <f t="shared" ref="C26:C38" si="4">(B27-B26)*2500</f>
        <v>0</v>
      </c>
      <c r="D26" s="126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5"/>
    </row>
    <row r="27" spans="1:8" ht="30.95" customHeight="1">
      <c r="A27" s="124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5"/>
    </row>
    <row r="28" spans="1:8" ht="30.95" customHeight="1">
      <c r="A28" s="122">
        <v>21</v>
      </c>
      <c r="B28" s="87"/>
      <c r="C28" s="80">
        <f t="shared" si="4"/>
        <v>0</v>
      </c>
      <c r="D28" s="126"/>
      <c r="E28" s="80">
        <f t="shared" si="5"/>
        <v>0</v>
      </c>
      <c r="F28" s="47">
        <f t="shared" si="2"/>
        <v>0</v>
      </c>
      <c r="G28" s="77">
        <f t="shared" si="3"/>
        <v>0</v>
      </c>
      <c r="H28" s="125"/>
    </row>
    <row r="29" spans="1:8" ht="30.95" customHeight="1">
      <c r="A29" s="124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5"/>
    </row>
    <row r="30" spans="1:8" ht="30.95" customHeight="1">
      <c r="A30" s="122">
        <v>23</v>
      </c>
      <c r="B30" s="87"/>
      <c r="C30" s="80">
        <f t="shared" si="4"/>
        <v>0</v>
      </c>
      <c r="D30" s="126"/>
      <c r="E30" s="80">
        <f t="shared" si="5"/>
        <v>0</v>
      </c>
      <c r="F30" s="47">
        <f t="shared" si="2"/>
        <v>0</v>
      </c>
      <c r="G30" s="77">
        <f t="shared" si="3"/>
        <v>0</v>
      </c>
      <c r="H30" s="125"/>
    </row>
    <row r="31" spans="1:8" ht="30.95" customHeight="1">
      <c r="A31" s="124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5"/>
    </row>
    <row r="32" spans="1:8" ht="30.95" customHeight="1">
      <c r="A32" s="122">
        <v>25</v>
      </c>
      <c r="B32" s="87"/>
      <c r="C32" s="80">
        <f t="shared" si="4"/>
        <v>0</v>
      </c>
      <c r="D32" s="126"/>
      <c r="E32" s="80">
        <f t="shared" si="5"/>
        <v>0</v>
      </c>
      <c r="F32" s="47">
        <f t="shared" si="2"/>
        <v>0</v>
      </c>
      <c r="G32" s="77">
        <f t="shared" si="3"/>
        <v>0</v>
      </c>
      <c r="H32" s="125"/>
    </row>
    <row r="33" spans="1:8" ht="30.95" customHeight="1">
      <c r="A33" s="124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5"/>
    </row>
    <row r="34" spans="1:8" ht="30.95" customHeight="1">
      <c r="A34" s="122">
        <v>27</v>
      </c>
      <c r="B34" s="87"/>
      <c r="C34" s="80">
        <f t="shared" si="4"/>
        <v>0</v>
      </c>
      <c r="D34" s="126"/>
      <c r="E34" s="39">
        <f t="shared" si="5"/>
        <v>0</v>
      </c>
      <c r="F34" s="47">
        <f t="shared" si="2"/>
        <v>0</v>
      </c>
      <c r="G34" s="77">
        <f t="shared" si="3"/>
        <v>0</v>
      </c>
      <c r="H34" s="125"/>
    </row>
    <row r="35" spans="1:8" ht="30.95" customHeight="1">
      <c r="A35" s="124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5"/>
    </row>
    <row r="36" spans="1:8" ht="30.95" customHeight="1">
      <c r="A36" s="122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3"/>
    </row>
    <row r="37" spans="1:8" ht="30.95" customHeight="1">
      <c r="A37" s="127">
        <v>30</v>
      </c>
      <c r="B37" s="103"/>
      <c r="C37" s="104">
        <f t="shared" si="4"/>
        <v>0</v>
      </c>
      <c r="D37" s="105"/>
      <c r="E37" s="104">
        <f t="shared" si="5"/>
        <v>0</v>
      </c>
      <c r="F37" s="106">
        <f t="shared" si="2"/>
        <v>0</v>
      </c>
      <c r="G37" s="77">
        <f t="shared" si="3"/>
        <v>0</v>
      </c>
      <c r="H37" s="128"/>
    </row>
    <row r="38" spans="1:8" ht="30.95" customHeight="1">
      <c r="A38" s="122">
        <v>31</v>
      </c>
      <c r="B38" s="40"/>
      <c r="C38" s="80">
        <f t="shared" si="4"/>
        <v>0</v>
      </c>
      <c r="D38" s="126"/>
      <c r="E38" s="8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8" activePane="bottomLeft" state="frozen"/>
      <selection pane="bottomLeft" activeCell="E23" sqref="E23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0">
        <v>28</v>
      </c>
      <c r="B5" s="100">
        <v>6586723</v>
      </c>
      <c r="C5" s="129">
        <f>B6-B5</f>
        <v>3011</v>
      </c>
      <c r="D5" s="34">
        <f>C5*0.21186441</f>
        <v>637.92373851000002</v>
      </c>
      <c r="E5" s="35">
        <v>514362</v>
      </c>
      <c r="F5" s="130">
        <f>E6-E5</f>
        <v>143</v>
      </c>
      <c r="G5" s="36">
        <f>F5*0.84746</f>
        <v>121.18678</v>
      </c>
      <c r="H5" s="36">
        <f>F5*0.84746</f>
        <v>121.18678</v>
      </c>
      <c r="I5" s="101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0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 t="shared" ref="L6:L36" si="4">K6*0.59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5">F7*0.84746</f>
        <v>133.89867999999998</v>
      </c>
      <c r="H7" s="48">
        <f t="shared" ref="H7:H36" si="6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5"/>
        <v>129.66138000000001</v>
      </c>
      <c r="H8" s="43">
        <f t="shared" si="6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5"/>
        <v>153.39026000000001</v>
      </c>
      <c r="H9" s="48">
        <f t="shared" si="6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5"/>
        <v>159.32247999999998</v>
      </c>
      <c r="H10" s="43">
        <f t="shared" si="6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5"/>
        <v>130.50883999999999</v>
      </c>
      <c r="H11" s="48">
        <f t="shared" si="6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5"/>
        <v>147.45804000000001</v>
      </c>
      <c r="H12" s="43">
        <f t="shared" si="6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5"/>
        <v>151.69533999999999</v>
      </c>
      <c r="H13" s="48">
        <f t="shared" si="6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5"/>
        <v>138.13597999999999</v>
      </c>
      <c r="H14" s="43">
        <f t="shared" si="6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5"/>
        <v>154.23772</v>
      </c>
      <c r="H15" s="48">
        <f t="shared" si="6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5"/>
        <v>163.55977999999999</v>
      </c>
      <c r="H16" s="43">
        <f t="shared" si="6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5"/>
        <v>161.86485999999999</v>
      </c>
      <c r="H17" s="48">
        <f t="shared" si="6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5"/>
        <v>161.01740000000001</v>
      </c>
      <c r="H18" s="43">
        <f t="shared" si="6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5"/>
        <v>148.30549999999999</v>
      </c>
      <c r="H19" s="48">
        <f t="shared" si="6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4"/>
        <v>47.199999999999996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5"/>
        <v>141.52582000000001</v>
      </c>
      <c r="H20" s="43">
        <f t="shared" si="6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>
        <v>6638432</v>
      </c>
      <c r="C21" s="55">
        <f t="shared" si="8"/>
        <v>4235</v>
      </c>
      <c r="D21" s="46">
        <f t="shared" si="7"/>
        <v>897.24577635000003</v>
      </c>
      <c r="E21" s="97">
        <v>517162</v>
      </c>
      <c r="F21" s="56">
        <f t="shared" si="9"/>
        <v>201</v>
      </c>
      <c r="G21" s="48">
        <f t="shared" si="5"/>
        <v>170.33946</v>
      </c>
      <c r="H21" s="48">
        <f t="shared" si="6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12240</v>
      </c>
      <c r="L21" s="39">
        <f t="shared" si="4"/>
        <v>7221.5999999999995</v>
      </c>
    </row>
    <row r="22" spans="1:12" ht="32.450000000000003" customHeight="1">
      <c r="A22" s="40">
        <v>17</v>
      </c>
      <c r="B22" s="40">
        <v>6642667</v>
      </c>
      <c r="C22" s="53">
        <f t="shared" si="8"/>
        <v>-6642667</v>
      </c>
      <c r="D22" s="46">
        <f t="shared" si="7"/>
        <v>-1407344.7247814699</v>
      </c>
      <c r="E22" s="52">
        <v>517363</v>
      </c>
      <c r="F22" s="54">
        <f t="shared" si="9"/>
        <v>-517363</v>
      </c>
      <c r="G22" s="43">
        <f t="shared" si="5"/>
        <v>-438444.44798</v>
      </c>
      <c r="H22" s="43">
        <f t="shared" si="6"/>
        <v>-438444.44798</v>
      </c>
      <c r="I22" s="49">
        <f t="shared" si="2"/>
        <v>-876888.89595999999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7">
        <v>31</v>
      </c>
      <c r="B36" s="107"/>
      <c r="C36" s="108">
        <f t="shared" ref="C36" si="10">B37-B36</f>
        <v>0</v>
      </c>
      <c r="D36" s="109">
        <f t="shared" si="7"/>
        <v>0</v>
      </c>
      <c r="E36" s="110"/>
      <c r="F36" s="108">
        <f t="shared" ref="F36" si="11">E37-E36</f>
        <v>0</v>
      </c>
      <c r="G36" s="111">
        <f t="shared" ref="G36" si="12">F36*0.84746</f>
        <v>0</v>
      </c>
      <c r="H36" s="111">
        <f t="shared" ref="H36" si="13">F36*0.84746</f>
        <v>0</v>
      </c>
      <c r="I36" s="112">
        <f t="shared" ref="I36" si="14">G36+H36</f>
        <v>0</v>
      </c>
      <c r="J36" s="113"/>
      <c r="K36" s="114">
        <f t="shared" ref="K36" si="15">J36-J37</f>
        <v>0</v>
      </c>
      <c r="L36" s="115">
        <f t="shared" ref="L36" si="16">K36*0.59</f>
        <v>0</v>
      </c>
    </row>
    <row r="37" spans="1:12" ht="32.450000000000003" customHeight="1">
      <c r="A37" s="107">
        <v>1</v>
      </c>
      <c r="B37" s="107"/>
      <c r="C37" s="108">
        <f t="shared" ref="C37" si="17">B38-B37</f>
        <v>0</v>
      </c>
      <c r="D37" s="109">
        <f t="shared" ref="D37" si="18">C37*0.21186441</f>
        <v>0</v>
      </c>
      <c r="E37" s="110"/>
      <c r="F37" s="108">
        <f t="shared" ref="F37" si="19">E38-E37</f>
        <v>0</v>
      </c>
      <c r="G37" s="111">
        <f t="shared" ref="G37" si="20">F37*0.84746</f>
        <v>0</v>
      </c>
      <c r="H37" s="111">
        <f t="shared" ref="H37" si="21">F37*0.84746</f>
        <v>0</v>
      </c>
      <c r="I37" s="112">
        <f t="shared" ref="I37" si="22">G37+H37</f>
        <v>0</v>
      </c>
      <c r="J37" s="113"/>
      <c r="K37" s="114">
        <f t="shared" ref="K37" si="23">J37-J38</f>
        <v>0</v>
      </c>
      <c r="L37" s="115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2022-03-18T05:18:30Z</dcterms:modified>
  <cp:category/>
  <cp:contentStatus/>
</cp:coreProperties>
</file>