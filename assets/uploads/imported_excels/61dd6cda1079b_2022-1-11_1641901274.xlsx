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0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9291" documentId="8_{5B502D95-7A37-4D5A-8B6B-374537CC2F26}" xr6:coauthVersionLast="47" xr6:coauthVersionMax="47" xr10:uidLastSave="{F5AA1B90-904F-4343-B580-3F203A16745E}"/>
  <bookViews>
    <workbookView xWindow="-120" yWindow="-120" windowWidth="15600" windowHeight="11760" tabRatio="764" firstSheet="4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9" i="2" l="1"/>
  <c r="N20" i="2"/>
  <c r="M20" i="2"/>
  <c r="L20" i="2"/>
  <c r="F20" i="2"/>
  <c r="K19" i="6"/>
  <c r="I19" i="6"/>
  <c r="G19" i="6"/>
  <c r="E19" i="6"/>
  <c r="C19" i="6"/>
  <c r="V17" i="2"/>
  <c r="V18" i="2"/>
  <c r="N18" i="2"/>
  <c r="N19" i="2"/>
  <c r="M18" i="2"/>
  <c r="M19" i="2"/>
  <c r="L18" i="2"/>
  <c r="L19" i="2"/>
  <c r="F18" i="2"/>
  <c r="F19" i="2"/>
  <c r="K18" i="6"/>
  <c r="I18" i="6"/>
  <c r="G18" i="6"/>
  <c r="E18" i="6"/>
  <c r="C18" i="6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V11" i="2"/>
  <c r="V12" i="2"/>
  <c r="V13" i="2"/>
  <c r="V14" i="2"/>
  <c r="V15" i="2"/>
  <c r="V10" i="2"/>
  <c r="N11" i="2"/>
  <c r="N12" i="2"/>
  <c r="N13" i="2"/>
  <c r="N14" i="2"/>
  <c r="N15" i="2"/>
  <c r="N16" i="2"/>
  <c r="M11" i="2"/>
  <c r="M12" i="2"/>
  <c r="M13" i="2"/>
  <c r="M14" i="2"/>
  <c r="M15" i="2"/>
  <c r="M16" i="2"/>
  <c r="L11" i="2"/>
  <c r="L12" i="2"/>
  <c r="L13" i="2"/>
  <c r="L14" i="2"/>
  <c r="L15" i="2"/>
  <c r="L16" i="2"/>
  <c r="N10" i="2"/>
  <c r="M10" i="2"/>
  <c r="L10" i="2"/>
  <c r="F11" i="2"/>
  <c r="F12" i="2"/>
  <c r="F13" i="2"/>
  <c r="F14" i="2"/>
  <c r="F15" i="2"/>
  <c r="F16" i="2"/>
  <c r="F10" i="2"/>
  <c r="P5" i="4"/>
  <c r="P6" i="4"/>
  <c r="P7" i="4"/>
  <c r="P8" i="4"/>
  <c r="P9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K15" i="6"/>
  <c r="I15" i="6"/>
  <c r="G15" i="6"/>
  <c r="E15" i="6"/>
  <c r="C15" i="6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K11" i="6"/>
  <c r="I11" i="6"/>
  <c r="G11" i="6"/>
  <c r="E11" i="6"/>
  <c r="C11" i="6"/>
  <c r="K10" i="6"/>
  <c r="I10" i="6"/>
  <c r="G10" i="6"/>
  <c r="E10" i="6"/>
  <c r="C10" i="6"/>
  <c r="G4" i="4"/>
  <c r="E4" i="4"/>
  <c r="C4" i="4"/>
  <c r="G22" i="4"/>
  <c r="E22" i="4"/>
  <c r="C22" i="4"/>
  <c r="G21" i="4"/>
  <c r="E21" i="4"/>
  <c r="C21" i="4"/>
  <c r="M4" i="4"/>
  <c r="M5" i="4"/>
  <c r="M6" i="4"/>
  <c r="M7" i="4"/>
  <c r="L31" i="22"/>
  <c r="L32" i="22"/>
  <c r="K31" i="22"/>
  <c r="K32" i="22"/>
  <c r="I31" i="22"/>
  <c r="I32" i="22"/>
  <c r="G32" i="22"/>
  <c r="B31" i="22"/>
  <c r="B32" i="22"/>
  <c r="I31" i="21"/>
  <c r="I32" i="21"/>
  <c r="H31" i="21"/>
  <c r="H32" i="21"/>
  <c r="G31" i="21"/>
  <c r="G32" i="21"/>
  <c r="F31" i="21"/>
  <c r="F32" i="21"/>
  <c r="E31" i="21"/>
  <c r="E31" i="22" s="1"/>
  <c r="E32" i="21"/>
  <c r="E32" i="22" s="1"/>
  <c r="B31" i="21"/>
  <c r="B32" i="21"/>
  <c r="O39" i="2"/>
  <c r="Q39" i="2"/>
  <c r="H39" i="2"/>
  <c r="G30" i="22"/>
  <c r="Q40" i="2"/>
  <c r="O40" i="2"/>
  <c r="G17" i="4"/>
  <c r="P40" i="4"/>
  <c r="P41" i="4"/>
  <c r="P42" i="4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C35" i="4"/>
  <c r="G30" i="21"/>
  <c r="F30" i="21"/>
  <c r="E30" i="21"/>
  <c r="E30" i="22" s="1"/>
  <c r="I30" i="22"/>
  <c r="G29" i="21"/>
  <c r="F29" i="21"/>
  <c r="E29" i="21"/>
  <c r="E29" i="22" s="1"/>
  <c r="I29" i="22"/>
  <c r="G28" i="21"/>
  <c r="F28" i="21"/>
  <c r="E28" i="21"/>
  <c r="E28" i="22" s="1"/>
  <c r="I28" i="22"/>
  <c r="E27" i="21"/>
  <c r="I27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5" i="4"/>
  <c r="E28" i="4"/>
  <c r="E29" i="4"/>
  <c r="E30" i="4"/>
  <c r="E31" i="4"/>
  <c r="E33" i="4"/>
  <c r="E35" i="4"/>
  <c r="C28" i="4"/>
  <c r="C29" i="4"/>
  <c r="C30" i="4"/>
  <c r="C33" i="4"/>
  <c r="I30" i="4"/>
  <c r="G8" i="4"/>
  <c r="G12" i="4"/>
  <c r="G14" i="4"/>
  <c r="G15" i="4"/>
  <c r="G16" i="4"/>
  <c r="G24" i="4"/>
  <c r="G26" i="4"/>
  <c r="E8" i="4"/>
  <c r="E12" i="4"/>
  <c r="E14" i="4"/>
  <c r="E15" i="4"/>
  <c r="E16" i="4"/>
  <c r="E17" i="4"/>
  <c r="E24" i="4"/>
  <c r="E26" i="4"/>
  <c r="C8" i="4"/>
  <c r="C12" i="4"/>
  <c r="C14" i="4"/>
  <c r="C15" i="4"/>
  <c r="C16" i="4"/>
  <c r="C17" i="4"/>
  <c r="C24" i="4"/>
  <c r="C26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37" i="2"/>
  <c r="H37" i="2"/>
  <c r="H38" i="2"/>
  <c r="Q37" i="2"/>
  <c r="Q38" i="2"/>
  <c r="F41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G13" i="4" l="1"/>
  <c r="E13" i="4"/>
  <c r="C13" i="4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G29" i="22"/>
  <c r="G27" i="22"/>
  <c r="G28" i="22"/>
  <c r="L41" i="2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1" i="2" s="1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G3" i="22"/>
  <c r="M3" i="22" s="1"/>
  <c r="G4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G31" i="22" s="1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<sst xmlns="http://schemas.openxmlformats.org/spreadsheetml/2006/main" count="484" uniqueCount="187">
  <si>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</si>
  <si>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</si>
  <si>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</si>
  <si>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</si>
  <si>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</si>
  <si>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</si>
  <si>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</si>
  <si>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</si>
  <si>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</si>
  <si>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</si>
  <si>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</si>
  <si>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</si>
  <si>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</si>
  <si>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</si>
  <si>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</si>
  <si>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</si>
  <si>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</si>
  <si>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</si>
  <si>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</si>
  <si>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</si>
  <si>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</si>
  <si>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</si>
  <si>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</si>
  <si>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</si>
  <si>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</si>
  <si>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</si>
  <si>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</si>
  <si>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</si>
  <si>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</si>
  <si>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</si>
  <si>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</si>
  <si>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</si>
  <si>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</si>
  <si>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</si>
  <si>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</si>
  <si>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</si>
  <si>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</si>
  <si>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</si>
  <si>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</si>
  <si>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</si>
  <si>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</si>
  <si>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JAN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</si>
  <si>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</si>
  <si>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</si>
  <si>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</si>
  <si>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</si>
  <si>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</si>
  <si>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</si>
  <si>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</si>
  <si>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</si>
  <si>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</si>
  <si>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</si>
  <si>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</si>
  <si>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</si>
  <si>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</si>
  <si>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</si>
  <si>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</si>
  <si>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JAN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</si>
  <si>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</si>
  <si>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</si>
  <si>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</si>
  <si>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</si>
  <si>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</si>
  <si>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</si>
  <si>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</si>
  <si>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</si>
  <si>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</si>
  <si>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</si>
  <si>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</si>
  <si>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</si>
  <si>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</si>
  <si>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</si>
  <si>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</si>
  <si>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</si>
  <si>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</si>
  <si>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</si>
  <si>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</si>
  <si>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</si>
  <si>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</si>
  <si>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</si>
  <si>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</si>
  <si>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</si>
  <si>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</si>
  <si>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</si>
  <si>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</si>
  <si>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</si>
  <si>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</si>
  <si>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</si>
  <si>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</si>
  <si>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</si>
  <si>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</si>
  <si>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</si>
  <si>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</si>
  <si>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</si>
  <si>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</si>
  <si>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</si>
  <si>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</si>
  <si>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</si>
  <si>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</si>
  <si>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</si>
  <si>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</si>
  <si>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</si>
  <si>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</si>
  <si>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</si>
  <si>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</si>
  <si>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</si>
  <si>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</si>
  <si>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</si>
  <si>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</si>
  <si>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</si>
  <si>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</si>
  <si>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</si>
  <si>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</si>
  <si>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</si>
  <si>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</si>
  <si>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</si>
  <si>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</si>
  <si>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</si>
  <si>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</si>
  <si>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</si>
  <si>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</si>
  <si>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</si>
  <si>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</si>
  <si>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</si>
  <si>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</si>
  <si>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</si>
  <si>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</si>
  <si>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</si>
  <si>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</si>
  <si>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</si>
  <si>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</si>
  <si>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Jan 2022</t>
  </si>
  <si>
    <t>01jours</t>
  </si>
  <si>
    <t>Estimation de la consommation d'Eau Sanitaire JAN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</si>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</sst>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8.7999999999883585</c:v>
                </c:pt>
                <c:pt idx="1">
                  <c:v>35</c:v>
                </c:pt>
                <c:pt idx="2">
                  <c:v>53</c:v>
                </c:pt>
                <c:pt idx="3">
                  <c:v>42.899999999994179</c:v>
                </c:pt>
                <c:pt idx="4">
                  <c:v>48.399999999994179</c:v>
                </c:pt>
                <c:pt idx="5">
                  <c:v>49.900000000023283</c:v>
                </c:pt>
                <c:pt idx="6">
                  <c:v>39.799999999988358</c:v>
                </c:pt>
                <c:pt idx="7">
                  <c:v>41</c:v>
                </c:pt>
                <c:pt idx="8">
                  <c:v>49</c:v>
                </c:pt>
                <c:pt idx="9">
                  <c:v>43</c:v>
                </c:pt>
                <c:pt idx="10">
                  <c:v>45.299999999988358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2484</c:v>
                </c:pt>
                <c:pt idx="1">
                  <c:v>2452</c:v>
                </c:pt>
                <c:pt idx="2">
                  <c:v>2448</c:v>
                </c:pt>
                <c:pt idx="3">
                  <c:v>2417</c:v>
                </c:pt>
                <c:pt idx="4">
                  <c:v>2492</c:v>
                </c:pt>
                <c:pt idx="5">
                  <c:v>2531</c:v>
                </c:pt>
                <c:pt idx="6">
                  <c:v>2418</c:v>
                </c:pt>
                <c:pt idx="7">
                  <c:v>2490</c:v>
                </c:pt>
                <c:pt idx="8">
                  <c:v>2321</c:v>
                </c:pt>
                <c:pt idx="9">
                  <c:v>2371</c:v>
                </c:pt>
                <c:pt idx="10">
                  <c:v>2166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3362</c:v>
                </c:pt>
                <c:pt idx="1">
                  <c:v>3357</c:v>
                </c:pt>
                <c:pt idx="2">
                  <c:v>3259</c:v>
                </c:pt>
                <c:pt idx="3">
                  <c:v>3239</c:v>
                </c:pt>
                <c:pt idx="4">
                  <c:v>3356</c:v>
                </c:pt>
                <c:pt idx="5">
                  <c:v>3310</c:v>
                </c:pt>
                <c:pt idx="6">
                  <c:v>3206</c:v>
                </c:pt>
                <c:pt idx="7">
                  <c:v>3204</c:v>
                </c:pt>
                <c:pt idx="8">
                  <c:v>3066</c:v>
                </c:pt>
                <c:pt idx="9">
                  <c:v>3040</c:v>
                </c:pt>
                <c:pt idx="10">
                  <c:v>2940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1521</c:v>
                </c:pt>
                <c:pt idx="1">
                  <c:v>1493</c:v>
                </c:pt>
                <c:pt idx="2">
                  <c:v>1482</c:v>
                </c:pt>
                <c:pt idx="3">
                  <c:v>503</c:v>
                </c:pt>
                <c:pt idx="4">
                  <c:v>2529</c:v>
                </c:pt>
                <c:pt idx="5">
                  <c:v>1454</c:v>
                </c:pt>
                <c:pt idx="6">
                  <c:v>1462</c:v>
                </c:pt>
                <c:pt idx="7">
                  <c:v>1522</c:v>
                </c:pt>
                <c:pt idx="8">
                  <c:v>1463</c:v>
                </c:pt>
                <c:pt idx="9">
                  <c:v>1420</c:v>
                </c:pt>
                <c:pt idx="10">
                  <c:v>1415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191.99526</c:v>
                </c:pt>
                <c:pt idx="1">
                  <c:v>191.99526</c:v>
                </c:pt>
                <c:pt idx="2">
                  <c:v>351.99131</c:v>
                </c:pt>
                <c:pt idx="3">
                  <c:v>384.71640000000002</c:v>
                </c:pt>
                <c:pt idx="4">
                  <c:v>287.99288999999999</c:v>
                </c:pt>
                <c:pt idx="5">
                  <c:v>127.99684000000001</c:v>
                </c:pt>
                <c:pt idx="6">
                  <c:v>191.99526</c:v>
                </c:pt>
                <c:pt idx="7">
                  <c:v>287.99288999999999</c:v>
                </c:pt>
                <c:pt idx="8">
                  <c:v>383.99052</c:v>
                </c:pt>
                <c:pt idx="9">
                  <c:v>159.99605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24" workbookViewId="0">
      <selection activeCell="D2" sqref="D2:D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</v>
      </c>
      <c r="D2" s="141">
        <v>2022</v>
      </c>
      <c r="E2" s="137">
        <f>submetering!E2+submetering!F2+submetering!G2</f>
        <v>7367</v>
      </c>
      <c r="F2" s="134">
        <v>1.05</v>
      </c>
      <c r="G2" s="134">
        <f>'Consommation mensuel énergie'!V10</f>
        <v>191.99526</v>
      </c>
      <c r="H2" s="134">
        <v>9.9649999999999999</v>
      </c>
      <c r="I2" s="134">
        <f>'Consommation mensuel énergie'!F10</f>
        <v>8.7999999999883585</v>
      </c>
      <c r="J2" s="134">
        <v>11.4</v>
      </c>
      <c r="K2" s="137">
        <f>'Consommation mensuel énergie'!D10</f>
        <v>21</v>
      </c>
      <c r="L2" s="137">
        <f>'Consommation mensuel énergie'!E10</f>
        <v>40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</v>
      </c>
      <c r="D3" s="141">
        <v>2022</v>
      </c>
      <c r="E3" s="137">
        <f>submetering!E3+submetering!F3+submetering!G3</f>
        <v>8338</v>
      </c>
      <c r="F3" s="134">
        <v>1.05</v>
      </c>
      <c r="G3" s="134">
        <f>'Consommation mensuel énergie'!V11</f>
        <v>191.99526</v>
      </c>
      <c r="H3" s="134">
        <v>9.9649999999999999</v>
      </c>
      <c r="I3" s="134">
        <f>'Consommation mensuel énergie'!F11</f>
        <v>35</v>
      </c>
      <c r="J3" s="134">
        <v>11.4</v>
      </c>
      <c r="K3" s="137">
        <f>'Consommation mensuel énergie'!D11</f>
        <v>16</v>
      </c>
      <c r="L3" s="137">
        <f>'Consommation mensuel énergie'!E11</f>
        <v>36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</v>
      </c>
      <c r="D4" s="141">
        <v>2022</v>
      </c>
      <c r="E4" s="137">
        <f>submetering!E4+submetering!F4+submetering!G4</f>
        <v>7189</v>
      </c>
      <c r="F4" s="134">
        <v>1.05</v>
      </c>
      <c r="G4" s="134">
        <f>'Consommation mensuel énergie'!V12</f>
        <v>351.99131</v>
      </c>
      <c r="H4" s="134">
        <v>9.9649999999999999</v>
      </c>
      <c r="I4" s="134">
        <f>'Consommation mensuel énergie'!F12</f>
        <v>53</v>
      </c>
      <c r="J4" s="134">
        <v>11.4</v>
      </c>
      <c r="K4" s="137">
        <f>'Consommation mensuel énergie'!D12</f>
        <v>10</v>
      </c>
      <c r="L4" s="137">
        <f>'Consommation mensuel énergie'!E12</f>
        <v>19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</v>
      </c>
      <c r="D5" s="141">
        <v>2022</v>
      </c>
      <c r="E5" s="137">
        <f>submetering!E5+submetering!F5+submetering!G5</f>
        <v>6159</v>
      </c>
      <c r="F5" s="134">
        <v>1.05</v>
      </c>
      <c r="G5" s="134">
        <f>'Consommation mensuel énergie'!V13</f>
        <v>384.71640000000002</v>
      </c>
      <c r="H5" s="134">
        <v>9.9649999999999999</v>
      </c>
      <c r="I5" s="134">
        <f>'Consommation mensuel énergie'!F13</f>
        <v>42.899999999994179</v>
      </c>
      <c r="J5" s="134">
        <v>11.4</v>
      </c>
      <c r="K5" s="137">
        <f>'Consommation mensuel énergie'!D13</f>
        <v>10</v>
      </c>
      <c r="L5" s="137">
        <f>'Consommation mensuel énergie'!E13</f>
        <v>15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</v>
      </c>
      <c r="D6" s="141">
        <v>2022</v>
      </c>
      <c r="E6" s="137">
        <f>submetering!E6+submetering!F6+submetering!G6</f>
        <v>8377</v>
      </c>
      <c r="F6" s="134">
        <v>1.05</v>
      </c>
      <c r="G6" s="134">
        <f>'Consommation mensuel énergie'!V14</f>
        <v>287.99288999999999</v>
      </c>
      <c r="H6" s="134">
        <v>9.9649999999999999</v>
      </c>
      <c r="I6" s="134">
        <f>'Consommation mensuel énergie'!F14</f>
        <v>48.399999999994179</v>
      </c>
      <c r="J6" s="134">
        <v>11.4</v>
      </c>
      <c r="K6" s="137">
        <f>'Consommation mensuel énergie'!D14</f>
        <v>10</v>
      </c>
      <c r="L6" s="137">
        <f>'Consommation mensuel énergie'!E14</f>
        <v>15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</v>
      </c>
      <c r="D7" s="141">
        <v>2022</v>
      </c>
      <c r="E7" s="137">
        <f>submetering!E7+submetering!F7+submetering!G7</f>
        <v>7295</v>
      </c>
      <c r="F7" s="134">
        <v>1.05</v>
      </c>
      <c r="G7" s="134">
        <f>'Consommation mensuel énergie'!V15</f>
        <v>127.99684000000001</v>
      </c>
      <c r="H7" s="134">
        <v>9.9649999999999999</v>
      </c>
      <c r="I7" s="134">
        <f>'Consommation mensuel énergie'!F15</f>
        <v>49.900000000023283</v>
      </c>
      <c r="J7" s="134">
        <v>11.4</v>
      </c>
      <c r="K7" s="137">
        <f>'Consommation mensuel énergie'!D15</f>
        <v>9</v>
      </c>
      <c r="L7" s="137">
        <f>'Consommation mensuel énergie'!E15</f>
        <v>15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</v>
      </c>
      <c r="D8" s="141">
        <v>2022</v>
      </c>
      <c r="E8" s="137">
        <f>submetering!E8+submetering!F8+submetering!G8</f>
        <v>7086</v>
      </c>
      <c r="F8" s="134">
        <v>1.05</v>
      </c>
      <c r="G8" s="134">
        <f>'Consommation mensuel énergie'!V16</f>
        <v>191.99526</v>
      </c>
      <c r="H8" s="134">
        <v>9.9649999999999999</v>
      </c>
      <c r="I8" s="134">
        <f>'Consommation mensuel énergie'!F16</f>
        <v>39.799999999988358</v>
      </c>
      <c r="J8" s="134">
        <v>11.4</v>
      </c>
      <c r="K8" s="137">
        <f>'Consommation mensuel énergie'!D16</f>
        <v>15</v>
      </c>
      <c r="L8" s="137">
        <f>'Consommation mensuel énergie'!E16</f>
        <v>30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</v>
      </c>
      <c r="D9" s="141">
        <v>2022</v>
      </c>
      <c r="E9" s="137">
        <f>submetering!E9+submetering!F9+submetering!G9</f>
        <v>7216</v>
      </c>
      <c r="F9" s="134">
        <v>1.05</v>
      </c>
      <c r="G9" s="134">
        <f>'Consommation mensuel énergie'!V17</f>
        <v>287.99288999999999</v>
      </c>
      <c r="H9" s="134">
        <v>9.9649999999999999</v>
      </c>
      <c r="I9" s="134">
        <f>'Consommation mensuel énergie'!F17</f>
        <v>41</v>
      </c>
      <c r="J9" s="134">
        <v>11.4</v>
      </c>
      <c r="K9" s="137">
        <f>'Consommation mensuel énergie'!D17</f>
        <v>18</v>
      </c>
      <c r="L9" s="137">
        <f>'Consommation mensuel énergie'!E17</f>
        <v>28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</v>
      </c>
      <c r="D10" s="141">
        <v>2022</v>
      </c>
      <c r="E10" s="137">
        <f>submetering!E10+submetering!F10+submetering!G10</f>
        <v>6850</v>
      </c>
      <c r="F10" s="134">
        <v>1.05</v>
      </c>
      <c r="G10" s="134">
        <f>'Consommation mensuel énergie'!V19</f>
        <v>159.99605</v>
      </c>
      <c r="H10" s="134">
        <v>9.9649999999999999</v>
      </c>
      <c r="I10" s="134">
        <f>'Consommation mensuel énergie'!F18</f>
        <v>49</v>
      </c>
      <c r="J10" s="134">
        <v>11.4</v>
      </c>
      <c r="K10" s="137">
        <f>'Consommation mensuel énergie'!D18</f>
        <v>13</v>
      </c>
      <c r="L10" s="137">
        <f>'Consommation mensuel énergie'!E18</f>
        <v>22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</v>
      </c>
      <c r="D11" s="141">
        <v>2022</v>
      </c>
      <c r="E11" s="137">
        <f>submetering!E11+submetering!F11+submetering!G11</f>
        <v>6831</v>
      </c>
      <c r="F11" s="134">
        <v>1.05</v>
      </c>
      <c r="G11" s="134">
        <f>'Consommation mensuel énergie'!V20</f>
        <v>0</v>
      </c>
      <c r="H11" s="134">
        <v>9.9649999999999999</v>
      </c>
      <c r="I11" s="134">
        <f>'Consommation mensuel énergie'!F19</f>
        <v>43</v>
      </c>
      <c r="J11" s="134">
        <v>11.4</v>
      </c>
      <c r="K11" s="137">
        <f>'Consommation mensuel énergie'!D19</f>
        <v>13</v>
      </c>
      <c r="L11" s="137">
        <f>'Consommation mensuel énergie'!E19</f>
        <v>21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</v>
      </c>
      <c r="D12" s="141">
        <v>2022</v>
      </c>
      <c r="E12" s="137">
        <f>submetering!E12+submetering!F12+submetering!G12</f>
        <v>6521</v>
      </c>
      <c r="F12" s="134">
        <v>1.05</v>
      </c>
      <c r="G12" s="134">
        <f>'Consommation mensuel énergie'!V21</f>
        <v>0</v>
      </c>
      <c r="H12" s="134">
        <v>9.9649999999999999</v>
      </c>
      <c r="I12" s="134">
        <f>'Consommation mensuel énergie'!F20</f>
        <v>45.299999999988358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</v>
      </c>
      <c r="D13" s="141">
        <v>2022</v>
      </c>
      <c r="E13" s="137">
        <f>submetering!E13+submetering!F13+submetering!G13</f>
        <v>0</v>
      </c>
      <c r="F13" s="134">
        <v>1.05</v>
      </c>
      <c r="G13" s="134">
        <f>'Consommation mensuel énergie'!V22</f>
        <v>0</v>
      </c>
      <c r="H13" s="134">
        <v>9.9649999999999999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</v>
      </c>
      <c r="D14" s="141">
        <v>2022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9.9649999999999999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</v>
      </c>
      <c r="D15" s="141">
        <v>2022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9.9649999999999999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9.9649999999999999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9.9649999999999999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1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1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1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1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énergie'!V40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1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énergie'!V41</f>
        <v>2560.6626799999999</v>
      </c>
      <c r="H31" s="134">
        <v>9.9649999999999999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1</v>
      </c>
      <c r="D32" s="141">
        <v>2022</v>
      </c>
      <c r="E32" s="137">
        <f>submetering!E32+submetering!F32+submetering!G32</f>
        <v>0</v>
      </c>
      <c r="F32" s="134">
        <v>1.05</v>
      </c>
      <c r="G32" s="134">
        <f>'Consommation mensuel énergie'!V42</f>
        <v>0</v>
      </c>
      <c r="H32" s="134">
        <v>9.9649999999999999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D2" sqref="D2:D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</v>
      </c>
      <c r="D2" s="141">
        <v>2022</v>
      </c>
      <c r="E2" s="137">
        <f>'Consommation mensuel énergie'!L10</f>
        <v>2484</v>
      </c>
      <c r="F2" s="137">
        <f>'Consommation mensuel énergie'!M10</f>
        <v>3362</v>
      </c>
      <c r="G2" s="137">
        <f>'Consommation mensuel énergie'!N10</f>
        <v>1521</v>
      </c>
      <c r="H2" s="137">
        <f>'Consommation mensuel énergie'!D10</f>
        <v>21</v>
      </c>
      <c r="I2" s="137">
        <f>'Consommation mensuel énergie'!E10</f>
        <v>40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</v>
      </c>
      <c r="D3" s="141">
        <v>2022</v>
      </c>
      <c r="E3" s="137">
        <f>'Consommation mensuel énergie'!L11</f>
        <v>2452</v>
      </c>
      <c r="F3" s="137">
        <f>'Consommation mensuel énergie'!M11</f>
        <v>3357</v>
      </c>
      <c r="G3" s="137">
        <f>'Consommation mensuel énergie'!N14</f>
        <v>2529</v>
      </c>
      <c r="H3" s="137">
        <f>'Consommation mensuel énergie'!D11</f>
        <v>16</v>
      </c>
      <c r="I3" s="137">
        <f>'Consommation mensuel énergie'!E11</f>
        <v>36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</v>
      </c>
      <c r="D4" s="141">
        <v>2022</v>
      </c>
      <c r="E4" s="137">
        <f>'Consommation mensuel énergie'!L12</f>
        <v>2448</v>
      </c>
      <c r="F4" s="137">
        <f>'Consommation mensuel énergie'!M12</f>
        <v>3259</v>
      </c>
      <c r="G4" s="137">
        <f>'Consommation mensuel énergie'!N12</f>
        <v>1482</v>
      </c>
      <c r="H4" s="137">
        <f>'Consommation mensuel énergie'!D12</f>
        <v>10</v>
      </c>
      <c r="I4" s="137">
        <f>'Consommation mensuel énergie'!E12</f>
        <v>19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</v>
      </c>
      <c r="D5" s="141">
        <v>2022</v>
      </c>
      <c r="E5" s="137">
        <f>'Consommation mensuel énergie'!L13</f>
        <v>2417</v>
      </c>
      <c r="F5" s="137">
        <f>'Consommation mensuel énergie'!M13</f>
        <v>3239</v>
      </c>
      <c r="G5" s="137">
        <f>'Consommation mensuel énergie'!N13</f>
        <v>503</v>
      </c>
      <c r="H5" s="137">
        <f>'Consommation mensuel énergie'!D13</f>
        <v>10</v>
      </c>
      <c r="I5" s="137">
        <f>'Consommation mensuel énergie'!E13</f>
        <v>15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</v>
      </c>
      <c r="D6" s="141">
        <v>2022</v>
      </c>
      <c r="E6" s="137">
        <f>'Consommation mensuel énergie'!L14</f>
        <v>2492</v>
      </c>
      <c r="F6" s="137">
        <f>'Consommation mensuel énergie'!M14</f>
        <v>3356</v>
      </c>
      <c r="G6" s="137">
        <f>'Consommation mensuel énergie'!N14</f>
        <v>2529</v>
      </c>
      <c r="H6" s="137">
        <f>'Consommation mensuel énergie'!D14</f>
        <v>10</v>
      </c>
      <c r="I6" s="137">
        <f>'Consommation mensuel énergie'!E14</f>
        <v>15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</v>
      </c>
      <c r="D7" s="141">
        <v>2022</v>
      </c>
      <c r="E7" s="137">
        <f>'Consommation mensuel énergie'!L15</f>
        <v>2531</v>
      </c>
      <c r="F7" s="137">
        <f>'Consommation mensuel énergie'!M15</f>
        <v>3310</v>
      </c>
      <c r="G7" s="137">
        <f>'Consommation mensuel énergie'!N15</f>
        <v>1454</v>
      </c>
      <c r="H7" s="137">
        <f>'Consommation mensuel énergie'!D15</f>
        <v>9</v>
      </c>
      <c r="I7" s="137">
        <f>'Consommation mensuel énergie'!E15</f>
        <v>15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</v>
      </c>
      <c r="D8" s="141">
        <v>2022</v>
      </c>
      <c r="E8" s="137">
        <f>'Consommation mensuel énergie'!L16</f>
        <v>2418</v>
      </c>
      <c r="F8" s="137">
        <f>'Consommation mensuel énergie'!M16</f>
        <v>3206</v>
      </c>
      <c r="G8" s="137">
        <f>'Consommation mensuel énergie'!N16</f>
        <v>1462</v>
      </c>
      <c r="H8" s="137">
        <f>'Consommation mensuel énergie'!D16</f>
        <v>15</v>
      </c>
      <c r="I8" s="137">
        <f>'Consommation mensuel énergie'!E16</f>
        <v>30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</v>
      </c>
      <c r="D9" s="141">
        <v>2022</v>
      </c>
      <c r="E9" s="137">
        <f>'Consommation mensuel énergie'!L17</f>
        <v>2490</v>
      </c>
      <c r="F9" s="137">
        <f>'Consommation mensuel énergie'!M17</f>
        <v>3204</v>
      </c>
      <c r="G9" s="137">
        <f>'Consommation mensuel énergie'!N17</f>
        <v>1522</v>
      </c>
      <c r="H9" s="137">
        <f>'Consommation mensuel énergie'!D17</f>
        <v>18</v>
      </c>
      <c r="I9" s="137">
        <f>'Consommation mensuel énergie'!E17</f>
        <v>28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</v>
      </c>
      <c r="D10" s="141">
        <v>2022</v>
      </c>
      <c r="E10" s="137">
        <f>'Consommation mensuel énergie'!L18</f>
        <v>2321</v>
      </c>
      <c r="F10" s="137">
        <f>'Consommation mensuel énergie'!M18</f>
        <v>3066</v>
      </c>
      <c r="G10" s="137">
        <f>'Consommation mensuel énergie'!N18</f>
        <v>1463</v>
      </c>
      <c r="H10" s="137">
        <f>'Consommation mensuel énergie'!D18</f>
        <v>13</v>
      </c>
      <c r="I10" s="137">
        <f>'Consommation mensuel énergie'!E18</f>
        <v>22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</v>
      </c>
      <c r="D11" s="141">
        <v>2022</v>
      </c>
      <c r="E11" s="137">
        <f>'Consommation mensuel énergie'!L19</f>
        <v>2371</v>
      </c>
      <c r="F11" s="137">
        <f>'Consommation mensuel énergie'!M19</f>
        <v>3040</v>
      </c>
      <c r="G11" s="137">
        <f>'Consommation mensuel énergie'!N19</f>
        <v>1420</v>
      </c>
      <c r="H11" s="137">
        <f>'Consommation mensuel énergie'!D19</f>
        <v>13</v>
      </c>
      <c r="I11" s="137">
        <f>'Consommation mensuel énergie'!E19</f>
        <v>21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</v>
      </c>
      <c r="D12" s="141">
        <v>2022</v>
      </c>
      <c r="E12" s="137">
        <f>'Consommation mensuel énergie'!L20</f>
        <v>2166</v>
      </c>
      <c r="F12" s="137">
        <f>'Consommation mensuel énergie'!M20</f>
        <v>2940</v>
      </c>
      <c r="G12" s="137">
        <f>'Consommation mensuel énergie'!N20</f>
        <v>1415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</v>
      </c>
      <c r="D13" s="141">
        <v>2022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</v>
      </c>
      <c r="D14" s="141">
        <v>2022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</v>
      </c>
      <c r="D15" s="141">
        <v>2022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1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1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1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1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1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1</v>
      </c>
      <c r="D32" s="141">
        <v>2022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13" activePane="bottomRight" state="frozen"/>
      <selection pane="bottomRight" activeCell="E20" sqref="E20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3"/>
      <c r="B2" s="234"/>
      <c r="C2" s="234"/>
      <c r="D2" s="234"/>
      <c r="E2" s="234"/>
      <c r="F2" s="234"/>
      <c r="G2" s="234"/>
      <c r="H2" s="235"/>
      <c r="I2" s="244" t="s">
        <v>17</v>
      </c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</row>
    <row r="3" spans="1:24" ht="15" hidden="1" customHeight="1" thickBot="1"/>
    <row r="4" spans="1:24" ht="39" hidden="1" customHeight="1" thickBot="1">
      <c r="A4" s="236"/>
      <c r="B4" s="236"/>
      <c r="C4" s="236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6"/>
      <c r="B5" s="236"/>
      <c r="C5" s="236"/>
      <c r="D5" s="5"/>
      <c r="E5" s="5"/>
      <c r="F5" s="5"/>
      <c r="G5" s="5"/>
      <c r="H5" s="5"/>
      <c r="I5" s="5"/>
      <c r="J5" s="5"/>
      <c r="K5" s="5"/>
      <c r="L5" s="5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</row>
    <row r="6" spans="1:24" s="5" customFormat="1" ht="44.25" hidden="1" customHeight="1" thickBot="1">
      <c r="A6" s="3"/>
      <c r="B6" s="3"/>
      <c r="C6" s="3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</row>
    <row r="7" spans="1:24" s="5" customFormat="1" ht="18.75" hidden="1" customHeight="1" thickBot="1">
      <c r="F7" s="237"/>
      <c r="G7" s="237"/>
      <c r="H7" s="237"/>
      <c r="I7" s="237"/>
      <c r="J7" s="237"/>
      <c r="K7" s="237"/>
      <c r="L7" s="237"/>
      <c r="M7" s="237"/>
      <c r="N7" s="246"/>
      <c r="O7" s="246"/>
      <c r="P7" s="237"/>
      <c r="Q7" s="237"/>
      <c r="R7" s="237"/>
      <c r="S7" s="237"/>
      <c r="T7" s="237"/>
      <c r="U7" s="237"/>
      <c r="V7" s="237"/>
      <c r="W7" s="237"/>
      <c r="X7" s="237"/>
    </row>
    <row r="8" spans="1:24" ht="18.75" customHeight="1" thickBot="1">
      <c r="A8" s="237"/>
      <c r="B8" s="248" t="s">
        <v>19</v>
      </c>
      <c r="C8" s="4"/>
      <c r="D8" s="208" t="s">
        <v>20</v>
      </c>
      <c r="E8" s="208" t="s">
        <v>21</v>
      </c>
      <c r="F8" s="231" t="s">
        <v>22</v>
      </c>
      <c r="G8" s="2"/>
      <c r="H8" s="238" t="s">
        <v>23</v>
      </c>
      <c r="I8" s="239"/>
      <c r="J8" s="240"/>
      <c r="K8" s="249" t="s">
        <v>24</v>
      </c>
      <c r="L8" s="230" t="s">
        <v>25</v>
      </c>
      <c r="M8" s="230"/>
      <c r="N8" s="230"/>
      <c r="O8" s="230" t="s">
        <v>26</v>
      </c>
      <c r="P8" s="2"/>
      <c r="Q8" s="210" t="s">
        <v>23</v>
      </c>
      <c r="R8" s="2"/>
      <c r="S8" s="210" t="s">
        <v>27</v>
      </c>
      <c r="T8" s="2"/>
      <c r="U8" s="210" t="s">
        <v>28</v>
      </c>
      <c r="V8" s="212" t="s">
        <v>29</v>
      </c>
      <c r="W8" s="2"/>
      <c r="X8" s="210" t="s">
        <v>23</v>
      </c>
    </row>
    <row r="9" spans="1:24" ht="59.25" customHeight="1" thickBot="1">
      <c r="A9" s="237"/>
      <c r="B9" s="248"/>
      <c r="C9" s="4"/>
      <c r="D9" s="209"/>
      <c r="E9" s="209"/>
      <c r="F9" s="232"/>
      <c r="G9" s="2"/>
      <c r="H9" s="241"/>
      <c r="I9" s="242"/>
      <c r="J9" s="243"/>
      <c r="K9" s="250"/>
      <c r="L9" s="155" t="s">
        <v>30</v>
      </c>
      <c r="M9" s="155" t="s">
        <v>31</v>
      </c>
      <c r="N9" s="155" t="s">
        <v>32</v>
      </c>
      <c r="O9" s="247"/>
      <c r="P9" s="2"/>
      <c r="Q9" s="211"/>
      <c r="R9" s="2"/>
      <c r="S9" s="211"/>
      <c r="T9" s="2"/>
      <c r="U9" s="211"/>
      <c r="V9" s="213"/>
      <c r="W9" s="2"/>
      <c r="X9" s="211"/>
    </row>
    <row r="10" spans="1:24" ht="32.25" customHeight="1">
      <c r="A10" s="2"/>
      <c r="B10" s="6">
        <v>44562</v>
      </c>
      <c r="C10" s="7"/>
      <c r="D10" s="143">
        <v>21</v>
      </c>
      <c r="E10" s="143">
        <v>40</v>
      </c>
      <c r="F10" s="13">
        <f>'Suivi EAU-ELEC'!E9</f>
        <v>8.7999999999883585</v>
      </c>
      <c r="G10" s="11"/>
      <c r="H10" s="167">
        <f>F10*8.79</f>
        <v>77.351999999897657</v>
      </c>
      <c r="I10" s="168"/>
      <c r="J10" s="168"/>
      <c r="K10" s="60">
        <v>42278</v>
      </c>
      <c r="L10" s="90">
        <f>'Suivi EAU-ELEC'!G9</f>
        <v>2484</v>
      </c>
      <c r="M10" s="91">
        <f>'Suivi EAU-ELEC'!I9</f>
        <v>3362</v>
      </c>
      <c r="N10" s="91">
        <f>'Suivi EAU-ELEC'!K9</f>
        <v>1521</v>
      </c>
      <c r="O10" s="91">
        <f>L10+M10+N10</f>
        <v>7367</v>
      </c>
      <c r="P10" s="11"/>
      <c r="Q10" s="34">
        <f>L10*0.6985+M10*0.9514+N10*1.3304</f>
        <v>6957.2192000000005</v>
      </c>
      <c r="R10" s="11"/>
      <c r="S10" s="28"/>
      <c r="T10" s="11"/>
      <c r="U10" s="28"/>
      <c r="V10" s="146">
        <f>'Suvi Gaz'!O4</f>
        <v>191.99526</v>
      </c>
      <c r="W10" s="11"/>
      <c r="X10" s="34">
        <f>V10*11.565</f>
        <v>2220.4251819000001</v>
      </c>
    </row>
    <row r="11" spans="1:24" ht="32.25" customHeight="1">
      <c r="A11" s="2"/>
      <c r="B11" s="6">
        <v>44563</v>
      </c>
      <c r="C11" s="7"/>
      <c r="D11" s="143">
        <v>16</v>
      </c>
      <c r="E11" s="143">
        <v>36</v>
      </c>
      <c r="F11" s="13">
        <f>'Suivi EAU-ELEC'!E10</f>
        <v>35</v>
      </c>
      <c r="G11" s="11"/>
      <c r="H11" s="167">
        <f t="shared" ref="H11:H21" si="0">F11*8.79</f>
        <v>307.64999999999998</v>
      </c>
      <c r="I11" s="168"/>
      <c r="J11" s="168"/>
      <c r="K11" s="60">
        <v>42279</v>
      </c>
      <c r="L11" s="90">
        <f>'Suivi EAU-ELEC'!G10</f>
        <v>2452</v>
      </c>
      <c r="M11" s="91">
        <f>'Suivi EAU-ELEC'!I10</f>
        <v>3357</v>
      </c>
      <c r="N11" s="91">
        <f>'Suivi EAU-ELEC'!K10</f>
        <v>1493</v>
      </c>
      <c r="O11" s="91">
        <f>L11+M11+N11</f>
        <v>7302</v>
      </c>
      <c r="P11" s="11"/>
      <c r="Q11" s="34">
        <f>L11*0.6985+M11*0.9514+N14*1.3304</f>
        <v>8271.1533999999992</v>
      </c>
      <c r="R11" s="11"/>
      <c r="S11" s="28"/>
      <c r="T11" s="11"/>
      <c r="U11" s="28"/>
      <c r="V11" s="146">
        <f>'Suvi Gaz'!O5</f>
        <v>191.99526</v>
      </c>
      <c r="W11" s="11"/>
      <c r="X11" s="34">
        <f t="shared" ref="X11:X40" si="1">V11*11.565</f>
        <v>2220.4251819000001</v>
      </c>
    </row>
    <row r="12" spans="1:24" ht="32.25" customHeight="1">
      <c r="A12" s="2"/>
      <c r="B12" s="6">
        <v>44564</v>
      </c>
      <c r="C12" s="7"/>
      <c r="D12" s="143">
        <v>10</v>
      </c>
      <c r="E12" s="143">
        <v>19</v>
      </c>
      <c r="F12" s="13">
        <f>'Suivi EAU-ELEC'!E11</f>
        <v>53</v>
      </c>
      <c r="G12" s="11"/>
      <c r="H12" s="167">
        <f t="shared" si="0"/>
        <v>465.86999999999995</v>
      </c>
      <c r="I12" s="168"/>
      <c r="J12" s="168"/>
      <c r="K12" s="60">
        <v>42280</v>
      </c>
      <c r="L12" s="90">
        <f>'Suivi EAU-ELEC'!G11</f>
        <v>2448</v>
      </c>
      <c r="M12" s="91">
        <f>'Suivi EAU-ELEC'!I11</f>
        <v>3259</v>
      </c>
      <c r="N12" s="91">
        <f>'Suivi EAU-ELEC'!K11</f>
        <v>1482</v>
      </c>
      <c r="O12" s="91">
        <f>L12+M12+N12</f>
        <v>7189</v>
      </c>
      <c r="P12" s="11"/>
      <c r="Q12" s="34">
        <f>L12*0.6985+M12*0.9514+N12*1.3304</f>
        <v>6782.1934000000001</v>
      </c>
      <c r="R12" s="11"/>
      <c r="S12" s="28"/>
      <c r="T12" s="11"/>
      <c r="U12" s="28"/>
      <c r="V12" s="146">
        <f>'Suvi Gaz'!O6</f>
        <v>351.99131</v>
      </c>
      <c r="W12" s="11"/>
      <c r="X12" s="34">
        <f t="shared" si="1"/>
        <v>4070.7795001499999</v>
      </c>
    </row>
    <row r="13" spans="1:24" ht="32.25" customHeight="1">
      <c r="A13" s="2"/>
      <c r="B13" s="6">
        <v>44565</v>
      </c>
      <c r="C13" s="7"/>
      <c r="D13" s="143">
        <v>10</v>
      </c>
      <c r="E13" s="143">
        <v>15</v>
      </c>
      <c r="F13" s="13">
        <f>'Suivi EAU-ELEC'!E12</f>
        <v>42.899999999994179</v>
      </c>
      <c r="G13" s="11"/>
      <c r="H13" s="167">
        <f t="shared" si="0"/>
        <v>377.09099999994879</v>
      </c>
      <c r="I13" s="168"/>
      <c r="J13" s="168"/>
      <c r="K13" s="60">
        <v>42281</v>
      </c>
      <c r="L13" s="90">
        <f>'Suivi EAU-ELEC'!G12</f>
        <v>2417</v>
      </c>
      <c r="M13" s="91">
        <f>'Suivi EAU-ELEC'!I12</f>
        <v>3239</v>
      </c>
      <c r="N13" s="91">
        <f>'Suivi EAU-ELEC'!K12</f>
        <v>503</v>
      </c>
      <c r="O13" s="91">
        <f t="shared" ref="O13:O40" si="2">L13+M13+N13</f>
        <v>6159</v>
      </c>
      <c r="P13" s="11"/>
      <c r="Q13" s="34">
        <f t="shared" ref="Q13:Q40" si="3">L13*0.6985+M13*0.9514+N13*1.3304</f>
        <v>5439.0502999999999</v>
      </c>
      <c r="R13" s="11"/>
      <c r="S13" s="28"/>
      <c r="T13" s="11"/>
      <c r="U13" s="28"/>
      <c r="V13" s="146">
        <f>'Suvi Gaz'!O7</f>
        <v>384.71640000000002</v>
      </c>
      <c r="W13" s="11"/>
      <c r="X13" s="34">
        <f t="shared" si="1"/>
        <v>4449.2451659999997</v>
      </c>
    </row>
    <row r="14" spans="1:24" ht="32.25" customHeight="1">
      <c r="A14" s="2"/>
      <c r="B14" s="6">
        <v>44566</v>
      </c>
      <c r="C14" s="7"/>
      <c r="D14" s="143">
        <v>10</v>
      </c>
      <c r="E14" s="143">
        <v>15</v>
      </c>
      <c r="F14" s="13">
        <f>'Suivi EAU-ELEC'!E13</f>
        <v>48.399999999994179</v>
      </c>
      <c r="G14" s="12"/>
      <c r="H14" s="167">
        <f t="shared" si="0"/>
        <v>425.43599999994882</v>
      </c>
      <c r="I14" s="168"/>
      <c r="J14" s="168"/>
      <c r="K14" s="60">
        <v>42282</v>
      </c>
      <c r="L14" s="90">
        <f>'Suivi EAU-ELEC'!G13</f>
        <v>2492</v>
      </c>
      <c r="M14" s="91">
        <f>'Suivi EAU-ELEC'!I13</f>
        <v>3356</v>
      </c>
      <c r="N14" s="91">
        <f>'Suivi EAU-ELEC'!K13</f>
        <v>2529</v>
      </c>
      <c r="O14" s="91">
        <f t="shared" si="2"/>
        <v>8377</v>
      </c>
      <c r="P14" s="12"/>
      <c r="Q14" s="34">
        <f t="shared" si="3"/>
        <v>8298.1419999999998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 t="shared" si="1"/>
        <v>3330.6377728499997</v>
      </c>
    </row>
    <row r="15" spans="1:24" ht="32.25" customHeight="1">
      <c r="A15" s="5"/>
      <c r="B15" s="6">
        <v>44567</v>
      </c>
      <c r="C15" s="7"/>
      <c r="D15" s="143">
        <v>9</v>
      </c>
      <c r="E15" s="143">
        <v>15</v>
      </c>
      <c r="F15" s="13">
        <f>'Suivi EAU-ELEC'!E14</f>
        <v>49.900000000023283</v>
      </c>
      <c r="G15" s="11"/>
      <c r="H15" s="167">
        <f t="shared" si="0"/>
        <v>438.62100000020462</v>
      </c>
      <c r="I15" s="168"/>
      <c r="J15" s="168"/>
      <c r="K15" s="60">
        <v>42283</v>
      </c>
      <c r="L15" s="90">
        <f>'Suivi EAU-ELEC'!G14</f>
        <v>2531</v>
      </c>
      <c r="M15" s="91">
        <f>'Suivi EAU-ELEC'!I14</f>
        <v>3310</v>
      </c>
      <c r="N15" s="91">
        <f>'Suivi EAU-ELEC'!K14</f>
        <v>1454</v>
      </c>
      <c r="O15" s="91">
        <f t="shared" si="2"/>
        <v>7295</v>
      </c>
      <c r="P15" s="12"/>
      <c r="Q15" s="34">
        <f>L15*0.6985+M15*0.9514+N15*1.3304</f>
        <v>6851.4391000000005</v>
      </c>
      <c r="R15" s="12"/>
      <c r="S15" s="28"/>
      <c r="T15" s="12"/>
      <c r="U15" s="28"/>
      <c r="V15" s="146">
        <f>'Suvi Gaz'!O9</f>
        <v>127.99684000000001</v>
      </c>
      <c r="W15" s="11"/>
      <c r="X15" s="34">
        <f t="shared" si="1"/>
        <v>1480.2834545999999</v>
      </c>
    </row>
    <row r="16" spans="1:24" ht="32.25" customHeight="1">
      <c r="A16" s="5"/>
      <c r="B16" s="6">
        <v>44568</v>
      </c>
      <c r="C16" s="7"/>
      <c r="D16" s="143">
        <v>15</v>
      </c>
      <c r="E16" s="143">
        <v>30</v>
      </c>
      <c r="F16" s="13">
        <f>'Suivi EAU-ELEC'!E15</f>
        <v>39.799999999988358</v>
      </c>
      <c r="G16" s="11"/>
      <c r="H16" s="167">
        <f t="shared" si="0"/>
        <v>349.84199999989761</v>
      </c>
      <c r="I16" s="168"/>
      <c r="J16" s="168"/>
      <c r="K16" s="60">
        <v>42284</v>
      </c>
      <c r="L16" s="90">
        <f>'Suivi EAU-ELEC'!G15</f>
        <v>2418</v>
      </c>
      <c r="M16" s="91">
        <f>'Suivi EAU-ELEC'!I15</f>
        <v>3206</v>
      </c>
      <c r="N16" s="91">
        <f>'Suivi EAU-ELEC'!K15</f>
        <v>1462</v>
      </c>
      <c r="O16" s="91">
        <f t="shared" si="2"/>
        <v>7086</v>
      </c>
      <c r="P16" s="11"/>
      <c r="Q16" s="34">
        <f t="shared" si="3"/>
        <v>6684.2062000000005</v>
      </c>
      <c r="R16" s="11"/>
      <c r="S16" s="28"/>
      <c r="T16" s="11"/>
      <c r="U16" s="28"/>
      <c r="V16" s="146">
        <f>'Suvi Gaz'!O10</f>
        <v>191.99526</v>
      </c>
      <c r="W16" s="11"/>
      <c r="X16" s="34">
        <f t="shared" si="1"/>
        <v>2220.4251819000001</v>
      </c>
    </row>
    <row r="17" spans="1:24" s="5" customFormat="1" ht="32.25" customHeight="1">
      <c r="A17" s="2"/>
      <c r="B17" s="6">
        <v>44569</v>
      </c>
      <c r="C17" s="7"/>
      <c r="D17" s="143">
        <v>18</v>
      </c>
      <c r="E17" s="143">
        <v>28</v>
      </c>
      <c r="F17" s="13">
        <f>'Suivi EAU-ELEC'!E16</f>
        <v>41</v>
      </c>
      <c r="G17" s="11"/>
      <c r="H17" s="167">
        <f t="shared" si="0"/>
        <v>360.39</v>
      </c>
      <c r="I17" s="168"/>
      <c r="J17" s="168"/>
      <c r="K17" s="60">
        <v>42285</v>
      </c>
      <c r="L17" s="90">
        <f>'Suivi EAU-ELEC'!G16</f>
        <v>2490</v>
      </c>
      <c r="M17" s="91">
        <f>'Suivi EAU-ELEC'!I16</f>
        <v>3204</v>
      </c>
      <c r="N17" s="91">
        <f>'Suivi EAU-ELEC'!K16</f>
        <v>1522</v>
      </c>
      <c r="O17" s="91">
        <f t="shared" si="2"/>
        <v>7216</v>
      </c>
      <c r="P17" s="12"/>
      <c r="Q17" s="34">
        <f t="shared" si="3"/>
        <v>6812.4194000000007</v>
      </c>
      <c r="R17" s="12"/>
      <c r="S17" s="28"/>
      <c r="T17" s="12"/>
      <c r="U17" s="28"/>
      <c r="V17" s="146">
        <f>'Suvi Gaz'!O11</f>
        <v>287.99288999999999</v>
      </c>
      <c r="W17" s="11"/>
      <c r="X17" s="34">
        <f t="shared" si="1"/>
        <v>3330.6377728499997</v>
      </c>
    </row>
    <row r="18" spans="1:24" ht="32.25" customHeight="1">
      <c r="A18" s="2"/>
      <c r="B18" s="6">
        <v>44570</v>
      </c>
      <c r="C18" s="7"/>
      <c r="D18" s="143">
        <v>13</v>
      </c>
      <c r="E18" s="143">
        <v>22</v>
      </c>
      <c r="F18" s="13">
        <f>'Suivi EAU-ELEC'!E17</f>
        <v>49</v>
      </c>
      <c r="G18" s="11"/>
      <c r="H18" s="167">
        <f t="shared" si="0"/>
        <v>430.71</v>
      </c>
      <c r="I18" s="168"/>
      <c r="J18" s="168"/>
      <c r="K18" s="60">
        <v>42286</v>
      </c>
      <c r="L18" s="90">
        <f>'Suivi EAU-ELEC'!G17</f>
        <v>2321</v>
      </c>
      <c r="M18" s="91">
        <f>'Suivi EAU-ELEC'!I17</f>
        <v>3066</v>
      </c>
      <c r="N18" s="91">
        <f>'Suivi EAU-ELEC'!K17</f>
        <v>1463</v>
      </c>
      <c r="O18" s="91">
        <f t="shared" si="2"/>
        <v>6850</v>
      </c>
      <c r="P18" s="12"/>
      <c r="Q18" s="34">
        <f t="shared" si="3"/>
        <v>6484.5861000000004</v>
      </c>
      <c r="R18" s="12"/>
      <c r="S18" s="28"/>
      <c r="T18" s="12"/>
      <c r="U18" s="28"/>
      <c r="V18" s="146">
        <f>'Suvi Gaz'!O12</f>
        <v>383.99052</v>
      </c>
      <c r="W18" s="11"/>
      <c r="X18" s="34">
        <f t="shared" si="1"/>
        <v>4440.8503638000002</v>
      </c>
    </row>
    <row r="19" spans="1:24" ht="32.25" customHeight="1">
      <c r="A19" s="2"/>
      <c r="B19" s="6">
        <v>44571</v>
      </c>
      <c r="C19" s="7"/>
      <c r="D19" s="143">
        <v>13</v>
      </c>
      <c r="E19" s="143">
        <v>21</v>
      </c>
      <c r="F19" s="13">
        <f>'Suivi EAU-ELEC'!E18</f>
        <v>43</v>
      </c>
      <c r="G19" s="12"/>
      <c r="H19" s="167">
        <f t="shared" si="0"/>
        <v>377.96999999999997</v>
      </c>
      <c r="I19" s="168"/>
      <c r="J19" s="168"/>
      <c r="K19" s="60">
        <v>42287</v>
      </c>
      <c r="L19" s="90">
        <f>'Suivi EAU-ELEC'!G18</f>
        <v>2371</v>
      </c>
      <c r="M19" s="91">
        <f>'Suivi EAU-ELEC'!I18</f>
        <v>3040</v>
      </c>
      <c r="N19" s="91">
        <f>'Suivi EAU-ELEC'!K18</f>
        <v>1420</v>
      </c>
      <c r="O19" s="91">
        <f t="shared" si="2"/>
        <v>6831</v>
      </c>
      <c r="P19" s="12"/>
      <c r="Q19" s="34">
        <f t="shared" si="3"/>
        <v>6437.5674999999992</v>
      </c>
      <c r="R19" s="12"/>
      <c r="S19" s="28"/>
      <c r="T19" s="12"/>
      <c r="U19" s="28"/>
      <c r="V19" s="146">
        <f>'Suvi Gaz'!O13</f>
        <v>159.99605</v>
      </c>
      <c r="W19" s="11"/>
      <c r="X19" s="34">
        <f t="shared" si="1"/>
        <v>1850.3543182499998</v>
      </c>
    </row>
    <row r="20" spans="1:24" ht="32.25" customHeight="1">
      <c r="A20" s="2"/>
      <c r="B20" s="6">
        <v>44572</v>
      </c>
      <c r="C20" s="7"/>
      <c r="D20" s="143"/>
      <c r="E20" s="143"/>
      <c r="F20" s="13">
        <f>'Suivi EAU-ELEC'!E19</f>
        <v>45.299999999988358</v>
      </c>
      <c r="G20" s="12"/>
      <c r="H20" s="167">
        <f t="shared" si="0"/>
        <v>398.18699999989764</v>
      </c>
      <c r="I20" s="168"/>
      <c r="J20" s="168"/>
      <c r="K20" s="60">
        <v>42288</v>
      </c>
      <c r="L20" s="90">
        <f>'Suivi EAU-ELEC'!G19</f>
        <v>2166</v>
      </c>
      <c r="M20" s="91">
        <f>'Suivi EAU-ELEC'!I19</f>
        <v>2940</v>
      </c>
      <c r="N20" s="91">
        <f>'Suivi EAU-ELEC'!K19</f>
        <v>1415</v>
      </c>
      <c r="O20" s="91">
        <f t="shared" si="2"/>
        <v>6521</v>
      </c>
      <c r="P20" s="12"/>
      <c r="Q20" s="34">
        <f t="shared" si="3"/>
        <v>6192.5830000000005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44573</v>
      </c>
      <c r="C21" s="7"/>
      <c r="D21" s="143"/>
      <c r="E21" s="143"/>
      <c r="F21" s="13"/>
      <c r="G21" s="12"/>
      <c r="H21" s="167">
        <f t="shared" si="0"/>
        <v>0</v>
      </c>
      <c r="I21" s="168"/>
      <c r="J21" s="168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44574</v>
      </c>
      <c r="C22" s="7"/>
      <c r="D22" s="143"/>
      <c r="E22" s="143"/>
      <c r="F22" s="13"/>
      <c r="G22" s="12"/>
      <c r="H22" s="167">
        <f t="shared" ref="H22:H35" si="4">F22*8.79</f>
        <v>0</v>
      </c>
      <c r="I22" s="168"/>
      <c r="J22" s="168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44575</v>
      </c>
      <c r="C23" s="7"/>
      <c r="D23" s="143"/>
      <c r="E23" s="143"/>
      <c r="F23" s="13"/>
      <c r="G23" s="14"/>
      <c r="H23" s="167">
        <f t="shared" si="4"/>
        <v>0</v>
      </c>
      <c r="I23" s="168"/>
      <c r="J23" s="168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44576</v>
      </c>
      <c r="C24" s="7"/>
      <c r="D24" s="143"/>
      <c r="E24" s="143"/>
      <c r="F24" s="13"/>
      <c r="G24" s="14"/>
      <c r="H24" s="167">
        <f t="shared" si="4"/>
        <v>0</v>
      </c>
      <c r="I24" s="168"/>
      <c r="J24" s="168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44577</v>
      </c>
      <c r="C25" s="7"/>
      <c r="D25" s="143"/>
      <c r="E25" s="143"/>
      <c r="F25" s="13"/>
      <c r="G25" s="14"/>
      <c r="H25" s="167">
        <f t="shared" si="4"/>
        <v>0</v>
      </c>
      <c r="I25" s="168"/>
      <c r="J25" s="168"/>
      <c r="K25" s="60">
        <v>42293</v>
      </c>
      <c r="L25" s="90"/>
      <c r="M25" s="91"/>
      <c r="N25" s="91"/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44578</v>
      </c>
      <c r="C26" s="7"/>
      <c r="D26" s="143"/>
      <c r="E26" s="143"/>
      <c r="F26" s="13"/>
      <c r="G26" s="14"/>
      <c r="H26" s="167">
        <f t="shared" si="4"/>
        <v>0</v>
      </c>
      <c r="I26" s="168"/>
      <c r="J26" s="168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44579</v>
      </c>
      <c r="C27" s="7"/>
      <c r="D27" s="143"/>
      <c r="E27" s="143"/>
      <c r="F27" s="13"/>
      <c r="G27" s="14"/>
      <c r="H27" s="167">
        <f t="shared" si="4"/>
        <v>0</v>
      </c>
      <c r="I27" s="168"/>
      <c r="J27" s="168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44580</v>
      </c>
      <c r="C28" s="7"/>
      <c r="D28" s="143"/>
      <c r="E28" s="143"/>
      <c r="F28" s="13"/>
      <c r="G28" s="11"/>
      <c r="H28" s="167">
        <f t="shared" si="4"/>
        <v>0</v>
      </c>
      <c r="I28" s="168"/>
      <c r="J28" s="168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44581</v>
      </c>
      <c r="C29" s="7"/>
      <c r="D29" s="143"/>
      <c r="E29" s="143"/>
      <c r="F29" s="13"/>
      <c r="G29" s="11"/>
      <c r="H29" s="167">
        <f t="shared" si="4"/>
        <v>0</v>
      </c>
      <c r="I29" s="168"/>
      <c r="J29" s="168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44582</v>
      </c>
      <c r="C30" s="7"/>
      <c r="D30" s="143"/>
      <c r="E30" s="143"/>
      <c r="F30" s="13"/>
      <c r="G30" s="11"/>
      <c r="H30" s="167">
        <f t="shared" si="4"/>
        <v>0</v>
      </c>
      <c r="I30" s="168"/>
      <c r="J30" s="168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44583</v>
      </c>
      <c r="C31" s="7"/>
      <c r="D31" s="143"/>
      <c r="E31" s="143"/>
      <c r="F31" s="13"/>
      <c r="G31" s="11"/>
      <c r="H31" s="167">
        <f t="shared" si="4"/>
        <v>0</v>
      </c>
      <c r="I31" s="168"/>
      <c r="J31" s="168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44584</v>
      </c>
      <c r="C32" s="7"/>
      <c r="D32" s="143"/>
      <c r="E32" s="143"/>
      <c r="F32" s="13"/>
      <c r="G32" s="11"/>
      <c r="H32" s="167">
        <f t="shared" si="4"/>
        <v>0</v>
      </c>
      <c r="I32" s="168"/>
      <c r="J32" s="168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44585</v>
      </c>
      <c r="C33" s="7"/>
      <c r="D33" s="143"/>
      <c r="E33" s="143"/>
      <c r="F33" s="13"/>
      <c r="G33" s="11"/>
      <c r="H33" s="167">
        <f t="shared" si="4"/>
        <v>0</v>
      </c>
      <c r="I33" s="168"/>
      <c r="J33" s="168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44586</v>
      </c>
      <c r="C34" s="7"/>
      <c r="D34" s="143"/>
      <c r="E34" s="143"/>
      <c r="F34" s="13"/>
      <c r="G34" s="11"/>
      <c r="H34" s="167">
        <f t="shared" si="4"/>
        <v>0</v>
      </c>
      <c r="I34" s="168"/>
      <c r="J34" s="168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44587</v>
      </c>
      <c r="C35" s="7"/>
      <c r="D35" s="143"/>
      <c r="E35" s="143"/>
      <c r="F35" s="13"/>
      <c r="G35" s="11"/>
      <c r="H35" s="167">
        <f t="shared" si="4"/>
        <v>0</v>
      </c>
      <c r="I35" s="168"/>
      <c r="J35" s="168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44588</v>
      </c>
      <c r="C36" s="7"/>
      <c r="D36" s="143"/>
      <c r="E36" s="143"/>
      <c r="F36" s="13"/>
      <c r="G36" s="11"/>
      <c r="H36" s="167">
        <f>F36*8.79</f>
        <v>0</v>
      </c>
      <c r="I36" s="168"/>
      <c r="J36" s="168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44589</v>
      </c>
      <c r="C37" s="7"/>
      <c r="D37" s="143"/>
      <c r="E37" s="143"/>
      <c r="F37" s="13"/>
      <c r="G37" s="11"/>
      <c r="H37" s="167">
        <f t="shared" ref="H37:H38" si="5">F37*8.79</f>
        <v>0</v>
      </c>
      <c r="I37" s="168"/>
      <c r="J37" s="168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44590</v>
      </c>
      <c r="C38" s="7"/>
      <c r="D38" s="143"/>
      <c r="E38" s="143"/>
      <c r="F38" s="13"/>
      <c r="G38" s="11"/>
      <c r="H38" s="167">
        <f t="shared" si="5"/>
        <v>0</v>
      </c>
      <c r="I38" s="168"/>
      <c r="J38" s="168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44591</v>
      </c>
      <c r="C39" s="7"/>
      <c r="D39" s="143"/>
      <c r="E39" s="143"/>
      <c r="F39" s="13"/>
      <c r="G39" s="11"/>
      <c r="H39" s="167">
        <f t="shared" ref="H39" si="6">F39*8.79</f>
        <v>0</v>
      </c>
      <c r="I39" s="168"/>
      <c r="J39" s="168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44592</v>
      </c>
      <c r="C40" s="7"/>
      <c r="D40" s="143"/>
      <c r="E40" s="143"/>
      <c r="F40" s="13"/>
      <c r="G40" s="11"/>
      <c r="H40" s="167">
        <f t="shared" ref="H40" si="7">F40*8.79</f>
        <v>0</v>
      </c>
      <c r="I40" s="168"/>
      <c r="J40" s="168"/>
      <c r="K40" s="60"/>
      <c r="L40" s="90"/>
      <c r="M40" s="91"/>
      <c r="N40" s="91"/>
      <c r="O40" s="91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135</v>
      </c>
      <c r="E41" s="8">
        <f>SUM(E10:E40)</f>
        <v>241</v>
      </c>
      <c r="F41" s="152">
        <f>SUM(F10:F40)</f>
        <v>456.09999999997672</v>
      </c>
      <c r="G41" s="1"/>
      <c r="H41" s="205">
        <f>SUM(H10:H40)</f>
        <v>4009.1189999997946</v>
      </c>
      <c r="I41" s="206"/>
      <c r="J41" s="207"/>
      <c r="K41" s="1"/>
      <c r="L41" s="53">
        <f>SUM(L10:L40)</f>
        <v>26590</v>
      </c>
      <c r="M41" s="53">
        <f>SUM(M10:M40)</f>
        <v>35339</v>
      </c>
      <c r="N41" s="54">
        <f>SUM(N10:N40)</f>
        <v>16264</v>
      </c>
      <c r="O41" s="55">
        <f>SUM(O10:O40)</f>
        <v>78193</v>
      </c>
      <c r="P41" s="31"/>
      <c r="Q41" s="32">
        <f>SUM(Q10:Q40)</f>
        <v>75210.559600000008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2560.6626799999999</v>
      </c>
      <c r="W41" s="31"/>
      <c r="X41" s="32">
        <f>SUM(X10:X40)</f>
        <v>29614.063894199997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85" t="s">
        <v>33</v>
      </c>
      <c r="B43" s="186"/>
      <c r="C43" s="186"/>
      <c r="D43" s="186"/>
      <c r="E43" s="186"/>
      <c r="F43" s="187"/>
      <c r="G43" s="26"/>
      <c r="H43" s="27" t="s">
        <v>34</v>
      </c>
      <c r="I43" s="197" t="s">
        <v>35</v>
      </c>
      <c r="J43" s="198"/>
      <c r="K43" s="199"/>
      <c r="L43" s="228" t="s">
        <v>36</v>
      </c>
      <c r="M43" s="229"/>
      <c r="N43" s="185" t="s">
        <v>37</v>
      </c>
      <c r="O43" s="186"/>
      <c r="P43" s="186"/>
      <c r="Q43" s="186"/>
      <c r="R43" s="186"/>
      <c r="S43" s="186"/>
      <c r="T43" s="186"/>
      <c r="U43" s="186"/>
      <c r="V43" s="186"/>
      <c r="W43" s="186"/>
      <c r="X43" s="187"/>
    </row>
    <row r="44" spans="1:24" s="18" customFormat="1" ht="29.25" customHeight="1" thickBot="1">
      <c r="A44" s="222" t="s">
        <v>38</v>
      </c>
      <c r="B44" s="223"/>
      <c r="C44" s="224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19">
        <f>L41</f>
        <v>26590</v>
      </c>
      <c r="J44" s="220"/>
      <c r="K44" s="221"/>
      <c r="L44" s="203">
        <f>I44*H44</f>
        <v>18573.115000000002</v>
      </c>
      <c r="M44" s="204"/>
      <c r="N44" s="176">
        <f>L44+L45+L46</f>
        <v>73832.265200000009</v>
      </c>
      <c r="O44" s="177"/>
      <c r="P44" s="177"/>
      <c r="Q44" s="177"/>
      <c r="R44" s="177"/>
      <c r="S44" s="177"/>
      <c r="T44" s="177"/>
      <c r="U44" s="177"/>
      <c r="V44" s="177"/>
      <c r="W44" s="177"/>
      <c r="X44" s="178"/>
    </row>
    <row r="45" spans="1:24" s="18" customFormat="1" ht="29.25" customHeight="1" thickBot="1">
      <c r="A45" s="225"/>
      <c r="B45" s="226"/>
      <c r="C45" s="227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19">
        <f>M41</f>
        <v>35339</v>
      </c>
      <c r="J45" s="220"/>
      <c r="K45" s="221"/>
      <c r="L45" s="203">
        <f>I45*H45</f>
        <v>33621.524600000004</v>
      </c>
      <c r="M45" s="204"/>
      <c r="N45" s="179"/>
      <c r="O45" s="180"/>
      <c r="P45" s="180"/>
      <c r="Q45" s="180"/>
      <c r="R45" s="180"/>
      <c r="S45" s="180"/>
      <c r="T45" s="180"/>
      <c r="U45" s="180"/>
      <c r="V45" s="180"/>
      <c r="W45" s="180"/>
      <c r="X45" s="181"/>
    </row>
    <row r="46" spans="1:24" s="18" customFormat="1" ht="24.75" customHeight="1" thickBot="1">
      <c r="A46" s="225"/>
      <c r="B46" s="226"/>
      <c r="C46" s="227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4">
        <f>N41</f>
        <v>16264</v>
      </c>
      <c r="J46" s="195"/>
      <c r="K46" s="196"/>
      <c r="L46" s="203">
        <f>I46*H46</f>
        <v>21637.625599999999</v>
      </c>
      <c r="M46" s="204"/>
      <c r="N46" s="182"/>
      <c r="O46" s="183"/>
      <c r="P46" s="183"/>
      <c r="Q46" s="183"/>
      <c r="R46" s="183"/>
      <c r="S46" s="183"/>
      <c r="T46" s="183"/>
      <c r="U46" s="183"/>
      <c r="V46" s="183"/>
      <c r="W46" s="183"/>
      <c r="X46" s="184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00">
        <f>N44*1.3</f>
        <v>95981.944760000013</v>
      </c>
      <c r="O47" s="201"/>
      <c r="P47" s="201"/>
      <c r="Q47" s="201"/>
      <c r="R47" s="201"/>
      <c r="S47" s="201"/>
      <c r="T47" s="201"/>
      <c r="U47" s="201"/>
      <c r="V47" s="201"/>
      <c r="W47" s="201"/>
      <c r="X47" s="202"/>
    </row>
    <row r="48" spans="1:24" s="23" customFormat="1" ht="32.25" customHeight="1" thickBot="1">
      <c r="A48" s="214" t="s">
        <v>39</v>
      </c>
      <c r="B48" s="215"/>
      <c r="C48" s="215"/>
      <c r="D48" s="215"/>
      <c r="E48" s="215"/>
      <c r="F48" s="216"/>
      <c r="G48" s="21"/>
      <c r="H48" s="22">
        <v>8.7899999999999991</v>
      </c>
      <c r="I48" s="214">
        <f>F41</f>
        <v>456.09999999997672</v>
      </c>
      <c r="J48" s="215"/>
      <c r="K48" s="216"/>
      <c r="L48" s="217">
        <f>I48*H48</f>
        <v>4009.1189999997951</v>
      </c>
      <c r="M48" s="218"/>
      <c r="N48" s="173">
        <f>L48</f>
        <v>4009.1189999997951</v>
      </c>
      <c r="O48" s="174"/>
      <c r="P48" s="174"/>
      <c r="Q48" s="174"/>
      <c r="R48" s="174"/>
      <c r="S48" s="174"/>
      <c r="T48" s="174"/>
      <c r="U48" s="174"/>
      <c r="V48" s="174"/>
      <c r="W48" s="174"/>
      <c r="X48" s="175"/>
    </row>
    <row r="49" spans="1:24" s="23" customFormat="1" ht="36.75" customHeight="1">
      <c r="A49" s="188" t="s">
        <v>40</v>
      </c>
      <c r="B49" s="189"/>
      <c r="C49" s="189"/>
      <c r="D49" s="189"/>
      <c r="E49" s="189"/>
      <c r="F49" s="190"/>
      <c r="G49" s="24"/>
      <c r="H49" s="25">
        <v>11.565</v>
      </c>
      <c r="I49" s="191">
        <f>V41</f>
        <v>2560.6626799999999</v>
      </c>
      <c r="J49" s="192"/>
      <c r="K49" s="193"/>
      <c r="L49" s="191">
        <f>I49*H49</f>
        <v>29614.063894199997</v>
      </c>
      <c r="M49" s="193"/>
      <c r="N49" s="170">
        <f>L49</f>
        <v>29614.063894199997</v>
      </c>
      <c r="O49" s="171"/>
      <c r="P49" s="171"/>
      <c r="Q49" s="171"/>
      <c r="R49" s="171"/>
      <c r="S49" s="171"/>
      <c r="T49" s="171"/>
      <c r="U49" s="171"/>
      <c r="V49" s="171"/>
      <c r="W49" s="171"/>
      <c r="X49" s="172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7" activePane="bottomRight" state="frozen"/>
      <selection pane="bottomRight" activeCell="K18" sqref="K18:K19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0"/>
      <c r="B1" s="271"/>
      <c r="C1" s="271"/>
      <c r="D1" s="272"/>
      <c r="E1" s="253" t="s">
        <v>41</v>
      </c>
      <c r="F1" s="254"/>
      <c r="G1" s="254"/>
      <c r="H1" s="254"/>
      <c r="I1" s="255"/>
      <c r="J1" s="262" t="s">
        <v>42</v>
      </c>
      <c r="K1" s="263"/>
      <c r="L1" s="49"/>
    </row>
    <row r="2" spans="1:12" ht="16.5" customHeight="1">
      <c r="A2" s="273"/>
      <c r="B2" s="274"/>
      <c r="C2" s="274"/>
      <c r="D2" s="275"/>
      <c r="E2" s="256"/>
      <c r="F2" s="257"/>
      <c r="G2" s="257"/>
      <c r="H2" s="257"/>
      <c r="I2" s="258"/>
      <c r="J2" s="264"/>
      <c r="K2" s="265"/>
      <c r="L2" s="49"/>
    </row>
    <row r="3" spans="1:12" ht="48" customHeight="1">
      <c r="A3" s="276"/>
      <c r="B3" s="277"/>
      <c r="C3" s="277"/>
      <c r="D3" s="278"/>
      <c r="E3" s="259"/>
      <c r="F3" s="260"/>
      <c r="G3" s="260"/>
      <c r="H3" s="260"/>
      <c r="I3" s="261"/>
      <c r="J3" s="266"/>
      <c r="K3" s="267"/>
      <c r="L3" s="49"/>
    </row>
    <row r="6" spans="1:12" ht="10.5" customHeight="1"/>
    <row r="7" spans="1:12" ht="16.5" customHeight="1">
      <c r="A7" s="251" t="s">
        <v>43</v>
      </c>
      <c r="B7" s="279" t="s">
        <v>44</v>
      </c>
      <c r="C7" s="280"/>
      <c r="D7" s="268" t="s">
        <v>45</v>
      </c>
      <c r="E7" s="268"/>
      <c r="F7" s="269" t="s">
        <v>46</v>
      </c>
      <c r="G7" s="269"/>
      <c r="H7" s="269"/>
      <c r="I7" s="269"/>
      <c r="J7" s="269"/>
      <c r="K7" s="269"/>
    </row>
    <row r="8" spans="1:12" s="29" customFormat="1" ht="28.5" customHeight="1">
      <c r="A8" s="252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44562</v>
      </c>
      <c r="B9" s="116">
        <v>2560</v>
      </c>
      <c r="C9" s="115">
        <v>0</v>
      </c>
      <c r="D9" s="57">
        <v>132699</v>
      </c>
      <c r="E9" s="50">
        <v>8.7999999999883585</v>
      </c>
      <c r="F9" s="51">
        <v>11364390</v>
      </c>
      <c r="G9" s="50">
        <v>2484</v>
      </c>
      <c r="H9" s="51">
        <v>19320037</v>
      </c>
      <c r="I9" s="50">
        <v>3362</v>
      </c>
      <c r="J9" s="51">
        <v>8481098</v>
      </c>
      <c r="K9" s="50">
        <v>1521</v>
      </c>
    </row>
    <row r="10" spans="1:12" ht="19.5">
      <c r="A10" s="59">
        <v>44563</v>
      </c>
      <c r="B10" s="116">
        <v>2560</v>
      </c>
      <c r="C10" s="115">
        <f>B10-B9</f>
        <v>0</v>
      </c>
      <c r="D10" s="57">
        <v>132734</v>
      </c>
      <c r="E10" s="50">
        <f>D10-D9</f>
        <v>35</v>
      </c>
      <c r="F10" s="51">
        <v>11366842</v>
      </c>
      <c r="G10" s="50">
        <f>F10-F9</f>
        <v>2452</v>
      </c>
      <c r="H10" s="51">
        <v>19323394</v>
      </c>
      <c r="I10" s="50">
        <f>H10-H9</f>
        <v>3357</v>
      </c>
      <c r="J10" s="51">
        <v>8482591</v>
      </c>
      <c r="K10" s="50">
        <f>J10-J9</f>
        <v>1493</v>
      </c>
    </row>
    <row r="11" spans="1:12" ht="19.5">
      <c r="A11" s="59">
        <v>44564</v>
      </c>
      <c r="B11" s="116">
        <v>2560</v>
      </c>
      <c r="C11" s="115">
        <f>B11-B10</f>
        <v>0</v>
      </c>
      <c r="D11" s="57">
        <v>132787</v>
      </c>
      <c r="E11" s="50">
        <f>D11-D10</f>
        <v>53</v>
      </c>
      <c r="F11" s="51">
        <v>11369290</v>
      </c>
      <c r="G11" s="50">
        <f>F11-F10</f>
        <v>2448</v>
      </c>
      <c r="H11" s="51">
        <v>19326653</v>
      </c>
      <c r="I11" s="50">
        <f>H11-H10</f>
        <v>3259</v>
      </c>
      <c r="J11" s="51">
        <v>8484073</v>
      </c>
      <c r="K11" s="50">
        <f>J11-J10</f>
        <v>1482</v>
      </c>
    </row>
    <row r="12" spans="1:12" ht="19.5">
      <c r="A12" s="59">
        <v>44565</v>
      </c>
      <c r="B12" s="116">
        <v>2560</v>
      </c>
      <c r="C12" s="115">
        <f>B12-B11</f>
        <v>0</v>
      </c>
      <c r="D12" s="57">
        <v>132829.9</v>
      </c>
      <c r="E12" s="50">
        <f>D12-D11</f>
        <v>42.899999999994179</v>
      </c>
      <c r="F12" s="51">
        <v>11371707</v>
      </c>
      <c r="G12" s="50">
        <f>F12-F11</f>
        <v>2417</v>
      </c>
      <c r="H12" s="51">
        <v>19329892</v>
      </c>
      <c r="I12" s="50">
        <f>H12-H11</f>
        <v>3239</v>
      </c>
      <c r="J12" s="51">
        <v>8484576</v>
      </c>
      <c r="K12" s="50">
        <f>J12-J11</f>
        <v>503</v>
      </c>
    </row>
    <row r="13" spans="1:12" ht="19.5">
      <c r="A13" s="59">
        <v>44566</v>
      </c>
      <c r="B13" s="116">
        <v>2560</v>
      </c>
      <c r="C13" s="115">
        <f>B13-B12</f>
        <v>0</v>
      </c>
      <c r="D13" s="57">
        <v>132878.29999999999</v>
      </c>
      <c r="E13" s="50">
        <f>D13-D12</f>
        <v>48.399999999994179</v>
      </c>
      <c r="F13" s="51">
        <v>11374199</v>
      </c>
      <c r="G13" s="50">
        <f>F13-F12</f>
        <v>2492</v>
      </c>
      <c r="H13" s="51">
        <v>19333248</v>
      </c>
      <c r="I13" s="50">
        <f>H13-H12</f>
        <v>3356</v>
      </c>
      <c r="J13" s="51">
        <v>8487105</v>
      </c>
      <c r="K13" s="50">
        <f>J13-J12</f>
        <v>2529</v>
      </c>
    </row>
    <row r="14" spans="1:12" ht="19.5">
      <c r="A14" s="59">
        <v>44567</v>
      </c>
      <c r="B14" s="116">
        <v>2560</v>
      </c>
      <c r="C14" s="115">
        <f>B14-B13</f>
        <v>0</v>
      </c>
      <c r="D14" s="57">
        <v>132928.20000000001</v>
      </c>
      <c r="E14" s="50">
        <f>D14-D13</f>
        <v>49.900000000023283</v>
      </c>
      <c r="F14" s="51">
        <v>11376730</v>
      </c>
      <c r="G14" s="50">
        <f>F14-F13</f>
        <v>2531</v>
      </c>
      <c r="H14" s="51">
        <v>19336558</v>
      </c>
      <c r="I14" s="50">
        <f>H14-H13</f>
        <v>3310</v>
      </c>
      <c r="J14" s="51">
        <v>8488559</v>
      </c>
      <c r="K14" s="50">
        <f>J14-J13</f>
        <v>1454</v>
      </c>
    </row>
    <row r="15" spans="1:12" ht="19.5">
      <c r="A15" s="59">
        <v>44568</v>
      </c>
      <c r="B15" s="116">
        <v>2560</v>
      </c>
      <c r="C15" s="115">
        <f>B15-B14</f>
        <v>0</v>
      </c>
      <c r="D15" s="57">
        <v>132968</v>
      </c>
      <c r="E15" s="50">
        <f>D15-D14</f>
        <v>39.799999999988358</v>
      </c>
      <c r="F15" s="51">
        <v>11379148</v>
      </c>
      <c r="G15" s="50">
        <f>F15-F14</f>
        <v>2418</v>
      </c>
      <c r="H15" s="51">
        <v>19339764</v>
      </c>
      <c r="I15" s="50">
        <f>H15-H14</f>
        <v>3206</v>
      </c>
      <c r="J15" s="51">
        <v>8490021</v>
      </c>
      <c r="K15" s="50">
        <f>J15-J14</f>
        <v>1462</v>
      </c>
    </row>
    <row r="16" spans="1:12" ht="19.5">
      <c r="A16" s="59">
        <v>44569</v>
      </c>
      <c r="B16" s="116">
        <v>2560</v>
      </c>
      <c r="C16" s="115">
        <f>B16-B15</f>
        <v>0</v>
      </c>
      <c r="D16" s="57">
        <v>133009</v>
      </c>
      <c r="E16" s="50">
        <f>D16-D15</f>
        <v>41</v>
      </c>
      <c r="F16" s="51">
        <v>11381638</v>
      </c>
      <c r="G16" s="50">
        <f>F16-F15</f>
        <v>2490</v>
      </c>
      <c r="H16" s="51">
        <v>19342968</v>
      </c>
      <c r="I16" s="50">
        <f>H16-H15</f>
        <v>3204</v>
      </c>
      <c r="J16" s="51">
        <v>8491543</v>
      </c>
      <c r="K16" s="50">
        <f>J16-J15</f>
        <v>1522</v>
      </c>
    </row>
    <row r="17" spans="1:29" ht="19.5">
      <c r="A17" s="59">
        <v>44570</v>
      </c>
      <c r="B17" s="116">
        <v>2560</v>
      </c>
      <c r="C17" s="115">
        <f>B17-B16</f>
        <v>0</v>
      </c>
      <c r="D17" s="57">
        <v>133058</v>
      </c>
      <c r="E17" s="50">
        <f>D17-D16</f>
        <v>49</v>
      </c>
      <c r="F17" s="51">
        <v>11383959</v>
      </c>
      <c r="G17" s="50">
        <f>F17-F16</f>
        <v>2321</v>
      </c>
      <c r="H17" s="51">
        <v>19346034</v>
      </c>
      <c r="I17" s="50">
        <f>H17-H16</f>
        <v>3066</v>
      </c>
      <c r="J17" s="51">
        <v>8493006</v>
      </c>
      <c r="K17" s="50">
        <f>J17-J16</f>
        <v>1463</v>
      </c>
    </row>
    <row r="18" spans="1:29" ht="19.5">
      <c r="A18" s="59">
        <v>44571</v>
      </c>
      <c r="B18" s="116">
        <v>2560</v>
      </c>
      <c r="C18" s="115">
        <f>B18-B17</f>
        <v>0</v>
      </c>
      <c r="D18" s="57">
        <v>133101</v>
      </c>
      <c r="E18" s="50">
        <f>D18-D17</f>
        <v>43</v>
      </c>
      <c r="F18" s="51">
        <v>11386330</v>
      </c>
      <c r="G18" s="50">
        <f>F18-F17</f>
        <v>2371</v>
      </c>
      <c r="H18" s="51">
        <v>19349074</v>
      </c>
      <c r="I18" s="50">
        <f>H18-H17</f>
        <v>3040</v>
      </c>
      <c r="J18" s="51">
        <v>8494426</v>
      </c>
      <c r="K18" s="50">
        <f>J18-J17</f>
        <v>1420</v>
      </c>
    </row>
    <row r="19" spans="1:29" ht="19.5">
      <c r="A19" s="59">
        <v>44572</v>
      </c>
      <c r="B19" s="116">
        <v>2560</v>
      </c>
      <c r="C19" s="115">
        <f>B19-B18</f>
        <v>0</v>
      </c>
      <c r="D19" s="57">
        <v>133146.29999999999</v>
      </c>
      <c r="E19" s="50">
        <f>D19-D18</f>
        <v>45.299999999988358</v>
      </c>
      <c r="F19" s="51">
        <v>11388496</v>
      </c>
      <c r="G19" s="50">
        <f>F19-F18</f>
        <v>2166</v>
      </c>
      <c r="H19" s="51">
        <v>19352014</v>
      </c>
      <c r="I19" s="50">
        <f>H19-H18</f>
        <v>2940</v>
      </c>
      <c r="J19" s="51">
        <v>8495841</v>
      </c>
      <c r="K19" s="50">
        <f>J19-J18</f>
        <v>1415</v>
      </c>
    </row>
    <row r="20" spans="1:29" ht="25.5">
      <c r="A20" s="59">
        <v>44573</v>
      </c>
      <c r="B20" s="116"/>
      <c r="C20" s="115"/>
      <c r="D20" s="57"/>
      <c r="E20" s="50"/>
      <c r="F20" s="51"/>
      <c r="G20" s="50"/>
      <c r="H20" s="51"/>
      <c r="I20" s="50"/>
      <c r="J20" s="51"/>
      <c r="K20" s="50"/>
      <c r="L20" s="117" t="s">
        <v>18</v>
      </c>
      <c r="AC20" t="s">
        <v>56</v>
      </c>
    </row>
    <row r="21" spans="1:29" ht="19.5">
      <c r="A21" s="59">
        <v>44574</v>
      </c>
      <c r="B21" s="116"/>
      <c r="C21" s="115"/>
      <c r="D21" s="57"/>
      <c r="E21" s="50"/>
      <c r="F21" s="51"/>
      <c r="G21" s="50"/>
      <c r="H21" s="51"/>
      <c r="I21" s="50"/>
      <c r="J21" s="51"/>
      <c r="K21" s="50"/>
    </row>
    <row r="22" spans="1:29" ht="19.5">
      <c r="A22" s="59">
        <v>44575</v>
      </c>
      <c r="B22" s="116"/>
      <c r="C22" s="115"/>
      <c r="D22" s="57"/>
      <c r="E22" s="50"/>
      <c r="F22" s="51"/>
      <c r="G22" s="50"/>
      <c r="H22" s="51"/>
      <c r="I22" s="50"/>
      <c r="J22" s="51"/>
      <c r="K22" s="50"/>
    </row>
    <row r="23" spans="1:29" ht="19.5">
      <c r="A23" s="59">
        <v>44576</v>
      </c>
      <c r="B23" s="116"/>
      <c r="C23" s="115"/>
      <c r="D23" s="57"/>
      <c r="E23" s="50"/>
      <c r="F23" s="51"/>
      <c r="G23" s="50"/>
      <c r="H23" s="51"/>
      <c r="I23" s="50"/>
      <c r="J23" s="51"/>
      <c r="K23" s="50"/>
    </row>
    <row r="24" spans="1:29" ht="19.5">
      <c r="A24" s="59">
        <v>44577</v>
      </c>
      <c r="B24" s="116"/>
      <c r="C24" s="115"/>
      <c r="D24" s="57"/>
      <c r="E24" s="50"/>
      <c r="F24" s="51"/>
      <c r="G24" s="50"/>
      <c r="H24" s="51"/>
      <c r="I24" s="50"/>
      <c r="J24" s="51"/>
      <c r="K24" s="50"/>
    </row>
    <row r="25" spans="1:29" ht="19.5">
      <c r="A25" s="59">
        <v>44578</v>
      </c>
      <c r="B25" s="116"/>
      <c r="C25" s="115"/>
      <c r="D25" s="57"/>
      <c r="E25" s="50"/>
      <c r="F25" s="51"/>
      <c r="G25" s="50"/>
      <c r="H25" s="51"/>
      <c r="I25" s="50"/>
      <c r="J25" s="51"/>
      <c r="K25" s="50"/>
    </row>
    <row r="26" spans="1:29" ht="19.5">
      <c r="A26" s="59">
        <v>44579</v>
      </c>
      <c r="B26" s="116"/>
      <c r="C26" s="115"/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44580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44581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44582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44583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44584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44585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44586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44587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44588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44589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44590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44591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44592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44593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59" stopIfTrue="1" operator="lessThanOrEqual">
      <formula>0</formula>
    </cfRule>
  </conditionalFormatting>
  <conditionalFormatting sqref="E10:E25">
    <cfRule type="cellIs" dxfId="5" priority="6" stopIfTrue="1" operator="lessThanOrEqual">
      <formula>0</formula>
    </cfRule>
  </conditionalFormatting>
  <conditionalFormatting sqref="E10:E25">
    <cfRule type="cellIs" dxfId="4" priority="5" stopIfTrue="1" operator="lessThanOrEqual">
      <formula>0</formula>
    </cfRule>
  </conditionalFormatting>
  <conditionalFormatting sqref="E9">
    <cfRule type="cellIs" dxfId="3" priority="4" stopIfTrue="1" operator="lessThanOrEqual">
      <formula>0</formula>
    </cfRule>
  </conditionalFormatting>
  <conditionalFormatting sqref="E9">
    <cfRule type="cellIs" dxfId="2" priority="3" stopIfTrue="1" operator="lessThanOrEqual">
      <formula>0</formula>
    </cfRule>
  </conditionalFormatting>
  <conditionalFormatting sqref="E26:E40">
    <cfRule type="cellIs" dxfId="1" priority="2" stopIfTrue="1" operator="lessThanOrEqual">
      <formula>0</formula>
    </cfRule>
  </conditionalFormatting>
  <conditionalFormatting sqref="E26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6" activePane="bottomRight" state="frozen"/>
      <selection pane="bottomRight" activeCell="H15" sqref="H15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4" t="s">
        <v>57</v>
      </c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spans="1:31" ht="41.25" customHeight="1" thickBot="1">
      <c r="Q2" s="289">
        <v>803</v>
      </c>
      <c r="R2" s="290"/>
      <c r="S2" s="291"/>
      <c r="T2" s="292">
        <v>519</v>
      </c>
      <c r="U2" s="290"/>
      <c r="V2" s="291"/>
      <c r="W2" s="292">
        <v>800</v>
      </c>
      <c r="X2" s="290"/>
      <c r="Y2" s="291"/>
      <c r="Z2" s="292">
        <v>802</v>
      </c>
      <c r="AA2" s="290"/>
      <c r="AB2" s="293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44562</v>
      </c>
      <c r="B4" s="41">
        <v>71</v>
      </c>
      <c r="C4" s="39">
        <f t="shared" ref="C4" si="0">IF(AC4&gt;0,((B4-R4)+(S4-B5)),IF(B5=0, ,(B4-B5)))</f>
        <v>1</v>
      </c>
      <c r="D4" s="41">
        <v>72</v>
      </c>
      <c r="E4" s="39">
        <f t="shared" ref="E4" si="1">IF(AC4&gt;0,((D4-U4)+(V4-D5)),IF(D5=0, ,(D4-D5)))</f>
        <v>2</v>
      </c>
      <c r="F4" s="41">
        <v>75</v>
      </c>
      <c r="G4" s="39">
        <f t="shared" ref="G4" si="2">IF(AC4&gt;0,((F4-X4)+(Y4-F5)),IF(F5=0, ,(F4-F5)))</f>
        <v>1</v>
      </c>
      <c r="H4" s="41">
        <v>73</v>
      </c>
      <c r="I4" s="39">
        <f>IF(AC4&gt;0,((H4-AA4)+(AB4-H5)),IF(H5=0, ,(H4-H5)))</f>
        <v>2</v>
      </c>
      <c r="J4" s="39">
        <f>B4+D4+F4+H4</f>
        <v>291</v>
      </c>
      <c r="K4" s="39">
        <f>J4/4</f>
        <v>72.75</v>
      </c>
      <c r="L4" s="39">
        <f>IF(AC4&gt;0,((K4-AD4)+(AE4-K5)),IF(K5=0, ,(K4-K5)))</f>
        <v>1.5</v>
      </c>
      <c r="M4" s="149">
        <f t="shared" ref="M4:M7" si="3">6049*4</f>
        <v>24196</v>
      </c>
      <c r="N4" s="39">
        <f>L4*M4/100</f>
        <v>362.94</v>
      </c>
      <c r="O4" s="39">
        <f>N4*0.529</f>
        <v>191.99526</v>
      </c>
      <c r="P4" s="42">
        <f>O4*11.565</f>
        <v>2220.4251819000001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44563</v>
      </c>
      <c r="B5" s="41">
        <v>70</v>
      </c>
      <c r="C5" s="39">
        <f t="shared" ref="C4:C35" si="7">IF(AC5&gt;0,((B5-R5)+(S5-B6)),IF(B6=0, ,(B5-B6)))</f>
        <v>1</v>
      </c>
      <c r="D5" s="41">
        <v>70</v>
      </c>
      <c r="E5" s="39">
        <f t="shared" ref="E4:E35" si="8">IF(AC5&gt;0,((D5-U5)+(V5-D6)),IF(D6=0, ,(D5-D6)))</f>
        <v>2</v>
      </c>
      <c r="F5" s="41">
        <v>74</v>
      </c>
      <c r="G5" s="39">
        <f t="shared" ref="G4:G35" si="9">IF(AC5&gt;0,((F5-X5)+(Y5-F6)),IF(F6=0, ,(F5-F6)))</f>
        <v>1</v>
      </c>
      <c r="H5" s="41">
        <v>71</v>
      </c>
      <c r="I5" s="39">
        <f>IF(AC5&gt;0,((H5-AA5)+(AB5-H6)),IF(H6=0, ,(H5-H6)))</f>
        <v>2</v>
      </c>
      <c r="J5" s="39">
        <f>B5+D5+F5+H5</f>
        <v>285</v>
      </c>
      <c r="K5" s="39">
        <f>J5/4</f>
        <v>71.25</v>
      </c>
      <c r="L5" s="39">
        <f>IF(AC5&gt;0,((K5-AD5)+(AE5-K6)),IF(K6=0, ,(K5-K6)))</f>
        <v>1.5</v>
      </c>
      <c r="M5" s="149">
        <f t="shared" si="3"/>
        <v>24196</v>
      </c>
      <c r="N5" s="39">
        <f>L5*M5/100</f>
        <v>362.94</v>
      </c>
      <c r="O5" s="39">
        <f>N5*0.529</f>
        <v>191.99526</v>
      </c>
      <c r="P5" s="42">
        <f t="shared" ref="P5:P38" si="10">O5*11.565</f>
        <v>2220.4251819000001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44564</v>
      </c>
      <c r="B6" s="41">
        <v>69</v>
      </c>
      <c r="C6" s="39">
        <f t="shared" si="7"/>
        <v>4</v>
      </c>
      <c r="D6" s="41">
        <v>68</v>
      </c>
      <c r="E6" s="39">
        <f t="shared" si="8"/>
        <v>3</v>
      </c>
      <c r="F6" s="41">
        <v>73</v>
      </c>
      <c r="G6" s="39">
        <f t="shared" si="9"/>
        <v>3</v>
      </c>
      <c r="H6" s="41">
        <v>69</v>
      </c>
      <c r="I6" s="39">
        <f t="shared" ref="I6:I36" si="11">IF(AC6&gt;0,((H6-AA6)+(AB6-H7)),IF(H7=0, ,(H6-H7)))</f>
        <v>1</v>
      </c>
      <c r="J6" s="39">
        <f t="shared" ref="J6:J42" si="12">B6+D6+F6+H6</f>
        <v>279</v>
      </c>
      <c r="K6" s="39">
        <f t="shared" ref="K6:K42" si="13">J6/4</f>
        <v>69.75</v>
      </c>
      <c r="L6" s="39">
        <f t="shared" ref="L6:L19" si="14">IF(AC6&gt;0,((K6-AD6)+(AE6-K7)),IF(K7=0, ,(K6-K7)))</f>
        <v>2.75</v>
      </c>
      <c r="M6" s="149">
        <f t="shared" si="3"/>
        <v>24196</v>
      </c>
      <c r="N6" s="39">
        <f t="shared" ref="N6:N42" si="15">L6*M6/100</f>
        <v>665.39</v>
      </c>
      <c r="O6" s="39">
        <f>N6*0.529</f>
        <v>351.99131</v>
      </c>
      <c r="P6" s="42">
        <f t="shared" si="10"/>
        <v>4070.7795001499999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44565</v>
      </c>
      <c r="B7" s="41">
        <v>65</v>
      </c>
      <c r="C7" s="39">
        <f t="shared" si="7"/>
        <v>3</v>
      </c>
      <c r="D7" s="41">
        <v>65</v>
      </c>
      <c r="E7" s="39">
        <f t="shared" si="8"/>
        <v>1</v>
      </c>
      <c r="F7" s="41">
        <v>70</v>
      </c>
      <c r="G7" s="39">
        <f t="shared" si="9"/>
        <v>6</v>
      </c>
      <c r="H7" s="41">
        <v>68</v>
      </c>
      <c r="I7" s="39">
        <f t="shared" si="11"/>
        <v>2</v>
      </c>
      <c r="J7" s="39">
        <f t="shared" si="12"/>
        <v>268</v>
      </c>
      <c r="K7" s="39">
        <f t="shared" si="13"/>
        <v>67</v>
      </c>
      <c r="L7" s="39">
        <f t="shared" si="14"/>
        <v>3</v>
      </c>
      <c r="M7" s="149">
        <f t="shared" si="3"/>
        <v>24196</v>
      </c>
      <c r="N7" s="39">
        <f t="shared" si="15"/>
        <v>725.88</v>
      </c>
      <c r="O7" s="39">
        <f>N7*0.53</f>
        <v>384.71640000000002</v>
      </c>
      <c r="P7" s="42">
        <f t="shared" si="10"/>
        <v>4449.2451659999997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44566</v>
      </c>
      <c r="B8" s="41">
        <v>62</v>
      </c>
      <c r="C8" s="39">
        <f t="shared" si="7"/>
        <v>2</v>
      </c>
      <c r="D8" s="41">
        <v>64</v>
      </c>
      <c r="E8" s="39">
        <f t="shared" si="8"/>
        <v>4</v>
      </c>
      <c r="F8" s="41">
        <v>64</v>
      </c>
      <c r="G8" s="39">
        <f t="shared" si="9"/>
        <v>2</v>
      </c>
      <c r="H8" s="41">
        <v>66</v>
      </c>
      <c r="I8" s="39">
        <f t="shared" si="11"/>
        <v>1</v>
      </c>
      <c r="J8" s="39">
        <f t="shared" si="12"/>
        <v>256</v>
      </c>
      <c r="K8" s="39">
        <f t="shared" si="13"/>
        <v>64</v>
      </c>
      <c r="L8" s="39">
        <f t="shared" si="14"/>
        <v>2.25</v>
      </c>
      <c r="M8" s="149">
        <f>6049*4</f>
        <v>24196</v>
      </c>
      <c r="N8" s="39">
        <f t="shared" si="15"/>
        <v>544.41</v>
      </c>
      <c r="O8" s="148">
        <f t="shared" ref="O8:O37" si="16">N8*0.529</f>
        <v>287.99288999999999</v>
      </c>
      <c r="P8" s="42">
        <f t="shared" si="10"/>
        <v>3330.6377728499997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44567</v>
      </c>
      <c r="B9" s="41">
        <v>60</v>
      </c>
      <c r="C9" s="39">
        <f t="shared" si="7"/>
        <v>0</v>
      </c>
      <c r="D9" s="41">
        <v>60</v>
      </c>
      <c r="E9" s="39">
        <f t="shared" si="8"/>
        <v>1</v>
      </c>
      <c r="F9" s="41">
        <v>62</v>
      </c>
      <c r="G9" s="39">
        <f t="shared" si="9"/>
        <v>2</v>
      </c>
      <c r="H9" s="41">
        <v>65</v>
      </c>
      <c r="I9" s="39">
        <f t="shared" si="11"/>
        <v>1</v>
      </c>
      <c r="J9" s="39">
        <f t="shared" si="12"/>
        <v>247</v>
      </c>
      <c r="K9" s="39">
        <f t="shared" si="13"/>
        <v>61.75</v>
      </c>
      <c r="L9" s="39">
        <f t="shared" si="14"/>
        <v>1</v>
      </c>
      <c r="M9" s="149">
        <f t="shared" ref="M9:M42" si="17">6049*4</f>
        <v>24196</v>
      </c>
      <c r="N9" s="39">
        <f t="shared" si="15"/>
        <v>241.96</v>
      </c>
      <c r="O9" s="39">
        <f t="shared" si="16"/>
        <v>127.99684000000001</v>
      </c>
      <c r="P9" s="42">
        <f t="shared" si="10"/>
        <v>1480.2834545999999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44568</v>
      </c>
      <c r="B10" s="41">
        <v>60</v>
      </c>
      <c r="C10" s="39">
        <f t="shared" si="7"/>
        <v>1</v>
      </c>
      <c r="D10" s="41">
        <v>59</v>
      </c>
      <c r="E10" s="39">
        <f t="shared" si="8"/>
        <v>1</v>
      </c>
      <c r="F10" s="41">
        <v>60</v>
      </c>
      <c r="G10" s="39">
        <f t="shared" si="9"/>
        <v>2</v>
      </c>
      <c r="H10" s="41">
        <v>64</v>
      </c>
      <c r="I10" s="39">
        <f t="shared" si="11"/>
        <v>2</v>
      </c>
      <c r="J10" s="39">
        <f t="shared" si="12"/>
        <v>243</v>
      </c>
      <c r="K10" s="39">
        <f t="shared" si="13"/>
        <v>60.75</v>
      </c>
      <c r="L10" s="39">
        <f t="shared" si="14"/>
        <v>1.5</v>
      </c>
      <c r="M10" s="149">
        <f t="shared" si="17"/>
        <v>24196</v>
      </c>
      <c r="N10" s="39">
        <f t="shared" si="15"/>
        <v>362.94</v>
      </c>
      <c r="O10" s="148">
        <f t="shared" si="16"/>
        <v>191.99526</v>
      </c>
      <c r="P10" s="42">
        <f t="shared" si="10"/>
        <v>2220.4251819000001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44569</v>
      </c>
      <c r="B11" s="41">
        <v>59</v>
      </c>
      <c r="C11" s="39">
        <f t="shared" si="7"/>
        <v>4</v>
      </c>
      <c r="D11" s="41">
        <v>58</v>
      </c>
      <c r="E11" s="39">
        <f t="shared" si="8"/>
        <v>3</v>
      </c>
      <c r="F11" s="41">
        <v>58</v>
      </c>
      <c r="G11" s="39">
        <f t="shared" si="9"/>
        <v>0</v>
      </c>
      <c r="H11" s="41">
        <v>62</v>
      </c>
      <c r="I11" s="39">
        <f t="shared" si="11"/>
        <v>2</v>
      </c>
      <c r="J11" s="39">
        <f t="shared" si="12"/>
        <v>237</v>
      </c>
      <c r="K11" s="39">
        <f t="shared" si="13"/>
        <v>59.25</v>
      </c>
      <c r="L11" s="39">
        <f t="shared" si="14"/>
        <v>2.25</v>
      </c>
      <c r="M11" s="149">
        <f t="shared" si="17"/>
        <v>24196</v>
      </c>
      <c r="N11" s="39">
        <f t="shared" si="15"/>
        <v>544.41</v>
      </c>
      <c r="O11" s="39">
        <f t="shared" si="16"/>
        <v>287.99288999999999</v>
      </c>
      <c r="P11" s="42">
        <f t="shared" si="10"/>
        <v>3330.6377728499997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44570</v>
      </c>
      <c r="B12" s="41">
        <v>55</v>
      </c>
      <c r="C12" s="39">
        <f t="shared" si="7"/>
        <v>3</v>
      </c>
      <c r="D12" s="41">
        <v>55</v>
      </c>
      <c r="E12" s="39">
        <f t="shared" si="8"/>
        <v>4</v>
      </c>
      <c r="F12" s="41">
        <v>58</v>
      </c>
      <c r="G12" s="39">
        <f t="shared" si="9"/>
        <v>2</v>
      </c>
      <c r="H12" s="41">
        <v>60</v>
      </c>
      <c r="I12" s="39">
        <f t="shared" si="11"/>
        <v>3</v>
      </c>
      <c r="J12" s="39">
        <f t="shared" si="12"/>
        <v>228</v>
      </c>
      <c r="K12" s="39">
        <f t="shared" si="13"/>
        <v>57</v>
      </c>
      <c r="L12" s="39">
        <f t="shared" si="14"/>
        <v>3</v>
      </c>
      <c r="M12" s="149">
        <f t="shared" si="17"/>
        <v>24196</v>
      </c>
      <c r="N12" s="39">
        <f t="shared" si="15"/>
        <v>725.88</v>
      </c>
      <c r="O12" s="39">
        <f t="shared" si="16"/>
        <v>383.99052</v>
      </c>
      <c r="P12" s="42">
        <f t="shared" si="10"/>
        <v>4440.8503638000002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44571</v>
      </c>
      <c r="B13" s="41">
        <v>52</v>
      </c>
      <c r="C13" s="39">
        <f t="shared" si="7"/>
        <v>3</v>
      </c>
      <c r="D13" s="41">
        <v>51</v>
      </c>
      <c r="E13" s="39">
        <f t="shared" si="8"/>
        <v>2</v>
      </c>
      <c r="F13" s="41">
        <v>56</v>
      </c>
      <c r="G13" s="39">
        <f t="shared" si="9"/>
        <v>0</v>
      </c>
      <c r="H13" s="41">
        <v>57</v>
      </c>
      <c r="I13" s="39">
        <f t="shared" si="11"/>
        <v>0</v>
      </c>
      <c r="J13" s="39">
        <f t="shared" si="12"/>
        <v>216</v>
      </c>
      <c r="K13" s="39">
        <f t="shared" si="13"/>
        <v>54</v>
      </c>
      <c r="L13" s="39">
        <f t="shared" si="14"/>
        <v>1.25</v>
      </c>
      <c r="M13" s="149">
        <f t="shared" si="17"/>
        <v>24196</v>
      </c>
      <c r="N13" s="39">
        <f t="shared" si="15"/>
        <v>302.45</v>
      </c>
      <c r="O13" s="39">
        <f t="shared" si="16"/>
        <v>159.99605</v>
      </c>
      <c r="P13" s="42">
        <f t="shared" si="10"/>
        <v>1850.3543182499998</v>
      </c>
      <c r="Q13" s="39">
        <v>2432</v>
      </c>
      <c r="R13" s="39">
        <v>50</v>
      </c>
      <c r="S13" s="39">
        <v>85</v>
      </c>
      <c r="T13" s="39">
        <v>2458</v>
      </c>
      <c r="U13" s="39">
        <v>50</v>
      </c>
      <c r="V13" s="39">
        <v>85</v>
      </c>
      <c r="W13" s="39">
        <v>2186</v>
      </c>
      <c r="X13" s="39">
        <v>56</v>
      </c>
      <c r="Y13" s="39">
        <v>85</v>
      </c>
      <c r="Z13" s="39">
        <v>2111</v>
      </c>
      <c r="AA13" s="39">
        <v>57</v>
      </c>
      <c r="AB13" s="39">
        <v>85</v>
      </c>
      <c r="AC13" s="39">
        <f t="shared" si="4"/>
        <v>9187</v>
      </c>
      <c r="AD13" s="38">
        <f t="shared" si="5"/>
        <v>53.25</v>
      </c>
      <c r="AE13" s="38">
        <f t="shared" si="6"/>
        <v>85</v>
      </c>
    </row>
    <row r="14" spans="1:31" ht="32.25" customHeight="1">
      <c r="A14" s="40">
        <v>44572</v>
      </c>
      <c r="B14" s="41">
        <v>84</v>
      </c>
      <c r="C14" s="39">
        <f t="shared" si="7"/>
        <v>0</v>
      </c>
      <c r="D14" s="41">
        <v>84</v>
      </c>
      <c r="E14" s="39">
        <f t="shared" si="8"/>
        <v>0</v>
      </c>
      <c r="F14" s="41">
        <v>85</v>
      </c>
      <c r="G14" s="39">
        <f t="shared" si="9"/>
        <v>0</v>
      </c>
      <c r="H14" s="41">
        <v>85</v>
      </c>
      <c r="I14" s="39">
        <f>IF(AC14&gt;0,((H14-AA14)+(AB14-H15)),IF(H15=0, ,(H14-H15)))</f>
        <v>0</v>
      </c>
      <c r="J14" s="39">
        <f t="shared" si="12"/>
        <v>338</v>
      </c>
      <c r="K14" s="39">
        <f t="shared" si="13"/>
        <v>84.5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44573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44574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44575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44576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44577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44578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44579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44580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44581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44582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44583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44584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44585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44586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44587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44588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44589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44590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44591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44592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44593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27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28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8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4839.2</v>
      </c>
      <c r="O43" s="39">
        <f>N43*0.529</f>
        <v>2559.9367999999999</v>
      </c>
      <c r="P43" s="42">
        <f>O43*11.565</f>
        <v>29605.669091999996</v>
      </c>
      <c r="Q43" s="285">
        <f>SUM(Q4:Q42)</f>
        <v>2432</v>
      </c>
      <c r="R43" s="286"/>
      <c r="S43" s="287"/>
      <c r="T43" s="288">
        <f>SUM(T4:T42)</f>
        <v>2458</v>
      </c>
      <c r="U43" s="286"/>
      <c r="V43" s="287"/>
      <c r="W43" s="288">
        <f>SUM(W4:W42)</f>
        <v>2186</v>
      </c>
      <c r="X43" s="286"/>
      <c r="Y43" s="287"/>
      <c r="Z43" s="288">
        <f>SUM(Z4:Z42)</f>
        <v>2111</v>
      </c>
      <c r="AA43" s="286"/>
      <c r="AB43" s="287"/>
      <c r="AC43" s="39">
        <f t="shared" si="20"/>
        <v>9187</v>
      </c>
    </row>
    <row r="44" spans="1:31" ht="35.25" customHeight="1" thickBot="1">
      <c r="B44" s="294"/>
      <c r="C44" s="295"/>
      <c r="D44" s="295"/>
      <c r="E44" s="295"/>
      <c r="F44" s="295"/>
      <c r="G44" s="295"/>
      <c r="H44" s="295"/>
      <c r="I44" s="296"/>
      <c r="J44" s="37"/>
      <c r="K44" s="37"/>
      <c r="L44" s="37"/>
      <c r="M44" s="37"/>
      <c r="N44" s="37"/>
      <c r="O44" s="37"/>
      <c r="P44" s="37"/>
      <c r="Q44" s="297">
        <f>Q43+T43+W43+Z43</f>
        <v>9187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9"/>
      <c r="AC44" s="39">
        <f>Q44+T44+W44+Z44</f>
        <v>9187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1" t="s">
        <v>85</v>
      </c>
      <c r="I47" s="282"/>
      <c r="J47" s="283"/>
      <c r="K47" s="45">
        <f>N43</f>
        <v>4839.2</v>
      </c>
      <c r="L47" s="46">
        <f>O43</f>
        <v>2559.9367999999999</v>
      </c>
      <c r="M47" s="46">
        <f>P43</f>
        <v>29605.669091999996</v>
      </c>
    </row>
    <row r="48" spans="1:31" ht="54.75" customHeight="1" thickBot="1">
      <c r="H48" s="281" t="s">
        <v>86</v>
      </c>
      <c r="I48" s="282"/>
      <c r="J48" s="283"/>
      <c r="K48" s="43">
        <f>AC44</f>
        <v>9187</v>
      </c>
      <c r="L48" s="44">
        <f>K48*0.529</f>
        <v>4859.9230000000007</v>
      </c>
      <c r="M48" s="44">
        <f>L48*11.565</f>
        <v>56205.009495000006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H1" sqref="H1:J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0"/>
      <c r="B1" s="272"/>
      <c r="C1" s="357" t="s">
        <v>87</v>
      </c>
      <c r="D1" s="358"/>
      <c r="E1" s="358"/>
      <c r="F1" s="358"/>
      <c r="G1" s="358"/>
      <c r="H1" s="363" t="s">
        <v>88</v>
      </c>
      <c r="I1" s="364"/>
      <c r="J1" s="365"/>
    </row>
    <row r="2" spans="1:10" ht="16.5" customHeight="1" thickBot="1">
      <c r="A2" s="273"/>
      <c r="B2" s="275"/>
      <c r="C2" s="359"/>
      <c r="D2" s="360"/>
      <c r="E2" s="360"/>
      <c r="F2" s="360"/>
      <c r="G2" s="360"/>
      <c r="H2" s="366"/>
      <c r="I2" s="367"/>
      <c r="J2" s="368"/>
    </row>
    <row r="3" spans="1:10" ht="15" customHeight="1">
      <c r="A3" s="273"/>
      <c r="B3" s="275"/>
      <c r="C3" s="359"/>
      <c r="D3" s="360"/>
      <c r="E3" s="360"/>
      <c r="F3" s="360"/>
      <c r="G3" s="360"/>
      <c r="H3" s="369" t="s">
        <v>89</v>
      </c>
      <c r="I3" s="370"/>
      <c r="J3" s="371"/>
    </row>
    <row r="4" spans="1:10" ht="15.75" customHeight="1" thickBot="1">
      <c r="A4" s="276"/>
      <c r="B4" s="278"/>
      <c r="C4" s="361"/>
      <c r="D4" s="362"/>
      <c r="E4" s="362"/>
      <c r="F4" s="362"/>
      <c r="G4" s="362"/>
      <c r="H4" s="372"/>
      <c r="I4" s="373"/>
      <c r="J4" s="374"/>
    </row>
    <row r="6" spans="1:10" ht="33" customHeight="1" thickBot="1"/>
    <row r="7" spans="1:10" ht="36.75" thickTop="1">
      <c r="A7" s="375" t="s">
        <v>90</v>
      </c>
      <c r="B7" s="375"/>
      <c r="C7" s="376" t="s">
        <v>91</v>
      </c>
      <c r="D7" s="377"/>
      <c r="E7" s="61" t="s">
        <v>92</v>
      </c>
      <c r="F7" s="61" t="s">
        <v>93</v>
      </c>
      <c r="G7" s="61" t="s">
        <v>94</v>
      </c>
      <c r="H7" s="61" t="s">
        <v>95</v>
      </c>
      <c r="I7" s="378" t="s">
        <v>96</v>
      </c>
      <c r="J7" s="379"/>
    </row>
    <row r="8" spans="1:10">
      <c r="A8" s="346">
        <v>95670781</v>
      </c>
      <c r="B8" s="346"/>
      <c r="C8" s="350">
        <v>44528</v>
      </c>
      <c r="D8" s="351"/>
      <c r="E8" s="113">
        <v>44558</v>
      </c>
      <c r="F8" s="163" t="s">
        <v>97</v>
      </c>
      <c r="G8" s="62"/>
      <c r="H8" s="62"/>
      <c r="I8" s="352"/>
      <c r="J8" s="353"/>
    </row>
    <row r="10" spans="1:10" ht="23.25" customHeight="1" thickBot="1"/>
    <row r="11" spans="1:10" ht="24.75" customHeight="1" thickTop="1">
      <c r="A11" s="330" t="s">
        <v>98</v>
      </c>
      <c r="B11" s="330"/>
      <c r="C11" s="354" t="s">
        <v>99</v>
      </c>
      <c r="D11" s="355"/>
      <c r="E11" s="330" t="s">
        <v>100</v>
      </c>
      <c r="F11" s="330"/>
      <c r="G11" s="354" t="s">
        <v>101</v>
      </c>
      <c r="H11" s="355"/>
      <c r="I11" s="356" t="s">
        <v>102</v>
      </c>
      <c r="J11" s="356"/>
    </row>
    <row r="12" spans="1:10">
      <c r="A12" s="346" t="s">
        <v>103</v>
      </c>
      <c r="B12" s="346"/>
      <c r="C12" s="346">
        <v>3750</v>
      </c>
      <c r="D12" s="346"/>
      <c r="E12" s="346">
        <v>1000</v>
      </c>
      <c r="F12" s="346"/>
      <c r="G12" s="347">
        <v>688</v>
      </c>
      <c r="H12" s="347"/>
      <c r="I12" s="348"/>
      <c r="J12" s="348"/>
    </row>
    <row r="13" spans="1:10">
      <c r="A13" s="349"/>
      <c r="B13" s="432"/>
      <c r="C13" s="432"/>
      <c r="D13" s="432"/>
      <c r="E13" s="432"/>
      <c r="F13" s="432"/>
      <c r="G13" s="432"/>
      <c r="H13" s="432"/>
      <c r="I13" s="432"/>
      <c r="J13" s="432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43" t="s">
        <v>108</v>
      </c>
      <c r="H16" s="343"/>
      <c r="I16" s="344" t="s">
        <v>109</v>
      </c>
      <c r="J16" s="345"/>
    </row>
    <row r="17" spans="1:10">
      <c r="A17" s="335" t="s">
        <v>110</v>
      </c>
      <c r="B17" s="336"/>
      <c r="C17" s="66">
        <v>19306429</v>
      </c>
      <c r="D17" s="66">
        <v>19189353</v>
      </c>
      <c r="E17" s="67">
        <f>MIN(C17-D17)</f>
        <v>117076</v>
      </c>
      <c r="F17" s="67">
        <f>+E17</f>
        <v>117076</v>
      </c>
      <c r="G17" s="337"/>
      <c r="H17" s="338"/>
      <c r="I17" s="337">
        <f>+E17</f>
        <v>117076</v>
      </c>
      <c r="J17" s="338"/>
    </row>
    <row r="18" spans="1:10">
      <c r="A18" s="335" t="s">
        <v>111</v>
      </c>
      <c r="B18" s="336"/>
      <c r="C18" s="66">
        <v>11353001</v>
      </c>
      <c r="D18" s="66">
        <v>11267897</v>
      </c>
      <c r="E18" s="67">
        <f>MIN(C18-D18)</f>
        <v>85104</v>
      </c>
      <c r="F18" s="67">
        <f>+E18</f>
        <v>85104</v>
      </c>
      <c r="G18" s="337"/>
      <c r="H18" s="338"/>
      <c r="I18" s="337">
        <f>+E18</f>
        <v>85104</v>
      </c>
      <c r="J18" s="338"/>
    </row>
    <row r="19" spans="1:10">
      <c r="A19" s="335" t="s">
        <v>112</v>
      </c>
      <c r="B19" s="336"/>
      <c r="C19" s="66">
        <v>8474753</v>
      </c>
      <c r="D19" s="66">
        <v>8420514</v>
      </c>
      <c r="E19" s="67">
        <f>AVERAGE(C19-D19)</f>
        <v>54239</v>
      </c>
      <c r="F19" s="67">
        <f>+E19</f>
        <v>54239</v>
      </c>
      <c r="G19" s="337"/>
      <c r="H19" s="338"/>
      <c r="I19" s="337">
        <f>+E19</f>
        <v>54239</v>
      </c>
      <c r="J19" s="338"/>
    </row>
    <row r="20" spans="1:10" ht="15">
      <c r="A20" s="339" t="s">
        <v>113</v>
      </c>
      <c r="B20" s="340"/>
      <c r="C20" s="68"/>
      <c r="D20" s="69"/>
      <c r="E20" s="68">
        <f>SUM(E17:E19)</f>
        <v>256419</v>
      </c>
      <c r="F20" s="70"/>
      <c r="G20" s="341"/>
      <c r="H20" s="342"/>
      <c r="I20" s="341"/>
      <c r="J20" s="342"/>
    </row>
    <row r="21" spans="1:10">
      <c r="C21" s="110" t="s">
        <v>18</v>
      </c>
      <c r="D21" t="s">
        <v>114</v>
      </c>
      <c r="G21" s="322"/>
      <c r="H21" s="322"/>
    </row>
    <row r="22" spans="1:10" ht="13.5" thickBot="1">
      <c r="G22" s="323"/>
      <c r="H22" s="323"/>
    </row>
    <row r="23" spans="1:10" ht="13.5" thickTop="1">
      <c r="A23" s="324" t="s">
        <v>115</v>
      </c>
      <c r="B23" s="325"/>
      <c r="C23" s="326"/>
      <c r="D23" s="330" t="s">
        <v>116</v>
      </c>
      <c r="E23" s="330" t="s">
        <v>117</v>
      </c>
      <c r="F23" s="332" t="s">
        <v>118</v>
      </c>
      <c r="G23" s="334" t="s">
        <v>119</v>
      </c>
      <c r="H23" s="334"/>
      <c r="I23" s="318" t="s">
        <v>120</v>
      </c>
      <c r="J23" s="318"/>
    </row>
    <row r="24" spans="1:10">
      <c r="A24" s="327"/>
      <c r="B24" s="328"/>
      <c r="C24" s="329"/>
      <c r="D24" s="331"/>
      <c r="E24" s="331"/>
      <c r="F24" s="333"/>
      <c r="G24" s="164" t="s">
        <v>121</v>
      </c>
      <c r="H24" s="71" t="s">
        <v>122</v>
      </c>
      <c r="I24" s="318"/>
      <c r="J24" s="318"/>
    </row>
    <row r="25" spans="1:10" ht="15">
      <c r="A25" s="319" t="s">
        <v>123</v>
      </c>
      <c r="B25" s="320"/>
      <c r="C25" s="321"/>
      <c r="D25" s="67">
        <f>+E17</f>
        <v>117076</v>
      </c>
      <c r="E25" s="72">
        <v>0.95140000000000002</v>
      </c>
      <c r="F25" s="73">
        <f>PRODUCT(D25*E25)</f>
        <v>111386.1064</v>
      </c>
      <c r="G25" s="151">
        <v>14</v>
      </c>
      <c r="H25" s="65">
        <f>PRODUCT(0.14,F25)</f>
        <v>15594.054896000001</v>
      </c>
      <c r="I25" s="303">
        <f>SUM(H25,F25)</f>
        <v>126980.16129600001</v>
      </c>
      <c r="J25" s="304"/>
    </row>
    <row r="26" spans="1:10" ht="15">
      <c r="A26" s="300" t="s">
        <v>124</v>
      </c>
      <c r="B26" s="301"/>
      <c r="C26" s="302"/>
      <c r="D26" s="67">
        <f>+E18</f>
        <v>85104</v>
      </c>
      <c r="E26" s="74">
        <v>0.69850000000000001</v>
      </c>
      <c r="F26" s="73">
        <f>PRODUCT(D26*E26)</f>
        <v>59445.144</v>
      </c>
      <c r="G26">
        <v>14</v>
      </c>
      <c r="H26" s="67">
        <f>PRODUCT(0.14,F26)</f>
        <v>8322.3201600000011</v>
      </c>
      <c r="I26" s="303">
        <f t="shared" ref="I26:I31" si="0">SUM(H26,F26)</f>
        <v>67767.464160000003</v>
      </c>
      <c r="J26" s="304"/>
    </row>
    <row r="27" spans="1:10" ht="15">
      <c r="A27" s="300" t="s">
        <v>125</v>
      </c>
      <c r="B27" s="301"/>
      <c r="C27" s="302"/>
      <c r="D27" s="67">
        <f>+E19</f>
        <v>54239</v>
      </c>
      <c r="E27" s="74">
        <v>1.3304</v>
      </c>
      <c r="F27" s="73">
        <f>PRODUCT(D27*E27)</f>
        <v>72159.565600000002</v>
      </c>
      <c r="G27">
        <v>14</v>
      </c>
      <c r="H27" s="67">
        <f>PRODUCT(0.14,F27)</f>
        <v>10102.339184</v>
      </c>
      <c r="I27" s="303">
        <f>SUM(H27,F27)</f>
        <v>82261.904783999998</v>
      </c>
      <c r="J27" s="304"/>
    </row>
    <row r="28" spans="1:10" ht="15">
      <c r="A28" s="300" t="s">
        <v>126</v>
      </c>
      <c r="B28" s="301"/>
      <c r="C28" s="302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3">
        <f t="shared" si="0"/>
        <v>50025.103799999997</v>
      </c>
      <c r="J28" s="304"/>
    </row>
    <row r="29" spans="1:10" ht="15">
      <c r="A29" s="313" t="s">
        <v>127</v>
      </c>
      <c r="B29" s="314"/>
      <c r="C29" s="315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6">
        <f t="shared" si="0"/>
        <v>0</v>
      </c>
      <c r="J29" s="317"/>
    </row>
    <row r="30" spans="1:10" ht="15">
      <c r="A30" s="300" t="s">
        <v>128</v>
      </c>
      <c r="B30" s="301"/>
      <c r="C30" s="302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3">
        <f>SUM(H30,F30)</f>
        <v>1009.2</v>
      </c>
      <c r="J30" s="304"/>
    </row>
    <row r="31" spans="1:10" ht="15.75" thickBot="1">
      <c r="A31" s="305" t="s">
        <v>129</v>
      </c>
      <c r="B31" s="306"/>
      <c r="C31" s="307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3">
        <f t="shared" si="0"/>
        <v>1596.44</v>
      </c>
      <c r="J31" s="304"/>
    </row>
    <row r="32" spans="1:10" ht="21">
      <c r="A32" s="308" t="s">
        <v>130</v>
      </c>
      <c r="B32" s="309"/>
      <c r="C32" s="309"/>
      <c r="D32" s="309"/>
      <c r="E32" s="309"/>
      <c r="F32" s="84">
        <f>SUM(F25:F31)</f>
        <v>289205.48600000003</v>
      </c>
      <c r="G32" s="85"/>
      <c r="H32" s="86"/>
      <c r="I32" s="312">
        <f>SUM(I25:J31)</f>
        <v>329640.27403999999</v>
      </c>
      <c r="J32" s="312"/>
    </row>
    <row r="33" spans="1:10" ht="21.75" thickBot="1">
      <c r="A33" s="310"/>
      <c r="B33" s="311"/>
      <c r="C33" s="311"/>
      <c r="D33" s="311"/>
      <c r="E33" s="311"/>
      <c r="F33" s="87"/>
      <c r="G33" s="88"/>
      <c r="H33" s="89"/>
      <c r="I33" s="312"/>
      <c r="J33" s="312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0"/>
      <c r="B1" s="272"/>
      <c r="C1" s="357" t="s">
        <v>131</v>
      </c>
      <c r="D1" s="358"/>
      <c r="E1" s="358"/>
      <c r="F1" s="358"/>
      <c r="G1" s="358"/>
      <c r="H1" s="363" t="s">
        <v>88</v>
      </c>
      <c r="I1" s="364"/>
      <c r="J1" s="365"/>
    </row>
    <row r="2" spans="1:10" ht="16.5" customHeight="1" thickBot="1">
      <c r="A2" s="273"/>
      <c r="B2" s="275"/>
      <c r="C2" s="359"/>
      <c r="D2" s="360"/>
      <c r="E2" s="360"/>
      <c r="F2" s="360"/>
      <c r="G2" s="360"/>
      <c r="H2" s="366"/>
      <c r="I2" s="367"/>
      <c r="J2" s="368"/>
    </row>
    <row r="3" spans="1:10" ht="15" customHeight="1">
      <c r="A3" s="273"/>
      <c r="B3" s="275"/>
      <c r="C3" s="359"/>
      <c r="D3" s="360"/>
      <c r="E3" s="360"/>
      <c r="F3" s="360"/>
      <c r="G3" s="360"/>
      <c r="H3" s="369" t="s">
        <v>89</v>
      </c>
      <c r="I3" s="370"/>
      <c r="J3" s="371"/>
    </row>
    <row r="4" spans="1:10" ht="15.75" customHeight="1" thickBot="1">
      <c r="A4" s="276"/>
      <c r="B4" s="278"/>
      <c r="C4" s="361"/>
      <c r="D4" s="362"/>
      <c r="E4" s="362"/>
      <c r="F4" s="362"/>
      <c r="G4" s="362"/>
      <c r="H4" s="372"/>
      <c r="I4" s="373"/>
      <c r="J4" s="374"/>
    </row>
    <row r="6" spans="1:10" ht="33" customHeight="1" thickBot="1"/>
    <row r="7" spans="1:10" ht="36.75" thickTop="1">
      <c r="A7" s="375" t="s">
        <v>90</v>
      </c>
      <c r="B7" s="375"/>
      <c r="C7" s="376" t="s">
        <v>91</v>
      </c>
      <c r="D7" s="377"/>
      <c r="E7" s="61" t="s">
        <v>92</v>
      </c>
      <c r="F7" s="61" t="s">
        <v>93</v>
      </c>
      <c r="G7" s="61" t="s">
        <v>94</v>
      </c>
      <c r="H7" s="61" t="s">
        <v>95</v>
      </c>
      <c r="I7" s="378" t="s">
        <v>96</v>
      </c>
      <c r="J7" s="379"/>
    </row>
    <row r="8" spans="1:10">
      <c r="A8" s="346">
        <v>95670781</v>
      </c>
      <c r="B8" s="346"/>
      <c r="C8" s="350">
        <v>44297</v>
      </c>
      <c r="D8" s="351"/>
      <c r="E8" s="113">
        <v>44327</v>
      </c>
      <c r="F8" s="163" t="s">
        <v>132</v>
      </c>
      <c r="G8" s="62"/>
      <c r="H8" s="62"/>
      <c r="I8" s="352"/>
      <c r="J8" s="353"/>
    </row>
    <row r="10" spans="1:10" ht="23.25" customHeight="1" thickBot="1"/>
    <row r="11" spans="1:10" ht="24.75" customHeight="1" thickTop="1">
      <c r="A11" s="330" t="s">
        <v>98</v>
      </c>
      <c r="B11" s="330"/>
      <c r="C11" s="354" t="s">
        <v>99</v>
      </c>
      <c r="D11" s="355"/>
      <c r="E11" s="330" t="s">
        <v>100</v>
      </c>
      <c r="F11" s="330"/>
      <c r="G11" s="354" t="s">
        <v>101</v>
      </c>
      <c r="H11" s="355"/>
      <c r="I11" s="356" t="s">
        <v>102</v>
      </c>
      <c r="J11" s="356"/>
    </row>
    <row r="12" spans="1:10">
      <c r="A12" s="346" t="s">
        <v>103</v>
      </c>
      <c r="B12" s="346"/>
      <c r="C12" s="346">
        <v>3750</v>
      </c>
      <c r="D12" s="346"/>
      <c r="E12" s="346">
        <v>1000</v>
      </c>
      <c r="F12" s="346"/>
      <c r="G12" s="347">
        <v>712</v>
      </c>
      <c r="H12" s="347"/>
      <c r="I12" s="348"/>
      <c r="J12" s="348"/>
    </row>
    <row r="13" spans="1:10">
      <c r="A13" s="349"/>
      <c r="B13" s="432"/>
      <c r="C13" s="432"/>
      <c r="D13" s="432"/>
      <c r="E13" s="432"/>
      <c r="F13" s="432"/>
      <c r="G13" s="432"/>
      <c r="H13" s="432"/>
      <c r="I13" s="432"/>
      <c r="J13" s="432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43" t="s">
        <v>108</v>
      </c>
      <c r="H16" s="343"/>
      <c r="I16" s="344" t="s">
        <v>109</v>
      </c>
      <c r="J16" s="345"/>
    </row>
    <row r="17" spans="1:10">
      <c r="A17" s="335" t="s">
        <v>110</v>
      </c>
      <c r="B17" s="336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7"/>
      <c r="H17" s="338"/>
      <c r="I17" s="337">
        <f>+E17</f>
        <v>6887</v>
      </c>
      <c r="J17" s="338"/>
    </row>
    <row r="18" spans="1:10">
      <c r="A18" s="335" t="s">
        <v>111</v>
      </c>
      <c r="B18" s="336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7"/>
      <c r="H18" s="338"/>
      <c r="I18" s="337">
        <f>+E18</f>
        <v>3799</v>
      </c>
      <c r="J18" s="338"/>
    </row>
    <row r="19" spans="1:10">
      <c r="A19" s="335" t="s">
        <v>112</v>
      </c>
      <c r="B19" s="336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7"/>
      <c r="H19" s="338"/>
      <c r="I19" s="337">
        <f>+E19</f>
        <v>3073</v>
      </c>
      <c r="J19" s="338"/>
    </row>
    <row r="20" spans="1:10" ht="15">
      <c r="A20" s="339" t="s">
        <v>113</v>
      </c>
      <c r="B20" s="340"/>
      <c r="C20" s="68"/>
      <c r="D20" s="69"/>
      <c r="E20" s="68">
        <f>SUM(E17:E19)</f>
        <v>13759</v>
      </c>
      <c r="F20" s="70"/>
      <c r="G20" s="341"/>
      <c r="H20" s="342"/>
      <c r="I20" s="341"/>
      <c r="J20" s="342"/>
    </row>
    <row r="21" spans="1:10">
      <c r="C21" s="110" t="s">
        <v>18</v>
      </c>
      <c r="D21" t="s">
        <v>114</v>
      </c>
      <c r="G21" s="322"/>
      <c r="H21" s="322"/>
    </row>
    <row r="22" spans="1:10" ht="13.5" thickBot="1">
      <c r="G22" s="323"/>
      <c r="H22" s="323"/>
    </row>
    <row r="23" spans="1:10" ht="13.5" thickTop="1">
      <c r="A23" s="324" t="s">
        <v>115</v>
      </c>
      <c r="B23" s="325"/>
      <c r="C23" s="326"/>
      <c r="D23" s="330" t="s">
        <v>116</v>
      </c>
      <c r="E23" s="330" t="s">
        <v>117</v>
      </c>
      <c r="F23" s="332" t="s">
        <v>118</v>
      </c>
      <c r="G23" s="334" t="s">
        <v>119</v>
      </c>
      <c r="H23" s="334"/>
      <c r="I23" s="318" t="s">
        <v>120</v>
      </c>
      <c r="J23" s="318"/>
    </row>
    <row r="24" spans="1:10">
      <c r="A24" s="327"/>
      <c r="B24" s="328"/>
      <c r="C24" s="329"/>
      <c r="D24" s="331"/>
      <c r="E24" s="331"/>
      <c r="F24" s="333"/>
      <c r="G24" s="164" t="s">
        <v>121</v>
      </c>
      <c r="H24" s="71" t="s">
        <v>122</v>
      </c>
      <c r="I24" s="318"/>
      <c r="J24" s="318"/>
    </row>
    <row r="25" spans="1:10" ht="15">
      <c r="A25" s="319" t="s">
        <v>123</v>
      </c>
      <c r="B25" s="320"/>
      <c r="C25" s="321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03">
        <f>SUM(H25,F25)</f>
        <v>7469.6126519999998</v>
      </c>
      <c r="J25" s="304"/>
    </row>
    <row r="26" spans="1:10" ht="15">
      <c r="A26" s="300" t="s">
        <v>124</v>
      </c>
      <c r="B26" s="301"/>
      <c r="C26" s="302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3">
        <f t="shared" ref="I26:I31" si="0">SUM(H26,F26)</f>
        <v>3025.1057100000003</v>
      </c>
      <c r="J26" s="304"/>
    </row>
    <row r="27" spans="1:10" ht="15">
      <c r="A27" s="300" t="s">
        <v>125</v>
      </c>
      <c r="B27" s="301"/>
      <c r="C27" s="302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3">
        <f>SUM(H27,F27)</f>
        <v>4660.6838879999996</v>
      </c>
      <c r="J27" s="304"/>
    </row>
    <row r="28" spans="1:10" ht="15">
      <c r="A28" s="300" t="s">
        <v>126</v>
      </c>
      <c r="B28" s="301"/>
      <c r="C28" s="302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3">
        <f t="shared" si="0"/>
        <v>50025.103799999997</v>
      </c>
      <c r="J28" s="304"/>
    </row>
    <row r="29" spans="1:10" ht="15">
      <c r="A29" s="313" t="s">
        <v>127</v>
      </c>
      <c r="B29" s="314"/>
      <c r="C29" s="315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6">
        <f t="shared" si="0"/>
        <v>0</v>
      </c>
      <c r="J29" s="317"/>
    </row>
    <row r="30" spans="1:10" ht="15">
      <c r="A30" s="300" t="s">
        <v>128</v>
      </c>
      <c r="B30" s="301"/>
      <c r="C30" s="302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3">
        <f>SUM(H30,F30)</f>
        <v>1009.2</v>
      </c>
      <c r="J30" s="304"/>
    </row>
    <row r="31" spans="1:10" ht="15.75" thickBot="1">
      <c r="A31" s="305" t="s">
        <v>129</v>
      </c>
      <c r="B31" s="306"/>
      <c r="C31" s="307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3">
        <f t="shared" si="0"/>
        <v>1596.44</v>
      </c>
      <c r="J31" s="304"/>
    </row>
    <row r="32" spans="1:10" ht="21">
      <c r="A32" s="308" t="s">
        <v>130</v>
      </c>
      <c r="B32" s="309"/>
      <c r="C32" s="309"/>
      <c r="D32" s="309"/>
      <c r="E32" s="309"/>
      <c r="F32" s="84">
        <f>SUM(F25:F31)</f>
        <v>59508.8825</v>
      </c>
      <c r="G32" s="85"/>
      <c r="H32" s="86"/>
      <c r="I32" s="312">
        <f>SUM(I25:J31)</f>
        <v>67786.146049999996</v>
      </c>
      <c r="J32" s="312"/>
    </row>
    <row r="33" spans="1:10" ht="21.75" thickBot="1">
      <c r="A33" s="310"/>
      <c r="B33" s="311"/>
      <c r="C33" s="311"/>
      <c r="D33" s="311"/>
      <c r="E33" s="311"/>
      <c r="F33" s="87"/>
      <c r="G33" s="88"/>
      <c r="H33" s="89"/>
      <c r="I33" s="312"/>
      <c r="J33" s="312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A12" sqref="A12:H12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0"/>
      <c r="B1" s="357" t="s">
        <v>133</v>
      </c>
      <c r="C1" s="358"/>
      <c r="D1" s="358"/>
      <c r="E1" s="358"/>
      <c r="F1" s="403" t="s">
        <v>88</v>
      </c>
      <c r="G1" s="404"/>
      <c r="H1" s="405"/>
    </row>
    <row r="2" spans="1:8" ht="15.75" customHeight="1" thickBot="1">
      <c r="A2" s="401"/>
      <c r="B2" s="359"/>
      <c r="C2" s="360"/>
      <c r="D2" s="360"/>
      <c r="E2" s="360"/>
      <c r="F2" s="406"/>
      <c r="G2" s="407"/>
      <c r="H2" s="408"/>
    </row>
    <row r="3" spans="1:8" ht="15" customHeight="1">
      <c r="A3" s="401"/>
      <c r="B3" s="359"/>
      <c r="C3" s="360"/>
      <c r="D3" s="360"/>
      <c r="E3" s="360"/>
      <c r="F3" s="403" t="s">
        <v>89</v>
      </c>
      <c r="G3" s="404"/>
      <c r="H3" s="405"/>
    </row>
    <row r="4" spans="1:8" ht="15.75" customHeight="1" thickBot="1">
      <c r="A4" s="402"/>
      <c r="B4" s="361"/>
      <c r="C4" s="362"/>
      <c r="D4" s="362"/>
      <c r="E4" s="362"/>
      <c r="F4" s="409"/>
      <c r="G4" s="410"/>
      <c r="H4" s="41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130607.9</v>
      </c>
      <c r="D8" s="97">
        <v>44166</v>
      </c>
      <c r="E8" s="96">
        <v>132699</v>
      </c>
      <c r="F8" s="97">
        <v>44562</v>
      </c>
      <c r="G8" s="98">
        <f>E8-C8</f>
        <v>2091.1000000000058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2" t="s">
        <v>116</v>
      </c>
      <c r="C10" s="413"/>
      <c r="D10" s="414" t="s">
        <v>139</v>
      </c>
      <c r="E10" s="414"/>
      <c r="F10" s="412" t="s">
        <v>140</v>
      </c>
      <c r="G10" s="415"/>
      <c r="H10" s="413"/>
    </row>
    <row r="11" spans="1:8" ht="1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143</v>
      </c>
      <c r="B13" s="395">
        <f>G8</f>
        <v>2091.1000000000058</v>
      </c>
      <c r="C13" s="395"/>
      <c r="D13" s="395">
        <v>8.7899999999999991</v>
      </c>
      <c r="E13" s="395"/>
      <c r="F13" s="399">
        <f>PRODUCT(D13,B13)</f>
        <v>18380.769000000051</v>
      </c>
      <c r="G13" s="399"/>
      <c r="H13" s="399"/>
    </row>
    <row r="14" spans="1:8" ht="45" customHeight="1">
      <c r="A14" s="396" t="s">
        <v>144</v>
      </c>
      <c r="B14" s="396"/>
      <c r="C14" s="396"/>
      <c r="D14" s="396"/>
      <c r="E14" s="396"/>
      <c r="F14" s="396"/>
      <c r="G14" s="396"/>
      <c r="H14" s="396"/>
    </row>
    <row r="15" spans="1:8">
      <c r="A15" s="397"/>
      <c r="B15" s="397"/>
      <c r="C15" s="397"/>
      <c r="D15" s="397"/>
      <c r="E15" s="397"/>
      <c r="F15" s="397"/>
      <c r="G15" s="397"/>
      <c r="H15" s="397"/>
    </row>
    <row r="16" spans="1:8" ht="1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>
      <c r="A19" s="103" t="s">
        <v>148</v>
      </c>
      <c r="B19" s="395">
        <f>G8</f>
        <v>2091.1000000000058</v>
      </c>
      <c r="C19" s="395"/>
      <c r="D19" s="395">
        <v>2.61</v>
      </c>
      <c r="E19" s="395"/>
      <c r="F19" s="395">
        <f>PRODUCT(D19,B19)</f>
        <v>5457.7710000000152</v>
      </c>
      <c r="G19" s="395"/>
      <c r="H19" s="395"/>
    </row>
    <row r="20" spans="1:8" ht="18.75">
      <c r="A20" s="391" t="s">
        <v>149</v>
      </c>
      <c r="B20" s="392"/>
      <c r="C20" s="392"/>
      <c r="D20" s="392"/>
      <c r="E20" s="393"/>
      <c r="F20" s="394">
        <f>SUM(F11+F13+F16+F17+F18+F19)</f>
        <v>23861.540000000066</v>
      </c>
      <c r="G20" s="394"/>
      <c r="H20" s="394"/>
    </row>
    <row r="21" spans="1:8" ht="15">
      <c r="A21" s="380" t="s">
        <v>150</v>
      </c>
      <c r="B21" s="381"/>
      <c r="C21" s="381"/>
      <c r="D21" s="381"/>
      <c r="E21" s="382"/>
      <c r="F21" s="395">
        <f>PRODUCT(F20,0.07)</f>
        <v>1670.3078000000048</v>
      </c>
      <c r="G21" s="395"/>
      <c r="H21" s="395"/>
    </row>
    <row r="22" spans="1:8" ht="15">
      <c r="A22" s="433" t="s">
        <v>151</v>
      </c>
      <c r="B22" s="434"/>
      <c r="C22" s="434"/>
      <c r="D22" s="434"/>
      <c r="E22" s="435"/>
      <c r="F22" s="395">
        <v>208.26</v>
      </c>
      <c r="G22" s="395"/>
      <c r="H22" s="395"/>
    </row>
    <row r="23" spans="1:8" ht="15.75">
      <c r="A23" s="380" t="s">
        <v>152</v>
      </c>
      <c r="B23" s="381"/>
      <c r="C23" s="381"/>
      <c r="D23" s="381"/>
      <c r="E23" s="382"/>
      <c r="F23" s="383">
        <f>SUM(F21:H22)</f>
        <v>1878.5678000000048</v>
      </c>
      <c r="G23" s="383"/>
      <c r="H23" s="383"/>
    </row>
    <row r="24" spans="1:8">
      <c r="A24" s="384" t="s">
        <v>153</v>
      </c>
      <c r="B24" s="385"/>
      <c r="C24" s="385"/>
      <c r="D24" s="385"/>
      <c r="E24" s="386"/>
      <c r="F24" s="390">
        <f>SUM(F20,F23)</f>
        <v>25740.107800000071</v>
      </c>
      <c r="G24" s="390"/>
      <c r="H24" s="390"/>
    </row>
    <row r="25" spans="1:8">
      <c r="A25" s="387"/>
      <c r="B25" s="388"/>
      <c r="C25" s="388"/>
      <c r="D25" s="388"/>
      <c r="E25" s="389"/>
      <c r="F25" s="390"/>
      <c r="G25" s="390"/>
      <c r="H25" s="390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0"/>
      <c r="B1" s="357" t="s">
        <v>133</v>
      </c>
      <c r="C1" s="358"/>
      <c r="D1" s="358"/>
      <c r="E1" s="358"/>
      <c r="F1" s="403" t="s">
        <v>88</v>
      </c>
      <c r="G1" s="404"/>
      <c r="H1" s="405"/>
    </row>
    <row r="2" spans="1:8" ht="15.75" customHeight="1" thickBot="1">
      <c r="A2" s="401"/>
      <c r="B2" s="359"/>
      <c r="C2" s="360"/>
      <c r="D2" s="360"/>
      <c r="E2" s="360"/>
      <c r="F2" s="406"/>
      <c r="G2" s="407"/>
      <c r="H2" s="408"/>
    </row>
    <row r="3" spans="1:8" ht="15" customHeight="1">
      <c r="A3" s="401"/>
      <c r="B3" s="359"/>
      <c r="C3" s="360"/>
      <c r="D3" s="360"/>
      <c r="E3" s="360"/>
      <c r="F3" s="403" t="s">
        <v>89</v>
      </c>
      <c r="G3" s="404"/>
      <c r="H3" s="405"/>
    </row>
    <row r="4" spans="1:8" ht="15.75" customHeight="1" thickBot="1">
      <c r="A4" s="402"/>
      <c r="B4" s="361"/>
      <c r="C4" s="362"/>
      <c r="D4" s="362"/>
      <c r="E4" s="362"/>
      <c r="F4" s="409"/>
      <c r="G4" s="410"/>
      <c r="H4" s="41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2" t="s">
        <v>116</v>
      </c>
      <c r="C10" s="413"/>
      <c r="D10" s="414" t="s">
        <v>139</v>
      </c>
      <c r="E10" s="414"/>
      <c r="F10" s="412" t="s">
        <v>140</v>
      </c>
      <c r="G10" s="415"/>
      <c r="H10" s="413"/>
    </row>
    <row r="11" spans="1:8" ht="1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143</v>
      </c>
      <c r="B13" s="395">
        <f>G8</f>
        <v>119.80000000000291</v>
      </c>
      <c r="C13" s="395"/>
      <c r="D13" s="395">
        <v>8.5</v>
      </c>
      <c r="E13" s="395"/>
      <c r="F13" s="399">
        <f>PRODUCT(D13,B13)</f>
        <v>1018.3000000000247</v>
      </c>
      <c r="G13" s="399"/>
      <c r="H13" s="399"/>
    </row>
    <row r="14" spans="1:8" ht="45" customHeight="1">
      <c r="A14" s="396" t="s">
        <v>144</v>
      </c>
      <c r="B14" s="396"/>
      <c r="C14" s="396"/>
      <c r="D14" s="396"/>
      <c r="E14" s="396"/>
      <c r="F14" s="396"/>
      <c r="G14" s="396"/>
      <c r="H14" s="396"/>
    </row>
    <row r="15" spans="1:8">
      <c r="A15" s="397"/>
      <c r="B15" s="397"/>
      <c r="C15" s="397"/>
      <c r="D15" s="397"/>
      <c r="E15" s="397"/>
      <c r="F15" s="397"/>
      <c r="G15" s="397"/>
      <c r="H15" s="397"/>
    </row>
    <row r="16" spans="1:8" ht="1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>
      <c r="A19" s="103" t="s">
        <v>148</v>
      </c>
      <c r="B19" s="395">
        <v>0</v>
      </c>
      <c r="C19" s="395"/>
      <c r="D19" s="416">
        <v>0</v>
      </c>
      <c r="E19" s="417"/>
      <c r="F19" s="416">
        <v>0</v>
      </c>
      <c r="G19" s="417"/>
      <c r="H19" s="165"/>
    </row>
    <row r="20" spans="1:8" ht="15">
      <c r="A20" s="103" t="s">
        <v>154</v>
      </c>
      <c r="B20" s="395">
        <f>G8</f>
        <v>119.80000000000291</v>
      </c>
      <c r="C20" s="395"/>
      <c r="D20" s="395">
        <v>2.54</v>
      </c>
      <c r="E20" s="395"/>
      <c r="F20" s="395">
        <f>PRODUCT(D20,B20)</f>
        <v>304.29200000000742</v>
      </c>
      <c r="G20" s="395"/>
      <c r="H20" s="395"/>
    </row>
    <row r="21" spans="1:8" ht="18.75">
      <c r="A21" s="391" t="s">
        <v>149</v>
      </c>
      <c r="B21" s="392"/>
      <c r="C21" s="392"/>
      <c r="D21" s="392"/>
      <c r="E21" s="393"/>
      <c r="F21" s="394">
        <f>SUM(F11+F13+F16+F17+F18+F20)</f>
        <v>1345.5920000000322</v>
      </c>
      <c r="G21" s="394"/>
      <c r="H21" s="394"/>
    </row>
    <row r="22" spans="1:8" ht="15">
      <c r="A22" s="380" t="s">
        <v>150</v>
      </c>
      <c r="B22" s="381"/>
      <c r="C22" s="381"/>
      <c r="D22" s="381"/>
      <c r="E22" s="382"/>
      <c r="F22" s="395">
        <f>PRODUCT(F21,0.07)</f>
        <v>94.19144000000226</v>
      </c>
      <c r="G22" s="395"/>
      <c r="H22" s="395"/>
    </row>
    <row r="23" spans="1:8" ht="15">
      <c r="A23" s="433" t="s">
        <v>151</v>
      </c>
      <c r="B23" s="434"/>
      <c r="C23" s="434"/>
      <c r="D23" s="434"/>
      <c r="E23" s="435"/>
      <c r="F23" s="395">
        <v>208.26</v>
      </c>
      <c r="G23" s="395"/>
      <c r="H23" s="395"/>
    </row>
    <row r="24" spans="1:8" ht="15.75">
      <c r="A24" s="380" t="s">
        <v>152</v>
      </c>
      <c r="B24" s="381"/>
      <c r="C24" s="381"/>
      <c r="D24" s="381"/>
      <c r="E24" s="382"/>
      <c r="F24" s="383">
        <f>SUM(F22:H23)</f>
        <v>302.45144000000226</v>
      </c>
      <c r="G24" s="383"/>
      <c r="H24" s="383"/>
    </row>
    <row r="25" spans="1:8">
      <c r="A25" s="384" t="s">
        <v>153</v>
      </c>
      <c r="B25" s="385"/>
      <c r="C25" s="385"/>
      <c r="D25" s="385"/>
      <c r="E25" s="386"/>
      <c r="F25" s="390">
        <f>SUM(F21,F24)</f>
        <v>1648.0434400000345</v>
      </c>
      <c r="G25" s="390"/>
      <c r="H25" s="390"/>
    </row>
    <row r="26" spans="1:8">
      <c r="A26" s="387"/>
      <c r="B26" s="388"/>
      <c r="C26" s="388"/>
      <c r="D26" s="388"/>
      <c r="E26" s="389"/>
      <c r="F26" s="390"/>
      <c r="G26" s="390"/>
      <c r="H26" s="390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0"/>
      <c r="B1" s="357" t="s">
        <v>155</v>
      </c>
      <c r="C1" s="358"/>
      <c r="D1" s="358"/>
      <c r="E1" s="358"/>
      <c r="F1" s="403" t="s">
        <v>88</v>
      </c>
      <c r="G1" s="404"/>
      <c r="H1" s="405"/>
    </row>
    <row r="2" spans="1:8" ht="15.75" customHeight="1" thickBot="1">
      <c r="A2" s="401"/>
      <c r="B2" s="359"/>
      <c r="C2" s="360"/>
      <c r="D2" s="360"/>
      <c r="E2" s="360"/>
      <c r="F2" s="406"/>
      <c r="G2" s="407"/>
      <c r="H2" s="408"/>
    </row>
    <row r="3" spans="1:8" ht="15" customHeight="1">
      <c r="A3" s="401"/>
      <c r="B3" s="359"/>
      <c r="C3" s="360"/>
      <c r="D3" s="360"/>
      <c r="E3" s="360"/>
      <c r="F3" s="403" t="s">
        <v>89</v>
      </c>
      <c r="G3" s="404"/>
      <c r="H3" s="405"/>
    </row>
    <row r="4" spans="1:8" ht="15.75" customHeight="1" thickBot="1">
      <c r="A4" s="402"/>
      <c r="B4" s="361"/>
      <c r="C4" s="362"/>
      <c r="D4" s="362"/>
      <c r="E4" s="362"/>
      <c r="F4" s="409"/>
      <c r="G4" s="410"/>
      <c r="H4" s="41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44531</v>
      </c>
      <c r="E8" s="96">
        <v>2560</v>
      </c>
      <c r="F8" s="97">
        <v>44562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2" t="s">
        <v>116</v>
      </c>
      <c r="C10" s="413"/>
      <c r="D10" s="414" t="s">
        <v>139</v>
      </c>
      <c r="E10" s="414"/>
      <c r="F10" s="412" t="s">
        <v>140</v>
      </c>
      <c r="G10" s="415"/>
      <c r="H10" s="413"/>
    </row>
    <row r="11" spans="1:8" ht="15">
      <c r="A11" s="102" t="s">
        <v>141</v>
      </c>
      <c r="B11" s="395"/>
      <c r="C11" s="395"/>
      <c r="D11" s="395"/>
      <c r="E11" s="395"/>
      <c r="F11" s="395">
        <v>15</v>
      </c>
      <c r="G11" s="395"/>
      <c r="H11" s="395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156</v>
      </c>
      <c r="B13" s="395">
        <f>G8</f>
        <v>0</v>
      </c>
      <c r="C13" s="395"/>
      <c r="D13" s="395">
        <v>16.48</v>
      </c>
      <c r="E13" s="395"/>
      <c r="F13" s="399">
        <f>PRODUCT(D13,B13)</f>
        <v>0</v>
      </c>
      <c r="G13" s="399"/>
      <c r="H13" s="399"/>
    </row>
    <row r="14" spans="1:8" ht="15">
      <c r="A14" s="102" t="s">
        <v>157</v>
      </c>
      <c r="B14" s="416"/>
      <c r="C14" s="417"/>
      <c r="D14" s="416"/>
      <c r="E14" s="417"/>
      <c r="F14" s="416"/>
      <c r="G14" s="417"/>
      <c r="H14" s="111"/>
    </row>
    <row r="15" spans="1:8" ht="15">
      <c r="A15" s="102" t="s">
        <v>158</v>
      </c>
      <c r="B15" s="416"/>
      <c r="C15" s="417"/>
      <c r="D15" s="416"/>
      <c r="E15" s="417"/>
      <c r="F15" s="416"/>
      <c r="G15" s="417"/>
      <c r="H15" s="111"/>
    </row>
    <row r="16" spans="1:8" ht="15">
      <c r="A16" s="102" t="s">
        <v>159</v>
      </c>
      <c r="B16" s="416"/>
      <c r="C16" s="417"/>
      <c r="D16" s="416"/>
      <c r="E16" s="417"/>
      <c r="F16" s="416"/>
      <c r="G16" s="417"/>
      <c r="H16" s="111"/>
    </row>
    <row r="17" spans="1:8" ht="15">
      <c r="A17" s="102" t="s">
        <v>160</v>
      </c>
      <c r="B17" s="416"/>
      <c r="C17" s="417"/>
      <c r="D17" s="416"/>
      <c r="E17" s="417"/>
      <c r="F17" s="416"/>
      <c r="G17" s="417"/>
      <c r="H17" s="111"/>
    </row>
    <row r="18" spans="1:8" ht="45" customHeight="1">
      <c r="A18" s="396" t="s">
        <v>144</v>
      </c>
      <c r="B18" s="396"/>
      <c r="C18" s="396"/>
      <c r="D18" s="396"/>
      <c r="E18" s="396"/>
      <c r="F18" s="396"/>
      <c r="G18" s="396"/>
      <c r="H18" s="396"/>
    </row>
    <row r="19" spans="1:8">
      <c r="A19" s="397"/>
      <c r="B19" s="397"/>
      <c r="C19" s="397"/>
      <c r="D19" s="397"/>
      <c r="E19" s="397"/>
      <c r="F19" s="397"/>
      <c r="G19" s="397"/>
      <c r="H19" s="397"/>
    </row>
    <row r="20" spans="1:8" ht="15">
      <c r="A20" s="103" t="s">
        <v>145</v>
      </c>
      <c r="B20" s="395">
        <v>0</v>
      </c>
      <c r="C20" s="395"/>
      <c r="D20" s="395">
        <v>0</v>
      </c>
      <c r="E20" s="395"/>
      <c r="F20" s="395">
        <f>PRODUCT(D20,B20)</f>
        <v>0</v>
      </c>
      <c r="G20" s="395"/>
      <c r="H20" s="395"/>
    </row>
    <row r="21" spans="1:8" ht="15">
      <c r="A21" s="103" t="s">
        <v>146</v>
      </c>
      <c r="B21" s="395">
        <v>0</v>
      </c>
      <c r="C21" s="395"/>
      <c r="D21" s="395">
        <v>0</v>
      </c>
      <c r="E21" s="395"/>
      <c r="F21" s="395">
        <f>PRODUCT(D21,B21)</f>
        <v>0</v>
      </c>
      <c r="G21" s="395"/>
      <c r="H21" s="395"/>
    </row>
    <row r="22" spans="1:8" ht="15">
      <c r="A22" s="103" t="s">
        <v>147</v>
      </c>
      <c r="B22" s="395">
        <v>0</v>
      </c>
      <c r="C22" s="395"/>
      <c r="D22" s="395">
        <v>0</v>
      </c>
      <c r="E22" s="395"/>
      <c r="F22" s="395">
        <f>PRODUCT(D22,B22)</f>
        <v>0</v>
      </c>
      <c r="G22" s="395"/>
      <c r="H22" s="395"/>
    </row>
    <row r="23" spans="1:8" ht="15">
      <c r="A23" s="103" t="s">
        <v>148</v>
      </c>
      <c r="B23" s="395">
        <f>G8</f>
        <v>0</v>
      </c>
      <c r="C23" s="395"/>
      <c r="D23" s="395">
        <v>0</v>
      </c>
      <c r="E23" s="395"/>
      <c r="F23" s="395">
        <f>PRODUCT(D23,B23)</f>
        <v>0</v>
      </c>
      <c r="G23" s="395"/>
      <c r="H23" s="395"/>
    </row>
    <row r="24" spans="1:8" ht="15">
      <c r="A24" s="103" t="s">
        <v>154</v>
      </c>
      <c r="B24" s="416">
        <v>0</v>
      </c>
      <c r="C24" s="417"/>
      <c r="D24" s="416">
        <v>2.54</v>
      </c>
      <c r="E24" s="417"/>
      <c r="F24" s="416">
        <f>B24*D24</f>
        <v>0</v>
      </c>
      <c r="G24" s="417"/>
      <c r="H24" s="165"/>
    </row>
    <row r="25" spans="1:8" ht="18.75">
      <c r="A25" s="391" t="s">
        <v>149</v>
      </c>
      <c r="B25" s="392"/>
      <c r="C25" s="392"/>
      <c r="D25" s="392"/>
      <c r="E25" s="393"/>
      <c r="F25" s="418">
        <f>SUM(F11+F13+F20+F21+F22+F23)</f>
        <v>15</v>
      </c>
      <c r="G25" s="394"/>
      <c r="H25" s="394"/>
    </row>
    <row r="26" spans="1:8" ht="15">
      <c r="A26" s="380" t="s">
        <v>150</v>
      </c>
      <c r="B26" s="381"/>
      <c r="C26" s="381"/>
      <c r="D26" s="381"/>
      <c r="E26" s="382"/>
      <c r="F26" s="395">
        <v>63.63</v>
      </c>
      <c r="G26" s="395"/>
      <c r="H26" s="395"/>
    </row>
    <row r="27" spans="1:8" ht="15">
      <c r="A27" s="433" t="s">
        <v>151</v>
      </c>
      <c r="B27" s="434"/>
      <c r="C27" s="434"/>
      <c r="D27" s="434"/>
      <c r="E27" s="435"/>
      <c r="F27" s="395">
        <v>2.4300000000000002</v>
      </c>
      <c r="G27" s="395"/>
      <c r="H27" s="395"/>
    </row>
    <row r="28" spans="1:8" ht="15.75">
      <c r="A28" s="380" t="s">
        <v>152</v>
      </c>
      <c r="B28" s="381"/>
      <c r="C28" s="381"/>
      <c r="D28" s="381"/>
      <c r="E28" s="382"/>
      <c r="F28" s="383">
        <f>SUM(F26:H27)</f>
        <v>66.06</v>
      </c>
      <c r="G28" s="383"/>
      <c r="H28" s="383"/>
    </row>
    <row r="29" spans="1:8">
      <c r="A29" s="384" t="s">
        <v>153</v>
      </c>
      <c r="B29" s="385"/>
      <c r="C29" s="385"/>
      <c r="D29" s="385"/>
      <c r="E29" s="386"/>
      <c r="F29" s="390">
        <f>SUM(F25,F28)</f>
        <v>81.06</v>
      </c>
      <c r="G29" s="390"/>
      <c r="H29" s="390"/>
    </row>
    <row r="30" spans="1:8">
      <c r="A30" s="387"/>
      <c r="B30" s="388"/>
      <c r="C30" s="388"/>
      <c r="D30" s="388"/>
      <c r="E30" s="389"/>
      <c r="F30" s="390"/>
      <c r="G30" s="390"/>
      <c r="H30" s="390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6" zoomScaleNormal="100" workbookViewId="0">
      <selection activeCell="E26" sqref="E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9" t="s">
        <v>161</v>
      </c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182</v>
      </c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4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23" zoomScaleNormal="100" workbookViewId="0">
      <selection activeCell="C26" sqref="C26:N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9" t="s">
        <v>183</v>
      </c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9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184</v>
      </c>
      <c r="D16" s="430"/>
      <c r="E16" s="430"/>
      <c r="F16" s="430"/>
      <c r="G16" s="430"/>
      <c r="H16" s="430"/>
      <c r="I16" s="430"/>
      <c r="J16" s="430"/>
      <c r="K16" s="430"/>
      <c r="L16" s="430"/>
      <c r="M16" s="430"/>
      <c r="N16" s="431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9" zoomScaleNormal="100" workbookViewId="0">
      <selection activeCell="B26" sqref="B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9" t="s">
        <v>185</v>
      </c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186</v>
      </c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4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2022-01-11T10:58:30Z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