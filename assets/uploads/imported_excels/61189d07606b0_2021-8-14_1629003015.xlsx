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J16" i="2" l="1"/>
  <c r="I16" i="2"/>
  <c r="H16" i="2"/>
  <c r="F16" i="2"/>
  <c r="E16" i="2"/>
  <c r="L16" i="3"/>
  <c r="K16" i="3"/>
  <c r="I16" i="3"/>
  <c r="G16" i="3"/>
  <c r="E16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I26" i="2"/>
  <c r="H26" i="2"/>
  <c r="J26" i="2"/>
  <c r="F26" i="2"/>
  <c r="E26" i="2"/>
  <c r="L25" i="3" l="1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J20" i="2"/>
  <c r="I20" i="2"/>
  <c r="H20" i="2"/>
  <c r="F20" i="2"/>
  <c r="E20" i="2"/>
  <c r="E19" i="2"/>
  <c r="F19" i="2"/>
  <c r="H19" i="2"/>
  <c r="I19" i="2"/>
  <c r="J19" i="2"/>
  <c r="L19" i="3" l="1"/>
  <c r="K19" i="3"/>
  <c r="I19" i="3"/>
  <c r="G19" i="3"/>
  <c r="E19" i="3"/>
  <c r="L18" i="3" l="1"/>
  <c r="K18" i="3"/>
  <c r="I18" i="3"/>
  <c r="E18" i="3"/>
  <c r="G18" i="3" l="1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8" i="2" l="1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5" i="2" l="1"/>
  <c r="I25" i="2"/>
  <c r="H25" i="2"/>
  <c r="F25" i="2"/>
  <c r="E25" i="2"/>
  <c r="J24" i="2" l="1"/>
  <c r="I24" i="2"/>
  <c r="H24" i="2"/>
  <c r="F24" i="2"/>
  <c r="E24" i="2"/>
  <c r="J23" i="2" l="1"/>
  <c r="I23" i="2"/>
  <c r="H23" i="2"/>
  <c r="F23" i="2"/>
  <c r="E23" i="2"/>
  <c r="J22" i="2" l="1"/>
  <c r="I22" i="2"/>
  <c r="H22" i="2"/>
  <c r="F22" i="2"/>
  <c r="E22" i="2"/>
  <c r="J21" i="2" l="1"/>
  <c r="I21" i="2"/>
  <c r="H21" i="2"/>
  <c r="F21" i="2"/>
  <c r="E21" i="2"/>
  <c r="J18" i="2" l="1"/>
  <c r="I18" i="2"/>
  <c r="H18" i="2"/>
  <c r="F18" i="2"/>
  <c r="E18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<sst xmlns="http://schemas.openxmlformats.org/spreadsheetml/2006/main" count="107" uniqueCount="38">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</sst>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43" fontId="4" fillId="0" borderId="0" xfId="2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workbookViewId="0">
      <selection activeCell="P19" sqref="P1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9403</v>
      </c>
      <c r="F9" s="16">
        <v>0.11799999999999999</v>
      </c>
      <c r="G9" s="18">
        <f>'8 - 2021'!D15-'8 - 2021'!D14+'8 - 2021'!E15-'8 - 2021'!E14</f>
        <v>20.180000000000291</v>
      </c>
      <c r="H9" s="16">
        <v>0.99</v>
      </c>
      <c r="I9" s="18">
        <f>'8 - 2021'!J15-'8 - 2021'!J14</f>
        <v>42548</v>
      </c>
      <c r="J9" s="16">
        <v>8.1000000000000003E-2</v>
      </c>
      <c r="K9" s="34">
        <f>'8 - 2021'!H15-'8 - 2021'!H14</f>
        <v>0</v>
      </c>
      <c r="L9" s="18">
        <f>'8 - 2021'!I15-'8 - 2021'!I14</f>
        <v>86</v>
      </c>
      <c r="M9" s="17">
        <v>4.393629424766913</v>
      </c>
      <c r="N9" s="28">
        <v>27</v>
      </c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9040</v>
      </c>
      <c r="F10" s="16">
        <v>0.11799999999999999</v>
      </c>
      <c r="G10" s="18">
        <f>'8 - 2021'!D16-'8 - 2021'!D15+'8 - 2021'!E16-'8 - 2021'!E15</f>
        <v>23.940000000000509</v>
      </c>
      <c r="H10" s="16">
        <v>0.99</v>
      </c>
      <c r="I10" s="18">
        <f>'8 - 2021'!J16-'8 - 2021'!J15</f>
        <v>35816</v>
      </c>
      <c r="J10" s="16">
        <v>8.1000000000000003E-2</v>
      </c>
      <c r="K10" s="34">
        <f>'8 - 2021'!H16-'8 - 2021'!H15</f>
        <v>0</v>
      </c>
      <c r="L10" s="18">
        <f>'8 - 2021'!I16-'8 - 2021'!I15</f>
        <v>80</v>
      </c>
      <c r="M10" s="17">
        <v>4.393629424766913</v>
      </c>
      <c r="N10" s="28">
        <v>25</v>
      </c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9187</v>
      </c>
      <c r="F11" s="16">
        <v>0.11799999999999999</v>
      </c>
      <c r="G11" s="18">
        <f>'8 - 2021'!D17-'8 - 2021'!D16+'8 - 2021'!E17-'8 - 2021'!E16</f>
        <v>21.760000000000218</v>
      </c>
      <c r="H11" s="16">
        <v>0.99</v>
      </c>
      <c r="I11" s="18">
        <f>'8 - 2021'!J17-'8 - 2021'!J16</f>
        <v>32408</v>
      </c>
      <c r="J11" s="16">
        <v>8.1000000000000003E-2</v>
      </c>
      <c r="K11" s="34">
        <f>'8 - 2021'!H17-'8 - 2021'!H16</f>
        <v>0</v>
      </c>
      <c r="L11" s="18">
        <f>'8 - 2021'!I17-'8 - 2021'!I16</f>
        <v>85</v>
      </c>
      <c r="M11" s="17">
        <v>4.393629424766913</v>
      </c>
      <c r="N11" s="28">
        <v>24</v>
      </c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9020</v>
      </c>
      <c r="F12" s="16">
        <v>0.11799999999999999</v>
      </c>
      <c r="G12" s="18">
        <f>'8 - 2021'!D18-'8 - 2021'!D17+'8 - 2021'!E18-'8 - 2021'!E17</f>
        <v>22.249999999999091</v>
      </c>
      <c r="H12" s="16">
        <v>0.99</v>
      </c>
      <c r="I12" s="18">
        <f>'8 - 2021'!J18-'8 - 2021'!J17</f>
        <v>33051</v>
      </c>
      <c r="J12" s="16">
        <v>8.1000000000000003E-2</v>
      </c>
      <c r="K12" s="34">
        <f>'8 - 2021'!H18-'8 - 2021'!H17</f>
        <v>0</v>
      </c>
      <c r="L12" s="18">
        <f>'8 - 2021'!I18-'8 - 2021'!I17</f>
        <v>85</v>
      </c>
      <c r="M12" s="17">
        <v>4.393629424766913</v>
      </c>
      <c r="N12" s="18">
        <v>23</v>
      </c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9368</v>
      </c>
      <c r="F13" s="16">
        <v>0.11799999999999999</v>
      </c>
      <c r="G13" s="18">
        <f>'8 - 2021'!D19-'8 - 2021'!D18+'8 - 2021'!E19-'8 - 2021'!E18</f>
        <v>22.289999999999964</v>
      </c>
      <c r="H13" s="16">
        <v>0.99</v>
      </c>
      <c r="I13" s="18">
        <f>'8 - 2021'!J19-'8 - 2021'!J18</f>
        <v>36239</v>
      </c>
      <c r="J13" s="16">
        <v>8.1000000000000003E-2</v>
      </c>
      <c r="K13" s="34">
        <f>'8 - 2021'!H19-'8 - 2021'!H18</f>
        <v>0</v>
      </c>
      <c r="L13" s="18">
        <f>'8 - 2021'!I19-'8 - 2021'!I18</f>
        <v>100</v>
      </c>
      <c r="M13" s="17">
        <v>4.393629424766913</v>
      </c>
      <c r="N13" s="18">
        <v>27</v>
      </c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9737</v>
      </c>
      <c r="F14" s="16">
        <v>0.11799999999999999</v>
      </c>
      <c r="G14" s="18">
        <f>'8 - 2021'!D20-'8 - 2021'!D19+'8 - 2021'!E20-'8 - 2021'!E19</f>
        <v>22.889999999999418</v>
      </c>
      <c r="H14" s="16">
        <v>0.99</v>
      </c>
      <c r="I14" s="18">
        <f>'8 - 2021'!J20-'8 - 2021'!J19</f>
        <v>39810</v>
      </c>
      <c r="J14" s="16">
        <v>8.1000000000000003E-2</v>
      </c>
      <c r="K14" s="34">
        <f>'8 - 2021'!H20-'8 - 2021'!H19</f>
        <v>0</v>
      </c>
      <c r="L14" s="18">
        <f>'8 - 2021'!I20-'8 - 2021'!I19</f>
        <v>110</v>
      </c>
      <c r="M14" s="17">
        <v>4.393629424766913</v>
      </c>
      <c r="N14" s="18">
        <v>30</v>
      </c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9220</v>
      </c>
      <c r="F15" s="16">
        <v>0.11799999999999999</v>
      </c>
      <c r="G15" s="18">
        <f>'8 - 2021'!D21-'8 - 2021'!D20+'8 - 2021'!E21-'8 - 2021'!E20</f>
        <v>21.840000000000146</v>
      </c>
      <c r="H15" s="16">
        <v>0.99</v>
      </c>
      <c r="I15" s="18">
        <f>'8 - 2021'!J21-'8 - 2021'!J20</f>
        <v>41700</v>
      </c>
      <c r="J15" s="16">
        <v>8.1000000000000003E-2</v>
      </c>
      <c r="K15" s="34">
        <f>'8 - 2021'!H21-'8 - 2021'!H20</f>
        <v>0</v>
      </c>
      <c r="L15" s="18">
        <f>'8 - 2021'!I21-'8 - 2021'!I20</f>
        <v>120</v>
      </c>
      <c r="M15" s="17">
        <v>4.393629424766913</v>
      </c>
      <c r="N15" s="18">
        <v>29</v>
      </c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9783</v>
      </c>
      <c r="F16" s="16">
        <v>0.11799999999999999</v>
      </c>
      <c r="G16" s="18">
        <f>'8 - 2021'!D22-'8 - 2021'!D21+'8 - 2021'!E22-'8 - 2021'!E21</f>
        <v>23.499999999999091</v>
      </c>
      <c r="H16" s="16">
        <v>0.99</v>
      </c>
      <c r="I16" s="18">
        <f>'8 - 2021'!J22-'8 - 2021'!J21</f>
        <v>39800</v>
      </c>
      <c r="J16" s="16">
        <v>8.1000000000000003E-2</v>
      </c>
      <c r="K16" s="34">
        <f>'8 - 2021'!H22-'8 - 2021'!H21</f>
        <v>0</v>
      </c>
      <c r="L16" s="18">
        <f>'8 - 2021'!I22-'8 - 2021'!I21</f>
        <v>140</v>
      </c>
      <c r="M16" s="17">
        <v>4.393629424766913</v>
      </c>
      <c r="N16" s="18">
        <v>20</v>
      </c>
      <c r="U16" s="16"/>
    </row>
    <row r="17" spans="1:16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v>0</v>
      </c>
      <c r="F17" s="16">
        <v>0.11799999999999999</v>
      </c>
      <c r="G17" s="18">
        <v>0</v>
      </c>
      <c r="H17" s="16">
        <v>0.99</v>
      </c>
      <c r="I17" s="18">
        <v>0</v>
      </c>
      <c r="J17" s="16">
        <v>8.1000000000000003E-2</v>
      </c>
      <c r="K17" s="34">
        <v>0</v>
      </c>
      <c r="L17" s="18">
        <v>0</v>
      </c>
      <c r="M17" s="17">
        <v>4.393629424766913</v>
      </c>
      <c r="N17" s="18"/>
      <c r="O17" s="16"/>
    </row>
    <row r="18" spans="1:16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0</v>
      </c>
      <c r="F18" s="16">
        <v>0.11799999999999999</v>
      </c>
      <c r="G18" s="18">
        <f>'8 - 2021'!D24-'8 - 2021'!D23+'8 - 2021'!E24-'8 - 2021'!E23</f>
        <v>0</v>
      </c>
      <c r="H18" s="16">
        <v>0.99</v>
      </c>
      <c r="I18" s="18">
        <f>'8 - 2021'!J24-'8 - 2021'!J23</f>
        <v>0</v>
      </c>
      <c r="J18" s="16">
        <v>8.1000000000000003E-2</v>
      </c>
      <c r="K18" s="34">
        <f>'8 - 2021'!H24-'8 - 2021'!H23</f>
        <v>0</v>
      </c>
      <c r="L18" s="18">
        <f>'8 - 2021'!I24-'8 - 2021'!I23</f>
        <v>0</v>
      </c>
      <c r="M18" s="17">
        <v>4.393629424766913</v>
      </c>
      <c r="N18" s="18"/>
    </row>
    <row r="19" spans="1:16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0</v>
      </c>
      <c r="F19" s="16">
        <v>0.11799999999999999</v>
      </c>
      <c r="G19" s="18">
        <f>'8 - 2021'!D25-'8 - 2021'!D24+'8 - 2021'!E25-'8 - 2021'!E24</f>
        <v>0</v>
      </c>
      <c r="H19" s="16">
        <v>0.99</v>
      </c>
      <c r="I19" s="18">
        <f>'8 - 2021'!J25-'8 - 2021'!J24</f>
        <v>0</v>
      </c>
      <c r="J19" s="16">
        <v>8.1000000000000003E-2</v>
      </c>
      <c r="K19" s="34">
        <f>'8 - 2021'!H25-'8 - 2021'!H24</f>
        <v>0</v>
      </c>
      <c r="L19" s="18">
        <f>'8 - 2021'!I25-'8 - 2021'!I24</f>
        <v>0</v>
      </c>
      <c r="M19" s="17">
        <v>4.393629424766913</v>
      </c>
      <c r="N19" s="29"/>
    </row>
    <row r="20" spans="1:16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0</v>
      </c>
      <c r="F20" s="16">
        <v>0.11799999999999999</v>
      </c>
      <c r="G20" s="18">
        <f>'8 - 2021'!D26-'8 - 2021'!D25+'8 - 2021'!E26-'8 - 2021'!E25</f>
        <v>0</v>
      </c>
      <c r="H20" s="16">
        <v>0.99</v>
      </c>
      <c r="I20" s="18">
        <f>'8 - 2021'!J26-'8 - 2021'!J25</f>
        <v>0</v>
      </c>
      <c r="J20" s="16">
        <v>8.1000000000000003E-2</v>
      </c>
      <c r="K20" s="34">
        <f>'8 - 2021'!H26-'8 - 2021'!H25</f>
        <v>0</v>
      </c>
      <c r="L20" s="18">
        <f>'8 - 2021'!I26-'8 - 2021'!I25</f>
        <v>0</v>
      </c>
      <c r="M20" s="17">
        <v>4.393629424766913</v>
      </c>
      <c r="N20" s="18"/>
    </row>
    <row r="21" spans="1:16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'8 - 2021'!B27-'8 - 2021'!B26+'8 - 2021'!C27-'8 - 2021'!C26</f>
        <v>0</v>
      </c>
      <c r="F21" s="16">
        <v>0.11799999999999999</v>
      </c>
      <c r="G21" s="18">
        <f>'8 - 2021'!D27-'8 - 2021'!D26+'8 - 2021'!E27-'8 - 2021'!E26</f>
        <v>0</v>
      </c>
      <c r="H21" s="16">
        <v>0.99</v>
      </c>
      <c r="I21" s="18">
        <f>'8 - 2021'!J27-'8 - 2021'!J26</f>
        <v>0</v>
      </c>
      <c r="J21" s="16">
        <v>8.1000000000000003E-2</v>
      </c>
      <c r="K21" s="34">
        <f>'8 - 2021'!H27-'8 - 2021'!H26</f>
        <v>0</v>
      </c>
      <c r="L21" s="18">
        <f>'8 - 2021'!I27-'8 - 2021'!I26</f>
        <v>0</v>
      </c>
      <c r="M21" s="17">
        <v>4.393629424766913</v>
      </c>
      <c r="N21" s="18"/>
    </row>
    <row r="22" spans="1:16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0</v>
      </c>
      <c r="F22" s="16">
        <v>0.11799999999999999</v>
      </c>
      <c r="G22" s="18">
        <f>'8 - 2021'!D28-'8 - 2021'!D27+'8 - 2021'!E28-'8 - 2021'!E27</f>
        <v>0</v>
      </c>
      <c r="H22" s="16">
        <v>0.99</v>
      </c>
      <c r="I22" s="18">
        <f>'8 - 2021'!J28-'8 - 2021'!J27</f>
        <v>0</v>
      </c>
      <c r="J22" s="16">
        <v>8.1000000000000003E-2</v>
      </c>
      <c r="K22" s="34">
        <f>'8 - 2021'!H28-'8 - 2021'!H27</f>
        <v>0</v>
      </c>
      <c r="L22" s="18">
        <f>'8 - 2021'!I28-'8 - 2021'!I27</f>
        <v>0</v>
      </c>
      <c r="M22" s="17">
        <v>4.393629424766913</v>
      </c>
      <c r="N22" s="18"/>
    </row>
    <row r="23" spans="1:16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0</v>
      </c>
      <c r="F23" s="16">
        <v>0.11799999999999999</v>
      </c>
      <c r="G23" s="18">
        <f>'8 - 2021'!D29-'8 - 2021'!D28+'8 - 2021'!E29-'8 - 2021'!E28</f>
        <v>0</v>
      </c>
      <c r="H23" s="16">
        <v>0.99</v>
      </c>
      <c r="I23" s="18">
        <f>'8 - 2021'!J29-'8 - 2021'!J28</f>
        <v>0</v>
      </c>
      <c r="J23" s="16">
        <v>8.1000000000000003E-2</v>
      </c>
      <c r="K23" s="34">
        <f>'8 - 2021'!H29-'8 - 2021'!H28</f>
        <v>0</v>
      </c>
      <c r="L23" s="18">
        <f>'8 - 2021'!I29-'8 - 2021'!I28</f>
        <v>0</v>
      </c>
      <c r="M23" s="17">
        <v>4.393629424766913</v>
      </c>
      <c r="N23" s="18"/>
    </row>
    <row r="24" spans="1:16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0</v>
      </c>
      <c r="F24" s="16">
        <v>0.11799999999999999</v>
      </c>
      <c r="G24" s="18">
        <f>'8 - 2021'!D30-'8 - 2021'!D29+'8 - 2021'!E30-'8 - 2021'!E29</f>
        <v>0</v>
      </c>
      <c r="H24" s="16">
        <v>0.99</v>
      </c>
      <c r="I24" s="18">
        <f>'8 - 2021'!J30-'8 - 2021'!J29</f>
        <v>0</v>
      </c>
      <c r="J24" s="16">
        <v>8.1000000000000003E-2</v>
      </c>
      <c r="K24" s="34">
        <f>'8 - 2021'!H30-'8 - 2021'!H29</f>
        <v>0</v>
      </c>
      <c r="L24" s="18">
        <f>'8 - 2021'!I30-'8 - 2021'!I29</f>
        <v>0</v>
      </c>
      <c r="M24" s="17">
        <v>4.393629424766913</v>
      </c>
      <c r="N24" s="18"/>
    </row>
    <row r="25" spans="1:16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0</v>
      </c>
      <c r="F25" s="16">
        <v>0.11799999999999999</v>
      </c>
      <c r="G25" s="18">
        <f>'8 - 2021'!D31-'8 - 2021'!D30+'8 - 2021'!E31-'8 - 2021'!E30</f>
        <v>0</v>
      </c>
      <c r="H25" s="16">
        <v>0.99</v>
      </c>
      <c r="I25" s="18">
        <f>'8 - 2021'!J31-'8 - 2021'!J30</f>
        <v>0</v>
      </c>
      <c r="J25" s="16">
        <v>8.1000000000000003E-2</v>
      </c>
      <c r="K25" s="34">
        <f>'8 - 2021'!H31-'8 - 2021'!H30</f>
        <v>0</v>
      </c>
      <c r="L25" s="18">
        <f>'8 - 2021'!I31-'8 - 2021'!I30</f>
        <v>0</v>
      </c>
      <c r="M25" s="17">
        <v>4.393629424766913</v>
      </c>
      <c r="N25" s="18"/>
      <c r="P25" s="14"/>
    </row>
    <row r="26" spans="1:16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0</v>
      </c>
      <c r="F26" s="16">
        <v>0.11799999999999999</v>
      </c>
      <c r="G26" s="18">
        <f>'8 - 2021'!D32-'8 - 2021'!D31+'8 - 2021'!E32-'8 - 2021'!E31</f>
        <v>0</v>
      </c>
      <c r="H26" s="16">
        <v>0.99</v>
      </c>
      <c r="I26" s="18">
        <f>'8 - 2021'!J32-'8 - 2021'!J31</f>
        <v>0</v>
      </c>
      <c r="J26" s="16">
        <v>8.1000000000000003E-2</v>
      </c>
      <c r="K26" s="34">
        <f>'8 - 2021'!H32-'8 - 2021'!H31</f>
        <v>0</v>
      </c>
      <c r="L26" s="18">
        <f>'8 - 2021'!I32-'8 - 2021'!I31</f>
        <v>0</v>
      </c>
      <c r="M26" s="17">
        <v>4.393629424766913</v>
      </c>
      <c r="N26" s="29"/>
    </row>
    <row r="27" spans="1:16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0</v>
      </c>
      <c r="F27" s="16">
        <v>0.11799999999999999</v>
      </c>
      <c r="G27" s="18">
        <f>'8 - 2021'!D33-'8 - 2021'!D32+'8 - 2021'!E33-'8 - 2021'!E32</f>
        <v>0</v>
      </c>
      <c r="H27" s="16">
        <v>0.99</v>
      </c>
      <c r="I27" s="18">
        <f>'8 - 2021'!J33-'8 - 2021'!J32</f>
        <v>0</v>
      </c>
      <c r="J27" s="16">
        <v>8.1000000000000003E-2</v>
      </c>
      <c r="K27" s="34">
        <f>'8 - 2021'!H33-'8 - 2021'!H32</f>
        <v>0</v>
      </c>
      <c r="L27" s="18">
        <f>'8 - 2021'!I33-'8 - 2021'!I32</f>
        <v>0</v>
      </c>
      <c r="M27" s="17">
        <v>4.393629424766913</v>
      </c>
      <c r="N27" s="29"/>
    </row>
    <row r="28" spans="1:16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0</v>
      </c>
      <c r="F28" s="16">
        <v>0.11799999999999999</v>
      </c>
      <c r="G28" s="18">
        <f>'8 - 2021'!D34-'8 - 2021'!D33+'8 - 2021'!E34-'8 - 2021'!E33</f>
        <v>0</v>
      </c>
      <c r="H28" s="16">
        <v>0.99</v>
      </c>
      <c r="I28" s="18">
        <f>'8 - 2021'!J34-'8 - 2021'!J33</f>
        <v>0</v>
      </c>
      <c r="J28" s="16">
        <v>8.1000000000000003E-2</v>
      </c>
      <c r="K28" s="34">
        <f>'8 - 2021'!H34-'8 - 2021'!H33</f>
        <v>0</v>
      </c>
      <c r="L28" s="18">
        <f>'8 - 2021'!I34-'8 - 2021'!I33</f>
        <v>0</v>
      </c>
      <c r="M28" s="17">
        <v>4.393629424766913</v>
      </c>
      <c r="N28" s="29"/>
    </row>
    <row r="29" spans="1:16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0</v>
      </c>
      <c r="F29" s="16">
        <v>0.11799999999999999</v>
      </c>
      <c r="G29" s="18">
        <f>'8 - 2021'!D35-'8 - 2021'!D34+'8 - 2021'!E35-'8 - 2021'!E34</f>
        <v>0</v>
      </c>
      <c r="H29" s="16">
        <v>0.99</v>
      </c>
      <c r="I29" s="18">
        <f>'8 - 2021'!J35-'8 - 2021'!J34</f>
        <v>0</v>
      </c>
      <c r="J29" s="16">
        <v>8.1000000000000003E-2</v>
      </c>
      <c r="K29" s="34">
        <f>'8 - 2021'!H35-'8 - 2021'!H34</f>
        <v>0</v>
      </c>
      <c r="L29" s="18">
        <f>'8 - 2021'!I35-'8 - 2021'!I34</f>
        <v>0</v>
      </c>
      <c r="M29" s="17">
        <v>4.393629424766913</v>
      </c>
      <c r="N29" s="29"/>
    </row>
    <row r="30" spans="1:16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0</v>
      </c>
      <c r="F30" s="16">
        <v>0.11799999999999999</v>
      </c>
      <c r="G30" s="18">
        <f>'8 - 2021'!D36-'8 - 2021'!D35+'8 - 2021'!E36-'8 - 2021'!E35</f>
        <v>0</v>
      </c>
      <c r="H30" s="16">
        <v>0.99</v>
      </c>
      <c r="I30" s="18">
        <f>'8 - 2021'!J36-'8 - 2021'!J35</f>
        <v>0</v>
      </c>
      <c r="J30" s="16">
        <v>8.1000000000000003E-2</v>
      </c>
      <c r="K30" s="34">
        <f>'8 - 2021'!H36-'8 - 2021'!H35</f>
        <v>0</v>
      </c>
      <c r="L30" s="18">
        <f>'8 - 2021'!I36-'8 - 2021'!I35</f>
        <v>0</v>
      </c>
      <c r="M30" s="17">
        <v>4.393629424766913</v>
      </c>
      <c r="N30" s="29"/>
    </row>
    <row r="31" spans="1:16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0</v>
      </c>
      <c r="F31" s="16">
        <v>0.11799999999999999</v>
      </c>
      <c r="G31" s="18">
        <f>'8 - 2021'!D37-'8 - 2021'!D36+'8 - 2021'!E37-'8 - 2021'!E36</f>
        <v>0</v>
      </c>
      <c r="H31" s="16">
        <v>0.99</v>
      </c>
      <c r="I31" s="18">
        <f>'8 - 2021'!J37-'8 - 2021'!J36</f>
        <v>0</v>
      </c>
      <c r="J31" s="16">
        <v>8.1000000000000003E-2</v>
      </c>
      <c r="K31" s="34">
        <f>'8 - 2021'!H37-'8 - 2021'!H36</f>
        <v>0</v>
      </c>
      <c r="L31" s="18">
        <f>'8 - 2021'!I37-'8 - 2021'!I36</f>
        <v>0</v>
      </c>
      <c r="M31" s="17">
        <v>4.393629424766913</v>
      </c>
    </row>
    <row r="32" spans="1:16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P27" sqref="P27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3621</v>
      </c>
      <c r="F9" s="18">
        <f>'8 - 2021'!C15-'8 - 2021'!C14</f>
        <v>5782</v>
      </c>
      <c r="G9" s="16">
        <v>0.11799999999999999</v>
      </c>
      <c r="H9" s="18">
        <f>'8 - 2021'!E15-'8 - 2021'!E14</f>
        <v>20.260000000000218</v>
      </c>
      <c r="I9" s="18">
        <f>'8 - 2021'!F15-'8 - 2021'!F14</f>
        <v>7.2999999999999972</v>
      </c>
      <c r="J9" s="18">
        <f>'8 - 2021'!G15-'8 - 2021'!G14</f>
        <v>26.56000000000131</v>
      </c>
      <c r="K9" s="16">
        <v>0.74</v>
      </c>
      <c r="L9" s="28">
        <v>27</v>
      </c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3535</v>
      </c>
      <c r="F10" s="18">
        <f>'8 - 2021'!C16-'8 - 2021'!C15</f>
        <v>5505</v>
      </c>
      <c r="G10" s="16">
        <v>0.11799999999999999</v>
      </c>
      <c r="H10" s="18">
        <f>'8 - 2021'!E16-'8 - 2021'!E15</f>
        <v>24.010000000000218</v>
      </c>
      <c r="I10" s="18">
        <f>'8 - 2021'!F16-'8 - 2021'!F15</f>
        <v>6.1099999999999994</v>
      </c>
      <c r="J10" s="18">
        <f>'8 - 2021'!G16-'8 - 2021'!G15</f>
        <v>24.090000000000146</v>
      </c>
      <c r="K10" s="16">
        <v>0.74</v>
      </c>
      <c r="L10" s="28">
        <v>25</v>
      </c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3629</v>
      </c>
      <c r="F11" s="18">
        <f>'8 - 2021'!C17-'8 - 2021'!C16</f>
        <v>5558</v>
      </c>
      <c r="G11" s="16">
        <v>0.11799999999999999</v>
      </c>
      <c r="H11" s="18">
        <f>'8 - 2021'!E17-'8 - 2021'!E16</f>
        <v>21.840000000000146</v>
      </c>
      <c r="I11" s="18">
        <f>'8 - 2021'!F17-'8 - 2021'!F16</f>
        <v>5.269999999999996</v>
      </c>
      <c r="J11" s="18">
        <f>'8 - 2021'!G17-'8 - 2021'!G16</f>
        <v>23.959999999999127</v>
      </c>
      <c r="K11" s="16">
        <v>0.74</v>
      </c>
      <c r="L11" s="28">
        <v>24</v>
      </c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3556</v>
      </c>
      <c r="F12" s="18">
        <f>'8 - 2021'!C18-'8 - 2021'!C17</f>
        <v>5464</v>
      </c>
      <c r="G12" s="16">
        <v>0.11799999999999999</v>
      </c>
      <c r="H12" s="18">
        <f>'8 - 2021'!E18-'8 - 2021'!E17</f>
        <v>22.309999999999491</v>
      </c>
      <c r="I12" s="18">
        <f>'8 - 2021'!F18-'8 - 2021'!F17</f>
        <v>6.1700000000000017</v>
      </c>
      <c r="J12" s="18">
        <f>'8 - 2021'!G18-'8 - 2021'!G17</f>
        <v>25.81000000000131</v>
      </c>
      <c r="K12" s="16">
        <v>0.74</v>
      </c>
      <c r="L12" s="18">
        <v>23</v>
      </c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3644</v>
      </c>
      <c r="F13" s="18">
        <f>'8 - 2021'!C19-'8 - 2021'!C18</f>
        <v>5724</v>
      </c>
      <c r="G13" s="16">
        <v>0.11799999999999999</v>
      </c>
      <c r="H13" s="18">
        <f>'8 - 2021'!E19-'8 - 2021'!E18</f>
        <v>21.840000000000146</v>
      </c>
      <c r="I13" s="18">
        <f>'8 - 2021'!F19-'8 - 2021'!F18</f>
        <v>6.519999999999996</v>
      </c>
      <c r="J13" s="18">
        <f>'8 - 2021'!G19-'8 - 2021'!G18</f>
        <v>25.309999999997672</v>
      </c>
      <c r="K13" s="16">
        <v>0.74</v>
      </c>
      <c r="L13" s="18">
        <v>27</v>
      </c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3761</v>
      </c>
      <c r="F14" s="18">
        <f>'8 - 2021'!C20-'8 - 2021'!C19</f>
        <v>5976</v>
      </c>
      <c r="G14" s="16">
        <v>0.11799999999999999</v>
      </c>
      <c r="H14" s="18">
        <f>'8 - 2021'!E20-'8 - 2021'!E19</f>
        <v>22.949999999999818</v>
      </c>
      <c r="I14" s="18">
        <f>'8 - 2021'!F20-'8 - 2021'!F19</f>
        <v>6.5400000000000063</v>
      </c>
      <c r="J14" s="18">
        <f>'8 - 2021'!G20-'8 - 2021'!G19</f>
        <v>26.970000000001164</v>
      </c>
      <c r="K14" s="16">
        <v>0.74</v>
      </c>
      <c r="L14" s="18">
        <v>30</v>
      </c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3562</v>
      </c>
      <c r="F15" s="18">
        <f>'8 - 2021'!C21-'8 - 2021'!C20</f>
        <v>5658</v>
      </c>
      <c r="G15" s="16">
        <v>0.11799999999999999</v>
      </c>
      <c r="H15" s="18">
        <f>'8 - 2021'!E21-'8 - 2021'!E20</f>
        <v>21.900000000000546</v>
      </c>
      <c r="I15" s="18">
        <f>'8 - 2021'!F21-'8 - 2021'!F20</f>
        <v>6.3299999999999983</v>
      </c>
      <c r="J15" s="18">
        <f>'8 - 2021'!G21-'8 - 2021'!G20</f>
        <v>26.68999999999869</v>
      </c>
      <c r="K15" s="16">
        <v>0.74</v>
      </c>
      <c r="L15" s="18">
        <v>29</v>
      </c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3784</v>
      </c>
      <c r="F16" s="18">
        <f>'8 - 2021'!C22-'8 - 2021'!C21</f>
        <v>5999</v>
      </c>
      <c r="G16" s="16">
        <v>0.11799999999999999</v>
      </c>
      <c r="H16" s="18">
        <f>'8 - 2021'!E22-'8 - 2021'!E21</f>
        <v>23.559999999999491</v>
      </c>
      <c r="I16" s="18">
        <f>'8 - 2021'!F22-'8 - 2021'!F21</f>
        <v>7.0400000000000063</v>
      </c>
      <c r="J16" s="18">
        <f>'8 - 2021'!G22-'8 - 2021'!G21</f>
        <v>27.030000000002474</v>
      </c>
      <c r="K16" s="16">
        <v>0.74</v>
      </c>
      <c r="L16" s="18">
        <v>20</v>
      </c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v>0</v>
      </c>
      <c r="F17" s="18">
        <v>0</v>
      </c>
      <c r="G17" s="16">
        <v>0.11799999999999999</v>
      </c>
      <c r="H17" s="18">
        <v>0</v>
      </c>
      <c r="I17" s="18">
        <v>0</v>
      </c>
      <c r="J17" s="18"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0</v>
      </c>
      <c r="F18" s="18">
        <f>'8 - 2021'!C24-'8 - 2021'!C23</f>
        <v>0</v>
      </c>
      <c r="G18" s="16">
        <v>0.11799999999999999</v>
      </c>
      <c r="H18" s="18">
        <f>'8 - 2021'!E24-'8 - 2021'!E23</f>
        <v>0</v>
      </c>
      <c r="I18" s="18">
        <f>'8 - 2021'!F24-'8 - 2021'!F23</f>
        <v>0</v>
      </c>
      <c r="J18" s="45">
        <f>'8 - 2021'!G24-'8 - 2021'!G23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0</v>
      </c>
      <c r="F19" s="18">
        <f>'8 - 2021'!C25-'8 - 2021'!C24</f>
        <v>0</v>
      </c>
      <c r="G19" s="16">
        <v>0.11799999999999999</v>
      </c>
      <c r="H19" s="18">
        <f>'8 - 2021'!E25-'8 - 2021'!E24</f>
        <v>0</v>
      </c>
      <c r="I19" s="18">
        <f>'8 - 2021'!F25-'8 - 2021'!F24</f>
        <v>0</v>
      </c>
      <c r="J19" s="45">
        <f>'8 - 2021'!G25-'8 - 2021'!G24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0</v>
      </c>
      <c r="F20" s="18">
        <f>'8 - 2021'!C26-'8 - 2021'!C25</f>
        <v>0</v>
      </c>
      <c r="G20" s="16">
        <v>0.11799999999999999</v>
      </c>
      <c r="H20" s="18">
        <f>'8 - 2021'!E26-'8 - 2021'!E25</f>
        <v>0</v>
      </c>
      <c r="I20" s="18">
        <f>'8 - 2021'!F26-'8 - 2021'!F25</f>
        <v>0</v>
      </c>
      <c r="J20" s="45">
        <f>'8 - 2021'!G26-'8 - 2021'!G25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f>'8 - 2021'!B27-'8 - 2021'!B26</f>
        <v>0</v>
      </c>
      <c r="F21" s="18">
        <f>'8 - 2021'!C27-'8 - 2021'!C26</f>
        <v>0</v>
      </c>
      <c r="G21" s="16">
        <v>0.11799999999999999</v>
      </c>
      <c r="H21" s="18">
        <f>'8 - 2021'!E27-'8 - 2021'!E26</f>
        <v>0</v>
      </c>
      <c r="I21" s="18">
        <f>'8 - 2021'!F27-'8 - 2021'!F26</f>
        <v>0</v>
      </c>
      <c r="J21" s="18">
        <f>'8 - 2021'!G27-'8 - 2021'!G26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</f>
        <v>0</v>
      </c>
      <c r="F22" s="18">
        <f>'8 - 2021'!C28-'8 - 2021'!C27</f>
        <v>0</v>
      </c>
      <c r="G22" s="16">
        <v>0.11799999999999999</v>
      </c>
      <c r="H22" s="18">
        <f>'8 - 2021'!E28-'8 - 2021'!E27</f>
        <v>0</v>
      </c>
      <c r="I22" s="18">
        <f>'8 - 2021'!F28-'8 - 2021'!F27</f>
        <v>0</v>
      </c>
      <c r="J22" s="18">
        <f>'8 - 2021'!G28-'8 - 2021'!G27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0</v>
      </c>
      <c r="F23" s="18">
        <f>'8 - 2021'!C29-'8 - 2021'!C28</f>
        <v>0</v>
      </c>
      <c r="G23" s="16">
        <v>0.11799999999999999</v>
      </c>
      <c r="H23" s="18">
        <f>'8 - 2021'!E29-'8 - 2021'!E28</f>
        <v>0</v>
      </c>
      <c r="I23" s="18">
        <f>'8 - 2021'!F29-'8 - 2021'!F28</f>
        <v>0</v>
      </c>
      <c r="J23" s="18">
        <f>'8 - 2021'!G29-'8 - 2021'!G28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0</v>
      </c>
      <c r="F24" s="18">
        <f>'8 - 2021'!C30-'8 - 2021'!C29</f>
        <v>0</v>
      </c>
      <c r="G24" s="16">
        <v>0.11799999999999999</v>
      </c>
      <c r="H24" s="18">
        <f>'8 - 2021'!E30-'8 - 2021'!E29</f>
        <v>0</v>
      </c>
      <c r="I24" s="18">
        <f>'8 - 2021'!F30-'8 - 2021'!F29</f>
        <v>0</v>
      </c>
      <c r="J24" s="18">
        <f>'8 - 2021'!G30-'8 - 2021'!G29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</f>
        <v>0</v>
      </c>
      <c r="F25" s="18">
        <f>'8 - 2021'!C31-'8 - 2021'!C30</f>
        <v>0</v>
      </c>
      <c r="G25" s="16">
        <v>0.11799999999999999</v>
      </c>
      <c r="H25" s="18">
        <f>'8 - 2021'!E31-'8 - 2021'!E30</f>
        <v>0</v>
      </c>
      <c r="I25" s="18">
        <f>'8 - 2021'!F31-'8 - 2021'!F30</f>
        <v>0</v>
      </c>
      <c r="J25" s="18">
        <f>'8 - 2021'!G31-'8 - 2021'!G30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</f>
        <v>0</v>
      </c>
      <c r="F26" s="18">
        <f>'8 - 2021'!C32-'8 - 2021'!C31</f>
        <v>0</v>
      </c>
      <c r="G26" s="16">
        <v>0.11799999999999999</v>
      </c>
      <c r="H26" s="18">
        <f>'8 - 2021'!E32-'8 - 2021'!E31</f>
        <v>0</v>
      </c>
      <c r="I26" s="18">
        <f>'8 - 2021'!F32-'8 - 2021'!F31</f>
        <v>0</v>
      </c>
      <c r="J26" s="18">
        <f>'8 - 2021'!G32-'8 - 2021'!G31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</f>
        <v>0</v>
      </c>
      <c r="F27" s="18">
        <f>'8 - 2021'!C33-'8 - 2021'!C32</f>
        <v>0</v>
      </c>
      <c r="G27" s="16">
        <v>0.11799999999999999</v>
      </c>
      <c r="H27" s="18">
        <f>'8 - 2021'!E33-'8 - 2021'!E32</f>
        <v>0</v>
      </c>
      <c r="I27" s="18">
        <f>'8 - 2021'!F33-'8 - 2021'!F32</f>
        <v>0</v>
      </c>
      <c r="J27" s="18">
        <f>'8 - 2021'!G33-'8 - 2021'!G32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</f>
        <v>0</v>
      </c>
      <c r="F28" s="18">
        <f>'8 - 2021'!C34-'8 - 2021'!C33</f>
        <v>0</v>
      </c>
      <c r="G28" s="16">
        <v>0.11799999999999999</v>
      </c>
      <c r="H28" s="18">
        <f>'8 - 2021'!E34-'8 - 2021'!E33</f>
        <v>0</v>
      </c>
      <c r="I28" s="18">
        <f>'8 - 2021'!F34-'8 - 2021'!F33</f>
        <v>0</v>
      </c>
      <c r="J28" s="18">
        <f>'8 - 2021'!G34-'8 - 2021'!G33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0</v>
      </c>
      <c r="F29" s="18">
        <f>'8 - 2021'!C35-'8 - 2021'!C34</f>
        <v>0</v>
      </c>
      <c r="G29" s="16">
        <v>0.11799999999999999</v>
      </c>
      <c r="H29" s="18">
        <f>'8 - 2021'!E35-'8 - 2021'!E34</f>
        <v>0</v>
      </c>
      <c r="I29" s="18">
        <f>'8 - 2021'!F35-'8 - 2021'!F34</f>
        <v>0</v>
      </c>
      <c r="J29" s="18">
        <f>'8 - 2021'!G35-'8 - 2021'!G34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0</v>
      </c>
      <c r="F30" s="18">
        <f>'8 - 2021'!C36-'8 - 2021'!C35</f>
        <v>0</v>
      </c>
      <c r="G30" s="16">
        <v>0.11799999999999999</v>
      </c>
      <c r="H30" s="18">
        <f>'8 - 2021'!E36-'8 - 2021'!E35</f>
        <v>0</v>
      </c>
      <c r="I30" s="18">
        <f>'8 - 2021'!F36-'8 - 2021'!F35</f>
        <v>0</v>
      </c>
      <c r="J30" s="18">
        <f>'8 - 2021'!G36-'8 - 2021'!G35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0</v>
      </c>
      <c r="F31" s="18">
        <f>'8 - 2021'!C37-'8 - 2021'!C36</f>
        <v>0</v>
      </c>
      <c r="G31" s="16">
        <v>0.11799999999999999</v>
      </c>
      <c r="H31" s="18">
        <f>'8 - 2021'!E37-'8 - 2021'!E36</f>
        <v>0</v>
      </c>
      <c r="I31" s="18">
        <f>'8 - 2021'!F37-'8 - 2021'!F36</f>
        <v>0</v>
      </c>
      <c r="J31" s="18">
        <f>'8 - 2021'!G37-'8 - 2021'!G36</f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abSelected="1" topLeftCell="A5" zoomScaleNormal="100" workbookViewId="0">
      <selection activeCell="H20" sqref="H20"/>
    </sheetView>
  </sheetViews>
  <sheetFormatPr defaultRowHeight="15" x14ac:dyDescent="0.25"/>
  <cols>
    <col min="1" max="1" width="13.5703125" style="16" customWidth="1"/>
    <col min="2" max="2" width="11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2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38">
        <v>4495.04</v>
      </c>
      <c r="F10" s="38">
        <v>40.79</v>
      </c>
      <c r="G10" s="38">
        <v>31704.19</v>
      </c>
      <c r="H10" s="61">
        <v>14528</v>
      </c>
      <c r="I10" s="63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61">
        <v>4544.18</v>
      </c>
      <c r="F12" s="61">
        <v>50.88</v>
      </c>
      <c r="G12" s="61">
        <v>31755.68</v>
      </c>
      <c r="H12" s="61">
        <v>14528</v>
      </c>
      <c r="I12" s="61">
        <v>126963</v>
      </c>
      <c r="J12" s="61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0">
        <v>957508</v>
      </c>
      <c r="C13" s="91">
        <v>200281</v>
      </c>
      <c r="D13" s="88">
        <v>0.7</v>
      </c>
      <c r="E13" s="38">
        <v>4564.09</v>
      </c>
      <c r="F13" s="38">
        <v>56.91</v>
      </c>
      <c r="G13" s="38">
        <v>31785.32</v>
      </c>
      <c r="H13" s="63">
        <v>14528</v>
      </c>
      <c r="I13" s="38">
        <v>127050</v>
      </c>
      <c r="J13" s="38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38">
        <v>4588.45</v>
      </c>
      <c r="F14" s="38">
        <v>63.34</v>
      </c>
      <c r="G14" s="38">
        <v>31812.39</v>
      </c>
      <c r="H14" s="63">
        <v>14528</v>
      </c>
      <c r="I14" s="63">
        <v>127134</v>
      </c>
      <c r="J14" s="63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>
        <v>964959</v>
      </c>
      <c r="C15" s="63">
        <v>211943</v>
      </c>
      <c r="D15" s="62">
        <v>0.56000000000000005</v>
      </c>
      <c r="E15" s="38">
        <v>4608.71</v>
      </c>
      <c r="F15" s="67">
        <v>70.64</v>
      </c>
      <c r="G15" s="38">
        <v>31838.95</v>
      </c>
      <c r="H15" s="63">
        <v>14528</v>
      </c>
      <c r="I15" s="63">
        <v>127220</v>
      </c>
      <c r="J15" s="63">
        <v>49025776</v>
      </c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>
        <v>968494</v>
      </c>
      <c r="C16" s="63">
        <v>217448</v>
      </c>
      <c r="D16" s="62">
        <v>0.49</v>
      </c>
      <c r="E16" s="38">
        <v>4632.72</v>
      </c>
      <c r="F16" s="67">
        <v>76.75</v>
      </c>
      <c r="G16" s="38">
        <v>31863.040000000001</v>
      </c>
      <c r="H16" s="63">
        <v>14528</v>
      </c>
      <c r="I16" s="63">
        <v>127300</v>
      </c>
      <c r="J16" s="63">
        <v>49061592</v>
      </c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>
        <v>972123</v>
      </c>
      <c r="C17" s="38">
        <v>223006</v>
      </c>
      <c r="D17" s="69">
        <v>0.41</v>
      </c>
      <c r="E17" s="38">
        <v>4654.5600000000004</v>
      </c>
      <c r="F17" s="67">
        <v>82.02</v>
      </c>
      <c r="G17" s="38">
        <v>31887</v>
      </c>
      <c r="H17" s="63">
        <v>14528</v>
      </c>
      <c r="I17" s="38">
        <v>127385</v>
      </c>
      <c r="J17" s="38">
        <v>49094000</v>
      </c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87">
        <v>975679</v>
      </c>
      <c r="C18" s="87">
        <v>228470</v>
      </c>
      <c r="D18" s="88">
        <v>0.35</v>
      </c>
      <c r="E18" s="38">
        <v>4676.87</v>
      </c>
      <c r="F18" s="38">
        <v>88.19</v>
      </c>
      <c r="G18" s="38">
        <v>31912.81</v>
      </c>
      <c r="H18" s="63">
        <v>14528</v>
      </c>
      <c r="I18" s="63">
        <v>127470</v>
      </c>
      <c r="J18" s="63">
        <v>49127051</v>
      </c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>
        <v>979323</v>
      </c>
      <c r="C19" s="42">
        <v>234194</v>
      </c>
      <c r="D19" s="88">
        <v>0.8</v>
      </c>
      <c r="E19" s="38">
        <v>4698.71</v>
      </c>
      <c r="F19" s="38">
        <v>94.71</v>
      </c>
      <c r="G19" s="39">
        <v>31938.12</v>
      </c>
      <c r="H19" s="63">
        <v>14528</v>
      </c>
      <c r="I19" s="42">
        <v>127570</v>
      </c>
      <c r="J19" s="42">
        <v>49163290</v>
      </c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>
        <v>983084</v>
      </c>
      <c r="C20" s="42">
        <v>240170</v>
      </c>
      <c r="D20" s="88">
        <v>0.74</v>
      </c>
      <c r="E20" s="61">
        <v>4721.66</v>
      </c>
      <c r="F20" s="61">
        <v>101.25</v>
      </c>
      <c r="G20" s="39">
        <v>31965.09</v>
      </c>
      <c r="H20" s="63">
        <v>14528</v>
      </c>
      <c r="I20" s="42">
        <v>127680</v>
      </c>
      <c r="J20" s="42">
        <v>49203100</v>
      </c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>
        <v>986646</v>
      </c>
      <c r="C21" s="42">
        <v>245828</v>
      </c>
      <c r="D21" s="88">
        <v>0.68</v>
      </c>
      <c r="E21" s="39">
        <v>4743.5600000000004</v>
      </c>
      <c r="F21" s="38">
        <v>107.58</v>
      </c>
      <c r="G21" s="39">
        <v>31991.78</v>
      </c>
      <c r="H21" s="63">
        <v>14528</v>
      </c>
      <c r="I21" s="42">
        <v>127800</v>
      </c>
      <c r="J21" s="42">
        <v>49244800</v>
      </c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89">
        <v>990430</v>
      </c>
      <c r="C22" s="100">
        <v>251827</v>
      </c>
      <c r="D22" s="88">
        <v>0.62</v>
      </c>
      <c r="E22" s="38">
        <v>4767.12</v>
      </c>
      <c r="F22" s="38">
        <v>114.62</v>
      </c>
      <c r="G22" s="39">
        <v>32018.81</v>
      </c>
      <c r="H22" s="87">
        <v>14528</v>
      </c>
      <c r="I22" s="39">
        <v>127940</v>
      </c>
      <c r="J22" s="42">
        <v>49284600</v>
      </c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/>
      <c r="C23" s="42"/>
      <c r="D23" s="62"/>
      <c r="E23" s="39"/>
      <c r="F23" s="38"/>
      <c r="G23" s="39"/>
      <c r="H23" s="63"/>
      <c r="I23" s="42"/>
      <c r="J23" s="42"/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/>
      <c r="C24" s="42"/>
      <c r="D24" s="62"/>
      <c r="E24" s="39"/>
      <c r="F24" s="38"/>
      <c r="G24" s="39"/>
      <c r="H24" s="63"/>
      <c r="I24" s="42"/>
      <c r="J24" s="42"/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/>
      <c r="C25" s="39"/>
      <c r="D25" s="62"/>
      <c r="E25" s="39"/>
      <c r="F25" s="38"/>
      <c r="G25" s="39"/>
      <c r="H25" s="63"/>
      <c r="I25" s="42"/>
      <c r="J25" s="42"/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/>
      <c r="C26" s="39"/>
      <c r="D26" s="69"/>
      <c r="E26" s="39"/>
      <c r="F26" s="38"/>
      <c r="G26" s="39"/>
      <c r="H26" s="63"/>
      <c r="I26" s="42"/>
      <c r="J26" s="42"/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/>
      <c r="C27" s="42"/>
      <c r="D27" s="62"/>
      <c r="E27" s="39"/>
      <c r="F27" s="38"/>
      <c r="G27" s="39"/>
      <c r="H27" s="63"/>
      <c r="I27" s="42"/>
      <c r="J27" s="42"/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/>
      <c r="C34" s="42"/>
      <c r="D34" s="69"/>
      <c r="E34" s="39"/>
      <c r="F34" s="38"/>
      <c r="G34" s="39"/>
      <c r="H34" s="63"/>
      <c r="I34" s="39"/>
      <c r="J34" s="39"/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/>
      <c r="C35" s="78"/>
      <c r="D35" s="62"/>
      <c r="E35" s="39"/>
      <c r="F35" s="38"/>
      <c r="G35" s="38"/>
      <c r="H35" s="63"/>
      <c r="I35" s="63"/>
      <c r="J35" s="63"/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/>
      <c r="C36" s="78"/>
      <c r="D36" s="62"/>
      <c r="E36" s="39"/>
      <c r="F36" s="38"/>
      <c r="G36" s="38"/>
      <c r="H36" s="63"/>
      <c r="I36" s="63"/>
      <c r="J36" s="63"/>
      <c r="K36" s="64"/>
      <c r="L36" s="76"/>
    </row>
    <row r="37" spans="1:16" s="79" customFormat="1" x14ac:dyDescent="0.25">
      <c r="A37" s="46">
        <f t="shared" si="0"/>
        <v>44438</v>
      </c>
      <c r="B37" s="63"/>
      <c r="C37" s="78"/>
      <c r="D37" s="62"/>
      <c r="E37" s="39"/>
      <c r="F37" s="38"/>
      <c r="G37" s="38"/>
      <c r="H37" s="63"/>
      <c r="I37" s="63"/>
      <c r="J37" s="63"/>
      <c r="K37" s="64"/>
      <c r="L37" s="76"/>
    </row>
    <row r="38" spans="1:16" s="79" customFormat="1" ht="15.75" thickBot="1" x14ac:dyDescent="0.3">
      <c r="A38" s="47">
        <f t="shared" si="0"/>
        <v>44439</v>
      </c>
      <c r="B38" s="80"/>
      <c r="C38" s="81"/>
      <c r="D38" s="82"/>
      <c r="E38" s="83"/>
      <c r="F38" s="84"/>
      <c r="G38" s="84"/>
      <c r="H38" s="80"/>
      <c r="I38" s="80"/>
      <c r="J38" s="80"/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4000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2021-08-15T04:48:30Z</dcterms:modified>
</cp:coreProperties>
</file>