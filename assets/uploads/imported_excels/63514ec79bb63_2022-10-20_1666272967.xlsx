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883" documentId="8_{5B502D95-7A37-4D5A-8B6B-374537CC2F26}" xr6:coauthVersionLast="47" xr6:coauthVersionMax="47" xr10:uidLastSave="{39962136-437C-4637-85B5-1F1DF4B5CBF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2" l="1"/>
  <c r="V29" i="2"/>
  <c r="N29" i="2"/>
  <c r="M29" i="2"/>
  <c r="L29" i="2"/>
  <c r="L30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E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9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1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6" i="4" l="1"/>
  <c r="V22" i="2"/>
  <c r="C31" i="4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22" i="2" l="1"/>
  <c r="G14" i="22"/>
  <c r="G24" i="22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<sst xmlns="http://schemas.openxmlformats.org/spreadsheetml/2006/main" count="482" uniqueCount="186">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</sst>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12.74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12.74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12.74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12.74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12.74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12.74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0</v>
      </c>
      <c r="H21" s="134">
        <v>12.74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12.74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12.74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12.74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12.74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12.74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12.74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12.74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12.74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6" activePane="bottomRight" state="frozen"/>
      <selection pane="bottomRight" activeCell="E29" sqref="E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>L23+M23+N23</f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1"/>
        <v>5707.3790956000003</v>
      </c>
    </row>
    <row r="24" spans="1:24" ht="32.25" customHeight="1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>L24+M24+N24</f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1"/>
        <v>4892.0392247999998</v>
      </c>
    </row>
    <row r="25" spans="1:24" ht="32.25" customHeight="1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>L25+M25+N25</f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3669.0294186000001</v>
      </c>
    </row>
    <row r="26" spans="1:24" ht="32.25" customHeight="1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>L26+M26+N26</f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3261.3594832000003</v>
      </c>
    </row>
    <row r="27" spans="1:24" ht="32.25" customHeight="1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2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6522.7189664000007</v>
      </c>
    </row>
    <row r="28" spans="1:24" ht="32.25" customHeight="1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2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5299.7091602</v>
      </c>
    </row>
    <row r="29" spans="1:24" ht="32.25" customHeight="1">
      <c r="A29" s="2"/>
      <c r="B29" s="6">
        <v>44854</v>
      </c>
      <c r="C29" s="7"/>
      <c r="D29" s="143"/>
      <c r="E29" s="143"/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>L29+M29+N29</f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44855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>
        <f>'Suivi EAU-ELEC'!G29</f>
        <v>0</v>
      </c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44856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44857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44858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44859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44860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44861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44862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44863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2525</v>
      </c>
      <c r="E41" s="8">
        <f>SUM(E10:E40)</f>
        <v>3836</v>
      </c>
      <c r="F41" s="152">
        <f>SUM(F10:F40)</f>
        <v>2796.0999999999767</v>
      </c>
      <c r="G41" s="1"/>
      <c r="H41" s="249">
        <f>SUM(H10:H40)</f>
        <v>24577.71899999979</v>
      </c>
      <c r="I41" s="250"/>
      <c r="J41" s="251"/>
      <c r="K41" s="1"/>
      <c r="L41" s="53">
        <f>SUM(L10:L40)</f>
        <v>109305</v>
      </c>
      <c r="M41" s="53">
        <f>SUM(M10:M40)</f>
        <v>165971</v>
      </c>
      <c r="N41" s="54">
        <f>SUM(N10:N40)</f>
        <v>80598</v>
      </c>
      <c r="O41" s="55">
        <f>SUM(O10:O40)</f>
        <v>355874</v>
      </c>
      <c r="P41" s="31"/>
      <c r="Q41" s="34">
        <f t="shared" ref="Q41" si="8">L41*0.6985+M41*0.9514+N41*1.3304</f>
        <v>341481.93110000005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6880.5560299999997</v>
      </c>
      <c r="W41" s="31"/>
      <c r="X41" s="32">
        <f>SUM(X10:X40)</f>
        <v>87658.283822199999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109305</v>
      </c>
      <c r="J44" s="210"/>
      <c r="K44" s="211"/>
      <c r="L44" s="170">
        <f>I44*H44</f>
        <v>76349.542499999996</v>
      </c>
      <c r="M44" s="171"/>
      <c r="N44" s="227">
        <f>L44+L45+L46</f>
        <v>341481.93110000005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165971</v>
      </c>
      <c r="J45" s="210"/>
      <c r="K45" s="211"/>
      <c r="L45" s="170">
        <f>I45*H45</f>
        <v>157904.8094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80598</v>
      </c>
      <c r="J46" s="241"/>
      <c r="K46" s="242"/>
      <c r="L46" s="170">
        <f>I46*H46</f>
        <v>107227.57920000001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443926.51043000008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2796.0999999999767</v>
      </c>
      <c r="J48" s="202"/>
      <c r="K48" s="203"/>
      <c r="L48" s="207">
        <f>I48*H48</f>
        <v>24577.718999999794</v>
      </c>
      <c r="M48" s="208"/>
      <c r="N48" s="224">
        <f>L48</f>
        <v>24577.718999999794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12.74</v>
      </c>
      <c r="I49" s="199">
        <f>V41</f>
        <v>6880.5560299999997</v>
      </c>
      <c r="J49" s="239"/>
      <c r="K49" s="200"/>
      <c r="L49" s="199">
        <f>I49*H49</f>
        <v>87658.283822199999</v>
      </c>
      <c r="M49" s="200"/>
      <c r="N49" s="221">
        <f>L49</f>
        <v>87658.283822199999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6" activePane="bottomRight" state="frozen"/>
      <selection pane="bottomRight" activeCell="B28" sqref="B28:K2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28" si="0">B11-B10</f>
        <v>0</v>
      </c>
      <c r="D11" s="57">
        <v>168386</v>
      </c>
      <c r="E11" s="50">
        <f t="shared" ref="E11:E28" si="1">D11-D10</f>
        <v>134</v>
      </c>
      <c r="F11" s="51">
        <v>12482017</v>
      </c>
      <c r="G11" s="50">
        <f t="shared" ref="G11:H28" si="2">F11-F10</f>
        <v>5388</v>
      </c>
      <c r="H11" s="51">
        <v>21377728</v>
      </c>
      <c r="I11" s="50">
        <f t="shared" ref="I11:I28" si="3">H11-H10</f>
        <v>7402</v>
      </c>
      <c r="J11" s="51">
        <v>9350842</v>
      </c>
      <c r="K11" s="50">
        <f t="shared" ref="K11:L28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>
      <c r="A29" s="59">
        <v>44855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44856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44857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44858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44859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44860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44861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44862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44863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bottomRight" activeCell="B23" sqref="B23:H2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5707.3790956000003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4892.0392247999998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3669.0294186000001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3261.3594832000003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6522.7189664000007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5299.7091602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>
        <v>60</v>
      </c>
      <c r="C23" s="39">
        <f t="shared" si="7"/>
        <v>0</v>
      </c>
      <c r="D23" s="41">
        <v>60</v>
      </c>
      <c r="E23" s="39">
        <f t="shared" si="8"/>
        <v>0</v>
      </c>
      <c r="F23" s="41">
        <v>62</v>
      </c>
      <c r="G23" s="39">
        <f t="shared" si="9"/>
        <v>0</v>
      </c>
      <c r="H23" s="41">
        <v>61</v>
      </c>
      <c r="I23" s="39">
        <f t="shared" si="11"/>
        <v>0</v>
      </c>
      <c r="J23" s="39">
        <f t="shared" si="12"/>
        <v>243</v>
      </c>
      <c r="K23" s="39">
        <f t="shared" si="13"/>
        <v>60.75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44857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44859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13005.350000000002</v>
      </c>
      <c r="O43" s="39">
        <f>N43*0.529</f>
        <v>6879.8301500000016</v>
      </c>
      <c r="P43" s="42">
        <f>O43*12.74</f>
        <v>87649.036111000023</v>
      </c>
      <c r="Q43" s="286">
        <f>SUM(Q4:Q42)</f>
        <v>2816</v>
      </c>
      <c r="R43" s="287"/>
      <c r="S43" s="288"/>
      <c r="T43" s="289">
        <f>SUM(T4:T42)</f>
        <v>2656</v>
      </c>
      <c r="U43" s="287"/>
      <c r="V43" s="288"/>
      <c r="W43" s="289">
        <f>SUM(W4:W42)</f>
        <v>2548</v>
      </c>
      <c r="X43" s="287"/>
      <c r="Y43" s="288"/>
      <c r="Z43" s="289">
        <f>SUM(Z4:Z42)</f>
        <v>2517</v>
      </c>
      <c r="AA43" s="287"/>
      <c r="AB43" s="288"/>
      <c r="AC43" s="39">
        <f t="shared" si="20"/>
        <v>10537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10537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10537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13005.350000000002</v>
      </c>
      <c r="L47" s="46">
        <f>O43</f>
        <v>6879.8301500000016</v>
      </c>
      <c r="M47" s="46">
        <f>P43</f>
        <v>87649.036111000023</v>
      </c>
    </row>
    <row r="48" spans="1:31" ht="54.75" customHeight="1" thickBot="1">
      <c r="H48" s="282" t="s">
        <v>86</v>
      </c>
      <c r="I48" s="283"/>
      <c r="J48" s="284"/>
      <c r="K48" s="43">
        <f>AC44</f>
        <v>10537</v>
      </c>
      <c r="L48" s="44">
        <f>K48*0.529</f>
        <v>5574.0730000000003</v>
      </c>
      <c r="M48" s="44">
        <f>L48*12.74</f>
        <v>71013.690020000009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G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44691</v>
      </c>
      <c r="D8" s="350"/>
      <c r="E8" s="113">
        <v>44722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29"/>
      <c r="H17" s="330"/>
      <c r="I17" s="329">
        <f>+E17</f>
        <v>9428</v>
      </c>
      <c r="J17" s="330"/>
    </row>
    <row r="18" spans="1:10">
      <c r="A18" s="327" t="s">
        <v>111</v>
      </c>
      <c r="B18" s="328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29"/>
      <c r="H18" s="330"/>
      <c r="I18" s="329">
        <f>+E18</f>
        <v>6296</v>
      </c>
      <c r="J18" s="330"/>
    </row>
    <row r="19" spans="1:10">
      <c r="A19" s="327" t="s">
        <v>112</v>
      </c>
      <c r="B19" s="328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29"/>
      <c r="H19" s="330"/>
      <c r="I19" s="329">
        <f>+E19</f>
        <v>4548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20272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04">
        <f>SUM(H25,F25)</f>
        <v>10225.571087999999</v>
      </c>
      <c r="J25" s="305"/>
    </row>
    <row r="26" spans="1:10" ht="15">
      <c r="A26" s="301" t="s">
        <v>124</v>
      </c>
      <c r="B26" s="302"/>
      <c r="C26" s="303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04">
        <f t="shared" ref="I26:I31" si="0">SUM(H26,F26)</f>
        <v>5013.4418400000004</v>
      </c>
      <c r="J26" s="305"/>
    </row>
    <row r="27" spans="1:10" ht="15">
      <c r="A27" s="301" t="s">
        <v>125</v>
      </c>
      <c r="B27" s="302"/>
      <c r="C27" s="303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04">
        <f>SUM(H27,F27)</f>
        <v>6897.7514879999999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65632.884399999995</v>
      </c>
      <c r="G32" s="85"/>
      <c r="H32" s="86"/>
      <c r="I32" s="313">
        <f>SUM(I25:J31)</f>
        <v>74767.508216000002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8" sqref="E8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44436</v>
      </c>
      <c r="D8" s="350"/>
      <c r="E8" s="113">
        <v>44832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21337062</v>
      </c>
      <c r="D17" s="66">
        <v>21031425</v>
      </c>
      <c r="E17" s="67">
        <f>MIN(C17-D17)</f>
        <v>305637</v>
      </c>
      <c r="F17" s="67">
        <f>+E17</f>
        <v>305637</v>
      </c>
      <c r="G17" s="329"/>
      <c r="H17" s="330"/>
      <c r="I17" s="329">
        <f>+E17</f>
        <v>305637</v>
      </c>
      <c r="J17" s="330"/>
    </row>
    <row r="18" spans="1:10">
      <c r="A18" s="327" t="s">
        <v>111</v>
      </c>
      <c r="B18" s="328"/>
      <c r="C18" s="66">
        <v>12451792</v>
      </c>
      <c r="D18" s="66">
        <v>12295980</v>
      </c>
      <c r="E18" s="67">
        <f>MIN(C18-D18)</f>
        <v>155812</v>
      </c>
      <c r="F18" s="67">
        <f>+E18</f>
        <v>155812</v>
      </c>
      <c r="G18" s="329"/>
      <c r="H18" s="330"/>
      <c r="I18" s="329">
        <f>+E18</f>
        <v>155812</v>
      </c>
      <c r="J18" s="330"/>
    </row>
    <row r="19" spans="1:10">
      <c r="A19" s="327" t="s">
        <v>112</v>
      </c>
      <c r="B19" s="328"/>
      <c r="C19" s="66">
        <v>9332095</v>
      </c>
      <c r="D19" s="66">
        <v>9202867</v>
      </c>
      <c r="E19" s="67">
        <f>AVERAGE(C19-D19)</f>
        <v>129228</v>
      </c>
      <c r="F19" s="67">
        <f>+E19</f>
        <v>129228</v>
      </c>
      <c r="G19" s="329"/>
      <c r="H19" s="330"/>
      <c r="I19" s="329">
        <f>+E19</f>
        <v>129228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590677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305637</v>
      </c>
      <c r="E25" s="72">
        <v>0.95140000000000002</v>
      </c>
      <c r="F25" s="73">
        <f>PRODUCT(D25*E25)</f>
        <v>290783.04180000001</v>
      </c>
      <c r="G25" s="151">
        <v>14</v>
      </c>
      <c r="H25" s="65">
        <f>PRODUCT(0.14,F25)</f>
        <v>40709.625852000005</v>
      </c>
      <c r="I25" s="304">
        <f>SUM(H25,F25)</f>
        <v>331492.66765200003</v>
      </c>
      <c r="J25" s="305"/>
    </row>
    <row r="26" spans="1:10" ht="15">
      <c r="A26" s="301" t="s">
        <v>124</v>
      </c>
      <c r="B26" s="302"/>
      <c r="C26" s="303"/>
      <c r="D26" s="67">
        <f>+E18</f>
        <v>155812</v>
      </c>
      <c r="E26" s="74">
        <v>0.69850000000000001</v>
      </c>
      <c r="F26" s="73">
        <f>PRODUCT(D26*E26)</f>
        <v>108834.682</v>
      </c>
      <c r="G26">
        <v>14</v>
      </c>
      <c r="H26" s="67">
        <f>PRODUCT(0.14,F26)</f>
        <v>15236.855480000002</v>
      </c>
      <c r="I26" s="304">
        <f t="shared" ref="I26:I31" si="0">SUM(H26,F26)</f>
        <v>124071.53748</v>
      </c>
      <c r="J26" s="305"/>
    </row>
    <row r="27" spans="1:10" ht="15">
      <c r="A27" s="301" t="s">
        <v>125</v>
      </c>
      <c r="B27" s="302"/>
      <c r="C27" s="303"/>
      <c r="D27" s="67">
        <f>+E19</f>
        <v>129228</v>
      </c>
      <c r="E27" s="74">
        <v>1.3304</v>
      </c>
      <c r="F27" s="73">
        <f>PRODUCT(D27*E27)</f>
        <v>171924.93119999999</v>
      </c>
      <c r="G27">
        <v>14</v>
      </c>
      <c r="H27" s="67">
        <f>PRODUCT(0.14,F27)</f>
        <v>24069.490368000002</v>
      </c>
      <c r="I27" s="304">
        <f>SUM(H27,F27)</f>
        <v>195994.42156799999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319</v>
      </c>
      <c r="E29" s="76">
        <f>E28*1.5</f>
        <v>65.822505000000007</v>
      </c>
      <c r="F29" s="77">
        <f>PRODUCT(D29,E29)</f>
        <v>20997.379095000004</v>
      </c>
      <c r="G29" s="78">
        <v>14</v>
      </c>
      <c r="H29" s="75">
        <f>PRODUCT(0.14,F29)</f>
        <v>2939.6330733000009</v>
      </c>
      <c r="I29" s="317">
        <f t="shared" si="0"/>
        <v>23937.012168300003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638754.70409500005</v>
      </c>
      <c r="G32" s="85"/>
      <c r="H32" s="86"/>
      <c r="I32" s="313">
        <f>SUM(I25:J31)</f>
        <v>728126.38266829995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146.60000000000582</v>
      </c>
      <c r="C13" s="397"/>
      <c r="D13" s="397">
        <v>8.7899999999999991</v>
      </c>
      <c r="E13" s="397"/>
      <c r="F13" s="399">
        <f>PRODUCT(D13,B13)</f>
        <v>1288.614000000051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146.60000000000582</v>
      </c>
      <c r="C19" s="397"/>
      <c r="D19" s="397">
        <v>2.61</v>
      </c>
      <c r="E19" s="397"/>
      <c r="F19" s="397">
        <f>PRODUCT(D19,B19)</f>
        <v>382.62600000001515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1694.2400000000662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118.59680000000465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326.85680000000463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2021.0968000000707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2022-10-20T11:38:50Z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