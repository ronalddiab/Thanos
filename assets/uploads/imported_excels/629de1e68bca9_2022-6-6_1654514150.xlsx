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bookViews>
    <workbookView xWindow="0" yWindow="0" windowWidth="20490" windowHeight="775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K17" i="5" s="1"/>
  <c r="L10" i="1" s="1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J8" i="2" s="1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16" i="5" l="1"/>
  <c r="K32" i="5"/>
  <c r="L32" i="5" s="1"/>
  <c r="E4" i="1"/>
  <c r="K24" i="5"/>
  <c r="L17" i="1" s="1"/>
  <c r="K36" i="5"/>
  <c r="L36" i="5" s="1"/>
  <c r="Q39" i="3"/>
  <c r="R39" i="3" s="1"/>
  <c r="Q23" i="3"/>
  <c r="R23" i="3" s="1"/>
  <c r="E22" i="1"/>
  <c r="G16" i="2"/>
  <c r="J4" i="1"/>
  <c r="K33" i="5"/>
  <c r="L26" i="1" s="1"/>
  <c r="K28" i="5"/>
  <c r="L28" i="5" s="1"/>
  <c r="L9" i="1"/>
  <c r="E13" i="1"/>
  <c r="E31" i="1"/>
  <c r="K23" i="5"/>
  <c r="L23" i="5" s="1"/>
  <c r="K27" i="5"/>
  <c r="L27" i="5" s="1"/>
  <c r="K11" i="5"/>
  <c r="L11" i="5" s="1"/>
  <c r="K15" i="5"/>
  <c r="L15" i="5" s="1"/>
  <c r="K19" i="5"/>
  <c r="L19" i="5" s="1"/>
  <c r="K30" i="5"/>
  <c r="L23" i="1" s="1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H22" i="1" s="1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L14" i="5" s="1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K12" i="5"/>
  <c r="L12" i="5" s="1"/>
  <c r="L17" i="5"/>
  <c r="L25" i="1"/>
  <c r="L16" i="5"/>
  <c r="K33" i="1"/>
  <c r="Q12" i="3"/>
  <c r="R12" i="3" s="1"/>
  <c r="Q36" i="3"/>
  <c r="R36" i="3" s="1"/>
  <c r="Q24" i="3"/>
  <c r="H17" i="1" s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H25" i="1"/>
  <c r="H15" i="1"/>
  <c r="H13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K22" i="2" s="1"/>
  <c r="L22" i="2" s="1"/>
  <c r="M22" i="2" s="1"/>
  <c r="G23" i="2"/>
  <c r="K23" i="2" s="1"/>
  <c r="L23" i="2" s="1"/>
  <c r="G24" i="2"/>
  <c r="K24" i="2" s="1"/>
  <c r="L24" i="2" s="1"/>
  <c r="G28" i="2"/>
  <c r="K28" i="2" s="1"/>
  <c r="L28" i="2" s="1"/>
  <c r="E29" i="1"/>
  <c r="K37" i="2"/>
  <c r="L37" i="2" s="1"/>
  <c r="M37" i="2" s="1"/>
  <c r="E32" i="1"/>
  <c r="E30" i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5" i="2"/>
  <c r="L25" i="2" s="1"/>
  <c r="M25" i="2" s="1"/>
  <c r="K26" i="2"/>
  <c r="L26" i="2" s="1"/>
  <c r="M26" i="2" s="1"/>
  <c r="K27" i="2"/>
  <c r="L27" i="2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K30" i="2"/>
  <c r="L30" i="2" s="1"/>
  <c r="M30" i="2" s="1"/>
  <c r="K34" i="2"/>
  <c r="L34" i="2" s="1"/>
  <c r="M34" i="2" s="1"/>
  <c r="K36" i="2"/>
  <c r="L36" i="2" s="1"/>
  <c r="M36" i="2" s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H27" i="1" l="1"/>
  <c r="H16" i="1"/>
  <c r="L33" i="5"/>
  <c r="H19" i="1"/>
  <c r="F22" i="1"/>
  <c r="L24" i="5"/>
  <c r="H32" i="1"/>
  <c r="H5" i="1"/>
  <c r="L7" i="1"/>
  <c r="L30" i="5"/>
  <c r="L29" i="1"/>
  <c r="L14" i="1"/>
  <c r="L20" i="1"/>
  <c r="L5" i="1"/>
  <c r="L12" i="1"/>
  <c r="L16" i="1"/>
  <c r="L11" i="1"/>
  <c r="L21" i="1"/>
  <c r="H8" i="1"/>
  <c r="R29" i="3"/>
  <c r="R25" i="3"/>
  <c r="L9" i="5"/>
  <c r="L15" i="1"/>
  <c r="L31" i="1"/>
  <c r="L4" i="1"/>
  <c r="F30" i="1"/>
  <c r="F7" i="1"/>
  <c r="F25" i="1"/>
  <c r="L25" i="5"/>
  <c r="L32" i="1"/>
  <c r="L3" i="1"/>
  <c r="L28" i="1"/>
  <c r="L8" i="1"/>
  <c r="L22" i="1"/>
  <c r="L13" i="1"/>
  <c r="L26" i="5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F29" i="1"/>
  <c r="F3" i="1"/>
  <c r="F21" i="1"/>
  <c r="F28" i="1"/>
  <c r="F19" i="1"/>
  <c r="F15" i="1"/>
  <c r="F14" i="1"/>
  <c r="F5" i="1"/>
  <c r="F23" i="1"/>
  <c r="F27" i="1"/>
  <c r="R21" i="3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R40" i="3" l="1"/>
  <c r="L33" i="1"/>
  <c r="L40" i="5"/>
  <c r="H33" i="1"/>
  <c r="M39" i="2"/>
  <c r="F33" i="1"/>
</calcChain>
</file>

<file path=xl/sharedStrings.xml><?xml version="1.0" encoding="utf-8"?>
<sst xmlns="http://schemas.openxmlformats.org/spreadsheetml/2006/main" count="118" uniqueCount="61">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</sst>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10860.000000000127</v>
      </c>
      <c r="F2" s="10">
        <f>Electricity!L8/TOTAL!E2</f>
        <v>1236.5929558011105</v>
      </c>
      <c r="G2" s="9">
        <f>Gas!F9+Gas!I9+Gas!L9+Gas!O9</f>
        <v>191.3255322580645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250</v>
      </c>
      <c r="L2" s="10">
        <f>Water!K9/TOTAL!K2</f>
        <v>4344.9520000000002</v>
      </c>
      <c r="M2" s="9">
        <f>Electricity!C8</f>
        <v>42</v>
      </c>
      <c r="N2" s="9">
        <f>Electricity!D8</f>
        <v>274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10920.000000000073</v>
      </c>
      <c r="F3" s="10">
        <f>Electricity!L9/TOTAL!E3</f>
        <v>1239.1862637362672</v>
      </c>
      <c r="G3" s="9">
        <f>Gas!F10+Gas!I10+Gas!L10+Gas!O10</f>
        <v>234.87391935483868</v>
      </c>
      <c r="H3" s="10">
        <f>Gas!Q10/TOTAL!G3</f>
        <v>15840.000000000002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350</v>
      </c>
      <c r="L3" s="10">
        <f>Water!K10/TOTAL!K3</f>
        <v>4191.6400000000003</v>
      </c>
      <c r="M3" s="9">
        <f>Electricity!C9</f>
        <v>44</v>
      </c>
      <c r="N3" s="9">
        <f>Electricity!D9</f>
        <v>338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10220.000000000709</v>
      </c>
      <c r="F4" s="10">
        <f>Electricity!L10/TOTAL!E4</f>
        <v>1242.7013209393347</v>
      </c>
      <c r="G4" s="9">
        <f>Gas!F11+Gas!I11+Gas!L11+Gas!O11</f>
        <v>149.81847580645163</v>
      </c>
      <c r="H4" s="10">
        <f>Gas!Q11/TOTAL!G4</f>
        <v>15840.000000000004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270</v>
      </c>
      <c r="L4" s="10">
        <f>Water!K11/TOTAL!K4</f>
        <v>5064.666666666667</v>
      </c>
      <c r="M4" s="9">
        <f>Electricity!C10</f>
        <v>33</v>
      </c>
      <c r="N4" s="9">
        <f>Electricity!D10</f>
        <v>213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10880.000000000564</v>
      </c>
      <c r="F5" s="10">
        <f>Electricity!L11/TOTAL!E5</f>
        <v>1236.4136488970605</v>
      </c>
      <c r="G5" s="9">
        <f>Gas!F12+Gas!I12+Gas!L12+Gas!O12</f>
        <v>126.68339516129035</v>
      </c>
      <c r="H5" s="10">
        <f>Gas!Q12/TOTAL!G5</f>
        <v>15839.999999999998</v>
      </c>
      <c r="I5" s="9">
        <f>'Fuel Diesel'!F12</f>
        <v>230</v>
      </c>
      <c r="J5" s="11">
        <f>'Fuel Diesel'!G12/'Fuel Diesel'!F12</f>
        <v>10700</v>
      </c>
      <c r="K5" s="9">
        <f>Water!E12+Water!G12+Water!I12</f>
        <v>236</v>
      </c>
      <c r="L5" s="10">
        <f>Water!K12/TOTAL!K5</f>
        <v>4284.2118644067796</v>
      </c>
      <c r="M5" s="9">
        <f>Electricity!C11</f>
        <v>43</v>
      </c>
      <c r="N5" s="9">
        <f>Electricity!D11</f>
        <v>179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10759.999999998854</v>
      </c>
      <c r="F6" s="10">
        <f>Electricity!L12/TOTAL!E6</f>
        <v>1239.6166821561494</v>
      </c>
      <c r="G6" s="9">
        <f>Gas!F13+Gas!I13+Gas!L13+Gas!O13</f>
        <v>147.77714516129032</v>
      </c>
      <c r="H6" s="10">
        <f>Gas!Q13/TOTAL!G6</f>
        <v>15840.000000000002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236</v>
      </c>
      <c r="L6" s="10">
        <f>Water!K13/TOTAL!K6</f>
        <v>4365.4152542372885</v>
      </c>
      <c r="M6" s="9">
        <f>Electricity!C12</f>
        <v>46</v>
      </c>
      <c r="N6" s="9">
        <f>Electricity!D12</f>
        <v>210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11120.0000000008</v>
      </c>
      <c r="F7" s="10">
        <f>Electricity!L13/TOTAL!E7</f>
        <v>1240.4582284172368</v>
      </c>
      <c r="G7" s="9">
        <f>Gas!F14+Gas!I14+Gas!L14+Gas!O14</f>
        <v>168.19045161290319</v>
      </c>
      <c r="H7" s="10">
        <f>Gas!Q14/TOTAL!G7</f>
        <v>15840.000000000005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253</v>
      </c>
      <c r="L7" s="10">
        <f>Water!K14/TOTAL!K7</f>
        <v>4340.861660079051</v>
      </c>
      <c r="M7" s="9">
        <f>Electricity!C13</f>
        <v>44</v>
      </c>
      <c r="N7" s="9">
        <f>Electricity!D13</f>
        <v>240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11279.999999999291</v>
      </c>
      <c r="F8" s="10">
        <f>Electricity!L14/TOTAL!E8</f>
        <v>1239.0198138297947</v>
      </c>
      <c r="G8" s="9">
        <f>Gas!F15+Gas!I15+Gas!L15+Gas!O15</f>
        <v>140.97270967741932</v>
      </c>
      <c r="H8" s="10">
        <f>Gas!Q15/TOTAL!G8</f>
        <v>15840.000000000004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220</v>
      </c>
      <c r="L8" s="10">
        <f>Water!K15/TOTAL!K8</f>
        <v>4391.9909090909086</v>
      </c>
      <c r="M8" s="9">
        <f>Electricity!C14</f>
        <v>40</v>
      </c>
      <c r="N8" s="9">
        <f>Electricity!D14</f>
        <v>200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11559.999999999945</v>
      </c>
      <c r="F9" s="10">
        <f>Electricity!L15/TOTAL!E9</f>
        <v>1241.5250865052096</v>
      </c>
      <c r="G9" s="9">
        <f>Gas!F16+Gas!I16+Gas!L16+Gas!O16</f>
        <v>145.73581451612901</v>
      </c>
      <c r="H9" s="10">
        <f>Gas!Q16/TOTAL!G9</f>
        <v>15840.000000000004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235</v>
      </c>
      <c r="L9" s="10">
        <f>Water!K16/TOTAL!K9</f>
        <v>4163.097872340426</v>
      </c>
      <c r="M9" s="9">
        <f>Electricity!C15</f>
        <v>39</v>
      </c>
      <c r="N9" s="9">
        <f>Electricity!D15</f>
        <v>207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11799.999999999727</v>
      </c>
      <c r="F10" s="10">
        <f>Electricity!L16/TOTAL!E10</f>
        <v>1238.4755508474575</v>
      </c>
      <c r="G10" s="9">
        <f>Gas!F17+Gas!I17+Gas!L17+Gas!O17</f>
        <v>129.4051693548387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215</v>
      </c>
      <c r="L10" s="10">
        <f>Water!K17/TOTAL!K10</f>
        <v>4267.4046511627903</v>
      </c>
      <c r="M10" s="9">
        <f>Electricity!C16</f>
        <v>39</v>
      </c>
      <c r="N10" s="9">
        <f>Electricity!D16</f>
        <v>183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11239.999999999782</v>
      </c>
      <c r="F11" s="10">
        <f>Electricity!L17/TOTAL!E11</f>
        <v>1244.4425266903897</v>
      </c>
      <c r="G11" s="9">
        <f>Gas!F18+Gas!I18+Gas!L18+Gas!O18</f>
        <v>126.68339516129035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230</v>
      </c>
      <c r="L11" s="10">
        <f>Water!K18/TOTAL!K11</f>
        <v>6291.347826086957</v>
      </c>
      <c r="M11" s="9">
        <f>Electricity!C17</f>
        <v>35</v>
      </c>
      <c r="N11" s="9">
        <f>Electricity!D17</f>
        <v>179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11860.000000000582</v>
      </c>
      <c r="F12" s="10">
        <f>Electricity!L18/TOTAL!E12</f>
        <v>1238.9329679595194</v>
      </c>
      <c r="G12" s="9">
        <f>Gas!F19+Gas!I19+Gas!L19+Gas!O19</f>
        <v>115.11585483870968</v>
      </c>
      <c r="H12" s="10">
        <f>Gas!Q19/TOTAL!G12</f>
        <v>15840.000000000002</v>
      </c>
      <c r="I12" s="9">
        <f>'Fuel Diesel'!F19</f>
        <v>60</v>
      </c>
      <c r="J12" s="11">
        <f>'Fuel Diesel'!G19/'Fuel Diesel'!F19</f>
        <v>10700</v>
      </c>
      <c r="K12" s="9">
        <f>Water!E19+Water!G19+Water!I19</f>
        <v>239</v>
      </c>
      <c r="L12" s="10">
        <f>Water!K19/TOTAL!K12</f>
        <v>5563.5899581589956</v>
      </c>
      <c r="M12" s="9">
        <f>Electricity!C18</f>
        <v>40</v>
      </c>
      <c r="N12" s="9">
        <f>Electricity!D18</f>
        <v>162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11240.000000000236</v>
      </c>
      <c r="F13" s="10">
        <f>Electricity!L19/TOTAL!E13</f>
        <v>1239.3755782918138</v>
      </c>
      <c r="G13" s="9">
        <f>Gas!F20+Gas!I20+Gas!L20+Gas!O20</f>
        <v>129.4051693548387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247</v>
      </c>
      <c r="L13" s="10">
        <f>Water!K20/TOTAL!K13</f>
        <v>4000</v>
      </c>
      <c r="M13" s="9">
        <f>Electricity!C19</f>
        <v>34</v>
      </c>
      <c r="N13" s="9">
        <f>Electricity!D19</f>
        <v>183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11840.0000000006</v>
      </c>
      <c r="F14" s="10">
        <f>Electricity!L20/TOTAL!E14</f>
        <v>1234.2915118243207</v>
      </c>
      <c r="G14" s="9">
        <f>Gas!F21+Gas!I21+Gas!L21+Gas!O21</f>
        <v>119.19851612903227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297</v>
      </c>
      <c r="L14" s="10">
        <f>Water!K21/TOTAL!K14</f>
        <v>4000</v>
      </c>
      <c r="M14" s="9">
        <f>Electricity!C20</f>
        <v>33</v>
      </c>
      <c r="N14" s="9">
        <f>Electricity!D20</f>
        <v>168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11719.9999999998</v>
      </c>
      <c r="F15" s="10">
        <f>Electricity!L21/TOTAL!E15</f>
        <v>1239.1542235494874</v>
      </c>
      <c r="G15" s="9">
        <f>Gas!F22+Gas!I22+Gas!L22+Gas!O22</f>
        <v>147.09670161290319</v>
      </c>
      <c r="H15" s="10">
        <f>Gas!Q22/TOTAL!G15</f>
        <v>15840.000000000005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331</v>
      </c>
      <c r="L15" s="10">
        <f>Water!K22/TOTAL!K15</f>
        <v>4000</v>
      </c>
      <c r="M15" s="9">
        <f>Electricity!C21</f>
        <v>36</v>
      </c>
      <c r="N15" s="9">
        <f>Electricity!D21</f>
        <v>209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10859.999999999218</v>
      </c>
      <c r="F16" s="10">
        <f>Electricity!L22/TOTAL!E16</f>
        <v>1238.6906537753346</v>
      </c>
      <c r="G16" s="9">
        <f>Gas!F23+Gas!I23+Gas!L23+Gas!O23</f>
        <v>129.4051693548387</v>
      </c>
      <c r="H16" s="10">
        <f>Gas!Q23/TOTAL!G16</f>
        <v>15840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373</v>
      </c>
      <c r="L16" s="10">
        <f>Water!K23/TOTAL!K16</f>
        <v>4205.5120643431637</v>
      </c>
      <c r="M16" s="9">
        <f>Electricity!C22</f>
        <v>37</v>
      </c>
      <c r="N16" s="9">
        <f>Electricity!D22</f>
        <v>183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11099.999999999909</v>
      </c>
      <c r="F17" s="10">
        <f>Electricity!L23/TOTAL!E17</f>
        <v>1242.6932882882884</v>
      </c>
      <c r="G17" s="9">
        <f>Gas!F24+Gas!I24+Gas!L24+Gas!O24</f>
        <v>163.42734677419352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291</v>
      </c>
      <c r="L17" s="10">
        <f>Water!K24/TOTAL!K17</f>
        <v>4000</v>
      </c>
      <c r="M17" s="9">
        <f>Electricity!C23</f>
        <v>38</v>
      </c>
      <c r="N17" s="9">
        <f>Electricity!D23</f>
        <v>233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11460.000000000946</v>
      </c>
      <c r="F18" s="10">
        <f>Electricity!L24/TOTAL!E18</f>
        <v>1238.443542757409</v>
      </c>
      <c r="G18" s="9">
        <f>Gas!F25+Gas!I25+Gas!L25+Gas!O25</f>
        <v>145.73581451612901</v>
      </c>
      <c r="H18" s="10">
        <f>Gas!Q25/TOTAL!G18</f>
        <v>15840.000000000004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337</v>
      </c>
      <c r="L18" s="10">
        <f>Water!K25/TOTAL!K18</f>
        <v>4000</v>
      </c>
      <c r="M18" s="9">
        <f>Electricity!C24</f>
        <v>36</v>
      </c>
      <c r="N18" s="9">
        <f>Electricity!D24</f>
        <v>207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11579.999999998563</v>
      </c>
      <c r="F19" s="10">
        <f>Electricity!L25/TOTAL!E19</f>
        <v>1244.2990069084697</v>
      </c>
      <c r="G19" s="9">
        <f>Gas!F26+Gas!I26+Gas!L26+Gas!O26</f>
        <v>131.44650000000001</v>
      </c>
      <c r="H19" s="10">
        <f>Gas!Q26/TOTAL!G19</f>
        <v>15840.000000000002</v>
      </c>
      <c r="I19" s="9">
        <f>'Fuel Diesel'!F26</f>
        <v>60</v>
      </c>
      <c r="J19" s="11">
        <f>'Fuel Diesel'!G26/'Fuel Diesel'!F26</f>
        <v>10700</v>
      </c>
      <c r="K19" s="9">
        <f>Water!E26+Water!G26+Water!I26</f>
        <v>267</v>
      </c>
      <c r="L19" s="10">
        <f>Water!K26/TOTAL!K19</f>
        <v>4000</v>
      </c>
      <c r="M19" s="9">
        <f>Electricity!C25</f>
        <v>39</v>
      </c>
      <c r="N19" s="9">
        <f>Electricity!D25</f>
        <v>186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11560.000000000855</v>
      </c>
      <c r="F20" s="10">
        <f>Electricity!L26/TOTAL!E20</f>
        <v>1234.6277249134905</v>
      </c>
      <c r="G20" s="9">
        <f>Gas!F27+Gas!I27+Gas!L27+Gas!O27</f>
        <v>132.12694354838712</v>
      </c>
      <c r="H20" s="10">
        <f>Gas!Q27/TOTAL!G20</f>
        <v>15840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287</v>
      </c>
      <c r="L20" s="10">
        <f>Water!K27/TOTAL!K20</f>
        <v>5268.6968641114981</v>
      </c>
      <c r="M20" s="9">
        <f>Electricity!C26</f>
        <v>42</v>
      </c>
      <c r="N20" s="9">
        <f>Electricity!D26</f>
        <v>187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11139.999999999873</v>
      </c>
      <c r="F21" s="10">
        <f>Electricity!L27/TOTAL!E21</f>
        <v>1240.2761669658908</v>
      </c>
      <c r="G21" s="9">
        <f>Gas!F28+Gas!I28+Gas!L28+Gas!O28</f>
        <v>138.25093548387096</v>
      </c>
      <c r="H21" s="10">
        <f>Gas!Q28/TOTAL!G21</f>
        <v>15840.000000000004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264</v>
      </c>
      <c r="L21" s="10">
        <f>Water!K28/TOTAL!K21</f>
        <v>6831.045454545455</v>
      </c>
      <c r="M21" s="9">
        <f>Electricity!C27</f>
        <v>43</v>
      </c>
      <c r="N21" s="9">
        <f>Electricity!D27</f>
        <v>196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10640.000000000327</v>
      </c>
      <c r="F22" s="10">
        <f>Electricity!L28/TOTAL!E22</f>
        <v>1239.68035714286</v>
      </c>
      <c r="G22" s="9">
        <f>Gas!F29+Gas!I29+Gas!L29+Gas!O29</f>
        <v>121.92029032258063</v>
      </c>
      <c r="H22" s="10">
        <f>Gas!Q29/TOTAL!G22</f>
        <v>15840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255</v>
      </c>
      <c r="L22" s="10">
        <f>Water!K29/TOTAL!K22</f>
        <v>6743.0823529411764</v>
      </c>
      <c r="M22" s="9">
        <f>Electricity!C28</f>
        <v>40</v>
      </c>
      <c r="N22" s="9">
        <f>Electricity!D28</f>
        <v>172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10940.000000000509</v>
      </c>
      <c r="F23" s="10">
        <f>Electricity!L29/TOTAL!E23</f>
        <v>1243.1679159049313</v>
      </c>
      <c r="G23" s="9">
        <f>Gas!F30+Gas!I30+Gas!L30+Gas!O30</f>
        <v>138.25093548387096</v>
      </c>
      <c r="H23" s="10">
        <f>Gas!Q30/TOTAL!G23</f>
        <v>15840.000000000004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278</v>
      </c>
      <c r="L23" s="10">
        <f>Water!K30/TOTAL!K23</f>
        <v>6585.0719424460431</v>
      </c>
      <c r="M23" s="9">
        <f>Electricity!C29</f>
        <v>39</v>
      </c>
      <c r="N23" s="9">
        <f>Electricity!D29</f>
        <v>196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11539.999999999964</v>
      </c>
      <c r="F24" s="10">
        <f>Electricity!L30/TOTAL!E24</f>
        <v>1239.7285961871737</v>
      </c>
      <c r="G24" s="9">
        <f>Gas!F31+Gas!I31+Gas!L31+Gas!O31</f>
        <v>121.92029032258063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287</v>
      </c>
      <c r="L24" s="10">
        <f>Water!K31/TOTAL!K24</f>
        <v>6437.2334494773522</v>
      </c>
      <c r="M24" s="9">
        <f>Electricity!C30</f>
        <v>33</v>
      </c>
      <c r="N24" s="9">
        <f>Electricity!D30</f>
        <v>172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10339.999999998781</v>
      </c>
      <c r="F25" s="10">
        <f>Electricity!L31/TOTAL!E25</f>
        <v>1238.1936170212732</v>
      </c>
      <c r="G25" s="9">
        <f>Gas!F32+Gas!I32+Gas!L32+Gas!O32</f>
        <v>104.22875806451611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213</v>
      </c>
      <c r="L25" s="10">
        <f>Water!K32/TOTAL!K25</f>
        <v>6879.0985915492956</v>
      </c>
      <c r="M25" s="9">
        <f>Electricity!C31</f>
        <v>31</v>
      </c>
      <c r="N25" s="9">
        <f>Electricity!D31</f>
        <v>146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10899.999999999636</v>
      </c>
      <c r="F26" s="10">
        <f>Electricity!L32/TOTAL!E26</f>
        <v>1239.3700000000072</v>
      </c>
      <c r="G26" s="9">
        <f>Gas!F33+Gas!I33+Gas!L33+Gas!O33</f>
        <v>102.18742741935483</v>
      </c>
      <c r="H26" s="10">
        <f>Gas!Q33/TOTAL!G26</f>
        <v>15839.999999999998</v>
      </c>
      <c r="I26" s="9">
        <f>'Fuel Diesel'!F33</f>
        <v>60</v>
      </c>
      <c r="J26" s="11">
        <f>'Fuel Diesel'!G33/'Fuel Diesel'!F33</f>
        <v>10700</v>
      </c>
      <c r="K26" s="9">
        <f>Water!E33+Water!G33+Water!I33</f>
        <v>281</v>
      </c>
      <c r="L26" s="10">
        <f>Water!K33/TOTAL!K26</f>
        <v>6421.0747330960858</v>
      </c>
      <c r="M26" s="9">
        <f>Electricity!C32</f>
        <v>36</v>
      </c>
      <c r="N26" s="9">
        <f>Electricity!D32</f>
        <v>143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10460.000000000036</v>
      </c>
      <c r="F27" s="10">
        <f>Electricity!L33/TOTAL!E27</f>
        <v>1245.7678776290647</v>
      </c>
      <c r="G27" s="9">
        <f>Gas!F34+Gas!I34+Gas!L34+Gas!O34</f>
        <v>118.51807258064514</v>
      </c>
      <c r="H27" s="10">
        <f>Gas!Q34/TOTAL!G27</f>
        <v>15840.000000000002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279</v>
      </c>
      <c r="L27" s="10">
        <f>Water!K34/TOTAL!K27</f>
        <v>6301.0537634408602</v>
      </c>
      <c r="M27" s="9">
        <f>Electricity!C33</f>
        <v>36</v>
      </c>
      <c r="N27" s="9">
        <f>Electricity!D33</f>
        <v>167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10860.000000001492</v>
      </c>
      <c r="F28" s="10">
        <f>Electricity!L34/TOTAL!E28</f>
        <v>1237.6418047882062</v>
      </c>
      <c r="G28" s="9">
        <f>Gas!F35+Gas!I35+Gas!L35+Gas!O35</f>
        <v>128.7247258064516</v>
      </c>
      <c r="H28" s="10">
        <f>Gas!Q35/TOTAL!G28</f>
        <v>15840.000000000002</v>
      </c>
      <c r="I28" s="9">
        <f>'Fuel Diesel'!F35</f>
        <v>280</v>
      </c>
      <c r="J28" s="11">
        <f>'Fuel Diesel'!G35/'Fuel Diesel'!F35</f>
        <v>10700</v>
      </c>
      <c r="K28" s="9">
        <f>Water!E35+Water!G35+Water!I35</f>
        <v>282</v>
      </c>
      <c r="L28" s="10">
        <f>Water!K35/TOTAL!K28</f>
        <v>6480.4468085106382</v>
      </c>
      <c r="M28" s="9">
        <f>Electricity!C34</f>
        <v>33</v>
      </c>
      <c r="N28" s="9">
        <f>Electricity!D34</f>
        <v>182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10839.999999996962</v>
      </c>
      <c r="F29" s="10">
        <f>Electricity!L35/TOTAL!E29</f>
        <v>1243.0776291513216</v>
      </c>
      <c r="G29" s="9">
        <f>Gas!F36+Gas!I36+Gas!L36+Gas!O36</f>
        <v>130.08561290322581</v>
      </c>
      <c r="H29" s="10">
        <f>Gas!Q36/TOTAL!G29</f>
        <v>15840.000000000004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226</v>
      </c>
      <c r="L29" s="10">
        <f>Water!K36/TOTAL!K29</f>
        <v>6883.0796460176989</v>
      </c>
      <c r="M29" s="9">
        <f>Electricity!C35</f>
        <v>32</v>
      </c>
      <c r="N29" s="9">
        <f>Electricity!D35</f>
        <v>184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11080.000000000837</v>
      </c>
      <c r="F30" s="10">
        <f>Electricity!L36/TOTAL!E30</f>
        <v>1242.8803700360691</v>
      </c>
      <c r="G30" s="9">
        <f>Gas!F37+Gas!I37+Gas!L37+Gas!O37</f>
        <v>153.22069354838712</v>
      </c>
      <c r="H30" s="10">
        <f>Gas!Q37/TOTAL!G30</f>
        <v>15840.000000000004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412</v>
      </c>
      <c r="L30" s="10">
        <f>Water!K37/TOTAL!K30</f>
        <v>5651.2669902912621</v>
      </c>
      <c r="M30" s="9">
        <f>Electricity!C36</f>
        <v>36</v>
      </c>
      <c r="N30" s="9">
        <f>Electricity!D36</f>
        <v>218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12000</v>
      </c>
      <c r="F31" s="10">
        <f>Electricity!L37/TOTAL!E31</f>
        <v>1265.2947083333268</v>
      </c>
      <c r="G31" s="9">
        <f>Gas!F38+Gas!I38+Gas!L38+Gas!O38</f>
        <v>164.78823387096773</v>
      </c>
      <c r="H31" s="10">
        <f>Gas!Q38/TOTAL!G31</f>
        <v>15840.000000000002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326</v>
      </c>
      <c r="L31" s="10">
        <f>Water!K38/TOTAL!K31</f>
        <v>6439.5889570552145</v>
      </c>
      <c r="M31" s="9">
        <f>Electricity!C37</f>
        <v>42</v>
      </c>
      <c r="N31" s="9">
        <f>Electricity!D37</f>
        <v>235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0</v>
      </c>
      <c r="F32" s="10" t="e">
        <f>Electricity!L38/TOTAL!E32</f>
        <v>#DIV/0!</v>
      </c>
      <c r="G32" s="9">
        <f>Gas!F39+Gas!I39+Gas!L39+Gas!O39</f>
        <v>11.309999999999999</v>
      </c>
      <c r="H32" s="10">
        <f>Gas!Q39/TOTAL!G32</f>
        <v>15840.000000000002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0</v>
      </c>
      <c r="L32" s="10" t="e">
        <f>Water!K39/TOTAL!K32</f>
        <v>#DIV/0!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 x14ac:dyDescent="0.25">
      <c r="E33" s="86">
        <f>SUM(E2:E32)</f>
        <v>334599.99999999907</v>
      </c>
      <c r="F33" s="86" t="e">
        <f>SUM(F2:F32)/31</f>
        <v>#DIV/0!</v>
      </c>
      <c r="G33" s="86">
        <f>SUM(G2:G32)</f>
        <v>4207.83</v>
      </c>
      <c r="H33" s="96">
        <f>SUM(H2:H32)/31</f>
        <v>15840</v>
      </c>
      <c r="I33" s="86">
        <f>SUM(I2:I32)</f>
        <v>690</v>
      </c>
      <c r="J33" s="96">
        <f>J26</f>
        <v>10700</v>
      </c>
      <c r="K33" s="86">
        <f>SUM(K2:K32)</f>
        <v>8267</v>
      </c>
      <c r="L33" s="96" t="e">
        <f>SUM(L2:L32)/31</f>
        <v>#DIV/0!</v>
      </c>
      <c r="M33" s="86">
        <f t="shared" ref="M33:N33" si="1">SUM(M2:M32)</f>
        <v>1141</v>
      </c>
      <c r="N33" s="86">
        <f t="shared" si="1"/>
        <v>5952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43770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42</v>
      </c>
      <c r="D8" s="25">
        <v>274</v>
      </c>
      <c r="E8" s="26">
        <v>4.5</v>
      </c>
      <c r="F8" s="27">
        <f t="shared" ref="F8:F38" si="0">E8*2000</f>
        <v>9000</v>
      </c>
      <c r="G8" s="28">
        <f t="shared" ref="G8:G38" si="1">F8*1035.5</f>
        <v>9319500</v>
      </c>
      <c r="H8" s="26">
        <v>0.93000000000006366</v>
      </c>
      <c r="I8" s="27">
        <f t="shared" ref="I8:I38" si="2">H8*2000</f>
        <v>1860.0000000001273</v>
      </c>
      <c r="J8" s="28">
        <f t="shared" ref="J8:J38" si="3">I8*1553.25</f>
        <v>2889045.0000001979</v>
      </c>
      <c r="K8" s="26">
        <f t="shared" ref="K8:K38" si="4">G8+J8</f>
        <v>12208545.000000197</v>
      </c>
      <c r="L8" s="29">
        <f t="shared" ref="L8:L38" si="5">K8*1.1</f>
        <v>13429399.500000218</v>
      </c>
      <c r="M8" s="30">
        <f>L8/14381</f>
        <v>933.82932341285152</v>
      </c>
      <c r="N8" s="31"/>
    </row>
    <row r="9" spans="1:14" x14ac:dyDescent="0.25">
      <c r="A9" s="22"/>
      <c r="B9" s="24">
        <v>2</v>
      </c>
      <c r="C9" s="25">
        <v>44</v>
      </c>
      <c r="D9" s="25">
        <v>338</v>
      </c>
      <c r="E9" s="26">
        <v>4.5</v>
      </c>
      <c r="F9" s="27">
        <f t="shared" si="0"/>
        <v>9000</v>
      </c>
      <c r="G9" s="28">
        <f t="shared" si="1"/>
        <v>9319500</v>
      </c>
      <c r="H9" s="26">
        <v>0.96000000000003638</v>
      </c>
      <c r="I9" s="27">
        <f t="shared" si="2"/>
        <v>1920.0000000000728</v>
      </c>
      <c r="J9" s="28">
        <f t="shared" si="3"/>
        <v>2982240.0000001132</v>
      </c>
      <c r="K9" s="26">
        <f t="shared" si="4"/>
        <v>12301740.000000114</v>
      </c>
      <c r="L9" s="29">
        <f t="shared" si="5"/>
        <v>13531914.000000127</v>
      </c>
      <c r="M9" s="30">
        <f t="shared" ref="M9:M38" si="6">L9/14381</f>
        <v>940.95779153050046</v>
      </c>
      <c r="N9" s="31"/>
    </row>
    <row r="10" spans="1:14" x14ac:dyDescent="0.25">
      <c r="A10" s="22"/>
      <c r="B10" s="24">
        <v>3</v>
      </c>
      <c r="C10" s="25">
        <v>33</v>
      </c>
      <c r="D10" s="25">
        <v>213</v>
      </c>
      <c r="E10" s="26">
        <v>4.180000000000291</v>
      </c>
      <c r="F10" s="27">
        <f t="shared" si="0"/>
        <v>8360.0000000005821</v>
      </c>
      <c r="G10" s="28">
        <f t="shared" si="1"/>
        <v>8656780.0000006035</v>
      </c>
      <c r="H10" s="26">
        <v>0.93000000000006366</v>
      </c>
      <c r="I10" s="27">
        <f t="shared" si="2"/>
        <v>1860.0000000001273</v>
      </c>
      <c r="J10" s="28">
        <f t="shared" si="3"/>
        <v>2889045.0000001979</v>
      </c>
      <c r="K10" s="26">
        <f t="shared" si="4"/>
        <v>11545825.000000801</v>
      </c>
      <c r="L10" s="29">
        <f t="shared" si="5"/>
        <v>12700407.500000883</v>
      </c>
      <c r="M10" s="30">
        <f t="shared" si="6"/>
        <v>883.13799457623827</v>
      </c>
      <c r="N10" s="31"/>
    </row>
    <row r="11" spans="1:14" x14ac:dyDescent="0.25">
      <c r="A11" s="22"/>
      <c r="B11" s="24">
        <v>4</v>
      </c>
      <c r="C11" s="25">
        <v>43</v>
      </c>
      <c r="D11" s="25">
        <v>179</v>
      </c>
      <c r="E11" s="26">
        <v>4.5100000000002183</v>
      </c>
      <c r="F11" s="27">
        <f t="shared" si="0"/>
        <v>9020.0000000004366</v>
      </c>
      <c r="G11" s="28">
        <f t="shared" si="1"/>
        <v>9340210.0000004526</v>
      </c>
      <c r="H11" s="26">
        <v>0.93000000000006366</v>
      </c>
      <c r="I11" s="27">
        <f t="shared" si="2"/>
        <v>1860.0000000001273</v>
      </c>
      <c r="J11" s="28">
        <f t="shared" si="3"/>
        <v>2889045.0000001979</v>
      </c>
      <c r="K11" s="26">
        <f t="shared" si="4"/>
        <v>12229255.00000065</v>
      </c>
      <c r="L11" s="29">
        <f t="shared" si="5"/>
        <v>13452180.500000715</v>
      </c>
      <c r="M11" s="30">
        <f t="shared" si="6"/>
        <v>935.41342743903169</v>
      </c>
      <c r="N11" s="31"/>
    </row>
    <row r="12" spans="1:14" x14ac:dyDescent="0.25">
      <c r="A12" s="22"/>
      <c r="B12" s="24">
        <v>5</v>
      </c>
      <c r="C12" s="25">
        <v>46</v>
      </c>
      <c r="D12" s="25">
        <v>210</v>
      </c>
      <c r="E12" s="26">
        <v>4.4299999999993815</v>
      </c>
      <c r="F12" s="27">
        <f t="shared" si="0"/>
        <v>8859.9999999987631</v>
      </c>
      <c r="G12" s="28">
        <f t="shared" si="1"/>
        <v>9174529.9999987185</v>
      </c>
      <c r="H12" s="26">
        <v>0.95000000000004547</v>
      </c>
      <c r="I12" s="27">
        <f t="shared" si="2"/>
        <v>1900.0000000000909</v>
      </c>
      <c r="J12" s="28">
        <f t="shared" si="3"/>
        <v>2951175.0000001411</v>
      </c>
      <c r="K12" s="26">
        <f t="shared" si="4"/>
        <v>12125704.99999886</v>
      </c>
      <c r="L12" s="29">
        <f t="shared" si="5"/>
        <v>13338275.499998746</v>
      </c>
      <c r="M12" s="30">
        <f t="shared" si="6"/>
        <v>927.49290730816676</v>
      </c>
      <c r="N12" s="31"/>
    </row>
    <row r="13" spans="1:14" x14ac:dyDescent="0.25">
      <c r="A13" s="22"/>
      <c r="B13" s="24">
        <v>6</v>
      </c>
      <c r="C13" s="25">
        <v>44</v>
      </c>
      <c r="D13" s="25">
        <v>240</v>
      </c>
      <c r="E13" s="26">
        <v>4.5700000000006185</v>
      </c>
      <c r="F13" s="27">
        <f t="shared" si="0"/>
        <v>9140.0000000012369</v>
      </c>
      <c r="G13" s="28">
        <f t="shared" si="1"/>
        <v>9464470.0000012815</v>
      </c>
      <c r="H13" s="26">
        <v>0.98999999999978172</v>
      </c>
      <c r="I13" s="27">
        <f t="shared" si="2"/>
        <v>1979.9999999995634</v>
      </c>
      <c r="J13" s="28">
        <f t="shared" si="3"/>
        <v>3075434.999999322</v>
      </c>
      <c r="K13" s="26">
        <f t="shared" si="4"/>
        <v>12539905.000000603</v>
      </c>
      <c r="L13" s="29">
        <f t="shared" si="5"/>
        <v>13793895.500000665</v>
      </c>
      <c r="M13" s="30">
        <f t="shared" si="6"/>
        <v>959.17498783121232</v>
      </c>
      <c r="N13" s="31"/>
    </row>
    <row r="14" spans="1:14" x14ac:dyDescent="0.25">
      <c r="A14" s="22"/>
      <c r="B14" s="24">
        <v>7</v>
      </c>
      <c r="C14" s="25">
        <v>40</v>
      </c>
      <c r="D14" s="25">
        <v>200</v>
      </c>
      <c r="E14" s="26">
        <v>4.6499999999996362</v>
      </c>
      <c r="F14" s="27">
        <f t="shared" si="0"/>
        <v>9299.9999999992724</v>
      </c>
      <c r="G14" s="28">
        <f t="shared" si="1"/>
        <v>9630149.9999992475</v>
      </c>
      <c r="H14" s="26">
        <v>0.99000000000000909</v>
      </c>
      <c r="I14" s="27">
        <f t="shared" si="2"/>
        <v>1980.0000000000182</v>
      </c>
      <c r="J14" s="28">
        <f t="shared" si="3"/>
        <v>3075435.0000000284</v>
      </c>
      <c r="K14" s="26">
        <f t="shared" si="4"/>
        <v>12705584.999999275</v>
      </c>
      <c r="L14" s="29">
        <f t="shared" si="5"/>
        <v>13976143.499999205</v>
      </c>
      <c r="M14" s="30">
        <f t="shared" si="6"/>
        <v>971.84782004027568</v>
      </c>
      <c r="N14" s="31"/>
    </row>
    <row r="15" spans="1:14" x14ac:dyDescent="0.25">
      <c r="A15" s="22"/>
      <c r="B15" s="24">
        <v>8</v>
      </c>
      <c r="C15" s="25">
        <v>39</v>
      </c>
      <c r="D15" s="25">
        <v>207</v>
      </c>
      <c r="E15" s="26">
        <v>4.7399999999997817</v>
      </c>
      <c r="F15" s="27">
        <f t="shared" si="0"/>
        <v>9479.9999999995634</v>
      </c>
      <c r="G15" s="28">
        <f t="shared" si="1"/>
        <v>9816539.9999995474</v>
      </c>
      <c r="H15" s="26">
        <v>1.040000000000191</v>
      </c>
      <c r="I15" s="27">
        <f t="shared" si="2"/>
        <v>2080.000000000382</v>
      </c>
      <c r="J15" s="28">
        <f t="shared" si="3"/>
        <v>3230760.0000005933</v>
      </c>
      <c r="K15" s="26">
        <f t="shared" si="4"/>
        <v>13047300.000000142</v>
      </c>
      <c r="L15" s="29">
        <f t="shared" si="5"/>
        <v>14352030.000000156</v>
      </c>
      <c r="M15" s="30">
        <f t="shared" si="6"/>
        <v>997.98553647174447</v>
      </c>
      <c r="N15" s="31"/>
    </row>
    <row r="16" spans="1:14" x14ac:dyDescent="0.25">
      <c r="A16" s="22"/>
      <c r="B16" s="24">
        <v>9</v>
      </c>
      <c r="C16" s="25">
        <v>39</v>
      </c>
      <c r="D16" s="25">
        <v>183</v>
      </c>
      <c r="E16" s="26">
        <v>4.8699999999998909</v>
      </c>
      <c r="F16" s="27">
        <f t="shared" si="0"/>
        <v>9739.9999999997817</v>
      </c>
      <c r="G16" s="28">
        <f t="shared" si="1"/>
        <v>10085769.999999775</v>
      </c>
      <c r="H16" s="26">
        <v>1.0299999999999727</v>
      </c>
      <c r="I16" s="27">
        <f t="shared" si="2"/>
        <v>2059.9999999999454</v>
      </c>
      <c r="J16" s="28">
        <f t="shared" si="3"/>
        <v>3199694.9999999152</v>
      </c>
      <c r="K16" s="26">
        <f t="shared" si="4"/>
        <v>13285464.999999691</v>
      </c>
      <c r="L16" s="29">
        <f t="shared" si="5"/>
        <v>14614011.499999661</v>
      </c>
      <c r="M16" s="30">
        <f t="shared" si="6"/>
        <v>1016.2027327723845</v>
      </c>
      <c r="N16" s="31"/>
    </row>
    <row r="17" spans="1:14" x14ac:dyDescent="0.25">
      <c r="A17" s="22"/>
      <c r="B17" s="24">
        <v>10</v>
      </c>
      <c r="C17" s="25">
        <v>35</v>
      </c>
      <c r="D17" s="25">
        <v>179</v>
      </c>
      <c r="E17" s="26">
        <v>4.5799999999999272</v>
      </c>
      <c r="F17" s="27">
        <f t="shared" si="0"/>
        <v>9159.9999999998545</v>
      </c>
      <c r="G17" s="28">
        <f t="shared" si="1"/>
        <v>9485179.9999998491</v>
      </c>
      <c r="H17" s="26">
        <v>1.0399999999999636</v>
      </c>
      <c r="I17" s="27">
        <f t="shared" si="2"/>
        <v>2079.9999999999272</v>
      </c>
      <c r="J17" s="28">
        <f t="shared" si="3"/>
        <v>3230759.9999998868</v>
      </c>
      <c r="K17" s="26">
        <f t="shared" si="4"/>
        <v>12715939.999999736</v>
      </c>
      <c r="L17" s="29">
        <f t="shared" si="5"/>
        <v>13987533.999999709</v>
      </c>
      <c r="M17" s="30">
        <f t="shared" si="6"/>
        <v>972.63987205338356</v>
      </c>
      <c r="N17" s="31"/>
    </row>
    <row r="18" spans="1:14" x14ac:dyDescent="0.25">
      <c r="A18" s="22"/>
      <c r="B18" s="24">
        <v>11</v>
      </c>
      <c r="C18" s="25">
        <v>40</v>
      </c>
      <c r="D18" s="25">
        <v>162</v>
      </c>
      <c r="E18" s="26">
        <v>4.8900000000003274</v>
      </c>
      <c r="F18" s="27">
        <f t="shared" si="0"/>
        <v>9780.0000000006548</v>
      </c>
      <c r="G18" s="28">
        <f t="shared" si="1"/>
        <v>10127190.000000678</v>
      </c>
      <c r="H18" s="26">
        <v>1.0399999999999636</v>
      </c>
      <c r="I18" s="27">
        <f t="shared" si="2"/>
        <v>2079.9999999999272</v>
      </c>
      <c r="J18" s="28">
        <f t="shared" si="3"/>
        <v>3230759.9999998868</v>
      </c>
      <c r="K18" s="26">
        <f t="shared" si="4"/>
        <v>13357950.000000564</v>
      </c>
      <c r="L18" s="29">
        <f t="shared" si="5"/>
        <v>14693745.000000622</v>
      </c>
      <c r="M18" s="30">
        <f t="shared" si="6"/>
        <v>1021.7470968639609</v>
      </c>
      <c r="N18" s="31"/>
    </row>
    <row r="19" spans="1:14" x14ac:dyDescent="0.25">
      <c r="A19" s="22"/>
      <c r="B19" s="24">
        <v>12</v>
      </c>
      <c r="C19" s="25">
        <v>34</v>
      </c>
      <c r="D19" s="25">
        <v>183</v>
      </c>
      <c r="E19" s="26">
        <v>4.6300000000001091</v>
      </c>
      <c r="F19" s="27">
        <f t="shared" si="0"/>
        <v>9260.0000000002183</v>
      </c>
      <c r="G19" s="28">
        <f t="shared" si="1"/>
        <v>9588730.0000002254</v>
      </c>
      <c r="H19" s="26">
        <v>0.99000000000000909</v>
      </c>
      <c r="I19" s="27">
        <f t="shared" si="2"/>
        <v>1980.0000000000182</v>
      </c>
      <c r="J19" s="28">
        <f t="shared" si="3"/>
        <v>3075435.0000000284</v>
      </c>
      <c r="K19" s="26">
        <f t="shared" si="4"/>
        <v>12664165.000000253</v>
      </c>
      <c r="L19" s="29">
        <f t="shared" si="5"/>
        <v>13930581.500000279</v>
      </c>
      <c r="M19" s="30">
        <f t="shared" si="6"/>
        <v>968.67961198805915</v>
      </c>
      <c r="N19" s="31"/>
    </row>
    <row r="20" spans="1:14" x14ac:dyDescent="0.25">
      <c r="A20" s="22"/>
      <c r="B20" s="24">
        <v>13</v>
      </c>
      <c r="C20" s="25">
        <v>33</v>
      </c>
      <c r="D20" s="25">
        <v>168</v>
      </c>
      <c r="E20" s="26">
        <v>4.930000000000291</v>
      </c>
      <c r="F20" s="27">
        <f t="shared" si="0"/>
        <v>9860.0000000005821</v>
      </c>
      <c r="G20" s="28">
        <f t="shared" si="1"/>
        <v>10210030.000000603</v>
      </c>
      <c r="H20" s="26">
        <v>0.99000000000000909</v>
      </c>
      <c r="I20" s="27">
        <f t="shared" si="2"/>
        <v>1980.0000000000182</v>
      </c>
      <c r="J20" s="28">
        <f t="shared" si="3"/>
        <v>3075435.0000000284</v>
      </c>
      <c r="K20" s="26">
        <f t="shared" si="4"/>
        <v>13285465.000000631</v>
      </c>
      <c r="L20" s="29">
        <f t="shared" si="5"/>
        <v>14614011.500000697</v>
      </c>
      <c r="M20" s="30">
        <f t="shared" si="6"/>
        <v>1016.2027327724564</v>
      </c>
      <c r="N20" s="31"/>
    </row>
    <row r="21" spans="1:14" x14ac:dyDescent="0.25">
      <c r="A21" s="22"/>
      <c r="B21" s="24">
        <v>14</v>
      </c>
      <c r="C21" s="25">
        <v>36</v>
      </c>
      <c r="D21" s="25">
        <v>209</v>
      </c>
      <c r="E21" s="26">
        <v>4.8299999999999272</v>
      </c>
      <c r="F21" s="27">
        <f t="shared" si="0"/>
        <v>9659.9999999998545</v>
      </c>
      <c r="G21" s="28">
        <f t="shared" si="1"/>
        <v>10002929.999999849</v>
      </c>
      <c r="H21" s="26">
        <v>1.0299999999999727</v>
      </c>
      <c r="I21" s="27">
        <f t="shared" si="2"/>
        <v>2059.9999999999454</v>
      </c>
      <c r="J21" s="28">
        <f t="shared" si="3"/>
        <v>3199694.9999999152</v>
      </c>
      <c r="K21" s="26">
        <f t="shared" si="4"/>
        <v>13202624.999999765</v>
      </c>
      <c r="L21" s="29">
        <f t="shared" si="5"/>
        <v>14522887.499999743</v>
      </c>
      <c r="M21" s="30">
        <f t="shared" si="6"/>
        <v>1009.8663166678077</v>
      </c>
      <c r="N21" s="31"/>
    </row>
    <row r="22" spans="1:14" x14ac:dyDescent="0.25">
      <c r="A22" s="22"/>
      <c r="B22" s="24">
        <v>15</v>
      </c>
      <c r="C22" s="25">
        <v>37</v>
      </c>
      <c r="D22" s="25">
        <v>183</v>
      </c>
      <c r="E22" s="26">
        <v>4.4799999999995634</v>
      </c>
      <c r="F22" s="27">
        <f t="shared" si="0"/>
        <v>8959.9999999991269</v>
      </c>
      <c r="G22" s="28">
        <f t="shared" si="1"/>
        <v>9278079.9999990966</v>
      </c>
      <c r="H22" s="26">
        <v>0.95000000000004547</v>
      </c>
      <c r="I22" s="27">
        <f t="shared" si="2"/>
        <v>1900.0000000000909</v>
      </c>
      <c r="J22" s="28">
        <f t="shared" si="3"/>
        <v>2951175.0000001411</v>
      </c>
      <c r="K22" s="26">
        <f t="shared" si="4"/>
        <v>12229254.999999238</v>
      </c>
      <c r="L22" s="29">
        <f t="shared" si="5"/>
        <v>13452180.499999164</v>
      </c>
      <c r="M22" s="30">
        <f t="shared" si="6"/>
        <v>935.4134274389238</v>
      </c>
      <c r="N22" s="31"/>
    </row>
    <row r="23" spans="1:14" x14ac:dyDescent="0.25">
      <c r="A23" s="22"/>
      <c r="B23" s="24">
        <v>16</v>
      </c>
      <c r="C23" s="25">
        <v>38</v>
      </c>
      <c r="D23" s="25">
        <v>233</v>
      </c>
      <c r="E23" s="26">
        <v>4.5399999999999636</v>
      </c>
      <c r="F23" s="27">
        <f t="shared" si="0"/>
        <v>9079.9999999999272</v>
      </c>
      <c r="G23" s="28">
        <f t="shared" si="1"/>
        <v>9402339.9999999255</v>
      </c>
      <c r="H23" s="26">
        <v>1.0099999999999909</v>
      </c>
      <c r="I23" s="27">
        <f t="shared" si="2"/>
        <v>2019.9999999999818</v>
      </c>
      <c r="J23" s="28">
        <f t="shared" si="3"/>
        <v>3137564.9999999716</v>
      </c>
      <c r="K23" s="26">
        <f t="shared" si="4"/>
        <v>12539904.999999898</v>
      </c>
      <c r="L23" s="29">
        <f t="shared" si="5"/>
        <v>13793895.499999888</v>
      </c>
      <c r="M23" s="30">
        <f t="shared" si="6"/>
        <v>959.17498783115832</v>
      </c>
      <c r="N23" s="31"/>
    </row>
    <row r="24" spans="1:14" x14ac:dyDescent="0.25">
      <c r="A24" s="22"/>
      <c r="B24" s="24">
        <v>17</v>
      </c>
      <c r="C24" s="25">
        <v>36</v>
      </c>
      <c r="D24" s="25">
        <v>207</v>
      </c>
      <c r="E24" s="26">
        <v>4.7300000000004729</v>
      </c>
      <c r="F24" s="27">
        <f t="shared" si="0"/>
        <v>9460.0000000009459</v>
      </c>
      <c r="G24" s="28">
        <f t="shared" si="1"/>
        <v>9795830.0000009798</v>
      </c>
      <c r="H24" s="26">
        <v>1</v>
      </c>
      <c r="I24" s="27">
        <f t="shared" si="2"/>
        <v>2000</v>
      </c>
      <c r="J24" s="28">
        <f t="shared" si="3"/>
        <v>3106500</v>
      </c>
      <c r="K24" s="26">
        <f t="shared" si="4"/>
        <v>12902330.00000098</v>
      </c>
      <c r="L24" s="29">
        <f t="shared" si="5"/>
        <v>14192563.000001078</v>
      </c>
      <c r="M24" s="30">
        <f t="shared" si="6"/>
        <v>986.89680828878932</v>
      </c>
      <c r="N24" s="31"/>
    </row>
    <row r="25" spans="1:14" x14ac:dyDescent="0.25">
      <c r="A25" s="22"/>
      <c r="B25" s="24">
        <v>18</v>
      </c>
      <c r="C25" s="25">
        <v>39</v>
      </c>
      <c r="D25" s="25">
        <v>186</v>
      </c>
      <c r="E25" s="26">
        <v>4.7199999999993452</v>
      </c>
      <c r="F25" s="27">
        <f t="shared" si="0"/>
        <v>9439.9999999986903</v>
      </c>
      <c r="G25" s="28">
        <f t="shared" si="1"/>
        <v>9775119.999998644</v>
      </c>
      <c r="H25" s="26">
        <v>1.0699999999999363</v>
      </c>
      <c r="I25" s="27">
        <f t="shared" si="2"/>
        <v>2139.9999999998727</v>
      </c>
      <c r="J25" s="28">
        <f t="shared" si="3"/>
        <v>3323954.9999998021</v>
      </c>
      <c r="K25" s="26">
        <f t="shared" si="4"/>
        <v>13099074.999998447</v>
      </c>
      <c r="L25" s="29">
        <f t="shared" si="5"/>
        <v>14408982.499998292</v>
      </c>
      <c r="M25" s="30">
        <f t="shared" si="6"/>
        <v>1001.9457965369788</v>
      </c>
      <c r="N25" s="31"/>
    </row>
    <row r="26" spans="1:14" x14ac:dyDescent="0.25">
      <c r="A26" s="22"/>
      <c r="B26" s="24">
        <v>19</v>
      </c>
      <c r="C26" s="25">
        <v>42</v>
      </c>
      <c r="D26" s="25">
        <v>187</v>
      </c>
      <c r="E26" s="26">
        <v>4.8100000000004002</v>
      </c>
      <c r="F26" s="27">
        <f t="shared" si="0"/>
        <v>9620.0000000008004</v>
      </c>
      <c r="G26" s="28">
        <f t="shared" si="1"/>
        <v>9961510.0000008289</v>
      </c>
      <c r="H26" s="26">
        <v>0.97000000000002728</v>
      </c>
      <c r="I26" s="27">
        <f t="shared" si="2"/>
        <v>1940.0000000000546</v>
      </c>
      <c r="J26" s="28">
        <f t="shared" si="3"/>
        <v>3013305.0000000848</v>
      </c>
      <c r="K26" s="26">
        <f t="shared" si="4"/>
        <v>12974815.000000913</v>
      </c>
      <c r="L26" s="29">
        <f t="shared" si="5"/>
        <v>14272296.500001006</v>
      </c>
      <c r="M26" s="30">
        <f t="shared" si="6"/>
        <v>992.44117238029389</v>
      </c>
      <c r="N26" s="31"/>
    </row>
    <row r="27" spans="1:14" x14ac:dyDescent="0.25">
      <c r="A27" s="22"/>
      <c r="B27" s="24">
        <v>20</v>
      </c>
      <c r="C27" s="25">
        <v>43</v>
      </c>
      <c r="D27" s="25">
        <v>196</v>
      </c>
      <c r="E27" s="26">
        <v>4.5799999999999272</v>
      </c>
      <c r="F27" s="27">
        <f t="shared" si="0"/>
        <v>9159.9999999998545</v>
      </c>
      <c r="G27" s="28">
        <f t="shared" si="1"/>
        <v>9485179.9999998491</v>
      </c>
      <c r="H27" s="26">
        <v>0.99000000000000909</v>
      </c>
      <c r="I27" s="27">
        <f t="shared" si="2"/>
        <v>1980.0000000000182</v>
      </c>
      <c r="J27" s="28">
        <f t="shared" si="3"/>
        <v>3075435.0000000284</v>
      </c>
      <c r="K27" s="26">
        <f t="shared" si="4"/>
        <v>12560614.999999877</v>
      </c>
      <c r="L27" s="29">
        <f t="shared" si="5"/>
        <v>13816676.499999866</v>
      </c>
      <c r="M27" s="30">
        <f t="shared" si="6"/>
        <v>960.75909185730245</v>
      </c>
      <c r="N27" s="31"/>
    </row>
    <row r="28" spans="1:14" x14ac:dyDescent="0.25">
      <c r="A28" s="22"/>
      <c r="B28" s="24">
        <v>21</v>
      </c>
      <c r="C28" s="25">
        <v>40</v>
      </c>
      <c r="D28" s="25">
        <v>172</v>
      </c>
      <c r="E28" s="26">
        <v>4.3800000000001091</v>
      </c>
      <c r="F28" s="27">
        <f t="shared" si="0"/>
        <v>8760.0000000002183</v>
      </c>
      <c r="G28" s="28">
        <f t="shared" si="1"/>
        <v>9070980.0000002254</v>
      </c>
      <c r="H28" s="26">
        <v>0.94000000000005457</v>
      </c>
      <c r="I28" s="27">
        <f t="shared" si="2"/>
        <v>1880.0000000001091</v>
      </c>
      <c r="J28" s="28">
        <f t="shared" si="3"/>
        <v>2920110.0000001695</v>
      </c>
      <c r="K28" s="26">
        <f t="shared" si="4"/>
        <v>11991090.000000395</v>
      </c>
      <c r="L28" s="29">
        <f t="shared" si="5"/>
        <v>13190199.000000436</v>
      </c>
      <c r="M28" s="30">
        <f t="shared" si="6"/>
        <v>917.19623113833779</v>
      </c>
      <c r="N28" s="31"/>
    </row>
    <row r="29" spans="1:14" x14ac:dyDescent="0.25">
      <c r="A29" s="22"/>
      <c r="B29" s="24">
        <v>22</v>
      </c>
      <c r="C29" s="25">
        <v>39</v>
      </c>
      <c r="D29" s="25">
        <v>196</v>
      </c>
      <c r="E29" s="26">
        <v>4.4700000000002547</v>
      </c>
      <c r="F29" s="27">
        <f t="shared" si="0"/>
        <v>8940.0000000005093</v>
      </c>
      <c r="G29" s="28">
        <f t="shared" si="1"/>
        <v>9257370.0000005271</v>
      </c>
      <c r="H29" s="26">
        <v>1</v>
      </c>
      <c r="I29" s="27">
        <f t="shared" si="2"/>
        <v>2000</v>
      </c>
      <c r="J29" s="28">
        <f t="shared" si="3"/>
        <v>3106500</v>
      </c>
      <c r="K29" s="26">
        <f t="shared" si="4"/>
        <v>12363870.000000527</v>
      </c>
      <c r="L29" s="29">
        <f t="shared" si="5"/>
        <v>13600257.000000581</v>
      </c>
      <c r="M29" s="30">
        <f t="shared" si="6"/>
        <v>945.71010360896889</v>
      </c>
      <c r="N29" s="31"/>
    </row>
    <row r="30" spans="1:14" x14ac:dyDescent="0.25">
      <c r="A30" s="22"/>
      <c r="B30" s="24">
        <v>23</v>
      </c>
      <c r="C30" s="25">
        <v>33</v>
      </c>
      <c r="D30" s="25">
        <v>172</v>
      </c>
      <c r="E30" s="26">
        <v>4.75</v>
      </c>
      <c r="F30" s="27">
        <f t="shared" si="0"/>
        <v>9500</v>
      </c>
      <c r="G30" s="28">
        <f t="shared" si="1"/>
        <v>9837250</v>
      </c>
      <c r="H30" s="26">
        <v>1.0199999999999818</v>
      </c>
      <c r="I30" s="27">
        <f t="shared" si="2"/>
        <v>2039.9999999999636</v>
      </c>
      <c r="J30" s="28">
        <f t="shared" si="3"/>
        <v>3168629.9999999437</v>
      </c>
      <c r="K30" s="26">
        <f t="shared" si="4"/>
        <v>13005879.999999944</v>
      </c>
      <c r="L30" s="29">
        <f t="shared" si="5"/>
        <v>14306467.99999994</v>
      </c>
      <c r="M30" s="30">
        <f t="shared" si="6"/>
        <v>994.81732841943813</v>
      </c>
      <c r="N30" s="31"/>
    </row>
    <row r="31" spans="1:14" x14ac:dyDescent="0.25">
      <c r="A31" s="22"/>
      <c r="B31" s="24">
        <v>24</v>
      </c>
      <c r="C31" s="25">
        <v>31</v>
      </c>
      <c r="D31" s="25">
        <v>146</v>
      </c>
      <c r="E31" s="26">
        <v>4.2699999999995271</v>
      </c>
      <c r="F31" s="27">
        <f t="shared" si="0"/>
        <v>8539.9999999990541</v>
      </c>
      <c r="G31" s="28">
        <f t="shared" si="1"/>
        <v>8843169.9999990202</v>
      </c>
      <c r="H31" s="26">
        <v>0.89999999999986358</v>
      </c>
      <c r="I31" s="27">
        <f t="shared" si="2"/>
        <v>1799.9999999997272</v>
      </c>
      <c r="J31" s="28">
        <f t="shared" si="3"/>
        <v>2795849.9999995762</v>
      </c>
      <c r="K31" s="26">
        <f t="shared" si="4"/>
        <v>11639019.999998596</v>
      </c>
      <c r="L31" s="29">
        <f t="shared" si="5"/>
        <v>12802921.999998456</v>
      </c>
      <c r="M31" s="30">
        <f t="shared" si="6"/>
        <v>890.26646269372475</v>
      </c>
      <c r="N31" s="31"/>
    </row>
    <row r="32" spans="1:14" x14ac:dyDescent="0.25">
      <c r="A32" s="22"/>
      <c r="B32" s="24">
        <v>25</v>
      </c>
      <c r="C32" s="25">
        <v>36</v>
      </c>
      <c r="D32" s="25">
        <v>143</v>
      </c>
      <c r="E32" s="26">
        <v>4.4899999999997817</v>
      </c>
      <c r="F32" s="27">
        <f t="shared" si="0"/>
        <v>8979.9999999995634</v>
      </c>
      <c r="G32" s="28">
        <f t="shared" si="1"/>
        <v>9298789.9999995474</v>
      </c>
      <c r="H32" s="26">
        <v>0.96000000000003638</v>
      </c>
      <c r="I32" s="27">
        <f t="shared" si="2"/>
        <v>1920.0000000000728</v>
      </c>
      <c r="J32" s="28">
        <f t="shared" si="3"/>
        <v>2982240.0000001132</v>
      </c>
      <c r="K32" s="26">
        <f t="shared" si="4"/>
        <v>12281029.999999661</v>
      </c>
      <c r="L32" s="29">
        <f t="shared" si="5"/>
        <v>13509132.999999627</v>
      </c>
      <c r="M32" s="30">
        <f t="shared" si="6"/>
        <v>939.37368750432006</v>
      </c>
      <c r="N32" s="31"/>
    </row>
    <row r="33" spans="1:16" x14ac:dyDescent="0.25">
      <c r="A33" s="22"/>
      <c r="B33" s="24">
        <v>26</v>
      </c>
      <c r="C33" s="25">
        <v>36</v>
      </c>
      <c r="D33" s="25">
        <v>167</v>
      </c>
      <c r="E33" s="26">
        <v>4.25</v>
      </c>
      <c r="F33" s="27">
        <f t="shared" si="0"/>
        <v>8500</v>
      </c>
      <c r="G33" s="28">
        <f t="shared" si="1"/>
        <v>8801750</v>
      </c>
      <c r="H33" s="26">
        <v>0.98000000000001819</v>
      </c>
      <c r="I33" s="27">
        <f t="shared" si="2"/>
        <v>1960.0000000000364</v>
      </c>
      <c r="J33" s="28">
        <f t="shared" si="3"/>
        <v>3044370.0000000563</v>
      </c>
      <c r="K33" s="26">
        <f t="shared" si="4"/>
        <v>11846120.000000056</v>
      </c>
      <c r="L33" s="29">
        <f t="shared" si="5"/>
        <v>13030732.000000063</v>
      </c>
      <c r="M33" s="30">
        <f t="shared" si="6"/>
        <v>906.1075029552926</v>
      </c>
      <c r="N33" s="31"/>
    </row>
    <row r="34" spans="1:16" x14ac:dyDescent="0.25">
      <c r="A34" s="22"/>
      <c r="B34" s="24">
        <v>27</v>
      </c>
      <c r="C34" s="25">
        <v>33</v>
      </c>
      <c r="D34" s="25">
        <v>182</v>
      </c>
      <c r="E34" s="26">
        <v>4.4900000000006912</v>
      </c>
      <c r="F34" s="27">
        <f t="shared" si="0"/>
        <v>8980.0000000013824</v>
      </c>
      <c r="G34" s="28">
        <f t="shared" si="1"/>
        <v>9298790.0000014324</v>
      </c>
      <c r="H34" s="26">
        <v>0.94000000000005457</v>
      </c>
      <c r="I34" s="27">
        <f t="shared" si="2"/>
        <v>1880.0000000001091</v>
      </c>
      <c r="J34" s="28">
        <f t="shared" si="3"/>
        <v>2920110.0000001695</v>
      </c>
      <c r="K34" s="26">
        <f t="shared" si="4"/>
        <v>12218900.000001602</v>
      </c>
      <c r="L34" s="29">
        <f t="shared" si="5"/>
        <v>13440790.000001764</v>
      </c>
      <c r="M34" s="30">
        <f t="shared" si="6"/>
        <v>934.62137542603182</v>
      </c>
      <c r="N34" s="31"/>
    </row>
    <row r="35" spans="1:16" x14ac:dyDescent="0.25">
      <c r="A35" s="22"/>
      <c r="B35" s="24">
        <v>28</v>
      </c>
      <c r="C35" s="25">
        <v>32</v>
      </c>
      <c r="D35" s="25">
        <v>184</v>
      </c>
      <c r="E35" s="26">
        <v>4.429999999998472</v>
      </c>
      <c r="F35" s="27">
        <f t="shared" si="0"/>
        <v>8859.9999999969441</v>
      </c>
      <c r="G35" s="28">
        <f t="shared" si="1"/>
        <v>9174529.9999968354</v>
      </c>
      <c r="H35" s="26">
        <v>0.99000000000000909</v>
      </c>
      <c r="I35" s="27">
        <f t="shared" si="2"/>
        <v>1980.0000000000182</v>
      </c>
      <c r="J35" s="28">
        <f t="shared" si="3"/>
        <v>3075435.0000000284</v>
      </c>
      <c r="K35" s="26">
        <f t="shared" si="4"/>
        <v>12249964.999996863</v>
      </c>
      <c r="L35" s="29">
        <f t="shared" si="5"/>
        <v>13474961.49999655</v>
      </c>
      <c r="M35" s="30">
        <f t="shared" si="6"/>
        <v>936.99753146488774</v>
      </c>
      <c r="N35" s="31"/>
    </row>
    <row r="36" spans="1:16" x14ac:dyDescent="0.25">
      <c r="A36" s="22"/>
      <c r="B36" s="24">
        <v>29</v>
      </c>
      <c r="C36" s="25">
        <v>36</v>
      </c>
      <c r="D36" s="25">
        <v>218</v>
      </c>
      <c r="E36" s="26">
        <v>4.5300000000006548</v>
      </c>
      <c r="F36" s="27">
        <f t="shared" si="0"/>
        <v>9060.0000000013097</v>
      </c>
      <c r="G36" s="28">
        <f t="shared" si="1"/>
        <v>9381630.000001356</v>
      </c>
      <c r="H36" s="26">
        <v>1.0099999999997635</v>
      </c>
      <c r="I36" s="27">
        <f t="shared" si="2"/>
        <v>2019.9999999995271</v>
      </c>
      <c r="J36" s="28">
        <f t="shared" si="3"/>
        <v>3137564.9999992652</v>
      </c>
      <c r="K36" s="26">
        <f t="shared" si="4"/>
        <v>12519195.000000622</v>
      </c>
      <c r="L36" s="29">
        <f t="shared" si="5"/>
        <v>13771114.500000685</v>
      </c>
      <c r="M36" s="30">
        <f t="shared" si="6"/>
        <v>957.59088380506819</v>
      </c>
      <c r="N36" s="31"/>
    </row>
    <row r="37" spans="1:16" x14ac:dyDescent="0.25">
      <c r="A37" s="22"/>
      <c r="B37" s="24">
        <v>30</v>
      </c>
      <c r="C37" s="25">
        <v>42</v>
      </c>
      <c r="D37" s="25">
        <v>235</v>
      </c>
      <c r="E37" s="26">
        <v>4.6700000000000728</v>
      </c>
      <c r="F37" s="27">
        <f t="shared" si="0"/>
        <v>9340.0000000001455</v>
      </c>
      <c r="G37" s="28">
        <f>F37*1035.5</f>
        <v>9671570.0000001509</v>
      </c>
      <c r="H37" s="26">
        <v>1.3299999999999272</v>
      </c>
      <c r="I37" s="27">
        <f t="shared" si="2"/>
        <v>2659.9999999998545</v>
      </c>
      <c r="J37" s="28">
        <f t="shared" si="3"/>
        <v>4131644.9999997742</v>
      </c>
      <c r="K37" s="26">
        <f t="shared" si="4"/>
        <v>13803214.999999925</v>
      </c>
      <c r="L37" s="29">
        <f t="shared" si="5"/>
        <v>15183536.49999992</v>
      </c>
      <c r="M37" s="30">
        <f t="shared" si="6"/>
        <v>1055.8053334260426</v>
      </c>
      <c r="N37" s="31"/>
    </row>
    <row r="38" spans="1:16" x14ac:dyDescent="0.25">
      <c r="A38" s="22"/>
      <c r="B38" s="24">
        <v>31</v>
      </c>
      <c r="C38" s="25" t="s">
        <v>60</v>
      </c>
      <c r="D38" s="25" t="s">
        <v>60</v>
      </c>
      <c r="E38" s="26"/>
      <c r="F38" s="27">
        <f t="shared" si="0"/>
        <v>0</v>
      </c>
      <c r="G38" s="28">
        <f t="shared" si="1"/>
        <v>0</v>
      </c>
      <c r="H38" s="26"/>
      <c r="I38" s="27">
        <f t="shared" si="2"/>
        <v>0</v>
      </c>
      <c r="J38" s="28">
        <f t="shared" si="3"/>
        <v>0</v>
      </c>
      <c r="K38" s="26">
        <f t="shared" si="4"/>
        <v>0</v>
      </c>
      <c r="L38" s="29">
        <f t="shared" si="5"/>
        <v>0</v>
      </c>
      <c r="M38" s="30">
        <f t="shared" si="6"/>
        <v>0</v>
      </c>
      <c r="N38" s="31"/>
    </row>
    <row r="39" spans="1:16" x14ac:dyDescent="0.25">
      <c r="C39" s="32">
        <f>SUM(C8:C38)</f>
        <v>1141</v>
      </c>
      <c r="D39" s="32">
        <f>SUM(D8:D38)</f>
        <v>5952</v>
      </c>
      <c r="E39" s="33">
        <v>3.2799999999999727</v>
      </c>
      <c r="F39" s="32">
        <f>SUM(F8:F38)</f>
        <v>274799.9999999993</v>
      </c>
      <c r="I39" s="32">
        <f>SUM(I8:I38)</f>
        <v>59799.999999999716</v>
      </c>
      <c r="L39" s="34">
        <f>SUM(L8:L38)</f>
        <v>415183724.99999875</v>
      </c>
      <c r="M39" s="35">
        <f>SUM(M8:M38)</f>
        <v>28870.295876503642</v>
      </c>
      <c r="N39" s="36"/>
      <c r="P39" s="37"/>
    </row>
    <row r="41" spans="1:16" x14ac:dyDescent="0.25">
      <c r="G41" s="89" t="s">
        <v>28</v>
      </c>
      <c r="H41" s="90"/>
      <c r="I41" s="91">
        <f>F39+I39</f>
        <v>334599.99999999901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4" workbookViewId="0">
      <selection activeCell="M19" sqref="M1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43770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ht="15.75" thickBot="1" x14ac:dyDescent="0.3">
      <c r="A8" s="22"/>
      <c r="B8" s="99"/>
      <c r="C8" s="99"/>
      <c r="D8" s="99"/>
      <c r="E8" s="99"/>
      <c r="F8" s="109"/>
      <c r="G8" s="46">
        <v>15840</v>
      </c>
      <c r="H8" s="99"/>
      <c r="I8" s="99"/>
      <c r="J8" s="46">
        <f>G8</f>
        <v>15840</v>
      </c>
      <c r="K8" s="99"/>
      <c r="L8" s="99"/>
      <c r="M8" s="46">
        <f>J8</f>
        <v>15840</v>
      </c>
      <c r="N8" s="99"/>
      <c r="O8" s="99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42</v>
      </c>
      <c r="D9" s="49">
        <f>Electricity!D8</f>
        <v>274</v>
      </c>
      <c r="E9" s="84"/>
      <c r="F9" s="26">
        <v>120.01035483870967</v>
      </c>
      <c r="G9" s="51">
        <f>F9*$G$8</f>
        <v>1900964.0206451612</v>
      </c>
      <c r="H9" s="50"/>
      <c r="I9" s="97">
        <v>60.005177419354837</v>
      </c>
      <c r="J9" s="51">
        <f>I9*$J$8</f>
        <v>950482.01032258058</v>
      </c>
      <c r="K9" s="50"/>
      <c r="L9" s="26">
        <v>4.17</v>
      </c>
      <c r="M9" s="27">
        <f>L9*$M$8</f>
        <v>66052.800000000003</v>
      </c>
      <c r="N9" s="50"/>
      <c r="O9" s="26">
        <v>7.14</v>
      </c>
      <c r="P9" s="52">
        <f>O9*$P$8</f>
        <v>113097.59999999999</v>
      </c>
      <c r="Q9" s="53">
        <f>P9+G9+J9+M9</f>
        <v>3030596.4309677416</v>
      </c>
      <c r="R9" s="54">
        <f>Q9/14381</f>
        <v>210.73614011318696</v>
      </c>
      <c r="S9" s="23"/>
    </row>
    <row r="10" spans="1:21" x14ac:dyDescent="0.25">
      <c r="A10" s="22"/>
      <c r="B10" s="24">
        <v>2</v>
      </c>
      <c r="C10" s="48">
        <f>Electricity!C9</f>
        <v>44</v>
      </c>
      <c r="D10" s="49">
        <f>Electricity!D9</f>
        <v>338</v>
      </c>
      <c r="E10" s="84"/>
      <c r="F10" s="26">
        <v>149.0426129032258</v>
      </c>
      <c r="G10" s="51">
        <f>F10*$G$8</f>
        <v>2360834.9883870967</v>
      </c>
      <c r="H10" s="50"/>
      <c r="I10" s="52">
        <v>74.521306451612901</v>
      </c>
      <c r="J10" s="51">
        <f>I10*$J$8</f>
        <v>1180417.4941935483</v>
      </c>
      <c r="K10" s="50"/>
      <c r="L10" s="26">
        <v>4.17</v>
      </c>
      <c r="M10" s="27">
        <f t="shared" ref="M10:M39" si="0">L10*$M$8</f>
        <v>66052.800000000003</v>
      </c>
      <c r="N10" s="50"/>
      <c r="O10" s="26">
        <v>7.14</v>
      </c>
      <c r="P10" s="52">
        <f>O10*$P$8</f>
        <v>113097.59999999999</v>
      </c>
      <c r="Q10" s="53">
        <f>J10+M10+G10+P10</f>
        <v>3720402.8825806449</v>
      </c>
      <c r="R10" s="54">
        <f t="shared" ref="R10:R39" si="1">Q10/14381</f>
        <v>258.70265507131944</v>
      </c>
      <c r="S10" s="23"/>
    </row>
    <row r="11" spans="1:21" x14ac:dyDescent="0.25">
      <c r="A11" s="22"/>
      <c r="B11" s="24">
        <v>3</v>
      </c>
      <c r="C11" s="48">
        <f>Electricity!C10</f>
        <v>33</v>
      </c>
      <c r="D11" s="49">
        <f>Electricity!D10</f>
        <v>213</v>
      </c>
      <c r="E11" s="84"/>
      <c r="F11" s="26">
        <v>92.338983870967766</v>
      </c>
      <c r="G11" s="51">
        <f t="shared" ref="G11:G39" si="2">F11*$G$8</f>
        <v>1462649.5045161294</v>
      </c>
      <c r="H11" s="50"/>
      <c r="I11" s="52">
        <v>46.169491935483883</v>
      </c>
      <c r="J11" s="51">
        <f t="shared" ref="J11:J39" si="3">I11*$J$8</f>
        <v>731324.75225806469</v>
      </c>
      <c r="K11" s="50"/>
      <c r="L11" s="26">
        <v>4.17</v>
      </c>
      <c r="M11" s="27">
        <f t="shared" si="0"/>
        <v>66052.800000000003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2373124.6567741944</v>
      </c>
      <c r="R11" s="54">
        <f t="shared" si="1"/>
        <v>165.01805554371703</v>
      </c>
      <c r="S11" s="23"/>
    </row>
    <row r="12" spans="1:21" x14ac:dyDescent="0.25">
      <c r="A12" s="22"/>
      <c r="B12" s="24">
        <v>4</v>
      </c>
      <c r="C12" s="48">
        <f>Electricity!C11</f>
        <v>43</v>
      </c>
      <c r="D12" s="49">
        <f>Electricity!D11</f>
        <v>179</v>
      </c>
      <c r="E12" s="84"/>
      <c r="F12" s="26">
        <v>76.91559677419356</v>
      </c>
      <c r="G12" s="51">
        <f t="shared" si="2"/>
        <v>1218343.0529032259</v>
      </c>
      <c r="H12" s="50"/>
      <c r="I12" s="52">
        <v>38.45779838709678</v>
      </c>
      <c r="J12" s="51">
        <f t="shared" si="3"/>
        <v>609171.52645161294</v>
      </c>
      <c r="K12" s="50"/>
      <c r="L12" s="26">
        <v>4.17</v>
      </c>
      <c r="M12" s="27">
        <f t="shared" si="0"/>
        <v>66052.800000000003</v>
      </c>
      <c r="N12" s="50"/>
      <c r="O12" s="26">
        <v>7.14</v>
      </c>
      <c r="P12" s="52">
        <f t="shared" si="4"/>
        <v>113097.59999999999</v>
      </c>
      <c r="Q12" s="53">
        <f t="shared" si="5"/>
        <v>2006664.9793548388</v>
      </c>
      <c r="R12" s="54">
        <f t="shared" si="1"/>
        <v>139.53584447220908</v>
      </c>
      <c r="S12" s="23"/>
    </row>
    <row r="13" spans="1:21" x14ac:dyDescent="0.25">
      <c r="A13" s="22"/>
      <c r="B13" s="24">
        <v>5</v>
      </c>
      <c r="C13" s="48">
        <f>Electricity!C12</f>
        <v>46</v>
      </c>
      <c r="D13" s="49">
        <f>Electricity!D12</f>
        <v>210</v>
      </c>
      <c r="E13" s="84"/>
      <c r="F13" s="26">
        <v>90.97809677419356</v>
      </c>
      <c r="G13" s="51">
        <f t="shared" si="2"/>
        <v>1441093.0529032259</v>
      </c>
      <c r="H13" s="50"/>
      <c r="I13" s="52">
        <v>45.48904838709678</v>
      </c>
      <c r="J13" s="51">
        <f t="shared" si="3"/>
        <v>720546.52645161294</v>
      </c>
      <c r="K13" s="50"/>
      <c r="L13" s="26">
        <v>4.17</v>
      </c>
      <c r="M13" s="27">
        <f t="shared" si="0"/>
        <v>66052.800000000003</v>
      </c>
      <c r="N13" s="50"/>
      <c r="O13" s="26">
        <v>7.14</v>
      </c>
      <c r="P13" s="52">
        <f t="shared" si="4"/>
        <v>113097.59999999999</v>
      </c>
      <c r="Q13" s="53">
        <f t="shared" si="5"/>
        <v>2340789.9793548388</v>
      </c>
      <c r="R13" s="54">
        <f t="shared" si="1"/>
        <v>162.76962515505451</v>
      </c>
      <c r="S13" s="23"/>
    </row>
    <row r="14" spans="1:21" x14ac:dyDescent="0.25">
      <c r="A14" s="22"/>
      <c r="B14" s="24">
        <v>6</v>
      </c>
      <c r="C14" s="48">
        <f>Electricity!C13</f>
        <v>44</v>
      </c>
      <c r="D14" s="49">
        <f>Electricity!D13</f>
        <v>240</v>
      </c>
      <c r="E14" s="84"/>
      <c r="F14" s="26">
        <v>104.58696774193548</v>
      </c>
      <c r="G14" s="51">
        <f t="shared" si="2"/>
        <v>1656657.5690322581</v>
      </c>
      <c r="H14" s="50"/>
      <c r="I14" s="52">
        <v>52.293483870967741</v>
      </c>
      <c r="J14" s="51">
        <f t="shared" si="3"/>
        <v>828328.78451612906</v>
      </c>
      <c r="K14" s="50"/>
      <c r="L14" s="26">
        <v>4.17</v>
      </c>
      <c r="M14" s="27">
        <f t="shared" si="0"/>
        <v>66052.800000000003</v>
      </c>
      <c r="N14" s="50"/>
      <c r="O14" s="26">
        <v>7.14</v>
      </c>
      <c r="P14" s="52">
        <f t="shared" si="4"/>
        <v>113097.59999999999</v>
      </c>
      <c r="Q14" s="53">
        <f t="shared" si="5"/>
        <v>2664136.7535483874</v>
      </c>
      <c r="R14" s="54">
        <f t="shared" si="1"/>
        <v>185.25392904167913</v>
      </c>
      <c r="S14" s="23"/>
    </row>
    <row r="15" spans="1:21" x14ac:dyDescent="0.25">
      <c r="A15" s="22"/>
      <c r="B15" s="24">
        <v>7</v>
      </c>
      <c r="C15" s="48">
        <f>Electricity!C14</f>
        <v>40</v>
      </c>
      <c r="D15" s="49">
        <f>Electricity!D14</f>
        <v>200</v>
      </c>
      <c r="E15" s="84"/>
      <c r="F15" s="26">
        <v>86.441806451612891</v>
      </c>
      <c r="G15" s="51">
        <f t="shared" si="2"/>
        <v>1369238.2141935481</v>
      </c>
      <c r="H15" s="50"/>
      <c r="I15" s="52">
        <v>43.220903225806445</v>
      </c>
      <c r="J15" s="51">
        <f t="shared" si="3"/>
        <v>684619.10709677404</v>
      </c>
      <c r="K15" s="50"/>
      <c r="L15" s="26">
        <v>4.17</v>
      </c>
      <c r="M15" s="27">
        <f t="shared" si="0"/>
        <v>66052.800000000003</v>
      </c>
      <c r="N15" s="50"/>
      <c r="O15" s="26">
        <v>7.14</v>
      </c>
      <c r="P15" s="52">
        <f t="shared" si="4"/>
        <v>113097.59999999999</v>
      </c>
      <c r="Q15" s="53">
        <f t="shared" si="5"/>
        <v>2233007.7212903225</v>
      </c>
      <c r="R15" s="54">
        <f t="shared" si="1"/>
        <v>155.2748571928463</v>
      </c>
      <c r="S15" s="23"/>
    </row>
    <row r="16" spans="1:21" x14ac:dyDescent="0.25">
      <c r="A16" s="22"/>
      <c r="B16" s="24">
        <v>8</v>
      </c>
      <c r="C16" s="48">
        <f>Electricity!C15</f>
        <v>39</v>
      </c>
      <c r="D16" s="49">
        <f>Electricity!D15</f>
        <v>207</v>
      </c>
      <c r="E16" s="84"/>
      <c r="F16" s="26">
        <v>89.617209677419353</v>
      </c>
      <c r="G16" s="51">
        <f t="shared" si="2"/>
        <v>1419536.6012903226</v>
      </c>
      <c r="H16" s="50"/>
      <c r="I16" s="52">
        <v>44.808604838709677</v>
      </c>
      <c r="J16" s="51">
        <f t="shared" si="3"/>
        <v>709768.3006451613</v>
      </c>
      <c r="K16" s="50"/>
      <c r="L16" s="26">
        <v>4.17</v>
      </c>
      <c r="M16" s="27">
        <f t="shared" si="0"/>
        <v>66052.800000000003</v>
      </c>
      <c r="N16" s="50"/>
      <c r="O16" s="26">
        <v>7.14</v>
      </c>
      <c r="P16" s="52">
        <f t="shared" si="4"/>
        <v>113097.59999999999</v>
      </c>
      <c r="Q16" s="53">
        <f t="shared" si="5"/>
        <v>2308455.3019354842</v>
      </c>
      <c r="R16" s="54">
        <f t="shared" si="1"/>
        <v>160.52119476639206</v>
      </c>
      <c r="S16" s="23"/>
    </row>
    <row r="17" spans="1:19" x14ac:dyDescent="0.25">
      <c r="A17" s="22"/>
      <c r="B17" s="24">
        <v>9</v>
      </c>
      <c r="C17" s="48">
        <f>Electricity!C16</f>
        <v>39</v>
      </c>
      <c r="D17" s="49">
        <f>Electricity!D16</f>
        <v>183</v>
      </c>
      <c r="E17" s="85"/>
      <c r="F17" s="26">
        <v>78.730112903225802</v>
      </c>
      <c r="G17" s="51">
        <f t="shared" si="2"/>
        <v>1247084.9883870967</v>
      </c>
      <c r="H17" s="50"/>
      <c r="I17" s="52">
        <v>39.365056451612901</v>
      </c>
      <c r="J17" s="51">
        <f t="shared" si="3"/>
        <v>623542.49419354834</v>
      </c>
      <c r="K17" s="50"/>
      <c r="L17" s="26">
        <v>4.17</v>
      </c>
      <c r="M17" s="27">
        <f t="shared" si="0"/>
        <v>66052.800000000003</v>
      </c>
      <c r="N17" s="50"/>
      <c r="O17" s="26">
        <v>7.14</v>
      </c>
      <c r="P17" s="52">
        <f t="shared" si="4"/>
        <v>113097.59999999999</v>
      </c>
      <c r="Q17" s="53">
        <f t="shared" si="5"/>
        <v>2049777.8825806451</v>
      </c>
      <c r="R17" s="54">
        <f t="shared" si="1"/>
        <v>142.53375165709235</v>
      </c>
      <c r="S17" s="23"/>
    </row>
    <row r="18" spans="1:19" x14ac:dyDescent="0.25">
      <c r="A18" s="22"/>
      <c r="B18" s="24">
        <v>10</v>
      </c>
      <c r="C18" s="48">
        <f>Electricity!C17</f>
        <v>35</v>
      </c>
      <c r="D18" s="49">
        <f>Electricity!D17</f>
        <v>179</v>
      </c>
      <c r="E18" s="84"/>
      <c r="F18" s="26">
        <v>76.91559677419356</v>
      </c>
      <c r="G18" s="51">
        <f t="shared" si="2"/>
        <v>1218343.0529032259</v>
      </c>
      <c r="H18" s="50"/>
      <c r="I18" s="52">
        <v>38.45779838709678</v>
      </c>
      <c r="J18" s="51">
        <f t="shared" si="3"/>
        <v>609171.52645161294</v>
      </c>
      <c r="K18" s="50"/>
      <c r="L18" s="26">
        <v>4.17</v>
      </c>
      <c r="M18" s="27">
        <f t="shared" si="0"/>
        <v>66052.800000000003</v>
      </c>
      <c r="N18" s="50"/>
      <c r="O18" s="26">
        <v>7.14</v>
      </c>
      <c r="P18" s="52">
        <f t="shared" si="4"/>
        <v>113097.59999999999</v>
      </c>
      <c r="Q18" s="53">
        <f t="shared" si="5"/>
        <v>2006664.9793548388</v>
      </c>
      <c r="R18" s="54">
        <f t="shared" si="1"/>
        <v>139.53584447220908</v>
      </c>
      <c r="S18" s="23"/>
    </row>
    <row r="19" spans="1:19" x14ac:dyDescent="0.25">
      <c r="A19" s="22"/>
      <c r="B19" s="24">
        <v>11</v>
      </c>
      <c r="C19" s="48">
        <f>Electricity!C18</f>
        <v>40</v>
      </c>
      <c r="D19" s="49">
        <f>Electricity!D18</f>
        <v>162</v>
      </c>
      <c r="E19" s="84"/>
      <c r="F19" s="26">
        <v>69.203903225806457</v>
      </c>
      <c r="G19" s="51">
        <f t="shared" si="2"/>
        <v>1096189.8270967742</v>
      </c>
      <c r="H19" s="50"/>
      <c r="I19" s="52">
        <v>34.601951612903228</v>
      </c>
      <c r="J19" s="51">
        <f t="shared" si="3"/>
        <v>548094.91354838712</v>
      </c>
      <c r="K19" s="50"/>
      <c r="L19" s="26">
        <v>4.17</v>
      </c>
      <c r="M19" s="27">
        <f t="shared" si="0"/>
        <v>66052.800000000003</v>
      </c>
      <c r="N19" s="50"/>
      <c r="O19" s="26">
        <v>7.14</v>
      </c>
      <c r="P19" s="52">
        <f t="shared" si="4"/>
        <v>113097.59999999999</v>
      </c>
      <c r="Q19" s="53">
        <f t="shared" si="5"/>
        <v>1823435.1406451615</v>
      </c>
      <c r="R19" s="54">
        <f t="shared" si="1"/>
        <v>126.79473893645515</v>
      </c>
      <c r="S19" s="23"/>
    </row>
    <row r="20" spans="1:19" x14ac:dyDescent="0.25">
      <c r="A20" s="22"/>
      <c r="B20" s="24">
        <v>12</v>
      </c>
      <c r="C20" s="48">
        <f>Electricity!C19</f>
        <v>34</v>
      </c>
      <c r="D20" s="49">
        <f>Electricity!D19</f>
        <v>183</v>
      </c>
      <c r="E20" s="84"/>
      <c r="F20" s="26">
        <v>78.730112903225802</v>
      </c>
      <c r="G20" s="51">
        <f t="shared" si="2"/>
        <v>1247084.9883870967</v>
      </c>
      <c r="H20" s="50"/>
      <c r="I20" s="52">
        <v>39.365056451612901</v>
      </c>
      <c r="J20" s="51">
        <f t="shared" si="3"/>
        <v>623542.49419354834</v>
      </c>
      <c r="K20" s="50"/>
      <c r="L20" s="26">
        <v>4.17</v>
      </c>
      <c r="M20" s="27">
        <f t="shared" si="0"/>
        <v>66052.800000000003</v>
      </c>
      <c r="N20" s="50"/>
      <c r="O20" s="26">
        <v>7.14</v>
      </c>
      <c r="P20" s="52">
        <f t="shared" si="4"/>
        <v>113097.59999999999</v>
      </c>
      <c r="Q20" s="53">
        <f t="shared" si="5"/>
        <v>2049777.8825806451</v>
      </c>
      <c r="R20" s="54">
        <f t="shared" si="1"/>
        <v>142.53375165709235</v>
      </c>
      <c r="S20" s="23"/>
    </row>
    <row r="21" spans="1:19" x14ac:dyDescent="0.25">
      <c r="A21" s="22"/>
      <c r="B21" s="24">
        <v>13</v>
      </c>
      <c r="C21" s="48">
        <f>Electricity!C20</f>
        <v>33</v>
      </c>
      <c r="D21" s="49">
        <f>Electricity!D20</f>
        <v>168</v>
      </c>
      <c r="E21" s="84"/>
      <c r="F21" s="26">
        <v>71.925677419354841</v>
      </c>
      <c r="G21" s="51">
        <f t="shared" si="2"/>
        <v>1139302.7303225808</v>
      </c>
      <c r="H21" s="50"/>
      <c r="I21" s="52">
        <v>35.96283870967742</v>
      </c>
      <c r="J21" s="51">
        <f t="shared" si="3"/>
        <v>569651.36516129039</v>
      </c>
      <c r="K21" s="50"/>
      <c r="L21" s="26">
        <v>4.17</v>
      </c>
      <c r="M21" s="27">
        <f t="shared" si="0"/>
        <v>66052.800000000003</v>
      </c>
      <c r="N21" s="50"/>
      <c r="O21" s="26">
        <v>7.14</v>
      </c>
      <c r="P21" s="52">
        <f t="shared" si="4"/>
        <v>113097.59999999999</v>
      </c>
      <c r="Q21" s="53">
        <f t="shared" si="5"/>
        <v>1888104.4954838713</v>
      </c>
      <c r="R21" s="54">
        <f t="shared" si="1"/>
        <v>131.29159971378007</v>
      </c>
      <c r="S21" s="23"/>
    </row>
    <row r="22" spans="1:19" x14ac:dyDescent="0.25">
      <c r="A22" s="22"/>
      <c r="B22" s="24">
        <v>14</v>
      </c>
      <c r="C22" s="48">
        <f>Electricity!C21</f>
        <v>36</v>
      </c>
      <c r="D22" s="49">
        <f>Electricity!D21</f>
        <v>209</v>
      </c>
      <c r="E22" s="84"/>
      <c r="F22" s="26">
        <v>90.524467741935482</v>
      </c>
      <c r="G22" s="51">
        <f t="shared" si="2"/>
        <v>1433907.5690322581</v>
      </c>
      <c r="H22" s="50"/>
      <c r="I22" s="52">
        <v>45.262233870967741</v>
      </c>
      <c r="J22" s="51">
        <f t="shared" si="3"/>
        <v>716953.78451612906</v>
      </c>
      <c r="K22" s="50"/>
      <c r="L22" s="26">
        <v>4.17</v>
      </c>
      <c r="M22" s="27">
        <f t="shared" si="0"/>
        <v>66052.800000000003</v>
      </c>
      <c r="N22" s="50"/>
      <c r="O22" s="26">
        <v>7.14</v>
      </c>
      <c r="P22" s="52">
        <f t="shared" si="4"/>
        <v>113097.59999999999</v>
      </c>
      <c r="Q22" s="53">
        <f t="shared" si="5"/>
        <v>2330011.7535483874</v>
      </c>
      <c r="R22" s="54">
        <f t="shared" si="1"/>
        <v>162.02014835883369</v>
      </c>
      <c r="S22" s="23"/>
    </row>
    <row r="23" spans="1:19" x14ac:dyDescent="0.25">
      <c r="A23" s="22"/>
      <c r="B23" s="24">
        <v>15</v>
      </c>
      <c r="C23" s="48">
        <f>Electricity!C22</f>
        <v>37</v>
      </c>
      <c r="D23" s="49">
        <f>Electricity!D22</f>
        <v>183</v>
      </c>
      <c r="E23" s="84"/>
      <c r="F23" s="26">
        <v>78.730112903225802</v>
      </c>
      <c r="G23" s="51">
        <f t="shared" si="2"/>
        <v>1247084.9883870967</v>
      </c>
      <c r="H23" s="50"/>
      <c r="I23" s="52">
        <v>39.365056451612901</v>
      </c>
      <c r="J23" s="51">
        <f t="shared" si="3"/>
        <v>623542.49419354834</v>
      </c>
      <c r="K23" s="50"/>
      <c r="L23" s="26">
        <v>4.17</v>
      </c>
      <c r="M23" s="27">
        <f t="shared" si="0"/>
        <v>66052.800000000003</v>
      </c>
      <c r="N23" s="50"/>
      <c r="O23" s="26">
        <v>7.14</v>
      </c>
      <c r="P23" s="52">
        <f t="shared" si="4"/>
        <v>113097.59999999999</v>
      </c>
      <c r="Q23" s="53">
        <f t="shared" si="5"/>
        <v>2049777.8825806451</v>
      </c>
      <c r="R23" s="54">
        <f t="shared" si="1"/>
        <v>142.53375165709235</v>
      </c>
      <c r="S23" s="23"/>
    </row>
    <row r="24" spans="1:19" x14ac:dyDescent="0.25">
      <c r="A24" s="22"/>
      <c r="B24" s="24">
        <v>16</v>
      </c>
      <c r="C24" s="48">
        <f>Electricity!C23</f>
        <v>38</v>
      </c>
      <c r="D24" s="49">
        <f>Electricity!D23</f>
        <v>233</v>
      </c>
      <c r="E24" s="84"/>
      <c r="F24" s="26">
        <v>101.41156451612903</v>
      </c>
      <c r="G24" s="51">
        <f t="shared" si="2"/>
        <v>1606359.1819354838</v>
      </c>
      <c r="H24" s="50"/>
      <c r="I24" s="52">
        <v>50.705782258064517</v>
      </c>
      <c r="J24" s="51">
        <f t="shared" si="3"/>
        <v>803179.59096774191</v>
      </c>
      <c r="K24" s="50"/>
      <c r="L24" s="26">
        <v>4.17</v>
      </c>
      <c r="M24" s="27">
        <f t="shared" si="0"/>
        <v>66052.800000000003</v>
      </c>
      <c r="N24" s="50"/>
      <c r="O24" s="26">
        <v>7.14</v>
      </c>
      <c r="P24" s="52">
        <f t="shared" si="4"/>
        <v>113097.59999999999</v>
      </c>
      <c r="Q24" s="53">
        <f t="shared" si="5"/>
        <v>2588689.1729032258</v>
      </c>
      <c r="R24" s="54">
        <f t="shared" si="1"/>
        <v>180.00759146813334</v>
      </c>
      <c r="S24" s="23"/>
    </row>
    <row r="25" spans="1:19" x14ac:dyDescent="0.25">
      <c r="A25" s="22"/>
      <c r="B25" s="24">
        <v>17</v>
      </c>
      <c r="C25" s="48">
        <f>Electricity!C24</f>
        <v>36</v>
      </c>
      <c r="D25" s="49">
        <f>Electricity!D24</f>
        <v>207</v>
      </c>
      <c r="E25" s="84"/>
      <c r="F25" s="26">
        <v>89.617209677419353</v>
      </c>
      <c r="G25" s="51">
        <f t="shared" si="2"/>
        <v>1419536.6012903226</v>
      </c>
      <c r="H25" s="50"/>
      <c r="I25" s="52">
        <v>44.808604838709677</v>
      </c>
      <c r="J25" s="51">
        <f t="shared" si="3"/>
        <v>709768.3006451613</v>
      </c>
      <c r="K25" s="50"/>
      <c r="L25" s="26">
        <v>4.17</v>
      </c>
      <c r="M25" s="27">
        <f t="shared" si="0"/>
        <v>66052.800000000003</v>
      </c>
      <c r="N25" s="50"/>
      <c r="O25" s="26">
        <v>7.14</v>
      </c>
      <c r="P25" s="52">
        <f t="shared" si="4"/>
        <v>113097.59999999999</v>
      </c>
      <c r="Q25" s="53">
        <f t="shared" si="5"/>
        <v>2308455.3019354842</v>
      </c>
      <c r="R25" s="54">
        <f t="shared" si="1"/>
        <v>160.52119476639206</v>
      </c>
      <c r="S25" s="23"/>
    </row>
    <row r="26" spans="1:19" x14ac:dyDescent="0.25">
      <c r="A26" s="22"/>
      <c r="B26" s="24">
        <v>18</v>
      </c>
      <c r="C26" s="48">
        <f>Electricity!C25</f>
        <v>39</v>
      </c>
      <c r="D26" s="49">
        <f>Electricity!D25</f>
        <v>186</v>
      </c>
      <c r="E26" s="84"/>
      <c r="F26" s="26">
        <v>80.091000000000008</v>
      </c>
      <c r="G26" s="51">
        <f t="shared" si="2"/>
        <v>1268641.4400000002</v>
      </c>
      <c r="H26" s="50"/>
      <c r="I26" s="52">
        <v>40.045500000000004</v>
      </c>
      <c r="J26" s="51">
        <f t="shared" si="3"/>
        <v>634320.72000000009</v>
      </c>
      <c r="K26" s="50"/>
      <c r="L26" s="26">
        <v>4.17</v>
      </c>
      <c r="M26" s="27">
        <f t="shared" si="0"/>
        <v>66052.800000000003</v>
      </c>
      <c r="N26" s="50"/>
      <c r="O26" s="26">
        <v>7.14</v>
      </c>
      <c r="P26" s="52">
        <f t="shared" si="4"/>
        <v>113097.59999999999</v>
      </c>
      <c r="Q26" s="53">
        <f t="shared" si="5"/>
        <v>2082112.5600000005</v>
      </c>
      <c r="R26" s="54">
        <f t="shared" si="1"/>
        <v>144.78218204575487</v>
      </c>
      <c r="S26" s="23"/>
    </row>
    <row r="27" spans="1:19" x14ac:dyDescent="0.25">
      <c r="A27" s="22"/>
      <c r="B27" s="24">
        <v>19</v>
      </c>
      <c r="C27" s="48">
        <f>Electricity!C26</f>
        <v>42</v>
      </c>
      <c r="D27" s="49">
        <f>Electricity!D26</f>
        <v>187</v>
      </c>
      <c r="E27" s="84"/>
      <c r="F27" s="26">
        <v>80.544629032258072</v>
      </c>
      <c r="G27" s="51">
        <f t="shared" si="2"/>
        <v>1275826.9238709679</v>
      </c>
      <c r="H27" s="50"/>
      <c r="I27" s="52">
        <v>40.272314516129036</v>
      </c>
      <c r="J27" s="51">
        <f t="shared" si="3"/>
        <v>637913.46193548397</v>
      </c>
      <c r="K27" s="50"/>
      <c r="L27" s="26">
        <v>4.17</v>
      </c>
      <c r="M27" s="27">
        <f t="shared" si="0"/>
        <v>66052.800000000003</v>
      </c>
      <c r="N27" s="50"/>
      <c r="O27" s="26">
        <v>7.14</v>
      </c>
      <c r="P27" s="52">
        <f t="shared" si="4"/>
        <v>113097.59999999999</v>
      </c>
      <c r="Q27" s="53">
        <f t="shared" si="5"/>
        <v>2092890.7858064519</v>
      </c>
      <c r="R27" s="54">
        <f t="shared" si="1"/>
        <v>145.53165884197566</v>
      </c>
      <c r="S27" s="23"/>
    </row>
    <row r="28" spans="1:19" x14ac:dyDescent="0.25">
      <c r="A28" s="22"/>
      <c r="B28" s="24">
        <v>20</v>
      </c>
      <c r="C28" s="48">
        <f>Electricity!C27</f>
        <v>43</v>
      </c>
      <c r="D28" s="49">
        <f>Electricity!D27</f>
        <v>196</v>
      </c>
      <c r="E28" s="84"/>
      <c r="F28" s="26">
        <v>84.627290322580649</v>
      </c>
      <c r="G28" s="51">
        <f t="shared" si="2"/>
        <v>1340496.2787096775</v>
      </c>
      <c r="H28" s="50"/>
      <c r="I28" s="52">
        <v>42.313645161290324</v>
      </c>
      <c r="J28" s="51">
        <f t="shared" si="3"/>
        <v>670248.13935483876</v>
      </c>
      <c r="K28" s="50"/>
      <c r="L28" s="26">
        <v>4.17</v>
      </c>
      <c r="M28" s="27">
        <f t="shared" si="0"/>
        <v>66052.800000000003</v>
      </c>
      <c r="N28" s="50"/>
      <c r="O28" s="26">
        <v>7.14</v>
      </c>
      <c r="P28" s="52">
        <f t="shared" si="4"/>
        <v>113097.59999999999</v>
      </c>
      <c r="Q28" s="53">
        <f t="shared" si="5"/>
        <v>2189894.8180645164</v>
      </c>
      <c r="R28" s="54">
        <f t="shared" si="1"/>
        <v>152.27695000796302</v>
      </c>
      <c r="S28" s="23"/>
    </row>
    <row r="29" spans="1:19" x14ac:dyDescent="0.25">
      <c r="A29" s="22"/>
      <c r="B29" s="24">
        <v>21</v>
      </c>
      <c r="C29" s="48">
        <f>Electricity!C28</f>
        <v>40</v>
      </c>
      <c r="D29" s="49">
        <f>Electricity!D28</f>
        <v>172</v>
      </c>
      <c r="E29" s="84"/>
      <c r="F29" s="26">
        <v>73.740193548387083</v>
      </c>
      <c r="G29" s="51">
        <f t="shared" si="2"/>
        <v>1168044.6658064513</v>
      </c>
      <c r="H29" s="50"/>
      <c r="I29" s="52">
        <v>36.870096774193541</v>
      </c>
      <c r="J29" s="51">
        <f t="shared" si="3"/>
        <v>584022.33290322567</v>
      </c>
      <c r="K29" s="50"/>
      <c r="L29" s="26">
        <v>4.17</v>
      </c>
      <c r="M29" s="27">
        <f t="shared" si="0"/>
        <v>66052.800000000003</v>
      </c>
      <c r="N29" s="50"/>
      <c r="O29" s="26">
        <v>7.14</v>
      </c>
      <c r="P29" s="52">
        <f t="shared" si="4"/>
        <v>113097.59999999999</v>
      </c>
      <c r="Q29" s="53">
        <f t="shared" si="5"/>
        <v>1931217.3987096772</v>
      </c>
      <c r="R29" s="54">
        <f t="shared" si="1"/>
        <v>134.28950689866332</v>
      </c>
      <c r="S29" s="23"/>
    </row>
    <row r="30" spans="1:19" x14ac:dyDescent="0.25">
      <c r="A30" s="22"/>
      <c r="B30" s="24">
        <v>22</v>
      </c>
      <c r="C30" s="48">
        <f>Electricity!C29</f>
        <v>39</v>
      </c>
      <c r="D30" s="49">
        <f>Electricity!D29</f>
        <v>196</v>
      </c>
      <c r="E30" s="84"/>
      <c r="F30" s="26">
        <v>84.627290322580649</v>
      </c>
      <c r="G30" s="51">
        <f t="shared" si="2"/>
        <v>1340496.2787096775</v>
      </c>
      <c r="H30" s="50"/>
      <c r="I30" s="52">
        <v>42.313645161290324</v>
      </c>
      <c r="J30" s="51">
        <f t="shared" si="3"/>
        <v>670248.13935483876</v>
      </c>
      <c r="K30" s="50"/>
      <c r="L30" s="26">
        <v>4.17</v>
      </c>
      <c r="M30" s="27">
        <f t="shared" si="0"/>
        <v>66052.800000000003</v>
      </c>
      <c r="N30" s="50"/>
      <c r="O30" s="26">
        <v>7.14</v>
      </c>
      <c r="P30" s="52">
        <f t="shared" si="4"/>
        <v>113097.59999999999</v>
      </c>
      <c r="Q30" s="53">
        <f t="shared" si="5"/>
        <v>2189894.8180645164</v>
      </c>
      <c r="R30" s="54">
        <f t="shared" si="1"/>
        <v>152.27695000796302</v>
      </c>
      <c r="S30" s="23"/>
    </row>
    <row r="31" spans="1:19" x14ac:dyDescent="0.25">
      <c r="A31" s="22"/>
      <c r="B31" s="24">
        <v>23</v>
      </c>
      <c r="C31" s="48">
        <f>Electricity!C30</f>
        <v>33</v>
      </c>
      <c r="D31" s="49">
        <f>Electricity!D30</f>
        <v>172</v>
      </c>
      <c r="E31" s="84"/>
      <c r="F31" s="26">
        <v>73.740193548387083</v>
      </c>
      <c r="G31" s="51">
        <f t="shared" si="2"/>
        <v>1168044.6658064513</v>
      </c>
      <c r="H31" s="50"/>
      <c r="I31" s="52">
        <v>36.870096774193541</v>
      </c>
      <c r="J31" s="51">
        <f t="shared" si="3"/>
        <v>584022.33290322567</v>
      </c>
      <c r="K31" s="50"/>
      <c r="L31" s="26">
        <v>4.17</v>
      </c>
      <c r="M31" s="27">
        <f t="shared" si="0"/>
        <v>66052.800000000003</v>
      </c>
      <c r="N31" s="50"/>
      <c r="O31" s="26">
        <v>7.14</v>
      </c>
      <c r="P31" s="52">
        <f t="shared" si="4"/>
        <v>113097.59999999999</v>
      </c>
      <c r="Q31" s="53">
        <f t="shared" si="5"/>
        <v>1931217.3987096772</v>
      </c>
      <c r="R31" s="54">
        <f t="shared" si="1"/>
        <v>134.28950689866332</v>
      </c>
      <c r="S31" s="23"/>
    </row>
    <row r="32" spans="1:19" x14ac:dyDescent="0.25">
      <c r="A32" s="22"/>
      <c r="B32" s="24">
        <v>24</v>
      </c>
      <c r="C32" s="48">
        <f>Electricity!C31</f>
        <v>31</v>
      </c>
      <c r="D32" s="49">
        <f>Electricity!D31</f>
        <v>146</v>
      </c>
      <c r="E32" s="84"/>
      <c r="F32" s="83">
        <v>61.94583870967741</v>
      </c>
      <c r="G32" s="51">
        <f t="shared" si="2"/>
        <v>981222.08516129013</v>
      </c>
      <c r="H32" s="50"/>
      <c r="I32" s="52">
        <v>30.972919354838705</v>
      </c>
      <c r="J32" s="51">
        <f t="shared" si="3"/>
        <v>490611.04258064507</v>
      </c>
      <c r="K32" s="50"/>
      <c r="L32" s="26">
        <v>4.17</v>
      </c>
      <c r="M32" s="27">
        <f t="shared" si="0"/>
        <v>66052.800000000003</v>
      </c>
      <c r="N32" s="50"/>
      <c r="O32" s="26">
        <v>7.14</v>
      </c>
      <c r="P32" s="52">
        <f t="shared" si="4"/>
        <v>113097.59999999999</v>
      </c>
      <c r="Q32" s="53">
        <f t="shared" si="5"/>
        <v>1650983.5277419353</v>
      </c>
      <c r="R32" s="54">
        <f t="shared" si="1"/>
        <v>114.80311019692201</v>
      </c>
      <c r="S32" s="23"/>
    </row>
    <row r="33" spans="1:21" x14ac:dyDescent="0.25">
      <c r="A33" s="22"/>
      <c r="B33" s="24">
        <v>25</v>
      </c>
      <c r="C33" s="48">
        <f>Electricity!C32</f>
        <v>36</v>
      </c>
      <c r="D33" s="49">
        <f>Electricity!D32</f>
        <v>143</v>
      </c>
      <c r="E33" s="84"/>
      <c r="F33" s="83">
        <v>60.584951612903218</v>
      </c>
      <c r="G33" s="51">
        <f t="shared" si="2"/>
        <v>959665.63354838698</v>
      </c>
      <c r="H33" s="50"/>
      <c r="I33" s="52">
        <v>30.292475806451609</v>
      </c>
      <c r="J33" s="51">
        <f t="shared" si="3"/>
        <v>479832.81677419349</v>
      </c>
      <c r="K33" s="50"/>
      <c r="L33" s="26">
        <v>4.17</v>
      </c>
      <c r="M33" s="27">
        <f t="shared" si="0"/>
        <v>66052.800000000003</v>
      </c>
      <c r="N33" s="50"/>
      <c r="O33" s="26">
        <v>7.14</v>
      </c>
      <c r="P33" s="52">
        <f t="shared" si="4"/>
        <v>113097.59999999999</v>
      </c>
      <c r="Q33" s="53">
        <f t="shared" si="5"/>
        <v>1618648.8503225804</v>
      </c>
      <c r="R33" s="54">
        <f t="shared" si="1"/>
        <v>112.55467980825954</v>
      </c>
      <c r="S33" s="23"/>
    </row>
    <row r="34" spans="1:21" x14ac:dyDescent="0.25">
      <c r="A34" s="22"/>
      <c r="B34" s="24">
        <v>26</v>
      </c>
      <c r="C34" s="48">
        <f>Electricity!C33</f>
        <v>36</v>
      </c>
      <c r="D34" s="49">
        <f>Electricity!D33</f>
        <v>167</v>
      </c>
      <c r="E34" s="84"/>
      <c r="F34" s="83">
        <v>71.472048387096763</v>
      </c>
      <c r="G34" s="51">
        <f t="shared" si="2"/>
        <v>1132117.2464516128</v>
      </c>
      <c r="H34" s="50"/>
      <c r="I34" s="52">
        <v>35.736024193548381</v>
      </c>
      <c r="J34" s="51">
        <f t="shared" si="3"/>
        <v>566058.6232258064</v>
      </c>
      <c r="K34" s="50"/>
      <c r="L34" s="26">
        <v>4.17</v>
      </c>
      <c r="M34" s="27">
        <f t="shared" si="0"/>
        <v>66052.800000000003</v>
      </c>
      <c r="N34" s="50"/>
      <c r="O34" s="26">
        <v>7.14</v>
      </c>
      <c r="P34" s="52">
        <f t="shared" si="4"/>
        <v>113097.59999999999</v>
      </c>
      <c r="Q34" s="53">
        <f t="shared" si="5"/>
        <v>1877326.2696774192</v>
      </c>
      <c r="R34" s="54">
        <f t="shared" si="1"/>
        <v>130.54212291755923</v>
      </c>
      <c r="S34" s="23"/>
    </row>
    <row r="35" spans="1:21" x14ac:dyDescent="0.25">
      <c r="A35" s="22"/>
      <c r="B35" s="24">
        <v>27</v>
      </c>
      <c r="C35" s="48">
        <f>Electricity!C34</f>
        <v>33</v>
      </c>
      <c r="D35" s="49">
        <f>Electricity!D34</f>
        <v>182</v>
      </c>
      <c r="E35" s="84"/>
      <c r="F35" s="83">
        <v>78.276483870967738</v>
      </c>
      <c r="G35" s="51">
        <f t="shared" si="2"/>
        <v>1239899.5045161289</v>
      </c>
      <c r="H35" s="50"/>
      <c r="I35" s="52">
        <v>39.138241935483869</v>
      </c>
      <c r="J35" s="51">
        <f t="shared" si="3"/>
        <v>619949.75225806446</v>
      </c>
      <c r="K35" s="50"/>
      <c r="L35" s="26">
        <v>4.17</v>
      </c>
      <c r="M35" s="27">
        <f t="shared" si="0"/>
        <v>66052.800000000003</v>
      </c>
      <c r="N35" s="50"/>
      <c r="O35" s="26">
        <v>7.14</v>
      </c>
      <c r="P35" s="52">
        <f t="shared" si="4"/>
        <v>113097.59999999999</v>
      </c>
      <c r="Q35" s="53">
        <f t="shared" si="5"/>
        <v>2038999.6567741935</v>
      </c>
      <c r="R35" s="54">
        <f t="shared" si="1"/>
        <v>141.78427486087153</v>
      </c>
      <c r="S35" s="23"/>
    </row>
    <row r="36" spans="1:21" x14ac:dyDescent="0.25">
      <c r="A36" s="22"/>
      <c r="B36" s="24">
        <v>28</v>
      </c>
      <c r="C36" s="48">
        <f>Electricity!C35</f>
        <v>32</v>
      </c>
      <c r="D36" s="49">
        <f>Electricity!D35</f>
        <v>184</v>
      </c>
      <c r="E36" s="84"/>
      <c r="F36" s="83">
        <v>79.18374193548388</v>
      </c>
      <c r="G36" s="51">
        <f t="shared" si="2"/>
        <v>1254270.4722580647</v>
      </c>
      <c r="H36" s="50"/>
      <c r="I36" s="52">
        <v>39.59187096774194</v>
      </c>
      <c r="J36" s="51">
        <f t="shared" si="3"/>
        <v>627135.23612903233</v>
      </c>
      <c r="K36" s="50"/>
      <c r="L36" s="26">
        <v>4.17</v>
      </c>
      <c r="M36" s="27">
        <f t="shared" si="0"/>
        <v>66052.800000000003</v>
      </c>
      <c r="N36" s="50"/>
      <c r="O36" s="26">
        <v>7.14</v>
      </c>
      <c r="P36" s="52">
        <f t="shared" si="4"/>
        <v>113097.59999999999</v>
      </c>
      <c r="Q36" s="53">
        <f t="shared" si="5"/>
        <v>2060556.1083870973</v>
      </c>
      <c r="R36" s="54">
        <f t="shared" si="1"/>
        <v>143.2832284533132</v>
      </c>
      <c r="S36" s="23"/>
    </row>
    <row r="37" spans="1:21" x14ac:dyDescent="0.25">
      <c r="A37" s="22"/>
      <c r="B37" s="24">
        <v>29</v>
      </c>
      <c r="C37" s="48">
        <f>Electricity!C36</f>
        <v>36</v>
      </c>
      <c r="D37" s="49">
        <f>Electricity!D36</f>
        <v>218</v>
      </c>
      <c r="E37" s="82"/>
      <c r="F37" s="83">
        <v>94.607129032258086</v>
      </c>
      <c r="G37" s="51">
        <f t="shared" si="2"/>
        <v>1498576.9238709682</v>
      </c>
      <c r="H37" s="50"/>
      <c r="I37" s="52">
        <v>47.303564516129043</v>
      </c>
      <c r="J37" s="51">
        <f t="shared" si="3"/>
        <v>749288.46193548408</v>
      </c>
      <c r="K37" s="50"/>
      <c r="L37" s="26">
        <v>4.17</v>
      </c>
      <c r="M37" s="27">
        <f t="shared" si="0"/>
        <v>66052.800000000003</v>
      </c>
      <c r="N37" s="50"/>
      <c r="O37" s="26">
        <v>7.14</v>
      </c>
      <c r="P37" s="52">
        <f t="shared" si="4"/>
        <v>113097.59999999999</v>
      </c>
      <c r="Q37" s="53">
        <f t="shared" si="5"/>
        <v>2427015.7858064524</v>
      </c>
      <c r="R37" s="54">
        <f t="shared" si="1"/>
        <v>168.76543952482112</v>
      </c>
      <c r="S37" s="23"/>
    </row>
    <row r="38" spans="1:21" x14ac:dyDescent="0.25">
      <c r="A38" s="22"/>
      <c r="B38" s="24">
        <v>30</v>
      </c>
      <c r="C38" s="48">
        <f>Electricity!C37</f>
        <v>42</v>
      </c>
      <c r="D38" s="49">
        <f>Electricity!D37</f>
        <v>235</v>
      </c>
      <c r="E38" s="82"/>
      <c r="F38" s="83">
        <v>102.31882258064516</v>
      </c>
      <c r="G38" s="51">
        <f t="shared" si="2"/>
        <v>1620730.1496774193</v>
      </c>
      <c r="H38" s="50"/>
      <c r="I38" s="52">
        <v>51.159411290322581</v>
      </c>
      <c r="J38" s="51">
        <f t="shared" si="3"/>
        <v>810365.07483870967</v>
      </c>
      <c r="K38" s="50"/>
      <c r="L38" s="26">
        <v>4.17</v>
      </c>
      <c r="M38" s="27">
        <f t="shared" si="0"/>
        <v>66052.800000000003</v>
      </c>
      <c r="N38" s="50"/>
      <c r="O38" s="26">
        <v>7.14</v>
      </c>
      <c r="P38" s="52">
        <f t="shared" si="4"/>
        <v>113097.59999999999</v>
      </c>
      <c r="Q38" s="53">
        <f t="shared" si="5"/>
        <v>2610245.624516129</v>
      </c>
      <c r="R38" s="54">
        <f t="shared" si="1"/>
        <v>181.50654506057501</v>
      </c>
      <c r="S38" s="23"/>
    </row>
    <row r="39" spans="1:21" ht="15.75" thickBot="1" x14ac:dyDescent="0.3">
      <c r="A39" s="22"/>
      <c r="B39" s="24">
        <v>31</v>
      </c>
      <c r="C39" s="48" t="str">
        <f>Electricity!C38</f>
        <v xml:space="preserve"> -   </v>
      </c>
      <c r="D39" s="49" t="str">
        <f>Electricity!D38</f>
        <v xml:space="preserve"> -   </v>
      </c>
      <c r="E39" s="82"/>
      <c r="F39" s="83"/>
      <c r="G39" s="51">
        <f t="shared" si="2"/>
        <v>0</v>
      </c>
      <c r="H39" s="50"/>
      <c r="I39" s="98"/>
      <c r="J39" s="51">
        <f t="shared" si="3"/>
        <v>0</v>
      </c>
      <c r="K39" s="50"/>
      <c r="L39" s="26">
        <v>4.17</v>
      </c>
      <c r="M39" s="27">
        <f t="shared" si="0"/>
        <v>66052.800000000003</v>
      </c>
      <c r="N39" s="50"/>
      <c r="O39" s="26">
        <v>7.14</v>
      </c>
      <c r="P39" s="52">
        <f t="shared" si="4"/>
        <v>113097.59999999999</v>
      </c>
      <c r="Q39" s="53">
        <f t="shared" si="5"/>
        <v>179150.4</v>
      </c>
      <c r="R39" s="54">
        <f t="shared" si="1"/>
        <v>12.457436895904317</v>
      </c>
      <c r="S39" s="23"/>
    </row>
    <row r="40" spans="1:21" s="12" customFormat="1" x14ac:dyDescent="0.25">
      <c r="C40" s="55">
        <f>SUM(C9:C39)</f>
        <v>1141</v>
      </c>
      <c r="D40" s="55">
        <f>SUM(D9:D39)</f>
        <v>5952</v>
      </c>
      <c r="E40" s="32"/>
      <c r="F40" s="32">
        <f>SUM(F9:F39)</f>
        <v>2571.48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4634.7282664626937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2792.8199999999997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L15" sqref="L15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43770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46</v>
      </c>
      <c r="C5" s="99" t="s">
        <v>18</v>
      </c>
      <c r="D5" s="99" t="s">
        <v>13</v>
      </c>
      <c r="E5" s="99" t="s">
        <v>47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48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>
        <v>2745</v>
      </c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42</v>
      </c>
      <c r="D9" s="25">
        <f>Gas!D9</f>
        <v>274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44</v>
      </c>
      <c r="D10" s="25">
        <f>Gas!D10</f>
        <v>338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33</v>
      </c>
      <c r="D11" s="25">
        <f>Gas!D11</f>
        <v>213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43</v>
      </c>
      <c r="D12" s="25">
        <f>Gas!D12</f>
        <v>179</v>
      </c>
      <c r="E12" s="72"/>
      <c r="F12" s="74">
        <v>230</v>
      </c>
      <c r="G12" s="73">
        <f t="shared" si="0"/>
        <v>2461000</v>
      </c>
      <c r="H12" s="87">
        <f t="shared" si="1"/>
        <v>171.12857242194562</v>
      </c>
      <c r="I12" s="23"/>
    </row>
    <row r="13" spans="1:9" x14ac:dyDescent="0.25">
      <c r="A13" s="71"/>
      <c r="B13" s="24">
        <v>5</v>
      </c>
      <c r="C13" s="25">
        <f>Gas!C13</f>
        <v>46</v>
      </c>
      <c r="D13" s="25">
        <f>Gas!D13</f>
        <v>210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44</v>
      </c>
      <c r="D14" s="25">
        <f>Gas!D14</f>
        <v>240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40</v>
      </c>
      <c r="D15" s="25">
        <f>Gas!D15</f>
        <v>200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39</v>
      </c>
      <c r="D16" s="25">
        <f>Gas!D16</f>
        <v>207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39</v>
      </c>
      <c r="D17" s="25">
        <f>Gas!D17</f>
        <v>183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35</v>
      </c>
      <c r="D18" s="25">
        <f>Gas!D18</f>
        <v>179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40</v>
      </c>
      <c r="D19" s="25">
        <f>Gas!D19</f>
        <v>162</v>
      </c>
      <c r="E19" s="72"/>
      <c r="F19" s="74">
        <v>60</v>
      </c>
      <c r="G19" s="73">
        <f t="shared" si="0"/>
        <v>642000</v>
      </c>
      <c r="H19" s="87">
        <f t="shared" si="1"/>
        <v>44.642236283985817</v>
      </c>
      <c r="I19" s="23"/>
    </row>
    <row r="20" spans="1:9" x14ac:dyDescent="0.25">
      <c r="A20" s="71"/>
      <c r="B20" s="24">
        <v>12</v>
      </c>
      <c r="C20" s="25">
        <f>Gas!C20</f>
        <v>34</v>
      </c>
      <c r="D20" s="25">
        <f>Gas!D20</f>
        <v>183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33</v>
      </c>
      <c r="D21" s="25">
        <f>Gas!D21</f>
        <v>168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36</v>
      </c>
      <c r="D22" s="25">
        <f>Gas!D22</f>
        <v>209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37</v>
      </c>
      <c r="D23" s="25">
        <f>Gas!D23</f>
        <v>183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38</v>
      </c>
      <c r="D24" s="25">
        <f>Gas!D24</f>
        <v>233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36</v>
      </c>
      <c r="D25" s="25">
        <f>Gas!D25</f>
        <v>207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39</v>
      </c>
      <c r="D26" s="25">
        <f>Gas!D26</f>
        <v>186</v>
      </c>
      <c r="E26" s="72"/>
      <c r="F26" s="74">
        <v>60</v>
      </c>
      <c r="G26" s="73">
        <f t="shared" si="0"/>
        <v>642000</v>
      </c>
      <c r="H26" s="87">
        <f t="shared" si="1"/>
        <v>44.642236283985817</v>
      </c>
      <c r="I26" s="23"/>
    </row>
    <row r="27" spans="1:9" x14ac:dyDescent="0.25">
      <c r="A27" s="71"/>
      <c r="B27" s="24">
        <v>19</v>
      </c>
      <c r="C27" s="25">
        <f>Gas!C27</f>
        <v>42</v>
      </c>
      <c r="D27" s="25">
        <f>Gas!D27</f>
        <v>187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43</v>
      </c>
      <c r="D28" s="25">
        <f>Gas!D28</f>
        <v>196</v>
      </c>
      <c r="E28" s="72"/>
      <c r="F28" s="73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40</v>
      </c>
      <c r="D29" s="25">
        <f>Gas!D29</f>
        <v>172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39</v>
      </c>
      <c r="D30" s="25">
        <f>Gas!D30</f>
        <v>196</v>
      </c>
      <c r="E30" s="72"/>
      <c r="F30" s="73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33</v>
      </c>
      <c r="D31" s="25">
        <f>Gas!D31</f>
        <v>172</v>
      </c>
      <c r="E31" s="72"/>
      <c r="F31" s="73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31</v>
      </c>
      <c r="D32" s="25">
        <f>Gas!D32</f>
        <v>146</v>
      </c>
      <c r="E32" s="72"/>
      <c r="F32" s="73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36</v>
      </c>
      <c r="D33" s="25">
        <f>Gas!D33</f>
        <v>143</v>
      </c>
      <c r="E33" s="72"/>
      <c r="F33" s="73">
        <v>60</v>
      </c>
      <c r="G33" s="73">
        <f t="shared" si="0"/>
        <v>642000</v>
      </c>
      <c r="H33" s="87">
        <f t="shared" si="1"/>
        <v>44.642236283985817</v>
      </c>
      <c r="I33" s="23"/>
    </row>
    <row r="34" spans="1:11" x14ac:dyDescent="0.25">
      <c r="A34" s="71"/>
      <c r="B34" s="24">
        <v>26</v>
      </c>
      <c r="C34" s="25">
        <f>Gas!C34</f>
        <v>36</v>
      </c>
      <c r="D34" s="25">
        <f>Gas!D34</f>
        <v>167</v>
      </c>
      <c r="E34" s="72"/>
      <c r="F34" s="73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33</v>
      </c>
      <c r="D35" s="25">
        <f>Gas!D35</f>
        <v>182</v>
      </c>
      <c r="E35" s="72"/>
      <c r="F35" s="73">
        <v>280</v>
      </c>
      <c r="G35" s="73">
        <f t="shared" si="0"/>
        <v>2996000</v>
      </c>
      <c r="H35" s="87">
        <f t="shared" si="1"/>
        <v>208.3304359919338</v>
      </c>
      <c r="I35" s="23"/>
    </row>
    <row r="36" spans="1:11" x14ac:dyDescent="0.25">
      <c r="A36" s="71"/>
      <c r="B36" s="24">
        <v>28</v>
      </c>
      <c r="C36" s="25">
        <f>Gas!C36</f>
        <v>32</v>
      </c>
      <c r="D36" s="25">
        <f>Gas!D36</f>
        <v>184</v>
      </c>
      <c r="E36" s="72"/>
      <c r="F36" s="73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36</v>
      </c>
      <c r="D37" s="25">
        <f>Gas!D37</f>
        <v>218</v>
      </c>
      <c r="E37" s="72"/>
      <c r="F37" s="73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42</v>
      </c>
      <c r="D38" s="25">
        <f>Gas!D38</f>
        <v>235</v>
      </c>
      <c r="E38" s="72"/>
      <c r="F38" s="73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 t="str">
        <f>Gas!C39</f>
        <v xml:space="preserve"> -   </v>
      </c>
      <c r="D39" s="25" t="str">
        <f>Gas!D39</f>
        <v xml:space="preserve"> -   </v>
      </c>
      <c r="E39" s="72"/>
      <c r="F39" s="73"/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1141</v>
      </c>
      <c r="D40" s="32">
        <f>SUM(D9:D39)</f>
        <v>5952</v>
      </c>
      <c r="E40" s="32"/>
      <c r="F40" s="32">
        <f>SUM(F9:F39)</f>
        <v>690</v>
      </c>
      <c r="G40" s="32"/>
      <c r="H40" s="75">
        <f>SUM(H9:H39)</f>
        <v>513.38571726583689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workbookViewId="0">
      <selection activeCell="J44" sqref="J44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43770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50</v>
      </c>
      <c r="D6" s="99" t="s">
        <v>13</v>
      </c>
      <c r="E6" s="105" t="s">
        <v>51</v>
      </c>
      <c r="F6" s="105"/>
      <c r="G6" s="107" t="s">
        <v>52</v>
      </c>
      <c r="H6" s="107"/>
      <c r="I6" s="107"/>
      <c r="J6" s="107"/>
      <c r="K6" s="99" t="s">
        <v>53</v>
      </c>
      <c r="L6" s="99" t="s">
        <v>54</v>
      </c>
      <c r="M6" s="20"/>
    </row>
    <row r="7" spans="1:13" s="21" customFormat="1" x14ac:dyDescent="0.25">
      <c r="A7" s="19"/>
      <c r="B7" s="99"/>
      <c r="C7" s="99"/>
      <c r="D7" s="99"/>
      <c r="E7" s="99" t="s">
        <v>55</v>
      </c>
      <c r="F7" s="99" t="s">
        <v>56</v>
      </c>
      <c r="G7" s="99" t="s">
        <v>55</v>
      </c>
      <c r="H7" s="99" t="s">
        <v>57</v>
      </c>
      <c r="I7" s="99" t="s">
        <v>55</v>
      </c>
      <c r="J7" s="99" t="s">
        <v>58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42</v>
      </c>
      <c r="D9" s="25">
        <f>'Fuel Diesel'!D9</f>
        <v>274</v>
      </c>
      <c r="E9" s="26">
        <v>9</v>
      </c>
      <c r="F9" s="28">
        <f>E9*13582</f>
        <v>122238</v>
      </c>
      <c r="G9" s="26">
        <v>116</v>
      </c>
      <c r="H9" s="28">
        <f>G9*4000</f>
        <v>464000</v>
      </c>
      <c r="I9" s="26">
        <v>125</v>
      </c>
      <c r="J9" s="28">
        <f>I9*4000</f>
        <v>500000</v>
      </c>
      <c r="K9" s="26">
        <f t="shared" ref="K9:K39" si="0">F9+H9+J9</f>
        <v>1086238</v>
      </c>
      <c r="L9" s="79">
        <f>K9/14381</f>
        <v>75.532855851470686</v>
      </c>
      <c r="M9" s="23"/>
    </row>
    <row r="10" spans="1:13" x14ac:dyDescent="0.25">
      <c r="A10" s="22"/>
      <c r="B10" s="24">
        <v>2</v>
      </c>
      <c r="C10" s="25">
        <f>'Fuel Diesel'!C10</f>
        <v>44</v>
      </c>
      <c r="D10" s="25">
        <f>'Fuel Diesel'!D10</f>
        <v>338</v>
      </c>
      <c r="E10" s="26">
        <v>7</v>
      </c>
      <c r="F10" s="28">
        <f>E10*13582</f>
        <v>95074</v>
      </c>
      <c r="G10" s="26">
        <v>167</v>
      </c>
      <c r="H10" s="28">
        <f>G10*4000</f>
        <v>668000</v>
      </c>
      <c r="I10" s="26">
        <v>176</v>
      </c>
      <c r="J10" s="28">
        <f>I10*4000</f>
        <v>704000</v>
      </c>
      <c r="K10" s="26">
        <f t="shared" si="0"/>
        <v>1467074</v>
      </c>
      <c r="L10" s="79">
        <f t="shared" ref="L10:L39" si="1">K10/14381</f>
        <v>102.01474167304082</v>
      </c>
      <c r="M10" s="23"/>
    </row>
    <row r="11" spans="1:13" x14ac:dyDescent="0.25">
      <c r="A11" s="22"/>
      <c r="B11" s="24">
        <v>3</v>
      </c>
      <c r="C11" s="25">
        <f>'Fuel Diesel'!C11</f>
        <v>33</v>
      </c>
      <c r="D11" s="25">
        <f>'Fuel Diesel'!D11</f>
        <v>213</v>
      </c>
      <c r="E11" s="26">
        <v>30</v>
      </c>
      <c r="F11" s="28">
        <f t="shared" ref="F11:F39" si="2">E11*13582</f>
        <v>407460</v>
      </c>
      <c r="G11" s="26">
        <v>115</v>
      </c>
      <c r="H11" s="28">
        <f t="shared" ref="H11:H39" si="3">G11*4000</f>
        <v>460000</v>
      </c>
      <c r="I11" s="26">
        <v>125</v>
      </c>
      <c r="J11" s="28">
        <f t="shared" ref="J11:J39" si="4">I11*4000</f>
        <v>500000</v>
      </c>
      <c r="K11" s="26">
        <f t="shared" si="0"/>
        <v>1367460</v>
      </c>
      <c r="L11" s="79">
        <f t="shared" si="1"/>
        <v>95.087963284889781</v>
      </c>
      <c r="M11" s="23"/>
    </row>
    <row r="12" spans="1:13" x14ac:dyDescent="0.25">
      <c r="A12" s="22"/>
      <c r="B12" s="24">
        <v>4</v>
      </c>
      <c r="C12" s="25">
        <f>'Fuel Diesel'!C12</f>
        <v>43</v>
      </c>
      <c r="D12" s="25">
        <f>'Fuel Diesel'!D12</f>
        <v>179</v>
      </c>
      <c r="E12" s="26">
        <v>7</v>
      </c>
      <c r="F12" s="28">
        <f t="shared" si="2"/>
        <v>95074</v>
      </c>
      <c r="G12" s="26">
        <v>111</v>
      </c>
      <c r="H12" s="28">
        <f t="shared" si="3"/>
        <v>444000</v>
      </c>
      <c r="I12" s="26">
        <v>118</v>
      </c>
      <c r="J12" s="28">
        <f t="shared" si="4"/>
        <v>472000</v>
      </c>
      <c r="K12" s="26">
        <f t="shared" si="0"/>
        <v>1011074</v>
      </c>
      <c r="L12" s="79">
        <f t="shared" si="1"/>
        <v>70.30623739656491</v>
      </c>
      <c r="M12" s="23"/>
    </row>
    <row r="13" spans="1:13" x14ac:dyDescent="0.25">
      <c r="A13" s="22"/>
      <c r="B13" s="24">
        <v>5</v>
      </c>
      <c r="C13" s="25">
        <f>'Fuel Diesel'!C13</f>
        <v>46</v>
      </c>
      <c r="D13" s="25">
        <f>'Fuel Diesel'!D13</f>
        <v>210</v>
      </c>
      <c r="E13" s="26">
        <v>9</v>
      </c>
      <c r="F13" s="28">
        <f t="shared" si="2"/>
        <v>122238</v>
      </c>
      <c r="G13" s="26">
        <v>110</v>
      </c>
      <c r="H13" s="28">
        <f t="shared" si="3"/>
        <v>440000</v>
      </c>
      <c r="I13" s="26">
        <v>117</v>
      </c>
      <c r="J13" s="28">
        <f t="shared" si="4"/>
        <v>468000</v>
      </c>
      <c r="K13" s="26">
        <f t="shared" si="0"/>
        <v>1030238</v>
      </c>
      <c r="L13" s="79">
        <f t="shared" si="1"/>
        <v>71.638829010499961</v>
      </c>
      <c r="M13" s="23"/>
    </row>
    <row r="14" spans="1:13" x14ac:dyDescent="0.25">
      <c r="A14" s="22"/>
      <c r="B14" s="24">
        <v>6</v>
      </c>
      <c r="C14" s="25">
        <f>'Fuel Diesel'!C14</f>
        <v>44</v>
      </c>
      <c r="D14" s="25">
        <f>'Fuel Diesel'!D14</f>
        <v>240</v>
      </c>
      <c r="E14" s="26">
        <v>9</v>
      </c>
      <c r="F14" s="28">
        <f t="shared" si="2"/>
        <v>122238</v>
      </c>
      <c r="G14" s="26">
        <v>118</v>
      </c>
      <c r="H14" s="28">
        <f t="shared" si="3"/>
        <v>472000</v>
      </c>
      <c r="I14" s="26">
        <v>126</v>
      </c>
      <c r="J14" s="28">
        <f t="shared" si="4"/>
        <v>504000</v>
      </c>
      <c r="K14" s="26">
        <f t="shared" si="0"/>
        <v>1098238</v>
      </c>
      <c r="L14" s="79">
        <f t="shared" si="1"/>
        <v>76.367290174535853</v>
      </c>
      <c r="M14" s="23"/>
    </row>
    <row r="15" spans="1:13" x14ac:dyDescent="0.25">
      <c r="A15" s="22"/>
      <c r="B15" s="24">
        <v>7</v>
      </c>
      <c r="C15" s="25">
        <f>'Fuel Diesel'!C15</f>
        <v>40</v>
      </c>
      <c r="D15" s="25">
        <f>'Fuel Diesel'!D15</f>
        <v>200</v>
      </c>
      <c r="E15" s="26">
        <v>9</v>
      </c>
      <c r="F15" s="28">
        <f t="shared" si="2"/>
        <v>122238</v>
      </c>
      <c r="G15" s="26">
        <v>101</v>
      </c>
      <c r="H15" s="28">
        <f t="shared" si="3"/>
        <v>404000</v>
      </c>
      <c r="I15" s="26">
        <v>110</v>
      </c>
      <c r="J15" s="28">
        <f t="shared" si="4"/>
        <v>440000</v>
      </c>
      <c r="K15" s="26">
        <f t="shared" si="0"/>
        <v>966238</v>
      </c>
      <c r="L15" s="79">
        <f t="shared" si="1"/>
        <v>67.188512620819139</v>
      </c>
      <c r="M15" s="23"/>
    </row>
    <row r="16" spans="1:13" x14ac:dyDescent="0.25">
      <c r="A16" s="22"/>
      <c r="B16" s="24">
        <v>8</v>
      </c>
      <c r="C16" s="25">
        <f>'Fuel Diesel'!C16</f>
        <v>39</v>
      </c>
      <c r="D16" s="25">
        <f>'Fuel Diesel'!D16</f>
        <v>207</v>
      </c>
      <c r="E16" s="26">
        <v>4</v>
      </c>
      <c r="F16" s="28">
        <f t="shared" si="2"/>
        <v>54328</v>
      </c>
      <c r="G16" s="26">
        <v>111</v>
      </c>
      <c r="H16" s="28">
        <f t="shared" si="3"/>
        <v>444000</v>
      </c>
      <c r="I16" s="26">
        <v>120</v>
      </c>
      <c r="J16" s="28">
        <f t="shared" si="4"/>
        <v>480000</v>
      </c>
      <c r="K16" s="26">
        <f t="shared" si="0"/>
        <v>978328</v>
      </c>
      <c r="L16" s="79">
        <f t="shared" si="1"/>
        <v>68.029205201307278</v>
      </c>
      <c r="M16" s="23"/>
    </row>
    <row r="17" spans="1:13" x14ac:dyDescent="0.25">
      <c r="A17" s="22"/>
      <c r="B17" s="24">
        <v>9</v>
      </c>
      <c r="C17" s="25">
        <f>'Fuel Diesel'!C17</f>
        <v>39</v>
      </c>
      <c r="D17" s="25">
        <f>'Fuel Diesel'!D17</f>
        <v>183</v>
      </c>
      <c r="E17" s="26">
        <v>6</v>
      </c>
      <c r="F17" s="28">
        <f t="shared" si="2"/>
        <v>81492</v>
      </c>
      <c r="G17" s="26">
        <v>100</v>
      </c>
      <c r="H17" s="28">
        <f t="shared" si="3"/>
        <v>400000</v>
      </c>
      <c r="I17" s="26">
        <v>109</v>
      </c>
      <c r="J17" s="28">
        <f t="shared" si="4"/>
        <v>436000</v>
      </c>
      <c r="K17" s="26">
        <f t="shared" si="0"/>
        <v>917492</v>
      </c>
      <c r="L17" s="79">
        <f t="shared" si="1"/>
        <v>63.798901328141298</v>
      </c>
      <c r="M17" s="23"/>
    </row>
    <row r="18" spans="1:13" x14ac:dyDescent="0.25">
      <c r="A18" s="22"/>
      <c r="B18" s="24">
        <v>10</v>
      </c>
      <c r="C18" s="25">
        <f>'Fuel Diesel'!C18</f>
        <v>35</v>
      </c>
      <c r="D18" s="25">
        <f>'Fuel Diesel'!D18</f>
        <v>179</v>
      </c>
      <c r="E18" s="26">
        <v>55</v>
      </c>
      <c r="F18" s="28">
        <f t="shared" si="2"/>
        <v>747010</v>
      </c>
      <c r="G18" s="26">
        <v>83</v>
      </c>
      <c r="H18" s="28">
        <f t="shared" si="3"/>
        <v>332000</v>
      </c>
      <c r="I18" s="26">
        <v>92</v>
      </c>
      <c r="J18" s="28">
        <f t="shared" si="4"/>
        <v>368000</v>
      </c>
      <c r="K18" s="26">
        <f t="shared" si="0"/>
        <v>1447010</v>
      </c>
      <c r="L18" s="79">
        <f t="shared" si="1"/>
        <v>100.61956748487587</v>
      </c>
      <c r="M18" s="23"/>
    </row>
    <row r="19" spans="1:13" x14ac:dyDescent="0.25">
      <c r="A19" s="22"/>
      <c r="B19" s="24">
        <v>11</v>
      </c>
      <c r="C19" s="25">
        <f>'Fuel Diesel'!C19</f>
        <v>40</v>
      </c>
      <c r="D19" s="25">
        <f>'Fuel Diesel'!D19</f>
        <v>162</v>
      </c>
      <c r="E19" s="26">
        <v>39</v>
      </c>
      <c r="F19" s="28">
        <f t="shared" si="2"/>
        <v>529698</v>
      </c>
      <c r="G19" s="26">
        <v>97</v>
      </c>
      <c r="H19" s="28">
        <f t="shared" si="3"/>
        <v>388000</v>
      </c>
      <c r="I19" s="26">
        <v>103</v>
      </c>
      <c r="J19" s="28">
        <f t="shared" si="4"/>
        <v>412000</v>
      </c>
      <c r="K19" s="26">
        <f t="shared" si="0"/>
        <v>1329698</v>
      </c>
      <c r="L19" s="79">
        <f t="shared" si="1"/>
        <v>92.462137542590924</v>
      </c>
      <c r="M19" s="23"/>
    </row>
    <row r="20" spans="1:13" x14ac:dyDescent="0.25">
      <c r="A20" s="22"/>
      <c r="B20" s="24">
        <v>12</v>
      </c>
      <c r="C20" s="25">
        <f>'Fuel Diesel'!C20</f>
        <v>34</v>
      </c>
      <c r="D20" s="25">
        <f>'Fuel Diesel'!D20</f>
        <v>183</v>
      </c>
      <c r="E20" s="26">
        <v>0</v>
      </c>
      <c r="F20" s="28">
        <f t="shared" si="2"/>
        <v>0</v>
      </c>
      <c r="G20" s="26">
        <v>119</v>
      </c>
      <c r="H20" s="28">
        <f>G20*4000</f>
        <v>476000</v>
      </c>
      <c r="I20" s="26">
        <v>128</v>
      </c>
      <c r="J20" s="28">
        <f t="shared" si="4"/>
        <v>512000</v>
      </c>
      <c r="K20" s="26">
        <f t="shared" si="0"/>
        <v>988000</v>
      </c>
      <c r="L20" s="79">
        <f t="shared" si="1"/>
        <v>68.701759265697802</v>
      </c>
      <c r="M20" s="23"/>
    </row>
    <row r="21" spans="1:13" x14ac:dyDescent="0.25">
      <c r="A21" s="22"/>
      <c r="B21" s="24">
        <v>13</v>
      </c>
      <c r="C21" s="25">
        <f>'Fuel Diesel'!C21</f>
        <v>33</v>
      </c>
      <c r="D21" s="25">
        <f>'Fuel Diesel'!D21</f>
        <v>168</v>
      </c>
      <c r="E21" s="26">
        <v>0</v>
      </c>
      <c r="F21" s="28">
        <f t="shared" si="2"/>
        <v>0</v>
      </c>
      <c r="G21" s="26">
        <v>142</v>
      </c>
      <c r="H21" s="28">
        <f t="shared" si="3"/>
        <v>568000</v>
      </c>
      <c r="I21" s="26">
        <v>155</v>
      </c>
      <c r="J21" s="28">
        <f t="shared" si="4"/>
        <v>620000</v>
      </c>
      <c r="K21" s="26">
        <f t="shared" si="0"/>
        <v>1188000</v>
      </c>
      <c r="L21" s="79">
        <f t="shared" si="1"/>
        <v>82.608997983450379</v>
      </c>
      <c r="M21" s="23"/>
    </row>
    <row r="22" spans="1:13" x14ac:dyDescent="0.25">
      <c r="A22" s="22"/>
      <c r="B22" s="24">
        <v>14</v>
      </c>
      <c r="C22" s="25">
        <f>'Fuel Diesel'!C22</f>
        <v>36</v>
      </c>
      <c r="D22" s="25">
        <f>'Fuel Diesel'!D22</f>
        <v>209</v>
      </c>
      <c r="E22" s="26">
        <v>0</v>
      </c>
      <c r="F22" s="28">
        <f t="shared" si="2"/>
        <v>0</v>
      </c>
      <c r="G22" s="26">
        <v>159</v>
      </c>
      <c r="H22" s="28">
        <f t="shared" si="3"/>
        <v>636000</v>
      </c>
      <c r="I22" s="26">
        <v>172</v>
      </c>
      <c r="J22" s="28">
        <f t="shared" si="4"/>
        <v>688000</v>
      </c>
      <c r="K22" s="26">
        <f t="shared" si="0"/>
        <v>1324000</v>
      </c>
      <c r="L22" s="79">
        <f t="shared" si="1"/>
        <v>92.065920311522149</v>
      </c>
      <c r="M22" s="23"/>
    </row>
    <row r="23" spans="1:13" x14ac:dyDescent="0.25">
      <c r="A23" s="22"/>
      <c r="B23" s="24">
        <v>15</v>
      </c>
      <c r="C23" s="25">
        <f>'Fuel Diesel'!C23</f>
        <v>37</v>
      </c>
      <c r="D23" s="25">
        <f>'Fuel Diesel'!D23</f>
        <v>183</v>
      </c>
      <c r="E23" s="26">
        <v>8</v>
      </c>
      <c r="F23" s="28">
        <f t="shared" si="2"/>
        <v>108656</v>
      </c>
      <c r="G23" s="26">
        <v>176</v>
      </c>
      <c r="H23" s="28">
        <f t="shared" si="3"/>
        <v>704000</v>
      </c>
      <c r="I23" s="26">
        <v>189</v>
      </c>
      <c r="J23" s="28">
        <f t="shared" si="4"/>
        <v>756000</v>
      </c>
      <c r="K23" s="26">
        <f t="shared" si="0"/>
        <v>1568656</v>
      </c>
      <c r="L23" s="79">
        <f t="shared" si="1"/>
        <v>109.07836729017454</v>
      </c>
      <c r="M23" s="23"/>
    </row>
    <row r="24" spans="1:13" x14ac:dyDescent="0.25">
      <c r="A24" s="22"/>
      <c r="B24" s="24">
        <v>16</v>
      </c>
      <c r="C24" s="25">
        <f>'Fuel Diesel'!C24</f>
        <v>38</v>
      </c>
      <c r="D24" s="25">
        <f>'Fuel Diesel'!D24</f>
        <v>233</v>
      </c>
      <c r="E24" s="26">
        <v>0</v>
      </c>
      <c r="F24" s="28">
        <f t="shared" si="2"/>
        <v>0</v>
      </c>
      <c r="G24" s="26">
        <v>139</v>
      </c>
      <c r="H24" s="28">
        <f t="shared" si="3"/>
        <v>556000</v>
      </c>
      <c r="I24" s="26">
        <v>152</v>
      </c>
      <c r="J24" s="28">
        <f t="shared" si="4"/>
        <v>608000</v>
      </c>
      <c r="K24" s="26">
        <f t="shared" si="0"/>
        <v>1164000</v>
      </c>
      <c r="L24" s="79">
        <f t="shared" si="1"/>
        <v>80.940129337320073</v>
      </c>
      <c r="M24" s="23"/>
    </row>
    <row r="25" spans="1:13" x14ac:dyDescent="0.25">
      <c r="A25" s="22"/>
      <c r="B25" s="24">
        <v>17</v>
      </c>
      <c r="C25" s="25">
        <f>'Fuel Diesel'!C25</f>
        <v>36</v>
      </c>
      <c r="D25" s="25">
        <f>'Fuel Diesel'!D25</f>
        <v>207</v>
      </c>
      <c r="E25" s="26">
        <v>0</v>
      </c>
      <c r="F25" s="28">
        <f t="shared" si="2"/>
        <v>0</v>
      </c>
      <c r="G25" s="26">
        <v>163</v>
      </c>
      <c r="H25" s="28">
        <f t="shared" si="3"/>
        <v>652000</v>
      </c>
      <c r="I25" s="26">
        <v>174</v>
      </c>
      <c r="J25" s="28">
        <f t="shared" si="4"/>
        <v>696000</v>
      </c>
      <c r="K25" s="26">
        <f t="shared" si="0"/>
        <v>1348000</v>
      </c>
      <c r="L25" s="79">
        <f t="shared" si="1"/>
        <v>93.734788957652455</v>
      </c>
      <c r="M25" s="23"/>
    </row>
    <row r="26" spans="1:13" x14ac:dyDescent="0.25">
      <c r="A26" s="22"/>
      <c r="B26" s="24">
        <v>18</v>
      </c>
      <c r="C26" s="25">
        <f>'Fuel Diesel'!C26</f>
        <v>39</v>
      </c>
      <c r="D26" s="25">
        <f>'Fuel Diesel'!D26</f>
        <v>186</v>
      </c>
      <c r="E26" s="26">
        <v>0</v>
      </c>
      <c r="F26" s="28">
        <f t="shared" si="2"/>
        <v>0</v>
      </c>
      <c r="G26" s="26">
        <v>130</v>
      </c>
      <c r="H26" s="28">
        <f t="shared" si="3"/>
        <v>520000</v>
      </c>
      <c r="I26" s="26">
        <v>137</v>
      </c>
      <c r="J26" s="28">
        <f t="shared" si="4"/>
        <v>548000</v>
      </c>
      <c r="K26" s="26">
        <f t="shared" si="0"/>
        <v>1068000</v>
      </c>
      <c r="L26" s="79">
        <f t="shared" si="1"/>
        <v>74.264654752798833</v>
      </c>
      <c r="M26" s="23"/>
    </row>
    <row r="27" spans="1:13" x14ac:dyDescent="0.25">
      <c r="A27" s="22"/>
      <c r="B27" s="24">
        <v>19</v>
      </c>
      <c r="C27" s="25">
        <f>'Fuel Diesel'!C27</f>
        <v>42</v>
      </c>
      <c r="D27" s="25">
        <f>'Fuel Diesel'!D27</f>
        <v>187</v>
      </c>
      <c r="E27" s="26">
        <v>38</v>
      </c>
      <c r="F27" s="28">
        <f t="shared" si="2"/>
        <v>516116</v>
      </c>
      <c r="G27" s="26">
        <v>119</v>
      </c>
      <c r="H27" s="28">
        <f t="shared" si="3"/>
        <v>476000</v>
      </c>
      <c r="I27" s="26">
        <v>130</v>
      </c>
      <c r="J27" s="28">
        <f t="shared" si="4"/>
        <v>520000</v>
      </c>
      <c r="K27" s="26">
        <f t="shared" si="0"/>
        <v>1512116</v>
      </c>
      <c r="L27" s="79">
        <f t="shared" si="1"/>
        <v>105.14679090466588</v>
      </c>
      <c r="M27" s="23"/>
    </row>
    <row r="28" spans="1:13" x14ac:dyDescent="0.25">
      <c r="A28" s="22"/>
      <c r="B28" s="24">
        <v>20</v>
      </c>
      <c r="C28" s="25">
        <f>'Fuel Diesel'!C28</f>
        <v>43</v>
      </c>
      <c r="D28" s="25">
        <f>'Fuel Diesel'!D28</f>
        <v>196</v>
      </c>
      <c r="E28" s="26">
        <v>78</v>
      </c>
      <c r="F28" s="28">
        <f t="shared" si="2"/>
        <v>1059396</v>
      </c>
      <c r="G28" s="26">
        <v>90</v>
      </c>
      <c r="H28" s="28">
        <f t="shared" si="3"/>
        <v>360000</v>
      </c>
      <c r="I28" s="26">
        <v>96</v>
      </c>
      <c r="J28" s="28">
        <f t="shared" si="4"/>
        <v>384000</v>
      </c>
      <c r="K28" s="26">
        <f t="shared" si="0"/>
        <v>1803396</v>
      </c>
      <c r="L28" s="79">
        <f t="shared" si="1"/>
        <v>125.40129337320074</v>
      </c>
      <c r="M28" s="23"/>
    </row>
    <row r="29" spans="1:13" x14ac:dyDescent="0.25">
      <c r="A29" s="22"/>
      <c r="B29" s="24">
        <v>21</v>
      </c>
      <c r="C29" s="25">
        <f>'Fuel Diesel'!C29</f>
        <v>40</v>
      </c>
      <c r="D29" s="25">
        <f>'Fuel Diesel'!D29</f>
        <v>172</v>
      </c>
      <c r="E29" s="26">
        <v>73</v>
      </c>
      <c r="F29" s="28">
        <f t="shared" si="2"/>
        <v>991486</v>
      </c>
      <c r="G29" s="26">
        <v>86</v>
      </c>
      <c r="H29" s="28">
        <f t="shared" si="3"/>
        <v>344000</v>
      </c>
      <c r="I29" s="26">
        <v>96</v>
      </c>
      <c r="J29" s="28">
        <f t="shared" si="4"/>
        <v>384000</v>
      </c>
      <c r="K29" s="26">
        <f t="shared" si="0"/>
        <v>1719486</v>
      </c>
      <c r="L29" s="79">
        <f t="shared" si="1"/>
        <v>119.56651136916766</v>
      </c>
      <c r="M29" s="23"/>
    </row>
    <row r="30" spans="1:13" x14ac:dyDescent="0.25">
      <c r="A30" s="22"/>
      <c r="B30" s="24">
        <v>22</v>
      </c>
      <c r="C30" s="25">
        <f>'Fuel Diesel'!C30</f>
        <v>39</v>
      </c>
      <c r="D30" s="25">
        <f>'Fuel Diesel'!D30</f>
        <v>196</v>
      </c>
      <c r="E30" s="26">
        <v>75</v>
      </c>
      <c r="F30" s="28">
        <f t="shared" si="2"/>
        <v>1018650</v>
      </c>
      <c r="G30" s="26">
        <v>97</v>
      </c>
      <c r="H30" s="28">
        <f t="shared" si="3"/>
        <v>388000</v>
      </c>
      <c r="I30" s="26">
        <v>106</v>
      </c>
      <c r="J30" s="28">
        <f t="shared" si="4"/>
        <v>424000</v>
      </c>
      <c r="K30" s="26">
        <f t="shared" si="0"/>
        <v>1830650</v>
      </c>
      <c r="L30" s="79">
        <f t="shared" si="1"/>
        <v>127.29643279326889</v>
      </c>
      <c r="M30" s="23"/>
    </row>
    <row r="31" spans="1:13" x14ac:dyDescent="0.25">
      <c r="A31" s="22"/>
      <c r="B31" s="24">
        <v>23</v>
      </c>
      <c r="C31" s="25">
        <f>'Fuel Diesel'!C31</f>
        <v>33</v>
      </c>
      <c r="D31" s="25">
        <f>'Fuel Diesel'!D31</f>
        <v>172</v>
      </c>
      <c r="E31" s="26">
        <v>73</v>
      </c>
      <c r="F31" s="28">
        <f t="shared" si="2"/>
        <v>991486</v>
      </c>
      <c r="G31" s="26">
        <v>104</v>
      </c>
      <c r="H31" s="28">
        <f t="shared" si="3"/>
        <v>416000</v>
      </c>
      <c r="I31" s="26">
        <v>110</v>
      </c>
      <c r="J31" s="28">
        <f t="shared" si="4"/>
        <v>440000</v>
      </c>
      <c r="K31" s="26">
        <f t="shared" si="0"/>
        <v>1847486</v>
      </c>
      <c r="L31" s="79">
        <f t="shared" si="1"/>
        <v>128.46714414852931</v>
      </c>
      <c r="M31" s="23"/>
    </row>
    <row r="32" spans="1:13" x14ac:dyDescent="0.25">
      <c r="A32" s="22"/>
      <c r="B32" s="24">
        <v>24</v>
      </c>
      <c r="C32" s="25">
        <f>'Fuel Diesel'!C32</f>
        <v>31</v>
      </c>
      <c r="D32" s="25">
        <f>'Fuel Diesel'!D32</f>
        <v>146</v>
      </c>
      <c r="E32" s="26">
        <v>64</v>
      </c>
      <c r="F32" s="28">
        <f t="shared" si="2"/>
        <v>869248</v>
      </c>
      <c r="G32" s="26">
        <v>70</v>
      </c>
      <c r="H32" s="28">
        <f t="shared" si="3"/>
        <v>280000</v>
      </c>
      <c r="I32" s="26">
        <v>79</v>
      </c>
      <c r="J32" s="28">
        <f t="shared" si="4"/>
        <v>316000</v>
      </c>
      <c r="K32" s="26">
        <f t="shared" si="0"/>
        <v>1465248</v>
      </c>
      <c r="L32" s="79">
        <f t="shared" si="1"/>
        <v>101.88776858354774</v>
      </c>
      <c r="M32" s="23"/>
    </row>
    <row r="33" spans="1:15" x14ac:dyDescent="0.25">
      <c r="A33" s="22"/>
      <c r="B33" s="24">
        <v>25</v>
      </c>
      <c r="C33" s="25">
        <f>'Fuel Diesel'!C33</f>
        <v>36</v>
      </c>
      <c r="D33" s="25">
        <f>'Fuel Diesel'!D33</f>
        <v>143</v>
      </c>
      <c r="E33" s="26">
        <v>71</v>
      </c>
      <c r="F33" s="28">
        <f t="shared" si="2"/>
        <v>964322</v>
      </c>
      <c r="G33" s="26">
        <v>102</v>
      </c>
      <c r="H33" s="28">
        <f t="shared" si="3"/>
        <v>408000</v>
      </c>
      <c r="I33" s="26">
        <v>108</v>
      </c>
      <c r="J33" s="28">
        <f t="shared" si="4"/>
        <v>432000</v>
      </c>
      <c r="K33" s="26">
        <f t="shared" si="0"/>
        <v>1804322</v>
      </c>
      <c r="L33" s="79">
        <f t="shared" si="1"/>
        <v>125.46568388846394</v>
      </c>
      <c r="M33" s="23"/>
    </row>
    <row r="34" spans="1:15" x14ac:dyDescent="0.25">
      <c r="A34" s="22"/>
      <c r="B34" s="24">
        <v>26</v>
      </c>
      <c r="C34" s="25">
        <f>'Fuel Diesel'!C34</f>
        <v>36</v>
      </c>
      <c r="D34" s="25">
        <f>'Fuel Diesel'!D34</f>
        <v>167</v>
      </c>
      <c r="E34" s="26">
        <v>67</v>
      </c>
      <c r="F34" s="28">
        <f t="shared" si="2"/>
        <v>909994</v>
      </c>
      <c r="G34" s="26">
        <v>102</v>
      </c>
      <c r="H34" s="28">
        <f t="shared" si="3"/>
        <v>408000</v>
      </c>
      <c r="I34" s="26">
        <v>110</v>
      </c>
      <c r="J34" s="28">
        <f t="shared" si="4"/>
        <v>440000</v>
      </c>
      <c r="K34" s="26">
        <f t="shared" si="0"/>
        <v>1757994</v>
      </c>
      <c r="L34" s="79">
        <f t="shared" si="1"/>
        <v>122.24421111188373</v>
      </c>
      <c r="M34" s="23"/>
    </row>
    <row r="35" spans="1:15" x14ac:dyDescent="0.25">
      <c r="A35" s="22"/>
      <c r="B35" s="24">
        <v>27</v>
      </c>
      <c r="C35" s="25">
        <f>'Fuel Diesel'!C35</f>
        <v>33</v>
      </c>
      <c r="D35" s="25">
        <f>'Fuel Diesel'!D35</f>
        <v>182</v>
      </c>
      <c r="E35" s="26">
        <v>73</v>
      </c>
      <c r="F35" s="28">
        <f t="shared" si="2"/>
        <v>991486</v>
      </c>
      <c r="G35" s="26">
        <v>99</v>
      </c>
      <c r="H35" s="28">
        <f t="shared" si="3"/>
        <v>396000</v>
      </c>
      <c r="I35" s="26">
        <v>110</v>
      </c>
      <c r="J35" s="28">
        <f t="shared" si="4"/>
        <v>440000</v>
      </c>
      <c r="K35" s="26">
        <f t="shared" si="0"/>
        <v>1827486</v>
      </c>
      <c r="L35" s="79">
        <f t="shared" si="1"/>
        <v>127.07642027675405</v>
      </c>
      <c r="M35" s="23"/>
    </row>
    <row r="36" spans="1:15" x14ac:dyDescent="0.25">
      <c r="A36" s="22"/>
      <c r="B36" s="24">
        <v>28</v>
      </c>
      <c r="C36" s="25">
        <f>'Fuel Diesel'!C36</f>
        <v>32</v>
      </c>
      <c r="D36" s="25">
        <f>'Fuel Diesel'!D36</f>
        <v>184</v>
      </c>
      <c r="E36" s="26">
        <v>68</v>
      </c>
      <c r="F36" s="28">
        <f t="shared" si="2"/>
        <v>923576</v>
      </c>
      <c r="G36" s="26">
        <v>119</v>
      </c>
      <c r="H36" s="28">
        <f t="shared" si="3"/>
        <v>476000</v>
      </c>
      <c r="I36" s="26">
        <v>39</v>
      </c>
      <c r="J36" s="28">
        <f t="shared" si="4"/>
        <v>156000</v>
      </c>
      <c r="K36" s="26">
        <f t="shared" si="0"/>
        <v>1555576</v>
      </c>
      <c r="L36" s="79">
        <f t="shared" si="1"/>
        <v>108.16883387803351</v>
      </c>
      <c r="M36" s="23"/>
    </row>
    <row r="37" spans="1:15" x14ac:dyDescent="0.25">
      <c r="A37" s="22"/>
      <c r="B37" s="24">
        <v>29</v>
      </c>
      <c r="C37" s="25">
        <f>'Fuel Diesel'!C37</f>
        <v>36</v>
      </c>
      <c r="D37" s="25">
        <f>'Fuel Diesel'!D37</f>
        <v>218</v>
      </c>
      <c r="E37" s="26">
        <v>71</v>
      </c>
      <c r="F37" s="28">
        <f t="shared" si="2"/>
        <v>964322</v>
      </c>
      <c r="G37" s="26">
        <v>120</v>
      </c>
      <c r="H37" s="28">
        <f t="shared" si="3"/>
        <v>480000</v>
      </c>
      <c r="I37" s="26">
        <v>221</v>
      </c>
      <c r="J37" s="28">
        <f t="shared" si="4"/>
        <v>884000</v>
      </c>
      <c r="K37" s="26">
        <f t="shared" si="0"/>
        <v>2328322</v>
      </c>
      <c r="L37" s="79">
        <f t="shared" si="1"/>
        <v>161.90264932897574</v>
      </c>
      <c r="M37" s="23"/>
    </row>
    <row r="38" spans="1:15" x14ac:dyDescent="0.25">
      <c r="A38" s="22"/>
      <c r="B38" s="24">
        <v>30</v>
      </c>
      <c r="C38" s="25">
        <f>'Fuel Diesel'!C38</f>
        <v>42</v>
      </c>
      <c r="D38" s="25">
        <f>'Fuel Diesel'!D38</f>
        <v>235</v>
      </c>
      <c r="E38" s="26">
        <v>83</v>
      </c>
      <c r="F38" s="28">
        <f t="shared" si="2"/>
        <v>1127306</v>
      </c>
      <c r="G38" s="26">
        <v>116</v>
      </c>
      <c r="H38" s="28">
        <f t="shared" si="3"/>
        <v>464000</v>
      </c>
      <c r="I38" s="26">
        <v>127</v>
      </c>
      <c r="J38" s="28">
        <f t="shared" si="4"/>
        <v>508000</v>
      </c>
      <c r="K38" s="26">
        <f t="shared" si="0"/>
        <v>2099306</v>
      </c>
      <c r="L38" s="79">
        <f t="shared" si="1"/>
        <v>145.97774841805159</v>
      </c>
      <c r="M38" s="23"/>
    </row>
    <row r="39" spans="1:15" x14ac:dyDescent="0.25">
      <c r="A39" s="22"/>
      <c r="B39" s="24">
        <v>31</v>
      </c>
      <c r="C39" s="25" t="str">
        <f>'Fuel Diesel'!C39</f>
        <v xml:space="preserve"> -   </v>
      </c>
      <c r="D39" s="25" t="str">
        <f>'Fuel Diesel'!D39</f>
        <v xml:space="preserve"> -   </v>
      </c>
      <c r="E39" s="26"/>
      <c r="F39" s="28">
        <f t="shared" si="2"/>
        <v>0</v>
      </c>
      <c r="G39" s="26"/>
      <c r="H39" s="28">
        <f t="shared" si="3"/>
        <v>0</v>
      </c>
      <c r="I39" s="26"/>
      <c r="J39" s="28">
        <f t="shared" si="4"/>
        <v>0</v>
      </c>
      <c r="K39" s="26">
        <f t="shared" si="0"/>
        <v>0</v>
      </c>
      <c r="L39" s="79">
        <f t="shared" si="1"/>
        <v>0</v>
      </c>
      <c r="M39" s="23"/>
    </row>
    <row r="40" spans="1:15" x14ac:dyDescent="0.25">
      <c r="C40" s="32">
        <f>SUM(C9:C39)</f>
        <v>1141</v>
      </c>
      <c r="D40" s="32">
        <f>SUM(D9:D39)</f>
        <v>5952</v>
      </c>
      <c r="E40" s="32">
        <v>0</v>
      </c>
      <c r="G40" s="32">
        <f>SUM(G9:G39)</f>
        <v>3481</v>
      </c>
      <c r="I40" s="32">
        <f>SUM(I9:I39)</f>
        <v>3760</v>
      </c>
      <c r="J40" s="94">
        <f>G40+I40</f>
        <v>7241</v>
      </c>
      <c r="K40" s="80"/>
      <c r="L40" s="88">
        <f>SUM(L9:L39)</f>
        <v>2983.0423475418961</v>
      </c>
      <c r="O40" s="37"/>
    </row>
    <row r="41" spans="1:15" x14ac:dyDescent="0.25">
      <c r="H41" s="93" t="s">
        <v>59</v>
      </c>
      <c r="I41" s="92">
        <f>G40+I40</f>
        <v>7241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9319F-D8DA-4DEC-917C-A19EA9EBC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7C3EE-387F-490E-B8F3-8C46524F4F71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0F90D190-23A8-484E-A6DE-2D42FDF3E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Gek Amy</cp:lastModifiedBy>
  <dcterms:created xsi:type="dcterms:W3CDTF">2022-01-19T02:48:06Z</dcterms:created>
  <dcterms:modified xsi:type="dcterms:W3CDTF">2022-06-05T07:09:40Z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