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3\"/>
    </mc:Choice>
  </mc:AlternateContent>
  <bookViews>
    <workbookView xWindow="-120" yWindow="-120" windowWidth="29040" windowHeight="15840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H14" i="119"/>
  <c r="I11" i="117" s="1"/>
  <c r="H15" i="119"/>
  <c r="I12" i="117" s="1"/>
  <c r="H16" i="119"/>
  <c r="I13" i="117" s="1"/>
  <c r="H17" i="119"/>
  <c r="H18" i="119"/>
  <c r="I15" i="117" s="1"/>
  <c r="H19" i="119"/>
  <c r="H20" i="119"/>
  <c r="I17" i="117" s="1"/>
  <c r="H21" i="119"/>
  <c r="H22" i="119"/>
  <c r="I19" i="117" s="1"/>
  <c r="H23" i="119"/>
  <c r="H24" i="119"/>
  <c r="I21" i="117" s="1"/>
  <c r="H25" i="119"/>
  <c r="H26" i="119"/>
  <c r="I23" i="117" s="1"/>
  <c r="H27" i="119"/>
  <c r="I24" i="117" s="1"/>
  <c r="H28" i="119"/>
  <c r="H29" i="119"/>
  <c r="H30" i="119"/>
  <c r="I27" i="117" s="1"/>
  <c r="H31" i="119"/>
  <c r="H32" i="119"/>
  <c r="I29" i="117" s="1"/>
  <c r="H33" i="119"/>
  <c r="H34" i="119"/>
  <c r="I31" i="117" s="1"/>
  <c r="H35" i="119"/>
  <c r="H5" i="119"/>
  <c r="I2" i="117" s="1"/>
  <c r="F11" i="119"/>
  <c r="G8" i="117" s="1"/>
  <c r="F12" i="119"/>
  <c r="G9" i="117" s="1"/>
  <c r="F13" i="119"/>
  <c r="G10" i="117" s="1"/>
  <c r="F14" i="119"/>
  <c r="G11" i="117" s="1"/>
  <c r="F15" i="119"/>
  <c r="G12" i="117" s="1"/>
  <c r="F16" i="119"/>
  <c r="G13" i="117" s="1"/>
  <c r="F17" i="119"/>
  <c r="G14" i="117" s="1"/>
  <c r="F18" i="119"/>
  <c r="G15" i="117" s="1"/>
  <c r="F19" i="119"/>
  <c r="G16" i="117" s="1"/>
  <c r="F20" i="119"/>
  <c r="G17" i="117" s="1"/>
  <c r="F21" i="119"/>
  <c r="G18" i="117" s="1"/>
  <c r="F22" i="119"/>
  <c r="G19" i="117" s="1"/>
  <c r="F23" i="119"/>
  <c r="G20" i="117" s="1"/>
  <c r="F24" i="119"/>
  <c r="G21" i="117" s="1"/>
  <c r="F25" i="119"/>
  <c r="G22" i="117" s="1"/>
  <c r="F26" i="119"/>
  <c r="G23" i="117" s="1"/>
  <c r="F27" i="119"/>
  <c r="G24" i="117" s="1"/>
  <c r="F28" i="119"/>
  <c r="G25" i="117" s="1"/>
  <c r="F29" i="119"/>
  <c r="G26" i="117" s="1"/>
  <c r="F30" i="119"/>
  <c r="G27" i="117" s="1"/>
  <c r="F31" i="119"/>
  <c r="G28" i="117" s="1"/>
  <c r="F32" i="119"/>
  <c r="G29" i="117" s="1"/>
  <c r="F33" i="119"/>
  <c r="G30" i="117" s="1"/>
  <c r="F34" i="119"/>
  <c r="G31" i="117" s="1"/>
  <c r="F35" i="119"/>
  <c r="G32" i="117" s="1"/>
  <c r="F8" i="119"/>
  <c r="G5" i="117" s="1"/>
  <c r="F9" i="119"/>
  <c r="G6" i="117" s="1"/>
  <c r="F10" i="119"/>
  <c r="G7" i="117" s="1"/>
  <c r="F6" i="119"/>
  <c r="G3" i="117" s="1"/>
  <c r="F7" i="119"/>
  <c r="G4" i="117" s="1"/>
  <c r="F5" i="119"/>
  <c r="G2" i="117" s="1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D18" i="119"/>
  <c r="D26" i="119"/>
  <c r="D33" i="119"/>
  <c r="D34" i="119"/>
  <c r="I30" i="117"/>
  <c r="D32" i="119"/>
  <c r="I28" i="117"/>
  <c r="D31" i="119"/>
  <c r="D30" i="119"/>
  <c r="I26" i="117"/>
  <c r="D29" i="119"/>
  <c r="I25" i="117"/>
  <c r="D28" i="119"/>
  <c r="D27" i="119"/>
  <c r="I22" i="117"/>
  <c r="D25" i="119"/>
  <c r="D24" i="119"/>
  <c r="I20" i="117"/>
  <c r="D23" i="119"/>
  <c r="D22" i="119"/>
  <c r="I18" i="117"/>
  <c r="D21" i="119"/>
  <c r="D20" i="119"/>
  <c r="I16" i="117"/>
  <c r="D19" i="119"/>
  <c r="I14" i="117"/>
  <c r="D17" i="119"/>
  <c r="D16" i="119"/>
  <c r="D15" i="119"/>
  <c r="D14" i="119"/>
  <c r="I10" i="117"/>
  <c r="D13" i="119"/>
  <c r="D12" i="119"/>
  <c r="D11" i="119"/>
  <c r="D10" i="119"/>
  <c r="D9" i="119"/>
  <c r="D8" i="119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<sst xmlns="http://schemas.openxmlformats.org/spreadsheetml/2006/main" count="56" uniqueCount="25">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</sst>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O16" sqref="O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2023</v>
      </c>
      <c r="E2" s="9">
        <v>18373.000000000939</v>
      </c>
      <c r="F2" s="30">
        <v>0.85899999999999999</v>
      </c>
      <c r="G2" s="9">
        <f>'Shenzhen Daily'!F5</f>
        <v>1569</v>
      </c>
      <c r="H2" s="30">
        <v>4.59</v>
      </c>
      <c r="I2" s="9">
        <f>'Shenzhen Daily'!H5</f>
        <v>369</v>
      </c>
      <c r="J2" s="30">
        <v>5.09</v>
      </c>
      <c r="K2" s="9">
        <f>'Shenzhen Daily'!I5</f>
        <v>153.98739999999998</v>
      </c>
      <c r="L2" s="9">
        <f>'Shenzhen Daily'!J5</f>
        <v>299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2023</v>
      </c>
      <c r="E3" s="9">
        <v>17623.999999999658</v>
      </c>
      <c r="F3" s="30">
        <v>0.85899999999999999</v>
      </c>
      <c r="G3" s="9">
        <f>'Shenzhen Daily'!F6</f>
        <v>1485</v>
      </c>
      <c r="H3" s="30">
        <v>4.59</v>
      </c>
      <c r="I3" s="9">
        <f>'Shenzhen Daily'!H6</f>
        <v>320</v>
      </c>
      <c r="J3" s="30">
        <v>5.09</v>
      </c>
      <c r="K3" s="9">
        <f>'Shenzhen Daily'!I6</f>
        <v>92.993600000000001</v>
      </c>
      <c r="L3" s="9">
        <f>'Shenzhen Daily'!J6</f>
        <v>187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2023</v>
      </c>
      <c r="E4" s="9">
        <v>17171.999999998847</v>
      </c>
      <c r="F4" s="30">
        <v>0.85899999999999999</v>
      </c>
      <c r="G4" s="9">
        <f>'Shenzhen Daily'!F7</f>
        <v>1330</v>
      </c>
      <c r="H4" s="30">
        <v>4.59</v>
      </c>
      <c r="I4" s="9">
        <f>'Shenzhen Daily'!H7</f>
        <v>278</v>
      </c>
      <c r="J4" s="30">
        <v>5.09</v>
      </c>
      <c r="K4" s="9">
        <f>'Shenzhen Daily'!I7</f>
        <v>112.99680000000001</v>
      </c>
      <c r="L4" s="9">
        <f>'Shenzhen Daily'!J7</f>
        <v>162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2023</v>
      </c>
      <c r="E5" s="9">
        <v>17775.000000001586</v>
      </c>
      <c r="F5" s="30">
        <v>0.85899999999999999</v>
      </c>
      <c r="G5" s="9">
        <f>'Shenzhen Daily'!F8</f>
        <v>1351</v>
      </c>
      <c r="H5" s="30">
        <v>4.59</v>
      </c>
      <c r="I5" s="9">
        <f>'Shenzhen Daily'!H8</f>
        <v>283</v>
      </c>
      <c r="J5" s="30">
        <v>5.09</v>
      </c>
      <c r="K5" s="9">
        <f>'Shenzhen Daily'!I8</f>
        <v>153.98739999999998</v>
      </c>
      <c r="L5" s="9">
        <f>'Shenzhen Daily'!J8</f>
        <v>217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2023</v>
      </c>
      <c r="E6" s="9">
        <v>19036.999999998872</v>
      </c>
      <c r="F6" s="30">
        <v>0.85899999999999999</v>
      </c>
      <c r="G6" s="9">
        <f>'Shenzhen Daily'!F9</f>
        <v>1430</v>
      </c>
      <c r="H6" s="30">
        <v>4.59</v>
      </c>
      <c r="I6" s="9">
        <f>'Shenzhen Daily'!H9</f>
        <v>498</v>
      </c>
      <c r="J6" s="30">
        <v>5.09</v>
      </c>
      <c r="K6" s="9">
        <f>'Shenzhen Daily'!I9</f>
        <v>149.01320000000001</v>
      </c>
      <c r="L6" s="9">
        <f>'Shenzhen Daily'!J9</f>
        <v>299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2023</v>
      </c>
      <c r="E7" s="9">
        <v>19915.000000001215</v>
      </c>
      <c r="F7" s="30">
        <v>0.85899999999999999</v>
      </c>
      <c r="G7" s="9">
        <f>'Shenzhen Daily'!F10</f>
        <v>1442</v>
      </c>
      <c r="H7" s="30">
        <v>4.59</v>
      </c>
      <c r="I7" s="9">
        <f>'Shenzhen Daily'!H10</f>
        <v>382</v>
      </c>
      <c r="J7" s="30">
        <v>5.09</v>
      </c>
      <c r="K7" s="9">
        <f>'Shenzhen Daily'!I10</f>
        <v>171.01140000000001</v>
      </c>
      <c r="L7" s="9">
        <f>'Shenzhen Daily'!J10</f>
        <v>302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2023</v>
      </c>
      <c r="E8" s="9">
        <v>20415.000000000222</v>
      </c>
      <c r="F8" s="30">
        <v>0.85899999999999999</v>
      </c>
      <c r="G8" s="9">
        <f>'Shenzhen Daily'!F11</f>
        <v>1454</v>
      </c>
      <c r="H8" s="30">
        <v>4.59</v>
      </c>
      <c r="I8" s="9">
        <f>'Shenzhen Daily'!H11</f>
        <v>364</v>
      </c>
      <c r="J8" s="30">
        <v>5.09</v>
      </c>
      <c r="K8" s="9">
        <f>'Shenzhen Daily'!I11</f>
        <v>166.01060000000001</v>
      </c>
      <c r="L8" s="9">
        <f>'Shenzhen Daily'!J11</f>
        <v>348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2023</v>
      </c>
      <c r="E9" s="9">
        <v>18675.999999997472</v>
      </c>
      <c r="F9" s="30">
        <v>0.85899999999999999</v>
      </c>
      <c r="G9" s="9">
        <f>'Shenzhen Daily'!F12</f>
        <v>1484</v>
      </c>
      <c r="H9" s="30">
        <v>4.59</v>
      </c>
      <c r="I9" s="9">
        <f>'Shenzhen Daily'!H12</f>
        <v>344</v>
      </c>
      <c r="J9" s="30">
        <v>5.09</v>
      </c>
      <c r="K9" s="9">
        <f>'Shenzhen Daily'!I12</f>
        <v>149.9974</v>
      </c>
      <c r="L9" s="9">
        <f>'Shenzhen Daily'!J12</f>
        <v>243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2023</v>
      </c>
      <c r="E10" s="9">
        <v>19006.000000000931</v>
      </c>
      <c r="F10" s="30">
        <v>0.85899999999999999</v>
      </c>
      <c r="G10" s="9">
        <f>'Shenzhen Daily'!F13</f>
        <v>1433</v>
      </c>
      <c r="H10" s="30">
        <v>4.59</v>
      </c>
      <c r="I10" s="9">
        <f>'Shenzhen Daily'!H13</f>
        <v>384</v>
      </c>
      <c r="J10" s="30">
        <v>5.09</v>
      </c>
      <c r="K10" s="9">
        <f>'Shenzhen Daily'!I13</f>
        <v>185.00300000000001</v>
      </c>
      <c r="L10" s="9">
        <f>'Shenzhen Daily'!J13</f>
        <v>266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2023</v>
      </c>
      <c r="E11" s="9">
        <v>21340.999999999414</v>
      </c>
      <c r="F11" s="30">
        <v>0.85899999999999999</v>
      </c>
      <c r="G11" s="9">
        <f>'Shenzhen Daily'!F14</f>
        <v>1555</v>
      </c>
      <c r="H11" s="30">
        <v>4.59</v>
      </c>
      <c r="I11" s="9">
        <f>'Shenzhen Daily'!H14</f>
        <v>381</v>
      </c>
      <c r="J11" s="30">
        <v>5.09</v>
      </c>
      <c r="K11" s="9">
        <f>'Shenzhen Daily'!I14</f>
        <v>252.00839999999999</v>
      </c>
      <c r="L11" s="9">
        <f>'Shenzhen Daily'!J14</f>
        <v>342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2023</v>
      </c>
      <c r="E12" s="9">
        <v>23020.000000001834</v>
      </c>
      <c r="F12" s="30">
        <v>0.85899999999999999</v>
      </c>
      <c r="G12" s="9">
        <f>'Shenzhen Daily'!F15</f>
        <v>1958</v>
      </c>
      <c r="H12" s="30">
        <v>4.59</v>
      </c>
      <c r="I12" s="9">
        <f>'Shenzhen Daily'!H15</f>
        <v>434</v>
      </c>
      <c r="J12" s="30">
        <v>5.09</v>
      </c>
      <c r="K12" s="9">
        <f>'Shenzhen Daily'!I15</f>
        <v>260.99919999999997</v>
      </c>
      <c r="L12" s="9">
        <f>'Shenzhen Daily'!J15</f>
        <v>493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2023</v>
      </c>
      <c r="E13" s="9">
        <v>23748.999999999596</v>
      </c>
      <c r="F13" s="30">
        <v>0.85899999999999999</v>
      </c>
      <c r="G13" s="9">
        <f>'Shenzhen Daily'!F16</f>
        <v>1556</v>
      </c>
      <c r="H13" s="30">
        <v>4.59</v>
      </c>
      <c r="I13" s="9">
        <f>'Shenzhen Daily'!H16</f>
        <v>491</v>
      </c>
      <c r="J13" s="30">
        <v>5.09</v>
      </c>
      <c r="K13" s="9">
        <f>'Shenzhen Daily'!I16</f>
        <v>244.0018</v>
      </c>
      <c r="L13" s="9">
        <f>'Shenzhen Daily'!J16</f>
        <v>591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2023</v>
      </c>
      <c r="E14" s="9">
        <v>26378.999999999352</v>
      </c>
      <c r="F14" s="30">
        <v>0.85899999999999999</v>
      </c>
      <c r="G14" s="9">
        <f>'Shenzhen Daily'!F17</f>
        <v>1706</v>
      </c>
      <c r="H14" s="30">
        <v>4.59</v>
      </c>
      <c r="I14" s="9">
        <f>'Shenzhen Daily'!H17</f>
        <v>484</v>
      </c>
      <c r="J14" s="30">
        <v>5.09</v>
      </c>
      <c r="K14" s="9">
        <f>'Shenzhen Daily'!I17</f>
        <v>227.0044</v>
      </c>
      <c r="L14" s="9">
        <f>'Shenzhen Daily'!J17</f>
        <v>552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2023</v>
      </c>
      <c r="E15" s="9">
        <v>27041.000000000455</v>
      </c>
      <c r="F15" s="30">
        <v>0.85899999999999999</v>
      </c>
      <c r="G15" s="9">
        <f>'Shenzhen Daily'!F18</f>
        <v>1751</v>
      </c>
      <c r="H15" s="30">
        <v>4.59</v>
      </c>
      <c r="I15" s="9">
        <f>'Shenzhen Daily'!H18</f>
        <v>451</v>
      </c>
      <c r="J15" s="30">
        <v>5.09</v>
      </c>
      <c r="K15" s="9">
        <f>'Shenzhen Daily'!I18</f>
        <v>205.99039999999999</v>
      </c>
      <c r="L15" s="9">
        <f>'Shenzhen Daily'!J18</f>
        <v>379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2023</v>
      </c>
      <c r="E16" s="9">
        <v>20692.000000000146</v>
      </c>
      <c r="F16" s="30">
        <v>0.85899999999999999</v>
      </c>
      <c r="G16" s="9">
        <f>'Shenzhen Daily'!F19</f>
        <v>1445</v>
      </c>
      <c r="H16" s="30">
        <v>4.59</v>
      </c>
      <c r="I16" s="9">
        <f>'Shenzhen Daily'!H19</f>
        <v>399</v>
      </c>
      <c r="J16" s="30">
        <v>5.09</v>
      </c>
      <c r="K16" s="9">
        <f>'Shenzhen Daily'!I19</f>
        <v>161.00979999999998</v>
      </c>
      <c r="L16" s="9">
        <f>'Shenzhen Daily'!J19</f>
        <v>335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2023</v>
      </c>
      <c r="E17" s="9">
        <v>17320.999999999931</v>
      </c>
      <c r="F17" s="30">
        <v>0.85899999999999999</v>
      </c>
      <c r="G17" s="9">
        <f>'Shenzhen Daily'!F20</f>
        <v>1703</v>
      </c>
      <c r="H17" s="30">
        <v>4.59</v>
      </c>
      <c r="I17" s="9">
        <f>'Shenzhen Daily'!H20</f>
        <v>404</v>
      </c>
      <c r="J17" s="30">
        <v>5.09</v>
      </c>
      <c r="K17" s="9">
        <f>'Shenzhen Daily'!I20</f>
        <v>171.01140000000001</v>
      </c>
      <c r="L17" s="9">
        <f>'Shenzhen Daily'!J20</f>
        <v>421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2023</v>
      </c>
      <c r="E18" s="9">
        <v>17629.000000000153</v>
      </c>
      <c r="F18" s="30">
        <v>0.85899999999999999</v>
      </c>
      <c r="G18" s="9">
        <f>'Shenzhen Daily'!F21</f>
        <v>1644</v>
      </c>
      <c r="H18" s="30">
        <v>4.59</v>
      </c>
      <c r="I18" s="9">
        <f>'Shenzhen Daily'!H21</f>
        <v>334</v>
      </c>
      <c r="J18" s="30">
        <v>5.09</v>
      </c>
      <c r="K18" s="9">
        <f>'Shenzhen Daily'!I21</f>
        <v>131.98919999999998</v>
      </c>
      <c r="L18" s="9">
        <f>'Shenzhen Daily'!J21</f>
        <v>449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2023</v>
      </c>
      <c r="E19" s="9">
        <v>16596.999999999371</v>
      </c>
      <c r="F19" s="30">
        <v>0.85899999999999999</v>
      </c>
      <c r="G19" s="9">
        <f>'Shenzhen Daily'!F22</f>
        <v>1538</v>
      </c>
      <c r="H19" s="30">
        <v>4.59</v>
      </c>
      <c r="I19" s="9">
        <f>'Shenzhen Daily'!H22</f>
        <v>403</v>
      </c>
      <c r="J19" s="30">
        <v>5.09</v>
      </c>
      <c r="K19" s="9">
        <f>'Shenzhen Daily'!I22</f>
        <v>121.9876</v>
      </c>
      <c r="L19" s="9">
        <f>'Shenzhen Daily'!J22</f>
        <v>372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2023</v>
      </c>
      <c r="E20" s="9">
        <v>16730.999999999876</v>
      </c>
      <c r="F20" s="30">
        <v>0.85899999999999999</v>
      </c>
      <c r="G20" s="9">
        <f>'Shenzhen Daily'!F23</f>
        <v>1496</v>
      </c>
      <c r="H20" s="30">
        <v>4.59</v>
      </c>
      <c r="I20" s="9">
        <f>'Shenzhen Daily'!H23</f>
        <v>361</v>
      </c>
      <c r="J20" s="30">
        <v>5.09</v>
      </c>
      <c r="K20" s="9">
        <f>'Shenzhen Daily'!I23</f>
        <v>107.99600000000001</v>
      </c>
      <c r="L20" s="9">
        <f>'Shenzhen Daily'!J23</f>
        <v>337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2023</v>
      </c>
      <c r="E21" s="9">
        <v>15669.000000000911</v>
      </c>
      <c r="F21" s="30">
        <v>0.85899999999999999</v>
      </c>
      <c r="G21" s="9">
        <f>'Shenzhen Daily'!F24</f>
        <v>1369</v>
      </c>
      <c r="H21" s="30">
        <v>4.59</v>
      </c>
      <c r="I21" s="9">
        <f>'Shenzhen Daily'!H24</f>
        <v>328</v>
      </c>
      <c r="J21" s="30">
        <v>5.09</v>
      </c>
      <c r="K21" s="9">
        <f>'Shenzhen Daily'!I24</f>
        <v>82.992000000000004</v>
      </c>
      <c r="L21" s="9">
        <f>'Shenzhen Daily'!J24</f>
        <v>322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2023</v>
      </c>
      <c r="E22" s="9">
        <v>19675.999999999334</v>
      </c>
      <c r="F22" s="30">
        <v>0.85899999999999999</v>
      </c>
      <c r="G22" s="9">
        <f>'Shenzhen Daily'!F25</f>
        <v>1571</v>
      </c>
      <c r="H22" s="30">
        <v>4.59</v>
      </c>
      <c r="I22" s="9">
        <f>'Shenzhen Daily'!H25</f>
        <v>363</v>
      </c>
      <c r="J22" s="30">
        <v>5.09</v>
      </c>
      <c r="K22" s="9">
        <f>'Shenzhen Daily'!I25</f>
        <v>131.98919999999998</v>
      </c>
      <c r="L22" s="9">
        <f>'Shenzhen Daily'!J25</f>
        <v>480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2023</v>
      </c>
      <c r="E23" s="9">
        <v>18821.999999999745</v>
      </c>
      <c r="F23" s="30">
        <v>0.85899999999999999</v>
      </c>
      <c r="G23" s="9">
        <f>'Shenzhen Daily'!F26</f>
        <v>1376</v>
      </c>
      <c r="H23" s="30">
        <v>4.59</v>
      </c>
      <c r="I23" s="9">
        <f>'Shenzhen Daily'!H26</f>
        <v>346</v>
      </c>
      <c r="J23" s="30">
        <v>5.09</v>
      </c>
      <c r="K23" s="9">
        <f>'Shenzhen Daily'!I26</f>
        <v>191.99879999999999</v>
      </c>
      <c r="L23" s="9">
        <f>'Shenzhen Daily'!J26</f>
        <v>356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2023</v>
      </c>
      <c r="E24" s="9">
        <v>21009.000000001226</v>
      </c>
      <c r="F24" s="30">
        <v>0.85899999999999999</v>
      </c>
      <c r="G24" s="9">
        <f>'Shenzhen Daily'!F27</f>
        <v>1551</v>
      </c>
      <c r="H24" s="30">
        <v>4.59</v>
      </c>
      <c r="I24" s="9">
        <f>'Shenzhen Daily'!H27</f>
        <v>440</v>
      </c>
      <c r="J24" s="30">
        <v>5.09</v>
      </c>
      <c r="K24" s="9">
        <f>'Shenzhen Daily'!I27</f>
        <v>249.98679999999999</v>
      </c>
      <c r="L24" s="9">
        <f>'Shenzhen Daily'!J27</f>
        <v>521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2023</v>
      </c>
      <c r="E25" s="9">
        <v>19374.999999999709</v>
      </c>
      <c r="F25" s="30">
        <v>0.85899999999999999</v>
      </c>
      <c r="G25" s="9">
        <f>'Shenzhen Daily'!F28</f>
        <v>1739</v>
      </c>
      <c r="H25" s="30">
        <v>4.59</v>
      </c>
      <c r="I25" s="9">
        <f>'Shenzhen Daily'!H28</f>
        <v>450</v>
      </c>
      <c r="J25" s="30">
        <v>5.09</v>
      </c>
      <c r="K25" s="9">
        <f>'Shenzhen Daily'!I28</f>
        <v>252.00839999999999</v>
      </c>
      <c r="L25" s="9">
        <f>'Shenzhen Daily'!J28</f>
        <v>646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2023</v>
      </c>
      <c r="E26" s="9">
        <v>18125.9999999996</v>
      </c>
      <c r="F26" s="30">
        <v>0.85899999999999999</v>
      </c>
      <c r="G26" s="9">
        <f>'Shenzhen Daily'!F29</f>
        <v>1732</v>
      </c>
      <c r="H26" s="30">
        <v>4.59</v>
      </c>
      <c r="I26" s="9">
        <f>'Shenzhen Daily'!H29</f>
        <v>499</v>
      </c>
      <c r="J26" s="30">
        <v>5.09</v>
      </c>
      <c r="K26" s="9">
        <f>'Shenzhen Daily'!I29</f>
        <v>262.01</v>
      </c>
      <c r="L26" s="9">
        <f>'Shenzhen Daily'!J29</f>
        <v>580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2023</v>
      </c>
      <c r="E27" s="9">
        <v>19409.999999999127</v>
      </c>
      <c r="F27" s="30">
        <v>0.85899999999999999</v>
      </c>
      <c r="G27" s="9">
        <f>'Shenzhen Daily'!F30</f>
        <v>2027</v>
      </c>
      <c r="H27" s="30">
        <v>4.59</v>
      </c>
      <c r="I27" s="9">
        <f>'Shenzhen Daily'!H30</f>
        <v>426</v>
      </c>
      <c r="J27" s="30">
        <v>5.09</v>
      </c>
      <c r="K27" s="9">
        <f>'Shenzhen Daily'!I30</f>
        <v>245.01260000000002</v>
      </c>
      <c r="L27" s="9">
        <f>'Shenzhen Daily'!J30</f>
        <v>681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2023</v>
      </c>
      <c r="E28" s="9">
        <v>19484.000000000986</v>
      </c>
      <c r="F28" s="30">
        <v>0.85899999999999999</v>
      </c>
      <c r="G28" s="9">
        <f>'Shenzhen Daily'!F31</f>
        <v>1841</v>
      </c>
      <c r="H28" s="30">
        <v>4.59</v>
      </c>
      <c r="I28" s="9">
        <f>'Shenzhen Daily'!H31</f>
        <v>463</v>
      </c>
      <c r="J28" s="30">
        <v>5.09</v>
      </c>
      <c r="K28" s="9">
        <f>'Shenzhen Daily'!I31</f>
        <v>152.684</v>
      </c>
      <c r="L28" s="9">
        <f>'Shenzhen Daily'!J31</f>
        <v>521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2023</v>
      </c>
      <c r="E29" s="9">
        <v>17595.999999999774</v>
      </c>
      <c r="F29" s="30">
        <v>0.85899999999999999</v>
      </c>
      <c r="G29" s="9">
        <f>'Shenzhen Daily'!F32</f>
        <v>1681</v>
      </c>
      <c r="H29" s="30">
        <v>4.59</v>
      </c>
      <c r="I29" s="9">
        <f>'Shenzhen Daily'!H32</f>
        <v>428</v>
      </c>
      <c r="J29" s="30">
        <v>5.09</v>
      </c>
      <c r="K29" s="9">
        <f>'Shenzhen Daily'!I32</f>
        <v>166.01060000000001</v>
      </c>
      <c r="L29" s="9">
        <f>'Shenzhen Daily'!J32</f>
        <v>520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2023</v>
      </c>
      <c r="E30" s="9">
        <v>17778.999999998934</v>
      </c>
      <c r="F30" s="30">
        <v>0.85899999999999999</v>
      </c>
      <c r="G30" s="9">
        <f>'Shenzhen Daily'!F33</f>
        <v>1702</v>
      </c>
      <c r="H30" s="30">
        <v>4.59</v>
      </c>
      <c r="I30" s="9">
        <f>'Shenzhen Daily'!H33</f>
        <v>393</v>
      </c>
      <c r="J30" s="30">
        <v>5.09</v>
      </c>
      <c r="K30" s="9">
        <f>'Shenzhen Daily'!I33</f>
        <v>149.9974</v>
      </c>
      <c r="L30" s="9">
        <f>'Shenzhen Daily'!J33</f>
        <v>319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2023</v>
      </c>
      <c r="E31" s="9">
        <v>18495.999999999698</v>
      </c>
      <c r="F31" s="30">
        <v>0.85899999999999999</v>
      </c>
      <c r="G31" s="9">
        <f>'Shenzhen Daily'!F34</f>
        <v>1658</v>
      </c>
      <c r="H31" s="30">
        <v>4.59</v>
      </c>
      <c r="I31" s="9">
        <f>'Shenzhen Daily'!H34</f>
        <v>409</v>
      </c>
      <c r="J31" s="30">
        <v>5.09</v>
      </c>
      <c r="K31" s="9">
        <f>'Shenzhen Daily'!I34</f>
        <v>156.99319999999997</v>
      </c>
      <c r="L31" s="9">
        <f>'Shenzhen Daily'!J34</f>
        <v>308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2023</v>
      </c>
      <c r="E32" s="9">
        <v>18904.000000000353</v>
      </c>
      <c r="F32" s="30">
        <v>0.85899999999999999</v>
      </c>
      <c r="G32" s="9">
        <f>'Shenzhen Daily'!F35</f>
        <v>1619</v>
      </c>
      <c r="H32" s="30">
        <v>4.59</v>
      </c>
      <c r="I32" s="9">
        <f>'Shenzhen Daily'!H35</f>
        <v>355</v>
      </c>
      <c r="J32" s="30">
        <v>5.09</v>
      </c>
      <c r="K32" s="9">
        <f>'Shenzhen Daily'!I35</f>
        <v>170.00059999999999</v>
      </c>
      <c r="L32" s="9">
        <f>'Shenzhen Daily'!J35</f>
        <v>364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topLeftCell="A22" zoomScale="85" zoomScaleNormal="85" workbookViewId="0">
      <pane xSplit="1" topLeftCell="B1" activePane="topRight" state="frozen"/>
      <selection pane="topRight" activeCell="M26" sqref="M2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9</v>
      </c>
      <c r="B2" s="49"/>
      <c r="C2" s="52" t="s">
        <v>18</v>
      </c>
      <c r="D2" s="53"/>
      <c r="E2" s="54" t="s">
        <v>19</v>
      </c>
      <c r="F2" s="54"/>
      <c r="G2" s="55" t="s">
        <v>10</v>
      </c>
      <c r="H2" s="56"/>
      <c r="I2" s="15"/>
      <c r="J2" s="15"/>
    </row>
    <row r="3" spans="1:10" ht="44.25" customHeight="1" x14ac:dyDescent="0.15">
      <c r="A3" s="16" t="s">
        <v>11</v>
      </c>
      <c r="B3" s="49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44926</v>
      </c>
      <c r="B4" s="50"/>
      <c r="C4" s="40">
        <v>27108.190000000002</v>
      </c>
      <c r="D4" s="41"/>
      <c r="E4" s="40">
        <v>3455428</v>
      </c>
      <c r="F4" s="44"/>
      <c r="G4" s="40">
        <v>679907</v>
      </c>
      <c r="H4" s="45"/>
      <c r="I4" s="23">
        <v>250</v>
      </c>
      <c r="J4" s="23">
        <v>272</v>
      </c>
    </row>
    <row r="5" spans="1:10" ht="33" customHeight="1" x14ac:dyDescent="0.2">
      <c r="A5" s="24">
        <v>44927</v>
      </c>
      <c r="B5" s="50"/>
      <c r="C5" s="40">
        <v>27127.13</v>
      </c>
      <c r="D5" s="42">
        <f t="shared" ref="D5:D22" si="0">IF((C5-C4&lt;0), "0",C5-C4)</f>
        <v>18.93999999999869</v>
      </c>
      <c r="E5" s="40">
        <v>3456997</v>
      </c>
      <c r="F5" s="42">
        <f>IF((E5-E4&lt;0), "0",E5-E4)</f>
        <v>1569</v>
      </c>
      <c r="G5" s="40">
        <v>680276</v>
      </c>
      <c r="H5" s="38">
        <f>IF((G5-G4&lt;0), "0",G5-G4)</f>
        <v>369</v>
      </c>
      <c r="I5" s="26">
        <v>153.98739999999998</v>
      </c>
      <c r="J5" s="26">
        <v>299</v>
      </c>
    </row>
    <row r="6" spans="1:10" ht="45" customHeight="1" x14ac:dyDescent="0.2">
      <c r="A6" s="24">
        <v>44928</v>
      </c>
      <c r="B6" s="50"/>
      <c r="C6" s="40">
        <v>27144.629999999997</v>
      </c>
      <c r="D6" s="42">
        <f t="shared" si="0"/>
        <v>17.499999999996362</v>
      </c>
      <c r="E6" s="40">
        <v>3458482</v>
      </c>
      <c r="F6" s="42">
        <f>IF((E6-E5&lt;0), "0",E6-E5)</f>
        <v>1485</v>
      </c>
      <c r="G6" s="40">
        <v>680596</v>
      </c>
      <c r="H6" s="38">
        <f t="shared" ref="H6:H35" si="1">IF((G6-G5&lt;0), "0",G6-G5)</f>
        <v>320</v>
      </c>
      <c r="I6" s="37">
        <v>92.993600000000001</v>
      </c>
      <c r="J6" s="37">
        <v>187</v>
      </c>
    </row>
    <row r="7" spans="1:10" ht="45" customHeight="1" x14ac:dyDescent="0.2">
      <c r="A7" s="24">
        <v>44929</v>
      </c>
      <c r="B7" s="50"/>
      <c r="C7" s="40">
        <v>27162.78</v>
      </c>
      <c r="D7" s="42">
        <f t="shared" si="0"/>
        <v>18.150000000001455</v>
      </c>
      <c r="E7" s="40">
        <v>3459812</v>
      </c>
      <c r="F7" s="42">
        <f t="shared" ref="F7:F32" si="2">IF((E7-E6&lt;0), "0",E7-E6)</f>
        <v>1330</v>
      </c>
      <c r="G7" s="40">
        <v>680874</v>
      </c>
      <c r="H7" s="38">
        <f t="shared" si="1"/>
        <v>278</v>
      </c>
      <c r="I7" s="12">
        <v>112.99680000000001</v>
      </c>
      <c r="J7" s="12">
        <v>162</v>
      </c>
    </row>
    <row r="8" spans="1:10" ht="45" customHeight="1" x14ac:dyDescent="0.2">
      <c r="A8" s="24">
        <v>44930</v>
      </c>
      <c r="B8" s="49"/>
      <c r="C8" s="31">
        <v>27179.499999999996</v>
      </c>
      <c r="D8" s="36">
        <f t="shared" si="0"/>
        <v>16.719999999997526</v>
      </c>
      <c r="E8" s="31">
        <v>3461163</v>
      </c>
      <c r="F8" s="42">
        <f>IF((E8-E7&lt;0), "0",E8-E7)</f>
        <v>1351</v>
      </c>
      <c r="G8" s="40">
        <v>681157</v>
      </c>
      <c r="H8" s="38">
        <f t="shared" si="1"/>
        <v>283</v>
      </c>
      <c r="I8" s="12">
        <v>153.98739999999998</v>
      </c>
      <c r="J8" s="12">
        <v>217</v>
      </c>
    </row>
    <row r="9" spans="1:10" ht="45" customHeight="1" x14ac:dyDescent="0.2">
      <c r="A9" s="24">
        <v>44931</v>
      </c>
      <c r="B9" s="49"/>
      <c r="C9" s="31">
        <v>27197.07</v>
      </c>
      <c r="D9" s="25">
        <f t="shared" si="0"/>
        <v>17.570000000003347</v>
      </c>
      <c r="E9" s="31">
        <v>3462593</v>
      </c>
      <c r="F9" s="42">
        <f t="shared" si="2"/>
        <v>1430</v>
      </c>
      <c r="G9" s="31">
        <v>681655</v>
      </c>
      <c r="H9" s="38">
        <f t="shared" si="1"/>
        <v>498</v>
      </c>
      <c r="I9" s="12">
        <v>149.01320000000001</v>
      </c>
      <c r="J9" s="12">
        <v>299</v>
      </c>
    </row>
    <row r="10" spans="1:10" ht="45" customHeight="1" x14ac:dyDescent="0.2">
      <c r="A10" s="24">
        <v>44932</v>
      </c>
      <c r="B10" s="49"/>
      <c r="C10" s="31">
        <v>27216.340000000004</v>
      </c>
      <c r="D10" s="25">
        <f t="shared" si="0"/>
        <v>19.270000000004075</v>
      </c>
      <c r="E10" s="31">
        <v>3464035</v>
      </c>
      <c r="F10" s="42">
        <f t="shared" si="2"/>
        <v>1442</v>
      </c>
      <c r="G10" s="31">
        <v>682037</v>
      </c>
      <c r="H10" s="38">
        <f t="shared" si="1"/>
        <v>382</v>
      </c>
      <c r="I10" s="12">
        <v>171.01140000000001</v>
      </c>
      <c r="J10" s="12">
        <v>302</v>
      </c>
    </row>
    <row r="11" spans="1:10" ht="45" customHeight="1" x14ac:dyDescent="0.2">
      <c r="A11" s="24">
        <v>44933</v>
      </c>
      <c r="B11" s="49"/>
      <c r="C11" s="31">
        <v>27234.58</v>
      </c>
      <c r="D11" s="25">
        <f t="shared" si="0"/>
        <v>18.239999999997963</v>
      </c>
      <c r="E11" s="31">
        <v>3465489</v>
      </c>
      <c r="F11" s="42">
        <f t="shared" si="2"/>
        <v>1454</v>
      </c>
      <c r="G11" s="31">
        <v>682401</v>
      </c>
      <c r="H11" s="38">
        <f t="shared" si="1"/>
        <v>364</v>
      </c>
      <c r="I11" s="12">
        <v>166.01060000000001</v>
      </c>
      <c r="J11" s="12">
        <v>348</v>
      </c>
    </row>
    <row r="12" spans="1:10" ht="45" customHeight="1" x14ac:dyDescent="0.2">
      <c r="A12" s="24">
        <v>44934</v>
      </c>
      <c r="B12" s="49"/>
      <c r="C12" s="31">
        <v>27253.560000000005</v>
      </c>
      <c r="D12" s="25">
        <f t="shared" si="0"/>
        <v>18.980000000003201</v>
      </c>
      <c r="E12" s="31">
        <v>3466973</v>
      </c>
      <c r="F12" s="42">
        <f t="shared" si="2"/>
        <v>1484</v>
      </c>
      <c r="G12" s="31">
        <v>682745</v>
      </c>
      <c r="H12" s="38">
        <f t="shared" si="1"/>
        <v>344</v>
      </c>
      <c r="I12" s="12">
        <v>149.9974</v>
      </c>
      <c r="J12" s="12">
        <v>243</v>
      </c>
    </row>
    <row r="13" spans="1:10" ht="45" customHeight="1" x14ac:dyDescent="0.2">
      <c r="A13" s="24">
        <v>44935</v>
      </c>
      <c r="B13" s="49"/>
      <c r="C13" s="31">
        <v>27270.05</v>
      </c>
      <c r="D13" s="25">
        <f t="shared" si="0"/>
        <v>16.489999999994325</v>
      </c>
      <c r="E13" s="31">
        <v>3468406</v>
      </c>
      <c r="F13" s="42">
        <f t="shared" si="2"/>
        <v>1433</v>
      </c>
      <c r="G13" s="31">
        <v>683129</v>
      </c>
      <c r="H13" s="38">
        <f t="shared" si="1"/>
        <v>384</v>
      </c>
      <c r="I13" s="12">
        <v>185.00300000000001</v>
      </c>
      <c r="J13" s="12">
        <v>266</v>
      </c>
    </row>
    <row r="14" spans="1:10" ht="45" customHeight="1" x14ac:dyDescent="0.2">
      <c r="A14" s="24">
        <v>44936</v>
      </c>
      <c r="B14" s="49"/>
      <c r="C14" s="31">
        <v>27285.86</v>
      </c>
      <c r="D14" s="25">
        <f t="shared" si="0"/>
        <v>15.81000000000131</v>
      </c>
      <c r="E14" s="31">
        <v>3469961</v>
      </c>
      <c r="F14" s="42">
        <f t="shared" si="2"/>
        <v>1555</v>
      </c>
      <c r="G14" s="31">
        <v>683510</v>
      </c>
      <c r="H14" s="38">
        <f t="shared" si="1"/>
        <v>381</v>
      </c>
      <c r="I14" s="12">
        <v>252.00839999999999</v>
      </c>
      <c r="J14" s="12">
        <v>342</v>
      </c>
    </row>
    <row r="15" spans="1:10" ht="45" customHeight="1" x14ac:dyDescent="0.2">
      <c r="A15" s="24">
        <v>44937</v>
      </c>
      <c r="B15" s="49"/>
      <c r="C15" s="31">
        <v>27304.5</v>
      </c>
      <c r="D15" s="25">
        <f t="shared" si="0"/>
        <v>18.639999999999418</v>
      </c>
      <c r="E15" s="31">
        <v>3471919</v>
      </c>
      <c r="F15" s="42">
        <f t="shared" si="2"/>
        <v>1958</v>
      </c>
      <c r="G15" s="31">
        <v>683944</v>
      </c>
      <c r="H15" s="38">
        <f t="shared" si="1"/>
        <v>434</v>
      </c>
      <c r="I15" s="12">
        <v>260.99919999999997</v>
      </c>
      <c r="J15" s="12">
        <v>493</v>
      </c>
    </row>
    <row r="16" spans="1:10" ht="45" customHeight="1" x14ac:dyDescent="0.2">
      <c r="A16" s="24">
        <v>44938</v>
      </c>
      <c r="B16" s="49"/>
      <c r="C16" s="31">
        <v>27320.370000000006</v>
      </c>
      <c r="D16" s="25">
        <f t="shared" si="0"/>
        <v>15.870000000006257</v>
      </c>
      <c r="E16" s="31">
        <v>3473475</v>
      </c>
      <c r="F16" s="42">
        <f t="shared" si="2"/>
        <v>1556</v>
      </c>
      <c r="G16" s="31">
        <v>684435</v>
      </c>
      <c r="H16" s="38">
        <f t="shared" si="1"/>
        <v>491</v>
      </c>
      <c r="I16" s="12">
        <v>244.0018</v>
      </c>
      <c r="J16" s="12">
        <v>591</v>
      </c>
    </row>
    <row r="17" spans="1:15" ht="45" customHeight="1" x14ac:dyDescent="0.2">
      <c r="A17" s="24">
        <v>44939</v>
      </c>
      <c r="B17" s="49"/>
      <c r="C17" s="31">
        <v>27334.940000000002</v>
      </c>
      <c r="D17" s="25">
        <f t="shared" si="0"/>
        <v>14.569999999996071</v>
      </c>
      <c r="E17" s="31">
        <v>3475181</v>
      </c>
      <c r="F17" s="42">
        <f t="shared" si="2"/>
        <v>1706</v>
      </c>
      <c r="G17" s="31">
        <v>684919</v>
      </c>
      <c r="H17" s="38">
        <f t="shared" si="1"/>
        <v>484</v>
      </c>
      <c r="I17" s="12">
        <v>227.0044</v>
      </c>
      <c r="J17" s="12">
        <v>552</v>
      </c>
    </row>
    <row r="18" spans="1:15" ht="45" customHeight="1" x14ac:dyDescent="0.2">
      <c r="A18" s="24">
        <v>44940</v>
      </c>
      <c r="B18" s="49"/>
      <c r="C18" s="31">
        <v>27349.08</v>
      </c>
      <c r="D18" s="25">
        <f t="shared" si="0"/>
        <v>14.139999999999418</v>
      </c>
      <c r="E18" s="31">
        <v>3476932</v>
      </c>
      <c r="F18" s="42">
        <f t="shared" si="2"/>
        <v>1751</v>
      </c>
      <c r="G18" s="31">
        <v>685370</v>
      </c>
      <c r="H18" s="38">
        <f t="shared" si="1"/>
        <v>451</v>
      </c>
      <c r="I18" s="12">
        <v>205.99039999999999</v>
      </c>
      <c r="J18" s="12">
        <v>379</v>
      </c>
    </row>
    <row r="19" spans="1:15" ht="45" customHeight="1" x14ac:dyDescent="0.2">
      <c r="A19" s="24">
        <v>44941</v>
      </c>
      <c r="B19" s="49"/>
      <c r="C19" s="31">
        <v>27363.58</v>
      </c>
      <c r="D19" s="25">
        <f t="shared" si="0"/>
        <v>14.5</v>
      </c>
      <c r="E19" s="31">
        <v>3478377</v>
      </c>
      <c r="F19" s="42">
        <f t="shared" si="2"/>
        <v>1445</v>
      </c>
      <c r="G19" s="31">
        <v>685769</v>
      </c>
      <c r="H19" s="38">
        <f t="shared" si="1"/>
        <v>399</v>
      </c>
      <c r="I19" s="12">
        <v>161.00979999999998</v>
      </c>
      <c r="J19" s="12">
        <v>335</v>
      </c>
    </row>
    <row r="20" spans="1:15" ht="45" customHeight="1" x14ac:dyDescent="0.2">
      <c r="A20" s="24">
        <v>44942</v>
      </c>
      <c r="B20" s="49"/>
      <c r="C20" s="31">
        <v>27379.550000000007</v>
      </c>
      <c r="D20" s="25">
        <f t="shared" si="0"/>
        <v>15.970000000004802</v>
      </c>
      <c r="E20" s="31">
        <v>3480080</v>
      </c>
      <c r="F20" s="42">
        <f t="shared" si="2"/>
        <v>1703</v>
      </c>
      <c r="G20" s="31">
        <v>686173</v>
      </c>
      <c r="H20" s="38">
        <f t="shared" si="1"/>
        <v>404</v>
      </c>
      <c r="I20" s="12">
        <v>171.01140000000001</v>
      </c>
      <c r="J20" s="12">
        <v>421</v>
      </c>
    </row>
    <row r="21" spans="1:15" ht="45" customHeight="1" x14ac:dyDescent="0.2">
      <c r="A21" s="24">
        <v>44943</v>
      </c>
      <c r="B21" s="49"/>
      <c r="C21" s="31">
        <v>27393.699999999997</v>
      </c>
      <c r="D21" s="25">
        <f t="shared" si="0"/>
        <v>14.149999999990541</v>
      </c>
      <c r="E21" s="31">
        <v>3481724</v>
      </c>
      <c r="F21" s="42">
        <f t="shared" si="2"/>
        <v>1644</v>
      </c>
      <c r="G21" s="31">
        <v>686507</v>
      </c>
      <c r="H21" s="38">
        <f t="shared" si="1"/>
        <v>334</v>
      </c>
      <c r="I21" s="12">
        <v>131.98919999999998</v>
      </c>
      <c r="J21" s="12">
        <v>449</v>
      </c>
    </row>
    <row r="22" spans="1:15" ht="45" customHeight="1" x14ac:dyDescent="0.2">
      <c r="A22" s="24">
        <v>44944</v>
      </c>
      <c r="B22" s="49"/>
      <c r="C22" s="31">
        <v>27406.720000000001</v>
      </c>
      <c r="D22" s="25">
        <f t="shared" si="0"/>
        <v>13.020000000004075</v>
      </c>
      <c r="E22" s="31">
        <v>3483262</v>
      </c>
      <c r="F22" s="42">
        <f t="shared" si="2"/>
        <v>1538</v>
      </c>
      <c r="G22" s="31">
        <v>686910</v>
      </c>
      <c r="H22" s="38">
        <f t="shared" si="1"/>
        <v>403</v>
      </c>
      <c r="I22" s="12">
        <v>121.9876</v>
      </c>
      <c r="J22" s="12">
        <v>372</v>
      </c>
    </row>
    <row r="23" spans="1:15" ht="45" customHeight="1" x14ac:dyDescent="0.2">
      <c r="A23" s="24">
        <v>44945</v>
      </c>
      <c r="B23" s="49"/>
      <c r="C23" s="31">
        <v>27419.95</v>
      </c>
      <c r="D23" s="25">
        <f>IF((C23-C22&lt;0), "0",C23-C22)</f>
        <v>13.229999999999563</v>
      </c>
      <c r="E23" s="31">
        <v>3484758</v>
      </c>
      <c r="F23" s="42">
        <f t="shared" si="2"/>
        <v>1496</v>
      </c>
      <c r="G23" s="31">
        <v>687271</v>
      </c>
      <c r="H23" s="38">
        <f t="shared" si="1"/>
        <v>361</v>
      </c>
      <c r="I23" s="12">
        <v>107.99600000000001</v>
      </c>
      <c r="J23" s="12">
        <v>337</v>
      </c>
    </row>
    <row r="24" spans="1:15" ht="45" customHeight="1" x14ac:dyDescent="0.2">
      <c r="A24" s="24">
        <v>44946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3486127</v>
      </c>
      <c r="F24" s="42">
        <f t="shared" si="2"/>
        <v>1369</v>
      </c>
      <c r="G24" s="31">
        <v>687599</v>
      </c>
      <c r="H24" s="38">
        <f t="shared" si="1"/>
        <v>328</v>
      </c>
      <c r="I24" s="12">
        <v>82.992000000000004</v>
      </c>
      <c r="J24" s="12">
        <v>322</v>
      </c>
    </row>
    <row r="25" spans="1:15" ht="45" customHeight="1" x14ac:dyDescent="0.2">
      <c r="A25" s="24">
        <v>44947</v>
      </c>
      <c r="B25" s="49"/>
      <c r="C25" s="31">
        <v>27446.48</v>
      </c>
      <c r="D25" s="25">
        <f t="shared" si="3"/>
        <v>13.450000000000728</v>
      </c>
      <c r="E25" s="31">
        <v>3487698</v>
      </c>
      <c r="F25" s="42">
        <f t="shared" si="2"/>
        <v>1571</v>
      </c>
      <c r="G25" s="31">
        <v>687962</v>
      </c>
      <c r="H25" s="38">
        <f t="shared" si="1"/>
        <v>363</v>
      </c>
      <c r="I25" s="12">
        <v>131.98919999999998</v>
      </c>
      <c r="J25" s="12">
        <v>480</v>
      </c>
    </row>
    <row r="26" spans="1:15" ht="45" customHeight="1" x14ac:dyDescent="0.2">
      <c r="A26" s="24">
        <v>44948</v>
      </c>
      <c r="B26" s="49"/>
      <c r="C26" s="31">
        <v>27459.510000000002</v>
      </c>
      <c r="D26" s="25">
        <f t="shared" si="3"/>
        <v>13.030000000002474</v>
      </c>
      <c r="E26" s="31">
        <v>3489074</v>
      </c>
      <c r="F26" s="42">
        <f t="shared" si="2"/>
        <v>1376</v>
      </c>
      <c r="G26" s="31">
        <v>688308</v>
      </c>
      <c r="H26" s="38">
        <f t="shared" si="1"/>
        <v>346</v>
      </c>
      <c r="I26" s="12">
        <v>191.99879999999999</v>
      </c>
      <c r="J26" s="12">
        <v>356</v>
      </c>
    </row>
    <row r="27" spans="1:15" ht="45" customHeight="1" x14ac:dyDescent="0.2">
      <c r="A27" s="24">
        <v>44949</v>
      </c>
      <c r="B27" s="49"/>
      <c r="C27" s="31">
        <v>27473.940000000006</v>
      </c>
      <c r="D27" s="25">
        <f t="shared" si="3"/>
        <v>14.430000000003929</v>
      </c>
      <c r="E27" s="31">
        <v>3490625</v>
      </c>
      <c r="F27" s="42">
        <f t="shared" si="2"/>
        <v>1551</v>
      </c>
      <c r="G27" s="31">
        <v>688748</v>
      </c>
      <c r="H27" s="38">
        <f t="shared" si="1"/>
        <v>440</v>
      </c>
      <c r="I27" s="12">
        <v>249.98679999999999</v>
      </c>
      <c r="J27" s="12">
        <v>521</v>
      </c>
    </row>
    <row r="28" spans="1:15" ht="45" customHeight="1" x14ac:dyDescent="0.2">
      <c r="A28" s="24">
        <v>44950</v>
      </c>
      <c r="B28" s="49"/>
      <c r="C28" s="31">
        <v>27487.329999999998</v>
      </c>
      <c r="D28" s="25">
        <f t="shared" si="3"/>
        <v>13.389999999992142</v>
      </c>
      <c r="E28" s="31">
        <v>3492364</v>
      </c>
      <c r="F28" s="42">
        <f t="shared" si="2"/>
        <v>1739</v>
      </c>
      <c r="G28" s="31">
        <v>689198</v>
      </c>
      <c r="H28" s="38">
        <f t="shared" si="1"/>
        <v>450</v>
      </c>
      <c r="I28" s="12">
        <v>252.00839999999999</v>
      </c>
      <c r="J28" s="12">
        <v>646</v>
      </c>
    </row>
    <row r="29" spans="1:15" ht="45" customHeight="1" x14ac:dyDescent="0.2">
      <c r="A29" s="24">
        <v>44951</v>
      </c>
      <c r="B29" s="49"/>
      <c r="C29" s="31">
        <v>27501.06</v>
      </c>
      <c r="D29" s="25">
        <f t="shared" si="3"/>
        <v>13.730000000003201</v>
      </c>
      <c r="E29" s="31">
        <v>3494096</v>
      </c>
      <c r="F29" s="42">
        <f t="shared" si="2"/>
        <v>1732</v>
      </c>
      <c r="G29" s="31">
        <v>689697</v>
      </c>
      <c r="H29" s="38">
        <f t="shared" si="1"/>
        <v>499</v>
      </c>
      <c r="I29" s="12">
        <v>262.01</v>
      </c>
      <c r="J29" s="12">
        <v>580</v>
      </c>
    </row>
    <row r="30" spans="1:15" ht="45" customHeight="1" x14ac:dyDescent="0.2">
      <c r="A30" s="24">
        <v>44952</v>
      </c>
      <c r="B30" s="49"/>
      <c r="C30" s="31">
        <v>27515.18</v>
      </c>
      <c r="D30" s="25">
        <f t="shared" si="3"/>
        <v>14.119999999998981</v>
      </c>
      <c r="E30" s="31">
        <v>3496123</v>
      </c>
      <c r="F30" s="42">
        <f t="shared" si="2"/>
        <v>2027</v>
      </c>
      <c r="G30" s="31">
        <v>690123</v>
      </c>
      <c r="H30" s="38">
        <f t="shared" si="1"/>
        <v>426</v>
      </c>
      <c r="I30" s="12">
        <v>245.01260000000002</v>
      </c>
      <c r="J30" s="12">
        <v>681</v>
      </c>
      <c r="O30" s="33"/>
    </row>
    <row r="31" spans="1:15" ht="45" customHeight="1" x14ac:dyDescent="0.2">
      <c r="A31" s="24">
        <v>44953</v>
      </c>
      <c r="B31" s="49"/>
      <c r="C31" s="31">
        <v>27529.66</v>
      </c>
      <c r="D31" s="25">
        <f t="shared" si="3"/>
        <v>14.479999999999563</v>
      </c>
      <c r="E31" s="31">
        <v>3497964</v>
      </c>
      <c r="F31" s="42">
        <f t="shared" si="2"/>
        <v>1841</v>
      </c>
      <c r="G31" s="31">
        <v>690586</v>
      </c>
      <c r="H31" s="38">
        <f t="shared" si="1"/>
        <v>463</v>
      </c>
      <c r="I31" s="12">
        <v>152.684</v>
      </c>
      <c r="J31" s="12">
        <v>521</v>
      </c>
    </row>
    <row r="32" spans="1:15" ht="45" customHeight="1" x14ac:dyDescent="0.2">
      <c r="A32" s="24">
        <v>44954</v>
      </c>
      <c r="B32" s="49"/>
      <c r="C32" s="31">
        <v>27543.24</v>
      </c>
      <c r="D32" s="25">
        <f t="shared" si="3"/>
        <v>13.580000000001746</v>
      </c>
      <c r="E32" s="31">
        <v>3499645</v>
      </c>
      <c r="F32" s="42">
        <f t="shared" si="2"/>
        <v>1681</v>
      </c>
      <c r="G32" s="31">
        <v>691014</v>
      </c>
      <c r="H32" s="38">
        <f t="shared" si="1"/>
        <v>428</v>
      </c>
      <c r="I32" s="12">
        <v>166.01060000000001</v>
      </c>
      <c r="J32" s="12">
        <v>520</v>
      </c>
    </row>
    <row r="33" spans="1:10" ht="36" customHeight="1" x14ac:dyDescent="0.2">
      <c r="A33" s="24">
        <v>44955</v>
      </c>
      <c r="B33" s="35"/>
      <c r="C33" s="31">
        <v>27557.570000000003</v>
      </c>
      <c r="D33" s="25">
        <f t="shared" si="3"/>
        <v>14.330000000001746</v>
      </c>
      <c r="E33" s="31">
        <v>3501347</v>
      </c>
      <c r="F33" s="42">
        <f>IF((E33-E32&lt;0), "0",E33-E32)</f>
        <v>1702</v>
      </c>
      <c r="G33" s="31">
        <v>691407</v>
      </c>
      <c r="H33" s="38">
        <f t="shared" si="1"/>
        <v>393</v>
      </c>
      <c r="I33" s="12">
        <v>149.9974</v>
      </c>
      <c r="J33" s="12">
        <v>319</v>
      </c>
    </row>
    <row r="34" spans="1:10" ht="45.6" customHeight="1" x14ac:dyDescent="0.2">
      <c r="A34" s="24">
        <v>44956</v>
      </c>
      <c r="B34" s="46"/>
      <c r="C34" s="40">
        <v>27574</v>
      </c>
      <c r="D34" s="47">
        <f t="shared" si="3"/>
        <v>16.429999999996653</v>
      </c>
      <c r="E34" s="31">
        <v>3503005</v>
      </c>
      <c r="F34" s="42">
        <f>IF((E34-E33&lt;0), "0",E34-E33)</f>
        <v>1658</v>
      </c>
      <c r="G34" s="31">
        <v>691816</v>
      </c>
      <c r="H34" s="38">
        <f t="shared" si="1"/>
        <v>409</v>
      </c>
      <c r="I34" s="32">
        <v>156.99319999999997</v>
      </c>
      <c r="J34" s="32">
        <v>308</v>
      </c>
    </row>
    <row r="35" spans="1:10" ht="36.75" customHeight="1" x14ac:dyDescent="0.15">
      <c r="A35" s="24">
        <v>44957</v>
      </c>
      <c r="B35" s="46"/>
      <c r="C35" s="48">
        <v>27680.950000000004</v>
      </c>
      <c r="D35" s="25">
        <f t="shared" si="3"/>
        <v>106.95000000000437</v>
      </c>
      <c r="E35" s="34">
        <v>3504624</v>
      </c>
      <c r="F35" s="42">
        <f>IF((E35-E34&lt;0), "0",E35-E34)</f>
        <v>1619</v>
      </c>
      <c r="G35" s="34">
        <v>692171</v>
      </c>
      <c r="H35" s="38">
        <f t="shared" si="1"/>
        <v>355</v>
      </c>
      <c r="I35" s="12">
        <v>170.00059999999999</v>
      </c>
      <c r="J35" s="12">
        <v>364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2023-03-17T02:33:15Z</dcterms:modified>
</cp:coreProperties>
</file>