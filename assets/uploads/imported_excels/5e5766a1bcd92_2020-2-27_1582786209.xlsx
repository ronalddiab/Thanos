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E23" i="2"/>
  <c r="F23" i="2"/>
  <c r="H23" i="2"/>
  <c r="I23" i="2"/>
  <c r="J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<sst xmlns="http://schemas.openxmlformats.org/spreadsheetml/2006/main" count="102" uniqueCount="37">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</sst>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R31" sqref="R3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9798</v>
      </c>
      <c r="F18" s="24">
        <v>0.11799999999999999</v>
      </c>
      <c r="G18" s="26">
        <f>(('02 - 2020'!E23-'02 - 2020'!E22)+('02 - 2020'!F23-'02 - 2020'!F22)+('02 - 2020'!G23-'02 - 2020'!G22))*1.81</f>
        <v>134.12100000000066</v>
      </c>
      <c r="H18" s="24">
        <v>0.99</v>
      </c>
      <c r="I18" s="26">
        <f>'02 - 2020'!J23-'02 - 2020'!J22</f>
        <v>12392</v>
      </c>
      <c r="J18" s="24">
        <v>8.1000000000000003E-2</v>
      </c>
      <c r="K18" s="26">
        <f>'02 - 2020'!H23-'02 - 2020'!H22</f>
        <v>0</v>
      </c>
      <c r="L18" s="26">
        <f>'02 - 2020'!I23-'02 - 2020'!I22</f>
        <v>116</v>
      </c>
      <c r="M18" s="25">
        <v>4.393629424766913</v>
      </c>
      <c r="N18" s="52">
        <v>97</v>
      </c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10103</v>
      </c>
      <c r="F19" s="24">
        <v>0.11799999999999999</v>
      </c>
      <c r="G19" s="26">
        <f>(('02 - 2020'!E24-'02 - 2020'!E23)+('02 - 2020'!F24-'02 - 2020'!F23)+('02 - 2020'!G24-'02 - 2020'!G23))*1.81</f>
        <v>132.54629999999634</v>
      </c>
      <c r="H19" s="24">
        <v>0.99</v>
      </c>
      <c r="I19" s="26">
        <f>'02 - 2020'!J24-'02 - 2020'!J23</f>
        <v>13320</v>
      </c>
      <c r="J19" s="24">
        <v>8.1000000000000003E-2</v>
      </c>
      <c r="K19" s="26">
        <f>'02 - 2020'!H24-'02 - 2020'!H23</f>
        <v>0</v>
      </c>
      <c r="L19" s="26">
        <f>'02 - 2020'!I24-'02 - 2020'!I23</f>
        <v>122</v>
      </c>
      <c r="M19" s="25">
        <v>4.393629424766913</v>
      </c>
      <c r="N19" s="52">
        <v>102</v>
      </c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9165</v>
      </c>
      <c r="F20" s="24">
        <v>0.11799999999999999</v>
      </c>
      <c r="G20" s="26">
        <f>(('02 - 2020'!E25-'02 - 2020'!E24)+('02 - 2020'!F25-'02 - 2020'!F24)+('02 - 2020'!G25-'02 - 2020'!G24))*1.81</f>
        <v>136.07580000000712</v>
      </c>
      <c r="H20" s="24">
        <v>0.99</v>
      </c>
      <c r="I20" s="26">
        <f>'02 - 2020'!J25-'02 - 2020'!J24</f>
        <v>13071</v>
      </c>
      <c r="J20" s="24">
        <v>8.1000000000000003E-2</v>
      </c>
      <c r="K20" s="26">
        <f>'02 - 2020'!H25-'02 - 2020'!H24</f>
        <v>0</v>
      </c>
      <c r="L20" s="26">
        <f>'02 - 2020'!I25-'02 - 2020'!I24</f>
        <v>125</v>
      </c>
      <c r="M20" s="25">
        <v>4.393629424766913</v>
      </c>
      <c r="N20" s="52">
        <v>96</v>
      </c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10243</v>
      </c>
      <c r="F21" s="24">
        <v>0.11799999999999999</v>
      </c>
      <c r="G21" s="26">
        <f>(('02 - 2020'!E26-'02 - 2020'!E25)+('02 - 2020'!F26-'02 - 2020'!F25)+('02 - 2020'!G26-'02 - 2020'!G25))*1.81</f>
        <v>138.79079999999271</v>
      </c>
      <c r="H21" s="24">
        <v>0.99</v>
      </c>
      <c r="I21" s="26">
        <f>'02 - 2020'!J26-'02 - 2020'!J25</f>
        <v>15328</v>
      </c>
      <c r="J21" s="24">
        <v>8.1000000000000003E-2</v>
      </c>
      <c r="K21" s="26">
        <f>'02 - 2020'!H26-'02 - 2020'!H25</f>
        <v>0</v>
      </c>
      <c r="L21" s="26">
        <f>'02 - 2020'!I26-'02 - 2020'!I25</f>
        <v>124</v>
      </c>
      <c r="M21" s="25">
        <v>4.393629424766913</v>
      </c>
      <c r="N21" s="52">
        <v>98</v>
      </c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10298</v>
      </c>
      <c r="F22" s="24">
        <v>0.11799999999999999</v>
      </c>
      <c r="G22" s="26">
        <f>(('02 - 2020'!E27-'02 - 2020'!E26)+('02 - 2020'!F27-'02 - 2020'!F26)+('02 - 2020'!G27-'02 - 2020'!G26))*1.81</f>
        <v>148.58290000000272</v>
      </c>
      <c r="H22" s="24">
        <v>0.99</v>
      </c>
      <c r="I22" s="26">
        <f>'02 - 2020'!J27-'02 - 2020'!J26</f>
        <v>15093</v>
      </c>
      <c r="J22" s="24">
        <v>8.1000000000000003E-2</v>
      </c>
      <c r="K22" s="26">
        <f>'02 - 2020'!H27-'02 - 2020'!H26</f>
        <v>0</v>
      </c>
      <c r="L22" s="26">
        <f>'02 - 2020'!I27-'02 - 2020'!I26</f>
        <v>141</v>
      </c>
      <c r="M22" s="25">
        <v>4.393629424766913</v>
      </c>
      <c r="N22" s="52">
        <v>99</v>
      </c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9771</v>
      </c>
      <c r="F23" s="24">
        <v>0.11799999999999999</v>
      </c>
      <c r="G23" s="26">
        <f>(('02 - 2020'!E28-'02 - 2020'!E27)+('02 - 2020'!F28-'02 - 2020'!F27)+('02 - 2020'!G28-'02 - 2020'!G27))*1.81</f>
        <v>132.3833999999969</v>
      </c>
      <c r="H23" s="24">
        <v>0.99</v>
      </c>
      <c r="I23" s="26">
        <f>'02 - 2020'!J28-'02 - 2020'!J27</f>
        <v>16036</v>
      </c>
      <c r="J23" s="24">
        <v>8.1000000000000003E-2</v>
      </c>
      <c r="K23" s="26">
        <f>'02 - 2020'!H28-'02 - 2020'!H27</f>
        <v>0</v>
      </c>
      <c r="L23" s="26">
        <f>'02 - 2020'!I28-'02 - 2020'!I27</f>
        <v>134</v>
      </c>
      <c r="M23" s="25">
        <v>4.393629424766913</v>
      </c>
      <c r="N23" s="52">
        <v>82</v>
      </c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9934</v>
      </c>
      <c r="F24" s="24">
        <v>0.11799999999999999</v>
      </c>
      <c r="G24" s="26">
        <f>(('02 - 2020'!E29-'02 - 2020'!E28)+('02 - 2020'!F29-'02 - 2020'!F28)+('02 - 2020'!G29-'02 - 2020'!G28))*1.81</f>
        <v>135.38800000000487</v>
      </c>
      <c r="H24" s="24">
        <v>0.99</v>
      </c>
      <c r="I24" s="26">
        <f>'02 - 2020'!J29-'02 - 2020'!J28</f>
        <v>17308</v>
      </c>
      <c r="J24" s="24">
        <v>8.1000000000000003E-2</v>
      </c>
      <c r="K24" s="26">
        <f>'02 - 2020'!H29-'02 - 2020'!H28</f>
        <v>0</v>
      </c>
      <c r="L24" s="26">
        <f>'02 - 2020'!I29-'02 - 2020'!I28</f>
        <v>139</v>
      </c>
      <c r="M24" s="25">
        <v>4.393629424766913</v>
      </c>
      <c r="N24" s="52">
        <v>72</v>
      </c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9626</v>
      </c>
      <c r="F25" s="24">
        <v>0.11799999999999999</v>
      </c>
      <c r="G25" s="26">
        <f>(('02 - 2020'!E30-'02 - 2020'!E29)+('02 - 2020'!F30-'02 - 2020'!F29)+('02 - 2020'!G30-'02 - 2020'!G29))*1.81</f>
        <v>137.39710000000221</v>
      </c>
      <c r="H25" s="24">
        <v>0.99</v>
      </c>
      <c r="I25" s="26">
        <f>'02 - 2020'!J30-'02 - 2020'!J29</f>
        <v>18476</v>
      </c>
      <c r="J25" s="24">
        <v>8.1000000000000003E-2</v>
      </c>
      <c r="K25" s="26">
        <f>'02 - 2020'!H30-'02 - 2020'!H29</f>
        <v>0</v>
      </c>
      <c r="L25" s="26">
        <f>'02 - 2020'!I30-'02 - 2020'!I29</f>
        <v>108</v>
      </c>
      <c r="M25" s="25">
        <v>4.393629424766913</v>
      </c>
      <c r="N25" s="52">
        <v>67</v>
      </c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9728</v>
      </c>
      <c r="F26" s="24">
        <v>0.11799999999999999</v>
      </c>
      <c r="G26" s="26">
        <f>(('02 - 2020'!E31-'02 - 2020'!E30)+('02 - 2020'!F31-'02 - 2020'!F30)+('02 - 2020'!G31-'02 - 2020'!G30))*1.81</f>
        <v>131.24309999999298</v>
      </c>
      <c r="H26" s="24">
        <v>0.99</v>
      </c>
      <c r="I26" s="26">
        <f>'02 - 2020'!J31-'02 - 2020'!J30</f>
        <v>17284</v>
      </c>
      <c r="J26" s="24">
        <v>8.1000000000000003E-2</v>
      </c>
      <c r="K26" s="26">
        <f>'02 - 2020'!H31-'02 - 2020'!H30</f>
        <v>0</v>
      </c>
      <c r="L26" s="26">
        <f>'02 - 2020'!I31-'02 - 2020'!I30</f>
        <v>90</v>
      </c>
      <c r="M26" s="25">
        <v>4.393629424766913</v>
      </c>
      <c r="N26" s="52">
        <v>104</v>
      </c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9425</v>
      </c>
      <c r="F27" s="24">
        <v>0.11799999999999999</v>
      </c>
      <c r="G27" s="26">
        <f>(('02 - 2020'!E32-'02 - 2020'!E31)+('02 - 2020'!F32-'02 - 2020'!F31)+('02 - 2020'!G32-'02 - 2020'!G31))*1.81</f>
        <v>131.09830000000383</v>
      </c>
      <c r="H27" s="24">
        <v>0.99</v>
      </c>
      <c r="I27" s="26">
        <f>'02 - 2020'!J32-'02 - 2020'!J31</f>
        <v>16811</v>
      </c>
      <c r="J27" s="24">
        <v>8.1000000000000003E-2</v>
      </c>
      <c r="K27" s="26">
        <f>'02 - 2020'!H32-'02 - 2020'!H31</f>
        <v>0</v>
      </c>
      <c r="L27" s="26">
        <f>'02 - 2020'!I32-'02 - 2020'!I31</f>
        <v>106</v>
      </c>
      <c r="M27" s="25">
        <v>4.393629424766913</v>
      </c>
      <c r="N27" s="52">
        <v>102</v>
      </c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10578</v>
      </c>
      <c r="F28" s="24">
        <v>0.11799999999999999</v>
      </c>
      <c r="G28" s="26">
        <f>(('02 - 2020'!E33-'02 - 2020'!E32)+('02 - 2020'!F33-'02 - 2020'!F32)+('02 - 2020'!G33-'02 - 2020'!G32))*1.81</f>
        <v>149.94040000000069</v>
      </c>
      <c r="H28" s="24">
        <v>0.99</v>
      </c>
      <c r="I28" s="26">
        <f>'02 - 2020'!J33-'02 - 2020'!J32</f>
        <v>17413</v>
      </c>
      <c r="J28" s="24">
        <v>8.1000000000000003E-2</v>
      </c>
      <c r="K28" s="26">
        <f>'02 - 2020'!H33-'02 - 2020'!H32</f>
        <v>0</v>
      </c>
      <c r="L28" s="26">
        <f>'02 - 2020'!I33-'02 - 2020'!I32</f>
        <v>126</v>
      </c>
      <c r="M28" s="25">
        <v>4.393629424766913</v>
      </c>
      <c r="N28" s="52">
        <v>94</v>
      </c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v>0</v>
      </c>
      <c r="F29" s="24">
        <v>0.11799999999999999</v>
      </c>
      <c r="G29" s="26">
        <v>0</v>
      </c>
      <c r="H29" s="24">
        <v>0.99</v>
      </c>
      <c r="I29" s="26">
        <v>0</v>
      </c>
      <c r="J29" s="24">
        <v>8.1000000000000003E-2</v>
      </c>
      <c r="K29" s="26">
        <v>0</v>
      </c>
      <c r="L29" s="26"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K29" sqref="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3733</v>
      </c>
      <c r="F18" s="26">
        <f>'02 - 2020'!C23-'02 - 2020'!C22</f>
        <v>6065</v>
      </c>
      <c r="G18" s="24">
        <v>0.11799999999999999</v>
      </c>
      <c r="H18" s="26">
        <f>'02 - 2020'!E23-'02 - 2020'!E22</f>
        <v>24.930000000000291</v>
      </c>
      <c r="I18" s="26">
        <f>'02 - 2020'!F23-'02 - 2020'!F22</f>
        <v>4.9200000000000728</v>
      </c>
      <c r="J18" s="26">
        <f>'02 - 2020'!G23-'02 - 2020'!G22</f>
        <v>44.25</v>
      </c>
      <c r="K18" s="24">
        <v>0.74</v>
      </c>
      <c r="L18" s="26">
        <v>97</v>
      </c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3899</v>
      </c>
      <c r="F19" s="26">
        <f>'02 - 2020'!C24-'02 - 2020'!C23</f>
        <v>6204</v>
      </c>
      <c r="G19" s="24">
        <v>0.11799999999999999</v>
      </c>
      <c r="H19" s="26">
        <f>'02 - 2020'!E24-'02 - 2020'!E23</f>
        <v>25.3799999999992</v>
      </c>
      <c r="I19" s="26">
        <f>'02 - 2020'!F24-'02 - 2020'!F23</f>
        <v>4.8199999999999363</v>
      </c>
      <c r="J19" s="26">
        <f>'02 - 2020'!G24-'02 - 2020'!G23</f>
        <v>43.029999999998836</v>
      </c>
      <c r="K19" s="24">
        <v>0.74</v>
      </c>
      <c r="L19" s="6">
        <v>102</v>
      </c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3519</v>
      </c>
      <c r="F20" s="26">
        <f>'02 - 2020'!C25-'02 - 2020'!C24</f>
        <v>5646</v>
      </c>
      <c r="G20" s="24">
        <v>0.11799999999999999</v>
      </c>
      <c r="H20" s="26">
        <f>'02 - 2020'!E25-'02 - 2020'!E24</f>
        <v>24.790000000000873</v>
      </c>
      <c r="I20" s="26">
        <f>'02 - 2020'!F25-'02 - 2020'!F24</f>
        <v>5.3400000000001455</v>
      </c>
      <c r="J20" s="26">
        <f>'02 - 2020'!G25-'02 - 2020'!G24</f>
        <v>45.05000000000291</v>
      </c>
      <c r="K20" s="24">
        <v>0.74</v>
      </c>
      <c r="L20" s="6">
        <v>96</v>
      </c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3867</v>
      </c>
      <c r="F21" s="26">
        <f>'02 - 2020'!C26-'02 - 2020'!C25</f>
        <v>6376</v>
      </c>
      <c r="G21" s="24">
        <v>0.11799999999999999</v>
      </c>
      <c r="H21" s="26">
        <f>'02 - 2020'!E26-'02 - 2020'!E25</f>
        <v>26.299999999999272</v>
      </c>
      <c r="I21" s="26">
        <f>'02 - 2020'!F26-'02 - 2020'!F25</f>
        <v>5.1099999999999</v>
      </c>
      <c r="J21" s="26">
        <f>'02 - 2020'!G26-'02 - 2020'!G25</f>
        <v>45.269999999996799</v>
      </c>
      <c r="K21" s="24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3898</v>
      </c>
      <c r="F22" s="26">
        <f>'02 - 2020'!C27-'02 - 2020'!C26</f>
        <v>6400</v>
      </c>
      <c r="G22" s="24">
        <v>0.11799999999999999</v>
      </c>
      <c r="H22" s="26">
        <f>'02 - 2020'!E27-'02 - 2020'!E26</f>
        <v>26.780000000000655</v>
      </c>
      <c r="I22" s="26">
        <f>'02 - 2020'!F27-'02 - 2020'!F26</f>
        <v>5.5199999999999818</v>
      </c>
      <c r="J22" s="26">
        <f>'02 - 2020'!G27-'02 - 2020'!G26</f>
        <v>49.790000000000873</v>
      </c>
      <c r="K22" s="24">
        <v>0.74</v>
      </c>
      <c r="L22" s="26">
        <v>99</v>
      </c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3650</v>
      </c>
      <c r="F23" s="26">
        <f>'02 - 2020'!C28-'02 - 2020'!C27</f>
        <v>6121</v>
      </c>
      <c r="G23" s="24">
        <v>0.11799999999999999</v>
      </c>
      <c r="H23" s="26">
        <f>'02 - 2020'!E28-'02 - 2020'!E27</f>
        <v>25.699999999998909</v>
      </c>
      <c r="I23" s="26">
        <f>'02 - 2020'!F28-'02 - 2020'!F27</f>
        <v>5.2999999999999545</v>
      </c>
      <c r="J23" s="26">
        <f>'02 - 2020'!G28-'02 - 2020'!G27</f>
        <v>42.139999999999418</v>
      </c>
      <c r="K23" s="24">
        <v>0.74</v>
      </c>
      <c r="L23" s="26">
        <v>82</v>
      </c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3725</v>
      </c>
      <c r="F24" s="26">
        <f>'02 - 2020'!C29-'02 - 2020'!C28</f>
        <v>6209</v>
      </c>
      <c r="G24" s="24">
        <v>0.11799999999999999</v>
      </c>
      <c r="H24" s="26">
        <f>'02 - 2020'!E29-'02 - 2020'!E28</f>
        <v>24.230000000001382</v>
      </c>
      <c r="I24" s="26">
        <f>'02 - 2020'!F29-'02 - 2020'!F28</f>
        <v>4.5099999999999909</v>
      </c>
      <c r="J24" s="26">
        <f>'02 - 2020'!G29-'02 - 2020'!G28</f>
        <v>46.06000000000131</v>
      </c>
      <c r="K24" s="24">
        <v>0.74</v>
      </c>
      <c r="L24" s="26">
        <v>72</v>
      </c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3580</v>
      </c>
      <c r="F25" s="26">
        <f>'02 - 2020'!C30-'02 - 2020'!C29</f>
        <v>6046</v>
      </c>
      <c r="G25" s="24">
        <v>0.11799999999999999</v>
      </c>
      <c r="H25" s="26">
        <f>'02 - 2020'!E30-'02 - 2020'!E29</f>
        <v>24.739999999999782</v>
      </c>
      <c r="I25" s="26">
        <f>'02 - 2020'!F30-'02 - 2020'!F29</f>
        <v>5.8600000000001273</v>
      </c>
      <c r="J25" s="26">
        <f>'02 - 2020'!G30-'02 - 2020'!G29</f>
        <v>45.31000000000131</v>
      </c>
      <c r="K25" s="24">
        <v>0.74</v>
      </c>
      <c r="L25" s="6">
        <v>67</v>
      </c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3536</v>
      </c>
      <c r="F26" s="26">
        <f>'02 - 2020'!C31-'02 - 2020'!C30</f>
        <v>6192</v>
      </c>
      <c r="G26" s="24">
        <v>0.11799999999999999</v>
      </c>
      <c r="H26" s="26">
        <f>'02 - 2020'!E31-'02 - 2020'!E30</f>
        <v>23.209999999999127</v>
      </c>
      <c r="I26" s="26">
        <f>'02 - 2020'!F31-'02 - 2020'!F30</f>
        <v>5.3499999999999091</v>
      </c>
      <c r="J26" s="26">
        <f>'02 - 2020'!G31-'02 - 2020'!G30</f>
        <v>43.94999999999709</v>
      </c>
      <c r="K26" s="24">
        <v>0.74</v>
      </c>
      <c r="L26" s="6">
        <v>104</v>
      </c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3404</v>
      </c>
      <c r="F27" s="26">
        <f>'02 - 2020'!C32-'02 - 2020'!C31</f>
        <v>6021</v>
      </c>
      <c r="G27" s="24">
        <v>0.11799999999999999</v>
      </c>
      <c r="H27" s="26">
        <f>'02 - 2020'!E32-'02 - 2020'!E31</f>
        <v>23.930000000000291</v>
      </c>
      <c r="I27" s="26">
        <f>'02 - 2020'!F32-'02 - 2020'!F31</f>
        <v>5.1700000000000728</v>
      </c>
      <c r="J27" s="26">
        <f>'02 - 2020'!G32-'02 - 2020'!G31</f>
        <v>43.330000000001746</v>
      </c>
      <c r="K27" s="24">
        <v>0.74</v>
      </c>
      <c r="L27" s="6">
        <v>102</v>
      </c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4057</v>
      </c>
      <c r="F28" s="26">
        <f>'02 - 2020'!C33-'02 - 2020'!C32</f>
        <v>6521</v>
      </c>
      <c r="G28" s="24">
        <v>0.11799999999999999</v>
      </c>
      <c r="H28" s="26">
        <f>'02 - 2020'!E33-'02 - 2020'!E32</f>
        <v>26.270000000000437</v>
      </c>
      <c r="I28" s="26">
        <f>'02 - 2020'!F33-'02 - 2020'!F32</f>
        <v>5.5699999999999363</v>
      </c>
      <c r="J28" s="26">
        <f>'02 - 2020'!G33-'02 - 2020'!G32</f>
        <v>51</v>
      </c>
      <c r="K28" s="24">
        <v>0.74</v>
      </c>
      <c r="L28" s="6">
        <v>94</v>
      </c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v>0</v>
      </c>
      <c r="F29" s="26">
        <v>0</v>
      </c>
      <c r="G29" s="24">
        <v>0.11799999999999999</v>
      </c>
      <c r="H29" s="26">
        <v>0</v>
      </c>
      <c r="I29" s="26">
        <v>0</v>
      </c>
      <c r="J29" s="26"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33" sqref="B33:J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>
        <v>560001</v>
      </c>
      <c r="C23" s="21">
        <v>547505</v>
      </c>
      <c r="D23" s="16">
        <v>0.7</v>
      </c>
      <c r="E23" s="29">
        <v>9945.94</v>
      </c>
      <c r="F23" s="29">
        <v>1914.02</v>
      </c>
      <c r="G23" s="17">
        <v>17208.07</v>
      </c>
      <c r="H23" s="15">
        <v>14528</v>
      </c>
      <c r="I23" s="15">
        <v>89234</v>
      </c>
      <c r="J23" s="15">
        <v>37804124</v>
      </c>
      <c r="K23" s="18"/>
      <c r="L23" s="34"/>
    </row>
    <row r="24" spans="1:16" ht="12.75" customHeight="1" x14ac:dyDescent="0.25">
      <c r="A24" s="48">
        <v>43879</v>
      </c>
      <c r="B24" s="17">
        <v>563900</v>
      </c>
      <c r="C24" s="17">
        <v>553709</v>
      </c>
      <c r="D24" s="28">
        <v>0.62</v>
      </c>
      <c r="E24" s="29">
        <v>9971.32</v>
      </c>
      <c r="F24" s="29">
        <v>1918.84</v>
      </c>
      <c r="G24" s="17">
        <v>17251.099999999999</v>
      </c>
      <c r="H24" s="15">
        <v>14528</v>
      </c>
      <c r="I24" s="15">
        <v>89356</v>
      </c>
      <c r="J24" s="15">
        <v>37817444</v>
      </c>
      <c r="K24" s="27"/>
      <c r="L24" s="34"/>
    </row>
    <row r="25" spans="1:16" ht="12.75" customHeight="1" x14ac:dyDescent="0.25">
      <c r="A25" s="48">
        <v>43880</v>
      </c>
      <c r="B25" s="17">
        <v>567419</v>
      </c>
      <c r="C25" s="17">
        <v>559355</v>
      </c>
      <c r="D25" s="28">
        <v>0.55000000000000004</v>
      </c>
      <c r="E25" s="29">
        <v>9996.11</v>
      </c>
      <c r="F25" s="29">
        <v>1924.18</v>
      </c>
      <c r="G25" s="17">
        <v>17296.150000000001</v>
      </c>
      <c r="H25" s="15">
        <v>14528</v>
      </c>
      <c r="I25" s="15">
        <v>89481</v>
      </c>
      <c r="J25" s="15">
        <v>37830515</v>
      </c>
      <c r="K25" s="27"/>
      <c r="L25" s="34"/>
    </row>
    <row r="26" spans="1:16" ht="12.75" customHeight="1" x14ac:dyDescent="0.25">
      <c r="A26" s="48">
        <v>43881</v>
      </c>
      <c r="B26" s="15">
        <v>571286</v>
      </c>
      <c r="C26" s="15">
        <v>565731</v>
      </c>
      <c r="D26" s="16">
        <v>0.45</v>
      </c>
      <c r="E26" s="29">
        <v>10022.41</v>
      </c>
      <c r="F26" s="29">
        <v>1929.29</v>
      </c>
      <c r="G26" s="17">
        <v>17341.419999999998</v>
      </c>
      <c r="H26" s="15">
        <v>14528</v>
      </c>
      <c r="I26" s="15">
        <v>89605</v>
      </c>
      <c r="J26" s="15">
        <v>37845843</v>
      </c>
      <c r="K26" s="18"/>
      <c r="L26" s="33"/>
    </row>
    <row r="27" spans="1:16" ht="12.75" customHeight="1" x14ac:dyDescent="0.25">
      <c r="A27" s="48">
        <v>43882</v>
      </c>
      <c r="B27" s="14">
        <v>575184</v>
      </c>
      <c r="C27" s="15">
        <v>572131</v>
      </c>
      <c r="D27" s="16">
        <v>0.85</v>
      </c>
      <c r="E27" s="29">
        <v>10049.19</v>
      </c>
      <c r="F27" s="29">
        <v>1934.81</v>
      </c>
      <c r="G27" s="17">
        <v>17391.21</v>
      </c>
      <c r="H27" s="15">
        <v>14528</v>
      </c>
      <c r="I27" s="15">
        <v>89746</v>
      </c>
      <c r="J27" s="15">
        <v>37860936</v>
      </c>
      <c r="K27" s="18">
        <v>3350</v>
      </c>
      <c r="L27" s="33"/>
    </row>
    <row r="28" spans="1:16" ht="12.75" customHeight="1" x14ac:dyDescent="0.25">
      <c r="A28" s="48">
        <v>43852</v>
      </c>
      <c r="B28" s="15">
        <v>578834</v>
      </c>
      <c r="C28" s="15">
        <v>578252</v>
      </c>
      <c r="D28" s="16">
        <v>0.75</v>
      </c>
      <c r="E28" s="29">
        <v>10074.89</v>
      </c>
      <c r="F28" s="29">
        <v>1940.11</v>
      </c>
      <c r="G28" s="17">
        <v>17433.349999999999</v>
      </c>
      <c r="H28" s="15">
        <v>14528</v>
      </c>
      <c r="I28" s="15">
        <v>89880</v>
      </c>
      <c r="J28" s="15">
        <v>37876972</v>
      </c>
      <c r="K28" s="18"/>
      <c r="L28" s="33"/>
      <c r="P28" s="6"/>
    </row>
    <row r="29" spans="1:16" ht="12.75" customHeight="1" x14ac:dyDescent="0.25">
      <c r="A29" s="48">
        <v>43884</v>
      </c>
      <c r="B29" s="15">
        <v>582559</v>
      </c>
      <c r="C29" s="15">
        <v>584461</v>
      </c>
      <c r="D29" s="16">
        <v>0.65</v>
      </c>
      <c r="E29" s="29">
        <v>10099.120000000001</v>
      </c>
      <c r="F29" s="29">
        <v>1944.62</v>
      </c>
      <c r="G29" s="17">
        <v>17479.41</v>
      </c>
      <c r="H29" s="15">
        <v>14528</v>
      </c>
      <c r="I29" s="15">
        <v>90019</v>
      </c>
      <c r="J29" s="15">
        <v>37894280</v>
      </c>
      <c r="K29" s="18"/>
      <c r="L29" s="33"/>
      <c r="P29" s="6"/>
    </row>
    <row r="30" spans="1:16" ht="12.75" customHeight="1" x14ac:dyDescent="0.25">
      <c r="A30" s="48">
        <v>43885</v>
      </c>
      <c r="B30" s="15">
        <v>586139</v>
      </c>
      <c r="C30" s="15">
        <v>590507</v>
      </c>
      <c r="D30" s="16">
        <v>0.55000000000000004</v>
      </c>
      <c r="E30" s="29">
        <v>10123.86</v>
      </c>
      <c r="F30" s="29">
        <v>1950.48</v>
      </c>
      <c r="G30" s="17">
        <v>17524.72</v>
      </c>
      <c r="H30" s="15">
        <v>14528</v>
      </c>
      <c r="I30" s="15">
        <v>90127</v>
      </c>
      <c r="J30" s="15">
        <v>37912756</v>
      </c>
      <c r="K30" s="18"/>
      <c r="L30" s="35"/>
      <c r="P30" s="6"/>
    </row>
    <row r="31" spans="1:16" ht="12.75" customHeight="1" x14ac:dyDescent="0.25">
      <c r="A31" s="48">
        <v>43886</v>
      </c>
      <c r="B31" s="15">
        <v>589675</v>
      </c>
      <c r="C31" s="15">
        <v>596699</v>
      </c>
      <c r="D31" s="16">
        <v>0.47</v>
      </c>
      <c r="E31" s="29">
        <v>10147.07</v>
      </c>
      <c r="F31" s="29">
        <v>1955.83</v>
      </c>
      <c r="G31" s="17">
        <v>17568.669999999998</v>
      </c>
      <c r="H31" s="15">
        <v>14528</v>
      </c>
      <c r="I31" s="15">
        <v>90217</v>
      </c>
      <c r="J31" s="15">
        <v>37930040</v>
      </c>
      <c r="K31" s="18"/>
      <c r="L31" s="35"/>
      <c r="P31" s="6"/>
    </row>
    <row r="32" spans="1:16" ht="12.75" customHeight="1" x14ac:dyDescent="0.25">
      <c r="A32" s="48">
        <v>43887</v>
      </c>
      <c r="B32" s="15">
        <v>593079</v>
      </c>
      <c r="C32" s="15">
        <v>602720</v>
      </c>
      <c r="D32" s="16">
        <v>0.41</v>
      </c>
      <c r="E32" s="29">
        <v>10171</v>
      </c>
      <c r="F32" s="29">
        <v>1961</v>
      </c>
      <c r="G32" s="17">
        <v>17612</v>
      </c>
      <c r="H32" s="15">
        <v>14528</v>
      </c>
      <c r="I32" s="15">
        <v>90323</v>
      </c>
      <c r="J32" s="15">
        <v>37946851</v>
      </c>
      <c r="K32" s="18"/>
      <c r="L32" s="33"/>
      <c r="P32" s="6"/>
    </row>
    <row r="33" spans="1:12" ht="12.75" customHeight="1" x14ac:dyDescent="0.25">
      <c r="A33" s="48">
        <v>43888</v>
      </c>
      <c r="B33" s="17">
        <v>597136</v>
      </c>
      <c r="C33" s="20">
        <v>609241</v>
      </c>
      <c r="D33" s="28">
        <v>0.35</v>
      </c>
      <c r="E33" s="29">
        <v>10197.27</v>
      </c>
      <c r="F33" s="29">
        <v>1966.57</v>
      </c>
      <c r="G33" s="17">
        <v>17663</v>
      </c>
      <c r="H33" s="15">
        <v>14528</v>
      </c>
      <c r="I33" s="17">
        <v>90449</v>
      </c>
      <c r="J33" s="17">
        <v>37964264</v>
      </c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11500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2020-02-27T05:59:48Z</dcterms:modified>
</cp:coreProperties>
</file>