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R20" i="7" l="1"/>
  <c r="BR21" i="7"/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<sst xmlns="http://schemas.openxmlformats.org/spreadsheetml/2006/main" count="313" uniqueCount="148">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</sst>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21.977999999999998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>
        <f>Submetering!E12+Submetering!F12+Submetering!G12+Submetering!H12+Submetering!J12-Submetering!AV12</f>
        <v>7940.0000000000073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8630.0000000002692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38.599999999998545</v>
      </c>
      <c r="J13" s="11">
        <f t="shared" si="3"/>
        <v>10.487297712684205</v>
      </c>
      <c r="K13" s="13">
        <f>'FS Desroches Daily'!CN15</f>
        <v>14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>
        <f>Submetering!E14+Submetering!F14+Submetering!G14+Submetering!H14+Submetering!J14-Submetering!AV14</f>
        <v>8050.0000000001082</v>
      </c>
      <c r="F14" s="11">
        <f t="shared" si="1"/>
        <v>0.58765030286592534</v>
      </c>
      <c r="G14" s="12">
        <f>(Submetering!AX14+Submetering!AY14+Submetering!AZ14+Submetering!BA14+Submetering!BB14)</f>
        <v>10551.271499999999</v>
      </c>
      <c r="H14" s="11">
        <f t="shared" si="2"/>
        <v>0.99</v>
      </c>
      <c r="I14" s="12">
        <f>'FS Desroches Daily'!CM16</f>
        <v>69.700000000000728</v>
      </c>
      <c r="J14" s="11">
        <f t="shared" si="3"/>
        <v>10.487297712684205</v>
      </c>
      <c r="K14" s="13">
        <f>'FS Desroches Daily'!CN16</f>
        <v>14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10020.000000000036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29</v>
      </c>
      <c r="J15" s="11">
        <f t="shared" si="3"/>
        <v>10.487297712684205</v>
      </c>
      <c r="K15" s="13">
        <f>'FS Desroches Daily'!CN17</f>
        <v>14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9189.9999999995707</v>
      </c>
      <c r="F16" s="11">
        <f t="shared" si="1"/>
        <v>0.58765030286592534</v>
      </c>
      <c r="G16" s="12">
        <f>(Submetering!AX16+Submetering!AY16+Submetering!AZ16+Submetering!BA16+Submetering!BB16)</f>
        <v>20.1465</v>
      </c>
      <c r="H16" s="11">
        <f t="shared" si="2"/>
        <v>0.99</v>
      </c>
      <c r="I16" s="12">
        <f>'FS Desroches Daily'!CM18</f>
        <v>41.100000000000364</v>
      </c>
      <c r="J16" s="11">
        <f t="shared" si="3"/>
        <v>10.487297712684205</v>
      </c>
      <c r="K16" s="13">
        <f>'FS Desroches Daily'!CN18</f>
        <v>17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9100.0000000002074</v>
      </c>
      <c r="F17" s="11">
        <f t="shared" si="1"/>
        <v>0.58765030286592534</v>
      </c>
      <c r="G17" s="12">
        <f>(Submetering!AX17+Submetering!AY17+Submetering!AZ17+Submetering!BA17+Submetering!BB17)</f>
        <v>23.8095</v>
      </c>
      <c r="H17" s="11">
        <f t="shared" si="2"/>
        <v>0.99</v>
      </c>
      <c r="I17" s="12">
        <f>'FS Desroches Daily'!CM19</f>
        <v>50.5</v>
      </c>
      <c r="J17" s="11">
        <f t="shared" si="3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9500.0000000001965</v>
      </c>
      <c r="F18" s="11">
        <f t="shared" si="1"/>
        <v>0.58765030286592534</v>
      </c>
      <c r="G18" s="12">
        <f>(Submetering!AX18+Submetering!AY18+Submetering!AZ18+Submetering!BA18+Submetering!BB18)</f>
        <v>18.314999999999998</v>
      </c>
      <c r="H18" s="11">
        <f t="shared" si="2"/>
        <v>0.99</v>
      </c>
      <c r="I18" s="12">
        <f>'FS Desroches Daily'!CM20</f>
        <v>55.799999999999272</v>
      </c>
      <c r="J18" s="11">
        <f t="shared" si="3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9899.9999999997417</v>
      </c>
      <c r="F19" s="11">
        <f t="shared" si="1"/>
        <v>0.58765030286592534</v>
      </c>
      <c r="G19" s="12">
        <f>(Submetering!AX19+Submetering!AY19+Submetering!AZ19+Submetering!BA19+Submetering!BB19)</f>
        <v>18.314999999999998</v>
      </c>
      <c r="H19" s="11">
        <f t="shared" si="2"/>
        <v>0.99</v>
      </c>
      <c r="I19" s="12">
        <f>'FS Desroches Daily'!CM21</f>
        <v>46.5</v>
      </c>
      <c r="J19" s="11">
        <f t="shared" si="3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9889.9999999999727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53.5</v>
      </c>
      <c r="J20" s="11">
        <f t="shared" si="3"/>
        <v>10.487297712684205</v>
      </c>
      <c r="K20" s="13">
        <f>'FS Desroches Daily'!CN22</f>
        <v>18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10129.999999999995</v>
      </c>
      <c r="F21" s="11">
        <f t="shared" si="1"/>
        <v>0.58765030286592534</v>
      </c>
      <c r="G21" s="12">
        <f>(Submetering!AX21+Submetering!AY21+Submetering!AZ21+Submetering!BA21+Submetering!BB21)</f>
        <v>21.977999999999998</v>
      </c>
      <c r="H21" s="11">
        <f t="shared" si="2"/>
        <v>0.99</v>
      </c>
      <c r="I21" s="12">
        <f>'FS Desroches Daily'!CM23</f>
        <v>62.800000000001091</v>
      </c>
      <c r="J21" s="11">
        <f t="shared" si="3"/>
        <v>10.487297712684205</v>
      </c>
      <c r="K21" s="13">
        <f>'FS Desroches Daily'!CN23</f>
        <v>17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10360.000000000357</v>
      </c>
      <c r="F22" s="11">
        <f t="shared" si="1"/>
        <v>0.58765030286592534</v>
      </c>
      <c r="G22" s="12">
        <f>(Submetering!AX22+Submetering!AY22+Submetering!AZ22+Submetering!BA22+Submetering!BB22)</f>
        <v>23.809499999999993</v>
      </c>
      <c r="H22" s="11">
        <f t="shared" si="2"/>
        <v>0.99</v>
      </c>
      <c r="I22" s="12">
        <f>'FS Desroches Daily'!CM24</f>
        <v>54.699999999998909</v>
      </c>
      <c r="J22" s="11">
        <f t="shared" si="3"/>
        <v>10.487297712684205</v>
      </c>
      <c r="K22" s="13">
        <f>'FS Desroches Daily'!CN24</f>
        <v>17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9439.9999999992488</v>
      </c>
      <c r="F23" s="11">
        <f t="shared" si="1"/>
        <v>0.58765030286592534</v>
      </c>
      <c r="G23" s="12">
        <f>(Submetering!AX23+Submetering!AY23+Submetering!AZ23+Submetering!BA23+Submetering!BB23)</f>
        <v>14.651999999999999</v>
      </c>
      <c r="H23" s="11">
        <f t="shared" si="2"/>
        <v>0.99</v>
      </c>
      <c r="I23" s="12">
        <f>'FS Desroches Daily'!CM25</f>
        <v>57</v>
      </c>
      <c r="J23" s="11">
        <f t="shared" si="3"/>
        <v>10.487297712684205</v>
      </c>
      <c r="K23" s="13">
        <f>'FS Desroches Daily'!CN25</f>
        <v>12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11130.000000000517</v>
      </c>
      <c r="F24" s="11">
        <f t="shared" si="1"/>
        <v>0.58765030286592534</v>
      </c>
      <c r="G24" s="12">
        <f>(Submetering!AX24+Submetering!AY24+Submetering!AZ24+Submetering!BA24+Submetering!BB24)</f>
        <v>27.472499999999997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9760.0000000002001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58.399999999999636</v>
      </c>
      <c r="J25" s="11">
        <f t="shared" si="3"/>
        <v>10.487297712684205</v>
      </c>
      <c r="K25" s="13">
        <f>'FS Desroches Daily'!CN27</f>
        <v>10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>
        <f>Submetering!E26+Submetering!F26+Submetering!G26+Submetering!H26+Submetering!J26-Submetering!AV26</f>
        <v>9759.9999999995343</v>
      </c>
      <c r="F26" s="11">
        <f t="shared" si="1"/>
        <v>0.58765030286592534</v>
      </c>
      <c r="G26" s="12">
        <f>(Submetering!AX26+Submetering!AY26+Submetering!AZ26+Submetering!BA26+Submetering!BB26)</f>
        <v>36.629999999999995</v>
      </c>
      <c r="H26" s="11">
        <f t="shared" si="2"/>
        <v>0.99</v>
      </c>
      <c r="I26" s="12">
        <f>'FS Desroches Daily'!CM28</f>
        <v>135.5</v>
      </c>
      <c r="J26" s="11">
        <f t="shared" si="3"/>
        <v>10.487297712684205</v>
      </c>
      <c r="K26" s="13">
        <f>'FS Desroches Daily'!CN28</f>
        <v>8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9589.9999999999709</v>
      </c>
      <c r="F27" s="11">
        <f t="shared" si="1"/>
        <v>0.58765030286592534</v>
      </c>
      <c r="G27" s="12">
        <f>(Submetering!AX27+Submetering!AY27+Submetering!AZ27+Submetering!BA27+Submetering!BB27)</f>
        <v>3.6629999999999998</v>
      </c>
      <c r="H27" s="11">
        <f t="shared" si="2"/>
        <v>0.99</v>
      </c>
      <c r="I27" s="12">
        <f>'FS Desroches Daily'!CM29</f>
        <v>69.900000000001455</v>
      </c>
      <c r="J27" s="11">
        <f t="shared" si="3"/>
        <v>10.487297712684205</v>
      </c>
      <c r="K27" s="13">
        <f>'FS Desroches Daily'!CN29</f>
        <v>10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10430.000000000338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106.5</v>
      </c>
      <c r="J28" s="11">
        <f t="shared" si="3"/>
        <v>10.487297712684205</v>
      </c>
      <c r="K28" s="13">
        <f>'FS Desroches Daily'!CN30</f>
        <v>30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>
        <f>'FS Desroches Daily'!L13</f>
        <v>1700.0000000000348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>
        <f>'FS Desroches Daily'!D14</f>
        <v>1599.9999999998238</v>
      </c>
      <c r="F12" s="32">
        <f>'FS Desroches Daily'!F14</f>
        <v>2499.9999999999468</v>
      </c>
      <c r="G12" s="31">
        <f>'FS Desroches Daily'!H14</f>
        <v>2299.9999999999686</v>
      </c>
      <c r="H12" s="32">
        <f>'FS Desroches Daily'!J14</f>
        <v>1200.0000000000898</v>
      </c>
      <c r="I12" s="31">
        <f>'FS Desroches Daily'!L14</f>
        <v>1700.0000000000348</v>
      </c>
      <c r="J12" s="32">
        <f>'FS Desroches Daily'!N14</f>
        <v>900.0000000001229</v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>
        <f>'FS Desroches Daily'!BF14</f>
        <v>22</v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>
        <f>'FS Desroches Daily'!CL14</f>
        <v>559.99999999994543</v>
      </c>
      <c r="AW12" s="31">
        <f>'FS Desroches Daily'!CM14</f>
        <v>31.5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2000.0000000002237</v>
      </c>
      <c r="F13" s="32">
        <f>'FS Desroches Daily'!F15</f>
        <v>2700.0000000003688</v>
      </c>
      <c r="G13" s="31">
        <f>'FS Desroches Daily'!H15</f>
        <v>2299.9999999999686</v>
      </c>
      <c r="H13" s="32">
        <f>'FS Desroches Daily'!J15</f>
        <v>1299.9999999998568</v>
      </c>
      <c r="I13" s="31">
        <f>'FS Desroches Daily'!L15</f>
        <v>1799.9999999998017</v>
      </c>
      <c r="J13" s="32">
        <f>'FS Desroches Daily'!N15</f>
        <v>899.99999999990087</v>
      </c>
      <c r="K13" s="13">
        <f>'FS Desroches Daily'!P15</f>
        <v>11</v>
      </c>
      <c r="L13" s="31">
        <f>'FS Desroches Daily'!R15</f>
        <v>4</v>
      </c>
      <c r="M13" s="31">
        <f>'FS Desroches Daily'!T15</f>
        <v>0.79999999999995453</v>
      </c>
      <c r="N13" s="31">
        <f>'FS Desroches Daily'!V15</f>
        <v>347.79999999998836</v>
      </c>
      <c r="O13" s="31">
        <f>'FS Desroches Daily'!X15</f>
        <v>290.00000000002046</v>
      </c>
      <c r="P13" s="31">
        <f>'FS Desroches Daily'!Z15</f>
        <v>2400.0000000001796</v>
      </c>
      <c r="Q13" s="31">
        <f>'FS Desroches Daily'!AB15</f>
        <v>389.99999999998636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590.00000000003183</v>
      </c>
      <c r="V13" s="35">
        <f>'FS Desroches Daily'!AL15</f>
        <v>200.00000000001705</v>
      </c>
      <c r="W13" s="35">
        <f>'FS Desroches Daily'!AN15</f>
        <v>129.99999999999545</v>
      </c>
      <c r="X13" s="35">
        <f>'FS Desroches Daily'!AP15</f>
        <v>159.99999999999659</v>
      </c>
      <c r="Y13" s="35">
        <f>'FS Desroches Daily'!AR15</f>
        <v>89.999999999974989</v>
      </c>
      <c r="Z13" s="35">
        <f>'FS Desroches Daily'!AT15</f>
        <v>139.99999999998636</v>
      </c>
      <c r="AA13" s="35">
        <f>'FS Desroches Daily'!AT15</f>
        <v>139.99999999998636</v>
      </c>
      <c r="AB13" s="35">
        <f>'FS Desroches Daily'!AV15</f>
        <v>99.999999999965894</v>
      </c>
      <c r="AC13" s="35">
        <f>'FS Desroches Daily'!AZ15</f>
        <v>129.99999999999545</v>
      </c>
      <c r="AD13" s="35">
        <f>'FS Desroches Daily'!BB15</f>
        <v>100.00000000002274</v>
      </c>
      <c r="AE13" s="35">
        <f>'FS Desroches Daily'!BD15</f>
        <v>20.000000000010232</v>
      </c>
      <c r="AF13" s="31">
        <f>'FS Desroches Daily'!BF15</f>
        <v>39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27</v>
      </c>
      <c r="AM13" s="32">
        <f>'FS Desroches Daily'!BT15</f>
        <v>30.000000000001137</v>
      </c>
      <c r="AN13" s="32">
        <f>'FS Desroches Daily'!BV15</f>
        <v>27</v>
      </c>
      <c r="AO13" s="32">
        <f>'FS Desroches Daily'!BX15</f>
        <v>20.000000000010232</v>
      </c>
      <c r="AP13" s="32">
        <f>'FS Desroches Daily'!BZ15</f>
        <v>22</v>
      </c>
      <c r="AQ13" s="31">
        <f>'FS Desroches Daily'!CB15</f>
        <v>22.099999999998545</v>
      </c>
      <c r="AR13" s="31">
        <f>'FS Desroches Daily'!CD15</f>
        <v>9.0999999999985448</v>
      </c>
      <c r="AS13" s="31">
        <f>'FS Desroches Daily'!CF15</f>
        <v>7.1999999999998181</v>
      </c>
      <c r="AT13" s="31">
        <f>'FS Desroches Daily'!CH15</f>
        <v>1.2999999999956344</v>
      </c>
      <c r="AU13" s="31">
        <f>'FS Desroches Daily'!CJ15</f>
        <v>264</v>
      </c>
      <c r="AV13" s="31">
        <f>'FS Desroches Daily'!CL15</f>
        <v>570.00000000005002</v>
      </c>
      <c r="AW13" s="31">
        <f>'FS Desroches Daily'!CM15</f>
        <v>38.599999999998545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14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>
        <f>'FS Desroches Daily'!D16</f>
        <v>1900.0000000000127</v>
      </c>
      <c r="F14" s="32">
        <f>'FS Desroches Daily'!F16</f>
        <v>2699.9999999999245</v>
      </c>
      <c r="G14" s="31">
        <f>'FS Desroches Daily'!H16</f>
        <v>2200.0000000002019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899.99999999990087</v>
      </c>
      <c r="K14" s="13">
        <f>'FS Desroches Daily'!P16</f>
        <v>6</v>
      </c>
      <c r="L14" s="31">
        <f>'FS Desroches Daily'!R16</f>
        <v>3</v>
      </c>
      <c r="M14" s="31">
        <f>'FS Desroches Daily'!T16</f>
        <v>0.79999999999995453</v>
      </c>
      <c r="N14" s="31">
        <f>'FS Desroches Daily'!V16</f>
        <v>301.10000000003492</v>
      </c>
      <c r="O14" s="31">
        <f>'FS Desroches Daily'!X16</f>
        <v>269.99999999998181</v>
      </c>
      <c r="P14" s="31">
        <f>'FS Desroches Daily'!Z16</f>
        <v>2499.9999999999468</v>
      </c>
      <c r="Q14" s="31">
        <f>'FS Desroches Daily'!AB16</f>
        <v>379.99999999999545</v>
      </c>
      <c r="R14" s="31">
        <f>'FS Desroches Daily'!AD16</f>
        <v>230.00000000001819</v>
      </c>
      <c r="S14" s="31">
        <f>'FS Desroches Daily'!AF16</f>
        <v>220.00000000002728</v>
      </c>
      <c r="T14" s="31">
        <f>'FS Desroches Daily'!AH16</f>
        <v>35</v>
      </c>
      <c r="U14" s="35">
        <f>'FS Desroches Daily'!AJ16</f>
        <v>429.99999999994998</v>
      </c>
      <c r="V14" s="35">
        <f>'FS Desroches Daily'!AL16</f>
        <v>189.99999999999773</v>
      </c>
      <c r="W14" s="35">
        <f>'FS Desroches Daily'!AN16</f>
        <v>139.99999999998636</v>
      </c>
      <c r="X14" s="35">
        <f>'FS Desroches Daily'!AP16</f>
        <v>150.00000000000568</v>
      </c>
      <c r="Y14" s="35">
        <f>'FS Desroches Daily'!AR16</f>
        <v>69.999999999993179</v>
      </c>
      <c r="Z14" s="35">
        <f>'FS Desroches Daily'!AT16</f>
        <v>180.00000000000682</v>
      </c>
      <c r="AA14" s="35">
        <f>'FS Desroches Daily'!AT16</f>
        <v>180.00000000000682</v>
      </c>
      <c r="AB14" s="35">
        <f>'FS Desroches Daily'!AV16</f>
        <v>79.999999999984084</v>
      </c>
      <c r="AC14" s="35">
        <f>'FS Desroches Daily'!AZ16</f>
        <v>109.9999999999568</v>
      </c>
      <c r="AD14" s="35">
        <f>'FS Desroches Daily'!BB16</f>
        <v>100.00000000002274</v>
      </c>
      <c r="AE14" s="35">
        <f>'FS Desroches Daily'!BD16</f>
        <v>30.000000000001137</v>
      </c>
      <c r="AF14" s="31">
        <f>'FS Desroches Daily'!BF16</f>
        <v>38</v>
      </c>
      <c r="AG14" s="32">
        <f>'FS Desroches Daily'!BH16</f>
        <v>30.000000000001137</v>
      </c>
      <c r="AH14" s="32">
        <f>'FS Desroches Daily'!BJ16</f>
        <v>20.000000000038654</v>
      </c>
      <c r="AI14" s="32">
        <f>'FS Desroches Daily'!BL16</f>
        <v>29.999999999972715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30</v>
      </c>
      <c r="AM14" s="32">
        <f>'FS Desroches Daily'!BT16</f>
        <v>30.000000000001137</v>
      </c>
      <c r="AN14" s="32">
        <f>'FS Desroches Daily'!BV16</f>
        <v>35</v>
      </c>
      <c r="AO14" s="32">
        <f>'FS Desroches Daily'!BX16</f>
        <v>19.99999999998181</v>
      </c>
      <c r="AP14" s="32">
        <f>'FS Desroches Daily'!BZ16</f>
        <v>23</v>
      </c>
      <c r="AQ14" s="31">
        <f>'FS Desroches Daily'!CB16</f>
        <v>25.200000000004366</v>
      </c>
      <c r="AR14" s="31">
        <f>'FS Desroches Daily'!CD16</f>
        <v>12.700000000000728</v>
      </c>
      <c r="AS14" s="31">
        <f>'FS Desroches Daily'!CF16</f>
        <v>0</v>
      </c>
      <c r="AT14" s="31">
        <f>'FS Desroches Daily'!CH16</f>
        <v>124.09999999999854</v>
      </c>
      <c r="AU14" s="31">
        <f>'FS Desroches Daily'!CJ16</f>
        <v>281</v>
      </c>
      <c r="AV14" s="31">
        <f>'FS Desroches Daily'!CL16</f>
        <v>850.00000000002274</v>
      </c>
      <c r="AW14" s="31">
        <f>'FS Desroches Daily'!CM16</f>
        <v>69.700000000000728</v>
      </c>
      <c r="AX14" s="31">
        <f>IF(LPG!F21-LPG!G21&lt;0,"0",(LPG!F21-LPG!G21)*1.8315)</f>
        <v>10538.450999999999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14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2199.9999999997576</v>
      </c>
      <c r="F15" s="32">
        <f>'FS Desroches Daily'!F17</f>
        <v>3000.0000000001137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900.0000000001229</v>
      </c>
      <c r="K15" s="13">
        <f>'FS Desroches Daily'!P17</f>
        <v>17</v>
      </c>
      <c r="L15" s="31">
        <f>'FS Desroches Daily'!R17</f>
        <v>3</v>
      </c>
      <c r="M15" s="31">
        <f>'FS Desroches Daily'!T17</f>
        <v>1.1000000000001364</v>
      </c>
      <c r="N15" s="31">
        <f>'FS Desroches Daily'!V17</f>
        <v>442.19999999995343</v>
      </c>
      <c r="O15" s="31">
        <f>'FS Desroches Daily'!X17</f>
        <v>269.99999999998181</v>
      </c>
      <c r="P15" s="31">
        <f>'FS Desroches Daily'!Z17</f>
        <v>2699.9999999999245</v>
      </c>
      <c r="Q15" s="31">
        <f>'FS Desroches Daily'!AB17</f>
        <v>250</v>
      </c>
      <c r="R15" s="31">
        <f>'FS Desroches Daily'!AD17</f>
        <v>280.00000000002956</v>
      </c>
      <c r="S15" s="31">
        <f>'FS Desroches Daily'!AF17</f>
        <v>200.00000000004547</v>
      </c>
      <c r="T15" s="31">
        <f>'FS Desroches Daily'!AH17</f>
        <v>36</v>
      </c>
      <c r="U15" s="35">
        <f>'FS Desroches Daily'!AJ17</f>
        <v>419.99999999995907</v>
      </c>
      <c r="V15" s="35">
        <f>'FS Desroches Daily'!AL17</f>
        <v>250</v>
      </c>
      <c r="W15" s="35">
        <f>'FS Desroches Daily'!AN17</f>
        <v>159.99999999999659</v>
      </c>
      <c r="X15" s="35">
        <f>'FS Desroches Daily'!AP17</f>
        <v>169.99999999998749</v>
      </c>
      <c r="Y15" s="35">
        <f>'FS Desroches Daily'!AR17</f>
        <v>100.00000000002274</v>
      </c>
      <c r="Z15" s="35">
        <f>'FS Desroches Daily'!AT17</f>
        <v>319.99999999999318</v>
      </c>
      <c r="AA15" s="35">
        <f>'FS Desroches Daily'!AT17</f>
        <v>319.99999999999318</v>
      </c>
      <c r="AB15" s="35">
        <f>'FS Desroches Daily'!AV17</f>
        <v>100.00000000002274</v>
      </c>
      <c r="AC15" s="35">
        <f>'FS Desroches Daily'!AZ17</f>
        <v>140.0000000000432</v>
      </c>
      <c r="AD15" s="35">
        <f>'FS Desroches Daily'!BB17</f>
        <v>99.999999999965894</v>
      </c>
      <c r="AE15" s="35">
        <f>'FS Desroches Daily'!BD17</f>
        <v>30.000000000001137</v>
      </c>
      <c r="AF15" s="31">
        <f>'FS Desroches Daily'!BF17</f>
        <v>30</v>
      </c>
      <c r="AG15" s="32">
        <f>'FS Desroches Daily'!BH17</f>
        <v>30.000000000001137</v>
      </c>
      <c r="AH15" s="32">
        <f>'FS Desroches Daily'!BJ17</f>
        <v>19.99999999998181</v>
      </c>
      <c r="AI15" s="32">
        <f>'FS Desroches Daily'!BL17</f>
        <v>40.000000000020464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27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26</v>
      </c>
      <c r="AQ15" s="31">
        <f>'FS Desroches Daily'!CB17</f>
        <v>15.5</v>
      </c>
      <c r="AR15" s="31">
        <f>'FS Desroches Daily'!CD17</f>
        <v>9</v>
      </c>
      <c r="AS15" s="31">
        <f>'FS Desroches Daily'!CF17</f>
        <v>2</v>
      </c>
      <c r="AT15" s="31">
        <f>'FS Desroches Daily'!CH17</f>
        <v>52.400000000001455</v>
      </c>
      <c r="AU15" s="31">
        <f>'FS Desroches Daily'!CJ17</f>
        <v>335</v>
      </c>
      <c r="AV15" s="31">
        <f>'FS Desroches Daily'!CL17</f>
        <v>179.99999999994998</v>
      </c>
      <c r="AW15" s="31">
        <f>'FS Desroches Daily'!CM17</f>
        <v>29</v>
      </c>
      <c r="AX15" s="31">
        <f>IF(LPG!F22-LPG!F21&lt;0,"0",(LPG!F22-LPG!F21)*1.8315)</f>
        <v>14.651999999999999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5.4944999999999995</v>
      </c>
      <c r="BC15" s="13">
        <f>'FS Desroches Daily'!CN17</f>
        <v>14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2099.9999999999909</v>
      </c>
      <c r="F16" s="32">
        <f>'FS Desroches Daily'!F18</f>
        <v>2899.9999999999027</v>
      </c>
      <c r="G16" s="31">
        <f>'FS Desroches Daily'!H18</f>
        <v>2499.9999999999468</v>
      </c>
      <c r="H16" s="32">
        <f>'FS Desroches Daily'!J18</f>
        <v>1399.9999999998458</v>
      </c>
      <c r="I16" s="31">
        <f>'FS Desroches Daily'!L18</f>
        <v>1900.0000000000127</v>
      </c>
      <c r="J16" s="32">
        <f>'FS Desroches Daily'!N18</f>
        <v>899.99999999990087</v>
      </c>
      <c r="K16" s="13">
        <f>'FS Desroches Daily'!P18</f>
        <v>6</v>
      </c>
      <c r="L16" s="31">
        <f>'FS Desroches Daily'!R18</f>
        <v>4</v>
      </c>
      <c r="M16" s="31">
        <f>'FS Desroches Daily'!T18</f>
        <v>0.79999999999995453</v>
      </c>
      <c r="N16" s="31">
        <f>'FS Desroches Daily'!V18</f>
        <v>335.10000000003492</v>
      </c>
      <c r="O16" s="31">
        <f>'FS Desroches Daily'!X18</f>
        <v>280.00000000002956</v>
      </c>
      <c r="P16" s="31">
        <f>'FS Desroches Daily'!Z18</f>
        <v>2600.0000000001578</v>
      </c>
      <c r="Q16" s="31">
        <f>'FS Desroches Daily'!AB18</f>
        <v>350.00000000002274</v>
      </c>
      <c r="R16" s="31">
        <f>'FS Desroches Daily'!AD18</f>
        <v>269.99999999998181</v>
      </c>
      <c r="S16" s="31">
        <f>'FS Desroches Daily'!AF18</f>
        <v>179.99999999994998</v>
      </c>
      <c r="T16" s="31">
        <f>'FS Desroches Daily'!AH18</f>
        <v>38</v>
      </c>
      <c r="U16" s="35">
        <f>'FS Desroches Daily'!AJ18</f>
        <v>420.00000000007276</v>
      </c>
      <c r="V16" s="35">
        <f>'FS Desroches Daily'!AL18</f>
        <v>219.99999999999886</v>
      </c>
      <c r="W16" s="35">
        <f>'FS Desroches Daily'!AN18</f>
        <v>150.00000000000568</v>
      </c>
      <c r="X16" s="35">
        <f>'FS Desroches Daily'!AP18</f>
        <v>170.00000000001592</v>
      </c>
      <c r="Y16" s="35">
        <f>'FS Desroches Daily'!AR18</f>
        <v>120.00000000000455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100.00000000002274</v>
      </c>
      <c r="AC16" s="35">
        <f>'FS Desroches Daily'!AZ18</f>
        <v>120.00000000000455</v>
      </c>
      <c r="AD16" s="35">
        <f>'FS Desroches Daily'!BB18</f>
        <v>110.00000000001364</v>
      </c>
      <c r="AE16" s="35">
        <f>'FS Desroches Daily'!BD18</f>
        <v>29.999999999972715</v>
      </c>
      <c r="AF16" s="31">
        <f>'FS Desroches Daily'!BF18</f>
        <v>36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39.999999999992042</v>
      </c>
      <c r="AJ16" s="32">
        <f>'FS Desroches Daily'!BN18</f>
        <v>40.000000000020464</v>
      </c>
      <c r="AK16" s="32">
        <f>'FS Desroches Daily'!BP18</f>
        <v>50.000000000011369</v>
      </c>
      <c r="AL16" s="32">
        <f>'FS Desroches Daily'!BR18</f>
        <v>24</v>
      </c>
      <c r="AM16" s="32">
        <f>'FS Desroches Daily'!BT18</f>
        <v>19.99999999998181</v>
      </c>
      <c r="AN16" s="32">
        <f>'FS Desroches Daily'!BV18</f>
        <v>31</v>
      </c>
      <c r="AO16" s="32">
        <f>'FS Desroches Daily'!BX18</f>
        <v>30.000000000001137</v>
      </c>
      <c r="AP16" s="32">
        <f>'FS Desroches Daily'!BZ18</f>
        <v>22</v>
      </c>
      <c r="AQ16" s="31">
        <f>'FS Desroches Daily'!CB18</f>
        <v>29.799999999995634</v>
      </c>
      <c r="AR16" s="31">
        <f>'FS Desroches Daily'!CD18</f>
        <v>10.200000000000728</v>
      </c>
      <c r="AS16" s="31">
        <f>'FS Desroches Daily'!CF18</f>
        <v>0</v>
      </c>
      <c r="AT16" s="31">
        <f>'FS Desroches Daily'!CH18</f>
        <v>59</v>
      </c>
      <c r="AU16" s="31">
        <f>'FS Desroches Daily'!CJ18</f>
        <v>321</v>
      </c>
      <c r="AV16" s="31">
        <f>'FS Desroches Daily'!CL18</f>
        <v>610.00000000001364</v>
      </c>
      <c r="AW16" s="31">
        <f>'FS Desroches Daily'!CM18</f>
        <v>41.100000000000364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3.6629999999999998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17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2099.9999999999909</v>
      </c>
      <c r="F17" s="32">
        <f>'FS Desroches Daily'!F19</f>
        <v>2899.9999999999027</v>
      </c>
      <c r="G17" s="31">
        <f>'FS Desroches Daily'!H19</f>
        <v>2600.0000000001578</v>
      </c>
      <c r="H17" s="32">
        <f>'FS Desroches Daily'!J19</f>
        <v>1400.0000000000678</v>
      </c>
      <c r="I17" s="31">
        <f>'FS Desroches Daily'!L19</f>
        <v>1900.0000000000127</v>
      </c>
      <c r="J17" s="32">
        <f>'FS Desroches Daily'!N19</f>
        <v>800.00000000013392</v>
      </c>
      <c r="K17" s="13">
        <f>'FS Desroches Daily'!P19</f>
        <v>9</v>
      </c>
      <c r="L17" s="31">
        <f>'FS Desroches Daily'!R19</f>
        <v>4</v>
      </c>
      <c r="M17" s="31">
        <f>'FS Desroches Daily'!T19</f>
        <v>0.89999999999986358</v>
      </c>
      <c r="N17" s="31">
        <f>'FS Desroches Daily'!V19</f>
        <v>335.89999999996508</v>
      </c>
      <c r="O17" s="31">
        <f>'FS Desroches Daily'!X19</f>
        <v>349.99999999996589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329.99999999998408</v>
      </c>
      <c r="S17" s="31">
        <f>'FS Desroches Daily'!AF19</f>
        <v>200.00000000004547</v>
      </c>
      <c r="T17" s="31">
        <f>'FS Desroches Daily'!AH19</f>
        <v>41</v>
      </c>
      <c r="U17" s="35">
        <f>'FS Desroches Daily'!AJ19</f>
        <v>379.99999999999545</v>
      </c>
      <c r="V17" s="35">
        <f>'FS Desroches Daily'!AL19</f>
        <v>229.99999999998977</v>
      </c>
      <c r="W17" s="35">
        <f>'FS Desroches Daily'!AN19</f>
        <v>250</v>
      </c>
      <c r="X17" s="35">
        <f>'FS Desroches Daily'!AP19</f>
        <v>179.9999999999784</v>
      </c>
      <c r="Y17" s="35">
        <f>'FS Desroches Daily'!AR19</f>
        <v>139.99999999998636</v>
      </c>
      <c r="Z17" s="35">
        <f>'FS Desroches Daily'!AU20</f>
        <v>294.85000000000002</v>
      </c>
      <c r="AA17" s="35">
        <f>'FS Desroches Daily'!AU20</f>
        <v>294.85000000000002</v>
      </c>
      <c r="AB17" s="35">
        <f>'FS Desroches Daily'!AV19</f>
        <v>129.99999999999545</v>
      </c>
      <c r="AC17" s="35">
        <f>'FS Desroches Daily'!AZ19</f>
        <v>119.9999999999477</v>
      </c>
      <c r="AD17" s="35">
        <f>'FS Desroches Daily'!BB19</f>
        <v>129.99999999999545</v>
      </c>
      <c r="AE17" s="35">
        <f>'FS Desroches Daily'!BD19</f>
        <v>40.000000000020464</v>
      </c>
      <c r="AF17" s="31">
        <f>'FS Desroches Daily'!BF19</f>
        <v>43</v>
      </c>
      <c r="AG17" s="32">
        <f>'FS Desroches Daily'!BH19</f>
        <v>30.000000000001137</v>
      </c>
      <c r="AH17" s="32">
        <f>'FS Desroches Daily'!BJ19</f>
        <v>19.99999999998181</v>
      </c>
      <c r="AI17" s="32">
        <f>'FS Desroches Daily'!BL19</f>
        <v>39.999999999992042</v>
      </c>
      <c r="AJ17" s="32">
        <f>'FS Desroches Daily'!BN19</f>
        <v>39.999999999992042</v>
      </c>
      <c r="AK17" s="32">
        <f>'FS Desroches Daily'!BP19</f>
        <v>50.000000000011369</v>
      </c>
      <c r="AL17" s="32">
        <f>'FS Desroches Daily'!BR19</f>
        <v>26</v>
      </c>
      <c r="AM17" s="32">
        <f>'FS Desroches Daily'!BT19</f>
        <v>40.000000000020464</v>
      </c>
      <c r="AN17" s="32">
        <f>'FS Desroches Daily'!BV19</f>
        <v>37</v>
      </c>
      <c r="AO17" s="32">
        <f>'FS Desroches Daily'!BX19</f>
        <v>10.000000000019327</v>
      </c>
      <c r="AP17" s="32">
        <f>'FS Desroches Daily'!BZ19</f>
        <v>19</v>
      </c>
      <c r="AQ17" s="31">
        <f>'FS Desroches Daily'!CB19</f>
        <v>18.700000000004366</v>
      </c>
      <c r="AR17" s="31">
        <f>'FS Desroches Daily'!CD19</f>
        <v>11.599999999998545</v>
      </c>
      <c r="AS17" s="31">
        <f>'FS Desroches Daily'!CF19</f>
        <v>7.7000000000007276</v>
      </c>
      <c r="AT17" s="31">
        <f>'FS Desroches Daily'!CH19</f>
        <v>53.900000000001455</v>
      </c>
      <c r="AU17" s="31">
        <f>'FS Desroches Daily'!CJ19</f>
        <v>303</v>
      </c>
      <c r="AV17" s="31">
        <f>'FS Desroches Daily'!CL19</f>
        <v>700.00000000004547</v>
      </c>
      <c r="AW17" s="31">
        <f>'FS Desroches Daily'!CM19</f>
        <v>50.5</v>
      </c>
      <c r="AX17" s="31">
        <f>IF(LPG!F24-LPG!F23&lt;0,"0",(LPG!F24-LPG!F23)*1.8315)</f>
        <v>9.1574999999999989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1.8314999999999999</v>
      </c>
      <c r="BB17" s="31">
        <f>IF(LPG!Q24-LPG!Q23&lt;0,"0",(LPG!Q24-LPG!Q23)*1.8315)</f>
        <v>7.3259999999999996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2400.0000000001796</v>
      </c>
      <c r="F18" s="32">
        <f>'FS Desroches Daily'!F20</f>
        <v>2800.0000000001355</v>
      </c>
      <c r="G18" s="31">
        <f>'FS Desroches Daily'!H20</f>
        <v>2499.9999999999468</v>
      </c>
      <c r="H18" s="32">
        <f>'FS Desroches Daily'!J20</f>
        <v>1400.0000000000678</v>
      </c>
      <c r="I18" s="31">
        <f>'FS Desroches Daily'!L20</f>
        <v>1900.0000000000127</v>
      </c>
      <c r="J18" s="32">
        <f>'FS Desroches Daily'!N20</f>
        <v>999.99999999988984</v>
      </c>
      <c r="K18" s="13">
        <f>'FS Desroches Daily'!P20</f>
        <v>1</v>
      </c>
      <c r="L18" s="31">
        <f>'FS Desroches Daily'!R20</f>
        <v>5</v>
      </c>
      <c r="M18" s="31">
        <f>'FS Desroches Daily'!T20</f>
        <v>0.90000000000009095</v>
      </c>
      <c r="N18" s="31">
        <f>'FS Desroches Daily'!V20</f>
        <v>363.30000000004657</v>
      </c>
      <c r="O18" s="31">
        <f>'FS Desroches Daily'!X20</f>
        <v>280.00000000002956</v>
      </c>
      <c r="P18" s="31">
        <f>'FS Desroches Daily'!Z20</f>
        <v>2599.9999999997135</v>
      </c>
      <c r="Q18" s="31">
        <f>'FS Desroches Daily'!AB20</f>
        <v>360.00000000001364</v>
      </c>
      <c r="R18" s="31">
        <f>'FS Desroches Daily'!AD20</f>
        <v>319.99999999999318</v>
      </c>
      <c r="S18" s="31">
        <f>'FS Desroches Daily'!AF20</f>
        <v>210.00000000003638</v>
      </c>
      <c r="T18" s="31">
        <f>'FS Desroches Daily'!AH20</f>
        <v>36</v>
      </c>
      <c r="U18" s="35">
        <f>'FS Desroches Daily'!AJ20</f>
        <v>449.99999999993179</v>
      </c>
      <c r="V18" s="35">
        <f>'FS Desroches Daily'!AL20</f>
        <v>229.99999999998977</v>
      </c>
      <c r="W18" s="35">
        <f>'FS Desroches Daily'!AN20</f>
        <v>229.99999999998977</v>
      </c>
      <c r="X18" s="35">
        <f>'FS Desroches Daily'!AP20</f>
        <v>200.00000000001705</v>
      </c>
      <c r="Y18" s="35">
        <f>'FS Desroches Daily'!AR20</f>
        <v>139.99999999998636</v>
      </c>
      <c r="Z18" s="35">
        <f>'FS Desroches Daily'!AT20</f>
        <v>259.99999999999091</v>
      </c>
      <c r="AA18" s="35">
        <f>'FS Desroches Daily'!AT20</f>
        <v>259.99999999999091</v>
      </c>
      <c r="AB18" s="35">
        <f>'FS Desroches Daily'!AV20</f>
        <v>180.00000000000682</v>
      </c>
      <c r="AC18" s="35">
        <f>'FS Desroches Daily'!AZ20</f>
        <v>110.00000000001364</v>
      </c>
      <c r="AD18" s="35">
        <f>'FS Desroches Daily'!BB20</f>
        <v>129.99999999999545</v>
      </c>
      <c r="AE18" s="35">
        <f>'FS Desroches Daily'!BD20</f>
        <v>30.000000000001137</v>
      </c>
      <c r="AF18" s="31">
        <f>'FS Desroches Daily'!BF20</f>
        <v>30</v>
      </c>
      <c r="AG18" s="32">
        <f>'FS Desroches Daily'!BH20</f>
        <v>30.000000000001137</v>
      </c>
      <c r="AH18" s="32">
        <f>'FS Desroches Daily'!BJ20</f>
        <v>29.999999999972715</v>
      </c>
      <c r="AI18" s="32">
        <f>'FS Desroches Daily'!BL20</f>
        <v>40.000000000020464</v>
      </c>
      <c r="AJ18" s="32">
        <f>'FS Desroches Daily'!BN20</f>
        <v>39.999999999992042</v>
      </c>
      <c r="AK18" s="32">
        <f>'FS Desroches Daily'!BP20</f>
        <v>49.999999999954525</v>
      </c>
      <c r="AL18" s="32">
        <f>'FS Desroches Daily'!BR20</f>
        <v>26</v>
      </c>
      <c r="AM18" s="32">
        <f>'FS Desroches Daily'!BT20</f>
        <v>29.999999999972715</v>
      </c>
      <c r="AN18" s="32">
        <f>'FS Desroches Daily'!BV20</f>
        <v>34</v>
      </c>
      <c r="AO18" s="32">
        <f>'FS Desroches Daily'!BX20</f>
        <v>30.000000000001137</v>
      </c>
      <c r="AP18" s="32">
        <f>'FS Desroches Daily'!BZ20</f>
        <v>25</v>
      </c>
      <c r="AQ18" s="31">
        <f>'FS Desroches Daily'!CB20</f>
        <v>32.900000000001455</v>
      </c>
      <c r="AR18" s="31">
        <f>'FS Desroches Daily'!CD20</f>
        <v>12.900000000001455</v>
      </c>
      <c r="AS18" s="31">
        <f>'FS Desroches Daily'!CF20</f>
        <v>8.7999999999992724</v>
      </c>
      <c r="AT18" s="31">
        <f>'FS Desroches Daily'!CH20</f>
        <v>60.69999999999709</v>
      </c>
      <c r="AU18" s="31">
        <f>'FS Desroches Daily'!CJ20</f>
        <v>290</v>
      </c>
      <c r="AV18" s="31">
        <f>'FS Desroches Daily'!CL20</f>
        <v>600.00000000002274</v>
      </c>
      <c r="AW18" s="31">
        <f>'FS Desroches Daily'!CM20</f>
        <v>55.799999999999272</v>
      </c>
      <c r="AX18" s="31">
        <f>IF(LPG!F25-LPG!F24&lt;0,"0",(LPG!F25-LPG!F24)*1.8315)</f>
        <v>7.3259999999999996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2399.9999999997358</v>
      </c>
      <c r="F19" s="32">
        <f>'FS Desroches Daily'!F21</f>
        <v>2899.9999999999027</v>
      </c>
      <c r="G19" s="31">
        <f>'FS Desroches Daily'!H21</f>
        <v>2600.0000000001578</v>
      </c>
      <c r="H19" s="32">
        <f>'FS Desroches Daily'!J21</f>
        <v>1499.9999999998347</v>
      </c>
      <c r="I19" s="31">
        <f>'FS Desroches Daily'!L21</f>
        <v>1999.9999999997797</v>
      </c>
      <c r="J19" s="32">
        <f>'FS Desroches Daily'!N21</f>
        <v>1000.0000000001119</v>
      </c>
      <c r="K19" s="13">
        <f>'FS Desroches Daily'!P21</f>
        <v>14</v>
      </c>
      <c r="L19" s="31">
        <f>'FS Desroches Daily'!R21</f>
        <v>5</v>
      </c>
      <c r="M19" s="31">
        <f>'FS Desroches Daily'!T21</f>
        <v>1</v>
      </c>
      <c r="N19" s="31">
        <f>'FS Desroches Daily'!V21</f>
        <v>402.59999999997672</v>
      </c>
      <c r="O19" s="31">
        <f>'FS Desroches Daily'!X21</f>
        <v>290.00000000002046</v>
      </c>
      <c r="P19" s="31">
        <f>'FS Desroches Daily'!Z21</f>
        <v>2600.0000000001578</v>
      </c>
      <c r="Q19" s="31">
        <f>'FS Desroches Daily'!AB21</f>
        <v>120.00000000000455</v>
      </c>
      <c r="R19" s="31">
        <f>'FS Desroches Daily'!AD21</f>
        <v>310.00000000000227</v>
      </c>
      <c r="S19" s="31">
        <f>'FS Desroches Daily'!AF21</f>
        <v>199.99999999993179</v>
      </c>
      <c r="T19" s="31">
        <f>'FS Desroches Daily'!AH21</f>
        <v>37</v>
      </c>
      <c r="U19" s="35">
        <f>'FS Desroches Daily'!AJ21</f>
        <v>470.00000000002728</v>
      </c>
      <c r="V19" s="35">
        <f>'FS Desroches Daily'!AL21</f>
        <v>200.00000000001705</v>
      </c>
      <c r="W19" s="35">
        <f>'FS Desroches Daily'!AN21</f>
        <v>180.00000000000682</v>
      </c>
      <c r="X19" s="35">
        <f>'FS Desroches Daily'!AP21</f>
        <v>180.00000000000682</v>
      </c>
      <c r="Y19" s="35">
        <f>'FS Desroches Daily'!AR21</f>
        <v>140.0000000000432</v>
      </c>
      <c r="Z19" s="35">
        <f>'FS Desroches Daily'!AT21</f>
        <v>250</v>
      </c>
      <c r="AA19" s="35">
        <f>'FS Desroches Daily'!AT21</f>
        <v>250</v>
      </c>
      <c r="AB19" s="35">
        <f>'FS Desroches Daily'!AV21</f>
        <v>239.99999999995225</v>
      </c>
      <c r="AC19" s="35">
        <f>'FS Desroches Daily'!AZ21</f>
        <v>100.00000000002274</v>
      </c>
      <c r="AD19" s="35">
        <f>'FS Desroches Daily'!BB21</f>
        <v>139.99999999998636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30.000000000001137</v>
      </c>
      <c r="AH19" s="32">
        <f>'FS Desroches Daily'!BJ21</f>
        <v>20.000000000038654</v>
      </c>
      <c r="AI19" s="32">
        <f>'FS Desroches Daily'!BL21</f>
        <v>49.999999999982947</v>
      </c>
      <c r="AJ19" s="32">
        <f>'FS Desroches Daily'!BN21</f>
        <v>50.000000000011369</v>
      </c>
      <c r="AK19" s="32">
        <f>'FS Desroches Daily'!BP21</f>
        <v>50.000000000011369</v>
      </c>
      <c r="AL19" s="32">
        <f>'FS Desroches Daily'!BR21</f>
        <v>31</v>
      </c>
      <c r="AM19" s="32">
        <f>'FS Desroches Daily'!BT21</f>
        <v>40.000000000020464</v>
      </c>
      <c r="AN19" s="32">
        <f>'FS Desroches Daily'!BV21</f>
        <v>36</v>
      </c>
      <c r="AO19" s="32">
        <f>'FS Desroches Daily'!BX21</f>
        <v>29.999999999972715</v>
      </c>
      <c r="AP19" s="32">
        <f>'FS Desroches Daily'!BZ21</f>
        <v>37</v>
      </c>
      <c r="AQ19" s="31">
        <f>'FS Desroches Daily'!CB21</f>
        <v>32.899999999994179</v>
      </c>
      <c r="AR19" s="31">
        <f>'FS Desroches Daily'!CD21</f>
        <v>9.2999999999992724</v>
      </c>
      <c r="AS19" s="31">
        <f>'FS Desroches Daily'!CF21</f>
        <v>8.9000000000005457</v>
      </c>
      <c r="AT19" s="31">
        <f>'FS Desroches Daily'!CH21</f>
        <v>65.30000000000291</v>
      </c>
      <c r="AU19" s="31">
        <f>'FS Desroches Daily'!CJ21</f>
        <v>301</v>
      </c>
      <c r="AV19" s="31">
        <f>'FS Desroches Daily'!CL21</f>
        <v>500</v>
      </c>
      <c r="AW19" s="31">
        <f>'FS Desroches Daily'!CM21</f>
        <v>46.5</v>
      </c>
      <c r="AX19" s="31">
        <f>IF(LPG!F26-LPG!F25&lt;0,"0",(LPG!F26-LPG!F25)*1.8315)</f>
        <v>9.1574999999999989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2400.0000000001796</v>
      </c>
      <c r="F20" s="32">
        <f>'FS Desroches Daily'!F22</f>
        <v>3099.9999999998809</v>
      </c>
      <c r="G20" s="31">
        <f>'FS Desroches Daily'!H22</f>
        <v>2499.9999999999468</v>
      </c>
      <c r="H20" s="32">
        <f>'FS Desroches Daily'!J22</f>
        <v>1400.0000000000678</v>
      </c>
      <c r="I20" s="31">
        <f>'FS Desroches Daily'!L22</f>
        <v>1900.0000000000127</v>
      </c>
      <c r="J20" s="32">
        <f>'FS Desroches Daily'!N22</f>
        <v>999.99999999988984</v>
      </c>
      <c r="K20" s="13">
        <f>'FS Desroches Daily'!P22</f>
        <v>8</v>
      </c>
      <c r="L20" s="31">
        <f>'FS Desroches Daily'!R22</f>
        <v>4</v>
      </c>
      <c r="M20" s="31">
        <f>'FS Desroches Daily'!T22</f>
        <v>0.90000000000009095</v>
      </c>
      <c r="N20" s="31">
        <f>'FS Desroches Daily'!V22</f>
        <v>372.79999999998836</v>
      </c>
      <c r="O20" s="31">
        <f>'FS Desroches Daily'!X22</f>
        <v>299.99999999995453</v>
      </c>
      <c r="P20" s="31">
        <f>'FS Desroches Daily'!Z22</f>
        <v>2899.9999999999027</v>
      </c>
      <c r="Q20" s="31">
        <f>'FS Desroches Daily'!AB22</f>
        <v>569.99999999999318</v>
      </c>
      <c r="R20" s="31">
        <f>'FS Desroches Daily'!AD22</f>
        <v>300.00000000001137</v>
      </c>
      <c r="S20" s="31">
        <f>'FS Desroches Daily'!AF22</f>
        <v>200.00000000004547</v>
      </c>
      <c r="T20" s="31">
        <f>'FS Desroches Daily'!AH22</f>
        <v>32</v>
      </c>
      <c r="U20" s="35">
        <f>'FS Desroches Daily'!AJ22</f>
        <v>560.00000000005912</v>
      </c>
      <c r="V20" s="35">
        <f>'FS Desroches Daily'!AL22</f>
        <v>210.00000000000796</v>
      </c>
      <c r="W20" s="35">
        <f>'FS Desroches Daily'!AN22</f>
        <v>129.99999999999545</v>
      </c>
      <c r="X20" s="35">
        <f>'FS Desroches Daily'!AP22</f>
        <v>189.99999999999773</v>
      </c>
      <c r="Y20" s="35">
        <f>'FS Desroches Daily'!AR22</f>
        <v>149.99999999997726</v>
      </c>
      <c r="Z20" s="35">
        <f>'FS Desroches Daily'!AT22</f>
        <v>270.00000000003865</v>
      </c>
      <c r="AA20" s="35">
        <f>'FS Desroches Daily'!AT22</f>
        <v>270.00000000003865</v>
      </c>
      <c r="AB20" s="35">
        <f>'FS Desroches Daily'!AV22</f>
        <v>189.99999999999773</v>
      </c>
      <c r="AC20" s="35">
        <f>'FS Desroches Daily'!AZ22</f>
        <v>129.99999999999545</v>
      </c>
      <c r="AD20" s="35">
        <f>'FS Desroches Daily'!BB22</f>
        <v>129.99999999999545</v>
      </c>
      <c r="AE20" s="35">
        <f>'FS Desroches Daily'!BD22</f>
        <v>30.000000000001137</v>
      </c>
      <c r="AF20" s="31">
        <f>'FS Desroches Daily'!BF22</f>
        <v>55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39.999999999992042</v>
      </c>
      <c r="AJ20" s="32">
        <f>'FS Desroches Daily'!BN22</f>
        <v>39.999999999992042</v>
      </c>
      <c r="AK20" s="32">
        <f>'FS Desroches Daily'!BP22</f>
        <v>40.000000000020464</v>
      </c>
      <c r="AL20" s="32">
        <f>'FS Desroches Daily'!BR22</f>
        <v>31</v>
      </c>
      <c r="AM20" s="32">
        <f>'FS Desroches Daily'!BT22</f>
        <v>30.000000000001137</v>
      </c>
      <c r="AN20" s="32">
        <f>'FS Desroches Daily'!BV22</f>
        <v>35</v>
      </c>
      <c r="AO20" s="32">
        <f>'FS Desroches Daily'!BX22</f>
        <v>30.000000000001137</v>
      </c>
      <c r="AP20" s="32">
        <f>'FS Desroches Daily'!BZ22</f>
        <v>40</v>
      </c>
      <c r="AQ20" s="31">
        <f>'FS Desroches Daily'!CB22</f>
        <v>31.100000000005821</v>
      </c>
      <c r="AR20" s="31">
        <f>'FS Desroches Daily'!CD22</f>
        <v>11.100000000000364</v>
      </c>
      <c r="AS20" s="31">
        <f>'FS Desroches Daily'!CF22</f>
        <v>2.3000000000001819</v>
      </c>
      <c r="AT20" s="31">
        <f>'FS Desroches Daily'!CH22</f>
        <v>56.80000000000291</v>
      </c>
      <c r="AU20" s="31">
        <f>'FS Desroches Daily'!CJ22</f>
        <v>287</v>
      </c>
      <c r="AV20" s="31">
        <f>'FS Desroches Daily'!CL22</f>
        <v>509.99999999999091</v>
      </c>
      <c r="AW20" s="31">
        <f>'FS Desroches Daily'!CM22</f>
        <v>53.5</v>
      </c>
      <c r="AX20" s="31">
        <f>IF(LPG!F27-LPG!F26&lt;0,"0",(LPG!F27-LPG!F26)*1.8315)</f>
        <v>9.1574999999999989</v>
      </c>
      <c r="AY20" s="31">
        <f>IF(LPG!H27-LPG!H26&lt;0,"0",(LPG!H27-LPG!H26)*1.8315)</f>
        <v>3.6629999999999998</v>
      </c>
      <c r="AZ20" s="31">
        <f>IF(LPG!J27-LPG!J26&lt;0,"0",(LPG!J27-LPG!J26)*1.8315)</f>
        <v>1.8314999999999999</v>
      </c>
      <c r="BA20" s="31">
        <f>IF(LPG!M27-LPG!M26&lt;0,"0",(LPG!M27-LPG!M26)*1.8315)</f>
        <v>5.4944999999999995</v>
      </c>
      <c r="BB20" s="31">
        <f>IF(LPG!Q27-LPG!Q26&lt;0,"0",(LPG!Q27-LPG!Q26)*1.8315)</f>
        <v>5.4944999999999995</v>
      </c>
      <c r="BC20" s="13">
        <f>'FS Desroches Daily'!CN22</f>
        <v>18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2600.0000000001578</v>
      </c>
      <c r="F21" s="32">
        <f>'FS Desroches Daily'!F23</f>
        <v>3099.9999999998809</v>
      </c>
      <c r="G21" s="31">
        <f>'FS Desroches Daily'!H23</f>
        <v>2599.9999999997135</v>
      </c>
      <c r="H21" s="32">
        <f>'FS Desroches Daily'!J23</f>
        <v>1400.0000000000678</v>
      </c>
      <c r="I21" s="31">
        <f>'FS Desroches Daily'!L23</f>
        <v>2000.0000000002237</v>
      </c>
      <c r="J21" s="32">
        <f>'FS Desroches Daily'!N23</f>
        <v>1000.0000000001119</v>
      </c>
      <c r="K21" s="13">
        <f>'FS Desroches Daily'!P23</f>
        <v>9</v>
      </c>
      <c r="L21" s="31">
        <f>'FS Desroches Daily'!R23</f>
        <v>5</v>
      </c>
      <c r="M21" s="31">
        <f>'FS Desroches Daily'!T23</f>
        <v>1</v>
      </c>
      <c r="N21" s="31">
        <f>'FS Desroches Daily'!V23</f>
        <v>401.10000000003492</v>
      </c>
      <c r="O21" s="31">
        <f>'FS Desroches Daily'!X23</f>
        <v>300.00000000001137</v>
      </c>
      <c r="P21" s="31">
        <f>'FS Desroches Daily'!Z23</f>
        <v>2699.9999999999245</v>
      </c>
      <c r="Q21" s="31">
        <f>'FS Desroches Daily'!AB23</f>
        <v>399.99999999997726</v>
      </c>
      <c r="R21" s="31">
        <f>'FS Desroches Daily'!AD23</f>
        <v>310.00000000000227</v>
      </c>
      <c r="S21" s="31">
        <f>'FS Desroches Daily'!AF23</f>
        <v>230.00000000001819</v>
      </c>
      <c r="T21" s="31">
        <f>'FS Desroches Daily'!AH23</f>
        <v>36</v>
      </c>
      <c r="U21" s="35">
        <f>'FS Desroches Daily'!AJ23</f>
        <v>740.00000000000909</v>
      </c>
      <c r="V21" s="35">
        <f>'FS Desroches Daily'!AL23</f>
        <v>209.99999999997954</v>
      </c>
      <c r="W21" s="35">
        <f>'FS Desroches Daily'!AN23</f>
        <v>130.00000000002387</v>
      </c>
      <c r="X21" s="35">
        <f>'FS Desroches Daily'!AP23</f>
        <v>199.99999999998863</v>
      </c>
      <c r="Y21" s="35">
        <f>'FS Desroches Daily'!AR23</f>
        <v>149.99999999997726</v>
      </c>
      <c r="Z21" s="35">
        <f>'FS Desroches Daily'!AT23</f>
        <v>239.99999999995225</v>
      </c>
      <c r="AA21" s="35">
        <f>'FS Desroches Daily'!AT23</f>
        <v>239.99999999995225</v>
      </c>
      <c r="AB21" s="35">
        <f>'FS Desroches Daily'!AV23</f>
        <v>190.00000000005457</v>
      </c>
      <c r="AC21" s="35">
        <f>'FS Desroches Daily'!AZ23</f>
        <v>110.00000000001364</v>
      </c>
      <c r="AD21" s="35">
        <f>'FS Desroches Daily'!BB23</f>
        <v>170.00000000001592</v>
      </c>
      <c r="AE21" s="35">
        <f>'FS Desroches Daily'!BD23</f>
        <v>30.000000000001137</v>
      </c>
      <c r="AF21" s="31">
        <f>'FS Desroches Daily'!BF23</f>
        <v>34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40.000000000020464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31</v>
      </c>
      <c r="AM21" s="32">
        <f>'FS Desroches Daily'!BT23</f>
        <v>30.000000000001137</v>
      </c>
      <c r="AN21" s="32">
        <f>'FS Desroches Daily'!BV23</f>
        <v>47</v>
      </c>
      <c r="AO21" s="32">
        <f>'FS Desroches Daily'!BX23</f>
        <v>30.000000000001137</v>
      </c>
      <c r="AP21" s="32">
        <f>'FS Desroches Daily'!BZ23</f>
        <v>34</v>
      </c>
      <c r="AQ21" s="31">
        <f>'FS Desroches Daily'!CB23</f>
        <v>31</v>
      </c>
      <c r="AR21" s="31">
        <f>'FS Desroches Daily'!CD23</f>
        <v>9.5</v>
      </c>
      <c r="AS21" s="31">
        <f>'FS Desroches Daily'!CF23</f>
        <v>5.6999999999998181</v>
      </c>
      <c r="AT21" s="31">
        <f>'FS Desroches Daily'!CH23</f>
        <v>62</v>
      </c>
      <c r="AU21" s="31">
        <f>'FS Desroches Daily'!CJ23</f>
        <v>291</v>
      </c>
      <c r="AV21" s="31">
        <f>'FS Desroches Daily'!CL23</f>
        <v>569.99999999993634</v>
      </c>
      <c r="AW21" s="31">
        <f>'FS Desroches Daily'!CM23</f>
        <v>62.800000000001091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3.6629999999999998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17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2699.9999999999245</v>
      </c>
      <c r="F22" s="32">
        <f>'FS Desroches Daily'!F24</f>
        <v>3100.0000000003247</v>
      </c>
      <c r="G22" s="31">
        <f>'FS Desroches Daily'!H24</f>
        <v>2700.0000000003688</v>
      </c>
      <c r="H22" s="32">
        <f>'FS Desroches Daily'!J24</f>
        <v>1499.9999999998347</v>
      </c>
      <c r="I22" s="31">
        <f>'FS Desroches Daily'!L24</f>
        <v>1999.9999999997797</v>
      </c>
      <c r="J22" s="32">
        <f>'FS Desroches Daily'!N24</f>
        <v>999.99999999988984</v>
      </c>
      <c r="K22" s="13">
        <f>'FS Desroches Daily'!P24</f>
        <v>19</v>
      </c>
      <c r="L22" s="31">
        <f>'FS Desroches Daily'!R24</f>
        <v>5</v>
      </c>
      <c r="M22" s="31">
        <f>'FS Desroches Daily'!T24</f>
        <v>1</v>
      </c>
      <c r="N22" s="31">
        <f>'FS Desroches Daily'!V24</f>
        <v>398.09999999997672</v>
      </c>
      <c r="O22" s="31">
        <f>'FS Desroches Daily'!X24</f>
        <v>370.00000000000455</v>
      </c>
      <c r="P22" s="31">
        <f>'FS Desroches Daily'!Z24</f>
        <v>2800.0000000001355</v>
      </c>
      <c r="Q22" s="31">
        <f>'FS Desroches Daily'!AB24</f>
        <v>259.99999999999091</v>
      </c>
      <c r="R22" s="31">
        <f>'FS Desroches Daily'!AD24</f>
        <v>350.00000000002274</v>
      </c>
      <c r="S22" s="31">
        <f>'FS Desroches Daily'!AF24</f>
        <v>319.99999999993634</v>
      </c>
      <c r="T22" s="31">
        <f>'FS Desroches Daily'!AH24</f>
        <v>37</v>
      </c>
      <c r="U22" s="35">
        <f>'FS Desroches Daily'!AJ24</f>
        <v>839.99999999991815</v>
      </c>
      <c r="V22" s="35">
        <f>'FS Desroches Daily'!AL24</f>
        <v>260.00000000001933</v>
      </c>
      <c r="W22" s="35">
        <f>'FS Desroches Daily'!AN24</f>
        <v>159.99999999999659</v>
      </c>
      <c r="X22" s="35">
        <f>'FS Desroches Daily'!AP24</f>
        <v>219.99999999999886</v>
      </c>
      <c r="Y22" s="35">
        <f>'FS Desroches Daily'!AR24</f>
        <v>180.00000000000682</v>
      </c>
      <c r="Z22" s="35">
        <f>'FS Desroches Daily'!AT24</f>
        <v>160.00000000002501</v>
      </c>
      <c r="AA22" s="35">
        <f>'FS Desroches Daily'!AT24</f>
        <v>160.00000000002501</v>
      </c>
      <c r="AB22" s="35">
        <f>'FS Desroches Daily'!AV24</f>
        <v>189.99999999999773</v>
      </c>
      <c r="AC22" s="35">
        <f>'FS Desroches Daily'!AZ24</f>
        <v>109.9999999999568</v>
      </c>
      <c r="AD22" s="35">
        <f>'FS Desroches Daily'!BB24</f>
        <v>199.99999999998863</v>
      </c>
      <c r="AE22" s="35">
        <f>'FS Desroches Daily'!BD24</f>
        <v>20.000000000010232</v>
      </c>
      <c r="AF22" s="31">
        <f>'FS Desroches Daily'!BF24</f>
        <v>33</v>
      </c>
      <c r="AG22" s="32">
        <f>'FS Desroches Daily'!BH24</f>
        <v>50.000000000011369</v>
      </c>
      <c r="AH22" s="32">
        <f>'FS Desroches Daily'!BJ24</f>
        <v>29.999999999972715</v>
      </c>
      <c r="AI22" s="32">
        <f>'FS Desroches Daily'!BL24</f>
        <v>39.999999999992042</v>
      </c>
      <c r="AJ22" s="32">
        <f>'FS Desroches Daily'!BN24</f>
        <v>50.000000000011369</v>
      </c>
      <c r="AK22" s="32">
        <f>'FS Desroches Daily'!BP24</f>
        <v>49.999999999954525</v>
      </c>
      <c r="AL22" s="32">
        <f>'FS Desroches Daily'!BR24</f>
        <v>33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30.000000000001137</v>
      </c>
      <c r="AP22" s="32">
        <f>'FS Desroches Daily'!BZ24</f>
        <v>33</v>
      </c>
      <c r="AQ22" s="31">
        <f>'FS Desroches Daily'!CB24</f>
        <v>31</v>
      </c>
      <c r="AR22" s="31">
        <f>'FS Desroches Daily'!CD24</f>
        <v>11.600000000000364</v>
      </c>
      <c r="AS22" s="31">
        <f>'FS Desroches Daily'!CF24</f>
        <v>0.5999999999994543</v>
      </c>
      <c r="AT22" s="31">
        <f>'FS Desroches Daily'!CH24</f>
        <v>58.899999999994179</v>
      </c>
      <c r="AU22" s="31">
        <f>'FS Desroches Daily'!CJ24</f>
        <v>293</v>
      </c>
      <c r="AV22" s="31">
        <f>'FS Desroches Daily'!CL24</f>
        <v>639.99999999998636</v>
      </c>
      <c r="AW22" s="31">
        <f>'FS Desroches Daily'!CM24</f>
        <v>54.699999999998909</v>
      </c>
      <c r="AX22" s="31">
        <f>IF(LPG!F29-LPG!F28&lt;0,"0",(LPG!F29-LPG!F28)*1.8315)</f>
        <v>9.1574999999999989</v>
      </c>
      <c r="AY22" s="31">
        <f>IF(LPG!H29-LPG!H28&lt;0,"0",(LPG!H29-LPG!H28)*1.8315)</f>
        <v>5.4944999999999995</v>
      </c>
      <c r="AZ22" s="31">
        <f>IF(LPG!J29-LPG!J28&lt;0,"0",(LPG!J29-LPG!J28)*1.8315)</f>
        <v>1.8314999999999999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17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2599.9999999997135</v>
      </c>
      <c r="F23" s="32">
        <f>'FS Desroches Daily'!F25</f>
        <v>1799.9999999998017</v>
      </c>
      <c r="G23" s="31">
        <f>'FS Desroches Daily'!H25</f>
        <v>2799.9999999996917</v>
      </c>
      <c r="H23" s="32">
        <f>'FS Desroches Daily'!J25</f>
        <v>1500.0000000000568</v>
      </c>
      <c r="I23" s="31">
        <f>'FS Desroches Daily'!L25</f>
        <v>1900.0000000000127</v>
      </c>
      <c r="J23" s="32">
        <f>'FS Desroches Daily'!N25</f>
        <v>1400.0000000000678</v>
      </c>
      <c r="K23" s="13">
        <f>'FS Desroches Daily'!P25</f>
        <v>3</v>
      </c>
      <c r="L23" s="31">
        <f>'FS Desroches Daily'!R25</f>
        <v>4</v>
      </c>
      <c r="M23" s="31">
        <f>'FS Desroches Daily'!T25</f>
        <v>1</v>
      </c>
      <c r="N23" s="31">
        <f>'FS Desroches Daily'!V25</f>
        <v>382.09999999997672</v>
      </c>
      <c r="O23" s="31">
        <f>'FS Desroches Daily'!X25</f>
        <v>280.00000000002956</v>
      </c>
      <c r="P23" s="31">
        <f>'FS Desroches Daily'!Z25</f>
        <v>2400.0000000001796</v>
      </c>
      <c r="Q23" s="31">
        <f>'FS Desroches Daily'!AB25</f>
        <v>379.99999999999545</v>
      </c>
      <c r="R23" s="31">
        <f>'FS Desroches Daily'!AD25</f>
        <v>399.99999999997726</v>
      </c>
      <c r="S23" s="31">
        <f>'FS Desroches Daily'!AF25</f>
        <v>490.00000000000909</v>
      </c>
      <c r="T23" s="31">
        <f>'FS Desroches Daily'!AH25</f>
        <v>36</v>
      </c>
      <c r="U23" s="35">
        <f>'FS Desroches Daily'!AJ25</f>
        <v>840.00000000003183</v>
      </c>
      <c r="V23" s="35">
        <f>'FS Desroches Daily'!AL25</f>
        <v>239.99999999998067</v>
      </c>
      <c r="W23" s="35">
        <f>'FS Desroches Daily'!AN25</f>
        <v>159.99999999999659</v>
      </c>
      <c r="X23" s="35">
        <f>'FS Desroches Daily'!AP25</f>
        <v>219.99999999999886</v>
      </c>
      <c r="Y23" s="35">
        <f>'FS Desroches Daily'!AR25</f>
        <v>160.00000000002501</v>
      </c>
      <c r="Z23" s="35">
        <f>'FS Desroches Daily'!AT25</f>
        <v>149.99999999997726</v>
      </c>
      <c r="AA23" s="35">
        <f>'FS Desroches Daily'!AT25</f>
        <v>149.99999999997726</v>
      </c>
      <c r="AB23" s="35">
        <f>'FS Desroches Daily'!AV25</f>
        <v>169.99999999995907</v>
      </c>
      <c r="AC23" s="35">
        <f>'FS Desroches Daily'!AZ25</f>
        <v>110.00000000001364</v>
      </c>
      <c r="AD23" s="35">
        <f>'FS Desroches Daily'!BB25</f>
        <v>110.00000000001364</v>
      </c>
      <c r="AE23" s="35">
        <f>'FS Desroches Daily'!BD25</f>
        <v>39.999999999992042</v>
      </c>
      <c r="AF23" s="31">
        <f>'FS Desroches Daily'!BF25</f>
        <v>39</v>
      </c>
      <c r="AG23" s="32">
        <f>'FS Desroches Daily'!BH25</f>
        <v>39.999999999992042</v>
      </c>
      <c r="AH23" s="32">
        <f>'FS Desroches Daily'!BJ25</f>
        <v>20.000000000038654</v>
      </c>
      <c r="AI23" s="32">
        <f>'FS Desroches Daily'!BL25</f>
        <v>30.000000000001137</v>
      </c>
      <c r="AJ23" s="32">
        <f>'FS Desroches Daily'!BN25</f>
        <v>39.999999999992042</v>
      </c>
      <c r="AK23" s="32">
        <f>'FS Desroches Daily'!BP25</f>
        <v>40.000000000020464</v>
      </c>
      <c r="AL23" s="32">
        <f>'FS Desroches Daily'!BR25</f>
        <v>32</v>
      </c>
      <c r="AM23" s="32">
        <f>'FS Desroches Daily'!BT25</f>
        <v>30.000000000001137</v>
      </c>
      <c r="AN23" s="32">
        <f>'FS Desroches Daily'!BV25</f>
        <v>44</v>
      </c>
      <c r="AO23" s="32">
        <f>'FS Desroches Daily'!BX25</f>
        <v>30.000000000001137</v>
      </c>
      <c r="AP23" s="32">
        <f>'FS Desroches Daily'!BZ25</f>
        <v>41</v>
      </c>
      <c r="AQ23" s="31">
        <f>'FS Desroches Daily'!CB25</f>
        <v>38.799999999995634</v>
      </c>
      <c r="AR23" s="31">
        <f>'FS Desroches Daily'!CD25</f>
        <v>12.599999999998545</v>
      </c>
      <c r="AS23" s="31">
        <f>'FS Desroches Daily'!CF25</f>
        <v>6.5</v>
      </c>
      <c r="AT23" s="31">
        <f>'FS Desroches Daily'!CH25</f>
        <v>49.200000000004366</v>
      </c>
      <c r="AU23" s="31">
        <f>'FS Desroches Daily'!CJ25</f>
        <v>293</v>
      </c>
      <c r="AV23" s="31">
        <f>'FS Desroches Daily'!CL25</f>
        <v>660.00000000008185</v>
      </c>
      <c r="AW23" s="31">
        <f>'FS Desroches Daily'!CM25</f>
        <v>57</v>
      </c>
      <c r="AX23" s="31">
        <f>IF(LPG!F30-LPG!F29&lt;0,"0",(LPG!F30-LPG!F29)*1.8315)</f>
        <v>9.1574999999999989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12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2600.0000000001578</v>
      </c>
      <c r="F24" s="32">
        <f>'FS Desroches Daily'!F26</f>
        <v>3700.0000000002588</v>
      </c>
      <c r="G24" s="31">
        <f>'FS Desroches Daily'!H26</f>
        <v>2699.9999999999245</v>
      </c>
      <c r="H24" s="32">
        <f>'FS Desroches Daily'!J26</f>
        <v>1500.0000000000568</v>
      </c>
      <c r="I24" s="31">
        <f>'FS Desroches Daily'!L26</f>
        <v>1900.0000000000127</v>
      </c>
      <c r="J24" s="32">
        <f>'FS Desroches Daily'!N26</f>
        <v>1300.0000000000789</v>
      </c>
      <c r="K24" s="13">
        <f>'FS Desroches Daily'!P26</f>
        <v>14</v>
      </c>
      <c r="L24" s="31">
        <f>'FS Desroches Daily'!R26</f>
        <v>5</v>
      </c>
      <c r="M24" s="31">
        <f>'FS Desroches Daily'!T26</f>
        <v>1</v>
      </c>
      <c r="N24" s="31">
        <f>'FS Desroches Daily'!V26</f>
        <v>379.5</v>
      </c>
      <c r="O24" s="31">
        <f>'FS Desroches Daily'!X26</f>
        <v>299.99999999995453</v>
      </c>
      <c r="P24" s="31">
        <f>'FS Desroches Daily'!Z26</f>
        <v>2399.9999999997358</v>
      </c>
      <c r="Q24" s="31">
        <f>'FS Desroches Daily'!AB26</f>
        <v>270.00000000003865</v>
      </c>
      <c r="R24" s="31">
        <f>'FS Desroches Daily'!AD26</f>
        <v>389.99999999998636</v>
      </c>
      <c r="S24" s="31">
        <f>'FS Desroches Daily'!AF26</f>
        <v>529.99999999997272</v>
      </c>
      <c r="T24" s="31">
        <f>'FS Desroches Daily'!AH26</f>
        <v>38</v>
      </c>
      <c r="U24" s="35">
        <f>'FS Desroches Daily'!AJ26</f>
        <v>909.99999999996817</v>
      </c>
      <c r="V24" s="35">
        <f>'FS Desroches Daily'!AL26</f>
        <v>250</v>
      </c>
      <c r="W24" s="35">
        <f>'FS Desroches Daily'!AN26</f>
        <v>129.99999999999545</v>
      </c>
      <c r="X24" s="35">
        <f>'FS Desroches Daily'!AP26</f>
        <v>200.00000000001705</v>
      </c>
      <c r="Y24" s="35">
        <f>'FS Desroches Daily'!AR26</f>
        <v>120.00000000000455</v>
      </c>
      <c r="Z24" s="35">
        <f>'FS Desroches Daily'!AT26</f>
        <v>140.0000000000432</v>
      </c>
      <c r="AA24" s="35">
        <f>'FS Desroches Daily'!AT26</f>
        <v>140.0000000000432</v>
      </c>
      <c r="AB24" s="35">
        <f>'FS Desroches Daily'!AV26</f>
        <v>180.00000000000682</v>
      </c>
      <c r="AC24" s="35">
        <f>'FS Desroches Daily'!AZ26</f>
        <v>120.00000000000455</v>
      </c>
      <c r="AD24" s="35">
        <f>'FS Desroches Daily'!BB26</f>
        <v>100.00000000002274</v>
      </c>
      <c r="AE24" s="35">
        <f>'FS Desroches Daily'!BD26</f>
        <v>50.000000000011369</v>
      </c>
      <c r="AF24" s="31">
        <f>'FS Desroches Daily'!BF26</f>
        <v>34</v>
      </c>
      <c r="AG24" s="32">
        <f>'FS Desroches Daily'!BH26</f>
        <v>39.999999999992042</v>
      </c>
      <c r="AH24" s="32">
        <f>'FS Desroches Daily'!BJ26</f>
        <v>19.99999999998181</v>
      </c>
      <c r="AI24" s="32">
        <f>'FS Desroches Daily'!BL26</f>
        <v>30.000000000001137</v>
      </c>
      <c r="AJ24" s="32">
        <f>'FS Desroches Daily'!BN26</f>
        <v>60.000000000002274</v>
      </c>
      <c r="AK24" s="32">
        <f>'FS Desroches Daily'!BP26</f>
        <v>50.000000000011369</v>
      </c>
      <c r="AL24" s="32">
        <f>'FS Desroches Daily'!BR26</f>
        <v>26</v>
      </c>
      <c r="AM24" s="32">
        <f>'FS Desroches Daily'!BT26</f>
        <v>30.000000000001137</v>
      </c>
      <c r="AN24" s="32">
        <f>'FS Desroches Daily'!BV26</f>
        <v>42</v>
      </c>
      <c r="AO24" s="32">
        <f>'FS Desroches Daily'!BX26</f>
        <v>30.000000000001137</v>
      </c>
      <c r="AP24" s="32">
        <f>'FS Desroches Daily'!BZ26</f>
        <v>30</v>
      </c>
      <c r="AQ24" s="31">
        <f>'FS Desroches Daily'!CB26</f>
        <v>34</v>
      </c>
      <c r="AR24" s="31">
        <f>'FS Desroches Daily'!CD26</f>
        <v>14.5</v>
      </c>
      <c r="AS24" s="31">
        <f>'FS Desroches Daily'!CF26</f>
        <v>0.6000000000003638</v>
      </c>
      <c r="AT24" s="31">
        <f>'FS Desroches Daily'!CH26</f>
        <v>50.099999999998545</v>
      </c>
      <c r="AU24" s="31">
        <f>'FS Desroches Daily'!CJ26</f>
        <v>299</v>
      </c>
      <c r="AV24" s="31">
        <f>'FS Desroches Daily'!CL26</f>
        <v>669.99999999995907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7.3259999999999996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2400.0000000001796</v>
      </c>
      <c r="F25" s="32">
        <f>'FS Desroches Daily'!F27</f>
        <v>2699.9999999999245</v>
      </c>
      <c r="G25" s="31">
        <f>'FS Desroches Daily'!H27</f>
        <v>2600.0000000001578</v>
      </c>
      <c r="H25" s="32">
        <f>'FS Desroches Daily'!J27</f>
        <v>1500.0000000000568</v>
      </c>
      <c r="I25" s="31">
        <f>'FS Desroches Daily'!L27</f>
        <v>1800.0000000002458</v>
      </c>
      <c r="J25" s="32">
        <f>'FS Desroches Daily'!N27</f>
        <v>1199.9999999998679</v>
      </c>
      <c r="K25" s="13">
        <f>'FS Desroches Daily'!P27</f>
        <v>15</v>
      </c>
      <c r="L25" s="31">
        <f>'FS Desroches Daily'!R27</f>
        <v>5</v>
      </c>
      <c r="M25" s="31">
        <f>'FS Desroches Daily'!T27</f>
        <v>1</v>
      </c>
      <c r="N25" s="31">
        <f>'FS Desroches Daily'!V27</f>
        <v>369.60000000003492</v>
      </c>
      <c r="O25" s="31">
        <f>'FS Desroches Daily'!X27</f>
        <v>280.00000000002956</v>
      </c>
      <c r="P25" s="31">
        <f>'FS Desroches Daily'!Z27</f>
        <v>2499.9999999999468</v>
      </c>
      <c r="Q25" s="31">
        <f>'FS Desroches Daily'!AB27</f>
        <v>360.00000000001364</v>
      </c>
      <c r="R25" s="31">
        <f>'FS Desroches Daily'!AD27</f>
        <v>379.99999999999545</v>
      </c>
      <c r="S25" s="31">
        <f>'FS Desroches Daily'!AF27</f>
        <v>410.00000000008185</v>
      </c>
      <c r="T25" s="31">
        <f>'FS Desroches Daily'!AH27</f>
        <v>32</v>
      </c>
      <c r="U25" s="35">
        <f>'FS Desroches Daily'!AJ27</f>
        <v>800.00000000006821</v>
      </c>
      <c r="V25" s="35">
        <f>'FS Desroches Daily'!AL27</f>
        <v>250</v>
      </c>
      <c r="W25" s="35">
        <f>'FS Desroches Daily'!AN27</f>
        <v>150.00000000000568</v>
      </c>
      <c r="X25" s="35">
        <f>'FS Desroches Daily'!AP27</f>
        <v>209.99999999997954</v>
      </c>
      <c r="Y25" s="35">
        <f>'FS Desroches Daily'!AR27</f>
        <v>129.99999999999545</v>
      </c>
      <c r="Z25" s="35">
        <f>'FS Desroches Daily'!AT27</f>
        <v>139.99999999998636</v>
      </c>
      <c r="AA25" s="35">
        <f>'FS Desroches Daily'!AT27</f>
        <v>139.99999999998636</v>
      </c>
      <c r="AB25" s="35">
        <f>'FS Desroches Daily'!AV27</f>
        <v>180.00000000000682</v>
      </c>
      <c r="AC25" s="35">
        <f>'FS Desroches Daily'!AZ27</f>
        <v>110.00000000001364</v>
      </c>
      <c r="AD25" s="35">
        <f>'FS Desroches Daily'!BB27</f>
        <v>99.999999999965894</v>
      </c>
      <c r="AE25" s="35">
        <f>'FS Desroches Daily'!BD27</f>
        <v>39.999999999992042</v>
      </c>
      <c r="AF25" s="31">
        <f>'FS Desroches Daily'!BF27</f>
        <v>41</v>
      </c>
      <c r="AG25" s="32">
        <f>'FS Desroches Daily'!BH27</f>
        <v>50.000000000011369</v>
      </c>
      <c r="AH25" s="32">
        <f>'FS Desroches Daily'!BJ27</f>
        <v>19.99999999998181</v>
      </c>
      <c r="AI25" s="32">
        <f>'FS Desroches Daily'!BL27</f>
        <v>39.999999999992042</v>
      </c>
      <c r="AJ25" s="32">
        <f>'FS Desroches Daily'!BN27</f>
        <v>50.000000000011369</v>
      </c>
      <c r="AK25" s="32">
        <f>'FS Desroches Daily'!BP27</f>
        <v>39.99999999996362</v>
      </c>
      <c r="AL25" s="32">
        <f>'FS Desroches Daily'!BR27</f>
        <v>27</v>
      </c>
      <c r="AM25" s="32">
        <f>'FS Desroches Daily'!BT27</f>
        <v>30.000000000001137</v>
      </c>
      <c r="AN25" s="32">
        <f>'FS Desroches Daily'!BV27</f>
        <v>40</v>
      </c>
      <c r="AO25" s="32">
        <f>'FS Desroches Daily'!BX27</f>
        <v>40.000000000020464</v>
      </c>
      <c r="AP25" s="32">
        <f>'FS Desroches Daily'!BZ27</f>
        <v>32</v>
      </c>
      <c r="AQ25" s="31" t="str">
        <f>'FS Desroches Daily'!CB27</f>
        <v/>
      </c>
      <c r="AR25" s="31">
        <f>'FS Desroches Daily'!CD27</f>
        <v>8.7000000000007276</v>
      </c>
      <c r="AS25" s="31">
        <f>'FS Desroches Daily'!CF27</f>
        <v>9.5</v>
      </c>
      <c r="AT25" s="31">
        <f>'FS Desroches Daily'!CH27</f>
        <v>59.900000000001455</v>
      </c>
      <c r="AU25" s="31">
        <f>'FS Desroches Daily'!CJ27</f>
        <v>291</v>
      </c>
      <c r="AV25" s="31">
        <f>'FS Desroches Daily'!CL27</f>
        <v>639.99999999998636</v>
      </c>
      <c r="AW25" s="31">
        <f>'FS Desroches Daily'!CM27</f>
        <v>58.399999999999636</v>
      </c>
      <c r="AX25" s="31">
        <f>IF(LPG!F32-LPG!F31&lt;0,"0",(LPG!F32-LPG!F31)*1.8315)</f>
        <v>7.3259999999999996</v>
      </c>
      <c r="AY25" s="31">
        <f>IF(LPG!H32-LPG!H31&lt;0,"0",(LPG!H32-LPG!H31)*1.8315)</f>
        <v>3.6629999999999998</v>
      </c>
      <c r="AZ25" s="31">
        <f>IF(LPG!J32-LPG!J31&lt;0,"0",(LPG!J32-LPG!J31)*1.8315)</f>
        <v>1.8314999999999999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>
        <f>'FS Desroches Daily'!D28</f>
        <v>2299.9999999999686</v>
      </c>
      <c r="F26" s="32">
        <f>'FS Desroches Daily'!F28</f>
        <v>2799.9999999996917</v>
      </c>
      <c r="G26" s="31">
        <f>'FS Desroches Daily'!H28</f>
        <v>2499.9999999999468</v>
      </c>
      <c r="H26" s="32">
        <f>'FS Desroches Daily'!J28</f>
        <v>1499.9999999998347</v>
      </c>
      <c r="I26" s="31">
        <f>'FS Desroches Daily'!L28</f>
        <v>1999.9999999997797</v>
      </c>
      <c r="J26" s="32">
        <f>'FS Desroches Daily'!N28</f>
        <v>1300.0000000000789</v>
      </c>
      <c r="K26" s="13">
        <f>'FS Desroches Daily'!P28</f>
        <v>10</v>
      </c>
      <c r="L26" s="31">
        <f>'FS Desroches Daily'!R28</f>
        <v>4</v>
      </c>
      <c r="M26" s="31">
        <f>'FS Desroches Daily'!T28</f>
        <v>0.79999999999995453</v>
      </c>
      <c r="N26" s="31">
        <f>'FS Desroches Daily'!V28</f>
        <v>370.09999999997672</v>
      </c>
      <c r="O26" s="31">
        <f>'FS Desroches Daily'!X28</f>
        <v>259.99999999999091</v>
      </c>
      <c r="P26" s="31">
        <f>'FS Desroches Daily'!Z28</f>
        <v>2499.9999999999468</v>
      </c>
      <c r="Q26" s="31">
        <f>'FS Desroches Daily'!AB28</f>
        <v>299.99999999995453</v>
      </c>
      <c r="R26" s="31">
        <f>'FS Desroches Daily'!AD28</f>
        <v>439.99999999999773</v>
      </c>
      <c r="S26" s="31">
        <f>'FS Desroches Daily'!AF28</f>
        <v>389.99999999998636</v>
      </c>
      <c r="T26" s="31">
        <f>'FS Desroches Daily'!AH28</f>
        <v>34</v>
      </c>
      <c r="U26" s="35">
        <f>'FS Desroches Daily'!AJ28</f>
        <v>629.99999999999545</v>
      </c>
      <c r="V26" s="35">
        <f>'FS Desroches Daily'!AL28</f>
        <v>200.00000000001705</v>
      </c>
      <c r="W26" s="35">
        <f>'FS Desroches Daily'!AN28</f>
        <v>109.99999999998522</v>
      </c>
      <c r="X26" s="35">
        <f>'FS Desroches Daily'!AP28</f>
        <v>219.99999999999886</v>
      </c>
      <c r="Y26" s="35">
        <f>'FS Desroches Daily'!AR28</f>
        <v>180.00000000000682</v>
      </c>
      <c r="Z26" s="35">
        <f>'FS Desroches Daily'!AT28</f>
        <v>159.99999999996817</v>
      </c>
      <c r="AA26" s="35">
        <f>'FS Desroches Daily'!AT28</f>
        <v>159.99999999996817</v>
      </c>
      <c r="AB26" s="35">
        <f>'FS Desroches Daily'!AV28</f>
        <v>139.99999999998636</v>
      </c>
      <c r="AC26" s="35">
        <f>'FS Desroches Daily'!AZ28</f>
        <v>120.00000000000455</v>
      </c>
      <c r="AD26" s="35">
        <f>'FS Desroches Daily'!BB28</f>
        <v>90.000000000031832</v>
      </c>
      <c r="AE26" s="35">
        <f>'FS Desroches Daily'!BD28</f>
        <v>39.999999999992042</v>
      </c>
      <c r="AF26" s="31">
        <f>'FS Desroches Daily'!BF28</f>
        <v>40</v>
      </c>
      <c r="AG26" s="32">
        <f>'FS Desroches Daily'!BH28</f>
        <v>49.999999999982947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39.999999999992042</v>
      </c>
      <c r="AK26" s="32">
        <f>'FS Desroches Daily'!BP28</f>
        <v>40.000000000020464</v>
      </c>
      <c r="AL26" s="32">
        <f>'FS Desroches Daily'!BR28</f>
        <v>28</v>
      </c>
      <c r="AM26" s="32">
        <f>'FS Desroches Daily'!BT28</f>
        <v>39.999999999992042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30</v>
      </c>
      <c r="AQ26" s="31">
        <f>'FS Desroches Daily'!CB28</f>
        <v>0</v>
      </c>
      <c r="AR26" s="31">
        <f>'FS Desroches Daily'!CD28</f>
        <v>8.7000000000007276</v>
      </c>
      <c r="AS26" s="31">
        <f>'FS Desroches Daily'!CF28</f>
        <v>0.5</v>
      </c>
      <c r="AT26" s="31">
        <f>'FS Desroches Daily'!CH28</f>
        <v>52.900000000001455</v>
      </c>
      <c r="AU26" s="31">
        <f>'FS Desroches Daily'!CJ28</f>
        <v>279</v>
      </c>
      <c r="AV26" s="31">
        <f>'FS Desroches Daily'!CL28</f>
        <v>639.99999999998636</v>
      </c>
      <c r="AW26" s="31">
        <f>'FS Desroches Daily'!CM28</f>
        <v>135.5</v>
      </c>
      <c r="AX26" s="31">
        <f>IF(LPG!F33-LPG!F32&lt;0,"0",(LPG!F33-LPG!F32)*1.8315)</f>
        <v>14.651999999999999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3.6629999999999998</v>
      </c>
      <c r="BB26" s="31">
        <f>IF(LPG!Q33-LPG!Q32&lt;0,"0",(LPG!Q33-LPG!Q32)*1.8315)</f>
        <v>14.651999999999999</v>
      </c>
      <c r="BC26" s="13">
        <f>'FS Desroches Daily'!CN28</f>
        <v>8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2399.9999999997358</v>
      </c>
      <c r="F27" s="32">
        <f>'FS Desroches Daily'!F29</f>
        <v>2900.0000000003465</v>
      </c>
      <c r="G27" s="31">
        <f>'FS Desroches Daily'!H29</f>
        <v>2499.9999999999468</v>
      </c>
      <c r="H27" s="32">
        <f>'FS Desroches Daily'!J29</f>
        <v>1400.0000000000678</v>
      </c>
      <c r="I27" s="31">
        <f>'FS Desroches Daily'!L29</f>
        <v>1799.9999999998017</v>
      </c>
      <c r="J27" s="32">
        <f>'FS Desroches Daily'!N29</f>
        <v>999.99999999988984</v>
      </c>
      <c r="K27" s="13">
        <f>'FS Desroches Daily'!P29</f>
        <v>15</v>
      </c>
      <c r="L27" s="31">
        <f>'FS Desroches Daily'!R29</f>
        <v>7</v>
      </c>
      <c r="M27" s="31">
        <f>'FS Desroches Daily'!T29</f>
        <v>1.7999999999999545</v>
      </c>
      <c r="N27" s="31">
        <f>'FS Desroches Daily'!V29</f>
        <v>743.70000000001164</v>
      </c>
      <c r="O27" s="31">
        <f>'FS Desroches Daily'!X29</f>
        <v>420.00000000001592</v>
      </c>
      <c r="P27" s="31">
        <f>'FS Desroches Daily'!Z29</f>
        <v>4100.0000000002146</v>
      </c>
      <c r="Q27" s="31">
        <f>'FS Desroches Daily'!AB29</f>
        <v>510.00000000004775</v>
      </c>
      <c r="R27" s="31">
        <f>'FS Desroches Daily'!AD29</f>
        <v>650.00000000003411</v>
      </c>
      <c r="S27" s="31">
        <f>'FS Desroches Daily'!AF29</f>
        <v>399.99999999997726</v>
      </c>
      <c r="T27" s="31">
        <f>'FS Desroches Daily'!AH29</f>
        <v>49</v>
      </c>
      <c r="U27" s="35">
        <f>'FS Desroches Daily'!AJ29</f>
        <v>1079.9999999999272</v>
      </c>
      <c r="V27" s="35">
        <f>'FS Desroches Daily'!AL29</f>
        <v>329.99999999998408</v>
      </c>
      <c r="W27" s="35">
        <f>'FS Desroches Daily'!AN29</f>
        <v>250</v>
      </c>
      <c r="X27" s="35">
        <f>'FS Desroches Daily'!AP29</f>
        <v>360.00000000001364</v>
      </c>
      <c r="Y27" s="35">
        <f>'FS Desroches Daily'!AR29</f>
        <v>329.99999999998408</v>
      </c>
      <c r="Z27" s="35">
        <f>'FS Desroches Daily'!AT29</f>
        <v>380.0000000000523</v>
      </c>
      <c r="AA27" s="35">
        <f>'FS Desroches Daily'!AT29</f>
        <v>380.0000000000523</v>
      </c>
      <c r="AB27" s="35">
        <f>'FS Desroches Daily'!AV29</f>
        <v>140.0000000000432</v>
      </c>
      <c r="AC27" s="35">
        <f>'FS Desroches Daily'!AZ29</f>
        <v>189.99999999999773</v>
      </c>
      <c r="AD27" s="35">
        <f>'FS Desroches Daily'!BB29</f>
        <v>240.00000000000909</v>
      </c>
      <c r="AE27" s="35">
        <f>'FS Desroches Daily'!BD29</f>
        <v>50.000000000011369</v>
      </c>
      <c r="AF27" s="31">
        <f>'FS Desroches Daily'!BF29</f>
        <v>40</v>
      </c>
      <c r="AG27" s="32">
        <f>'FS Desroches Daily'!BH29</f>
        <v>70.0000000000216</v>
      </c>
      <c r="AH27" s="32">
        <f>'FS Desroches Daily'!BJ29</f>
        <v>39.99999999996362</v>
      </c>
      <c r="AI27" s="32">
        <f>'FS Desroches Daily'!BL29</f>
        <v>50.000000000011369</v>
      </c>
      <c r="AJ27" s="32">
        <f>'FS Desroches Daily'!BN29</f>
        <v>60.000000000002274</v>
      </c>
      <c r="AK27" s="32">
        <f>'FS Desroches Daily'!BP29</f>
        <v>60.000000000002274</v>
      </c>
      <c r="AL27" s="32">
        <f>'FS Desroches Daily'!BR29</f>
        <v>53</v>
      </c>
      <c r="AM27" s="32">
        <f>'FS Desroches Daily'!BT29</f>
        <v>39.999999999992042</v>
      </c>
      <c r="AN27" s="32">
        <f>'FS Desroches Daily'!BV29</f>
        <v>59</v>
      </c>
      <c r="AO27" s="32">
        <f>'FS Desroches Daily'!BX29</f>
        <v>49.999999999982947</v>
      </c>
      <c r="AP27" s="32">
        <f>'FS Desroches Daily'!BZ29</f>
        <v>67</v>
      </c>
      <c r="AQ27" s="31">
        <f>'FS Desroches Daily'!CB29</f>
        <v>0</v>
      </c>
      <c r="AR27" s="31">
        <f>'FS Desroches Daily'!CD29</f>
        <v>17.799999999999272</v>
      </c>
      <c r="AS27" s="31">
        <f>'FS Desroches Daily'!CF29</f>
        <v>0.1999999999998181</v>
      </c>
      <c r="AT27" s="31">
        <f>'FS Desroches Daily'!CH29</f>
        <v>97.19999999999709</v>
      </c>
      <c r="AU27" s="31">
        <f>'FS Desroches Daily'!CJ29</f>
        <v>435</v>
      </c>
      <c r="AV27" s="31">
        <f>'FS Desroches Daily'!CL29</f>
        <v>610.00000000001364</v>
      </c>
      <c r="AW27" s="31">
        <f>'FS Desroches Daily'!CM29</f>
        <v>69.900000000001455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3.6629999999999998</v>
      </c>
      <c r="BC27" s="13">
        <f>'FS Desroches Daily'!CN29</f>
        <v>10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2600.0000000001578</v>
      </c>
      <c r="F28" s="32">
        <f>'FS Desroches Daily'!F30</f>
        <v>3099.9999999998809</v>
      </c>
      <c r="G28" s="31">
        <f>'FS Desroches Daily'!H30</f>
        <v>2800.0000000001355</v>
      </c>
      <c r="H28" s="32">
        <f>'FS Desroches Daily'!J30</f>
        <v>1500.0000000000568</v>
      </c>
      <c r="I28" s="31">
        <f>'FS Desroches Daily'!L30</f>
        <v>1900.0000000000127</v>
      </c>
      <c r="J28" s="32">
        <f>'FS Desroches Daily'!N30</f>
        <v>1200.0000000000898</v>
      </c>
      <c r="K28" s="13">
        <f>'FS Desroches Daily'!P30</f>
        <v>6</v>
      </c>
      <c r="L28" s="31">
        <f>'FS Desroches Daily'!R30</f>
        <v>3</v>
      </c>
      <c r="M28" s="31">
        <f>'FS Desroches Daily'!T30</f>
        <v>0.79999999999995453</v>
      </c>
      <c r="N28" s="31">
        <f>'FS Desroches Daily'!V30</f>
        <v>286.40000000002328</v>
      </c>
      <c r="O28" s="31">
        <f>'FS Desroches Daily'!X30</f>
        <v>219.99999999997044</v>
      </c>
      <c r="P28" s="31">
        <f>'FS Desroches Daily'!Z30</f>
        <v>2299.9999999999686</v>
      </c>
      <c r="Q28" s="31">
        <f>'FS Desroches Daily'!AB30</f>
        <v>269.99999999998181</v>
      </c>
      <c r="R28" s="31">
        <f>'FS Desroches Daily'!AD30</f>
        <v>310.00000000000227</v>
      </c>
      <c r="S28" s="31">
        <f>'FS Desroches Daily'!AF30</f>
        <v>250</v>
      </c>
      <c r="T28" s="31">
        <f>'FS Desroches Daily'!AH30</f>
        <v>49</v>
      </c>
      <c r="U28" s="35">
        <f>'FS Desroches Daily'!AJ30</f>
        <v>520.0000000000955</v>
      </c>
      <c r="V28" s="35">
        <f>'FS Desroches Daily'!AL30</f>
        <v>180.00000000000682</v>
      </c>
      <c r="W28" s="35">
        <f>'FS Desroches Daily'!AN30</f>
        <v>150.00000000000568</v>
      </c>
      <c r="X28" s="35">
        <f>'FS Desroches Daily'!AP30</f>
        <v>159.99999999999659</v>
      </c>
      <c r="Y28" s="35">
        <f>'FS Desroches Daily'!AR30</f>
        <v>139.99999999998636</v>
      </c>
      <c r="Z28" s="35">
        <f>'FS Desroches Daily'!AT30</f>
        <v>179.99999999994998</v>
      </c>
      <c r="AA28" s="35">
        <f>'FS Desroches Daily'!AT30</f>
        <v>179.99999999994998</v>
      </c>
      <c r="AB28" s="35">
        <f>'FS Desroches Daily'!AV30</f>
        <v>439.99999999999773</v>
      </c>
      <c r="AC28" s="35">
        <f>'FS Desroches Daily'!AZ30</f>
        <v>120.00000000000455</v>
      </c>
      <c r="AD28" s="35">
        <f>'FS Desroches Daily'!BB30</f>
        <v>99.999999999965894</v>
      </c>
      <c r="AE28" s="35">
        <f>'FS Desroches Daily'!BD30</f>
        <v>30.000000000001137</v>
      </c>
      <c r="AF28" s="31">
        <f>'FS Desroches Daily'!BF30</f>
        <v>40</v>
      </c>
      <c r="AG28" s="32">
        <f>'FS Desroches Daily'!BH30</f>
        <v>30.000000000001137</v>
      </c>
      <c r="AH28" s="32">
        <f>'FS Desroches Daily'!BJ30</f>
        <v>19.99999999998181</v>
      </c>
      <c r="AI28" s="32">
        <f>'FS Desroches Daily'!BL30</f>
        <v>39.999999999992042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27</v>
      </c>
      <c r="AM28" s="32">
        <f>'FS Desroches Daily'!BT30</f>
        <v>30.000000000001137</v>
      </c>
      <c r="AN28" s="32">
        <f>'FS Desroches Daily'!BV30</f>
        <v>30</v>
      </c>
      <c r="AO28" s="32">
        <f>'FS Desroches Daily'!BX30</f>
        <v>9.9999999999909051</v>
      </c>
      <c r="AP28" s="32">
        <f>'FS Desroches Daily'!BZ30</f>
        <v>28</v>
      </c>
      <c r="AQ28" s="31">
        <f>'FS Desroches Daily'!CB30</f>
        <v>0</v>
      </c>
      <c r="AR28" s="31">
        <f>'FS Desroches Daily'!CD30</f>
        <v>11.799999999999272</v>
      </c>
      <c r="AS28" s="31">
        <f>'FS Desroches Daily'!CF30</f>
        <v>7.3000000000001819</v>
      </c>
      <c r="AT28" s="31">
        <f>'FS Desroches Daily'!CH30</f>
        <v>38.599999999998545</v>
      </c>
      <c r="AU28" s="31">
        <f>'FS Desroches Daily'!CJ30</f>
        <v>226</v>
      </c>
      <c r="AV28" s="31">
        <f>'FS Desroches Daily'!CL30</f>
        <v>769.99999999998181</v>
      </c>
      <c r="AW28" s="31">
        <f>'FS Desroches Daily'!CM30</f>
        <v>106.5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30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>
        <f>'FS Desroches Daily'!CB31</f>
        <v>0</v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56799.999999999985</v>
      </c>
      <c r="F33" s="17">
        <f t="shared" ref="F33:BC33" si="1">SUM(F2:F32)</f>
        <v>74700.000000000015</v>
      </c>
      <c r="G33" s="17">
        <f t="shared" si="1"/>
        <v>65399.999999999927</v>
      </c>
      <c r="H33" s="17">
        <f t="shared" si="1"/>
        <v>37100.000000000146</v>
      </c>
      <c r="I33" s="17">
        <f t="shared" si="1"/>
        <v>50700</v>
      </c>
      <c r="J33" s="17">
        <f t="shared" si="1"/>
        <v>27300.000000000116</v>
      </c>
      <c r="K33" s="17">
        <f t="shared" si="1"/>
        <v>240</v>
      </c>
      <c r="L33" s="17">
        <f t="shared" si="1"/>
        <v>111</v>
      </c>
      <c r="M33" s="17">
        <f t="shared" si="1"/>
        <v>23.299999999999955</v>
      </c>
      <c r="N33" s="17">
        <f t="shared" si="1"/>
        <v>9378.7000000000116</v>
      </c>
      <c r="O33" s="17">
        <f t="shared" si="1"/>
        <v>7459.99999999998</v>
      </c>
      <c r="P33" s="17">
        <f t="shared" si="1"/>
        <v>68200.000000000058</v>
      </c>
      <c r="Q33" s="17">
        <f t="shared" si="1"/>
        <v>8720.0000000000273</v>
      </c>
      <c r="R33" s="17">
        <f t="shared" si="1"/>
        <v>8770.0000000000364</v>
      </c>
      <c r="S33" s="17">
        <f t="shared" si="1"/>
        <v>7490.0000000000091</v>
      </c>
      <c r="T33" s="17">
        <f t="shared" si="1"/>
        <v>1013</v>
      </c>
      <c r="U33" s="35">
        <f t="shared" si="1"/>
        <v>15290.000000000076</v>
      </c>
      <c r="V33" s="35">
        <f t="shared" si="1"/>
        <v>5460.0000000000109</v>
      </c>
      <c r="W33" s="35">
        <f t="shared" si="1"/>
        <v>4069.9999999999927</v>
      </c>
      <c r="X33" s="35">
        <f t="shared" si="1"/>
        <v>4830.0000000000127</v>
      </c>
      <c r="Y33" s="35">
        <f t="shared" si="1"/>
        <v>3370.0000000000045</v>
      </c>
      <c r="Z33" s="35">
        <f t="shared" si="1"/>
        <v>4784.8500000000085</v>
      </c>
      <c r="AA33" s="35">
        <f t="shared" si="1"/>
        <v>4784.8500000000085</v>
      </c>
      <c r="AB33" s="35">
        <f t="shared" si="1"/>
        <v>3850.0000000000227</v>
      </c>
      <c r="AC33" s="35">
        <f t="shared" si="1"/>
        <v>2970.0000000000273</v>
      </c>
      <c r="AD33" s="35">
        <f t="shared" si="1"/>
        <v>2569.9999999999932</v>
      </c>
      <c r="AE33" s="35">
        <f t="shared" si="1"/>
        <v>830.00000000001251</v>
      </c>
      <c r="AF33" s="17">
        <f t="shared" si="1"/>
        <v>947</v>
      </c>
      <c r="AG33" s="32">
        <f t="shared" si="1"/>
        <v>950.00000000001705</v>
      </c>
      <c r="AH33" s="32">
        <f t="shared" si="1"/>
        <v>649.99999999997726</v>
      </c>
      <c r="AI33" s="32">
        <f t="shared" si="1"/>
        <v>1020.0000000000102</v>
      </c>
      <c r="AJ33" s="32">
        <f t="shared" si="1"/>
        <v>1150.0000000000057</v>
      </c>
      <c r="AK33" s="32">
        <f t="shared" si="1"/>
        <v>1239.9999999999523</v>
      </c>
      <c r="AL33" s="32">
        <f t="shared" si="1"/>
        <v>810</v>
      </c>
      <c r="AM33" s="32">
        <f t="shared" si="1"/>
        <v>879.99999999999545</v>
      </c>
      <c r="AN33" s="32">
        <f t="shared" si="1"/>
        <v>902</v>
      </c>
      <c r="AO33" s="32">
        <f t="shared" si="1"/>
        <v>739.99999999998067</v>
      </c>
      <c r="AP33" s="32">
        <f t="shared" si="1"/>
        <v>796</v>
      </c>
      <c r="AQ33" s="17">
        <f t="shared" si="1"/>
        <v>632.59999999999854</v>
      </c>
      <c r="AR33" s="17">
        <f t="shared" si="1"/>
        <v>257.59999999999854</v>
      </c>
      <c r="AS33" s="17">
        <f t="shared" si="1"/>
        <v>108.89999999999964</v>
      </c>
      <c r="AT33" s="17">
        <f t="shared" si="1"/>
        <v>1417.0999999999985</v>
      </c>
      <c r="AU33" s="17">
        <f t="shared" si="1"/>
        <v>8038</v>
      </c>
      <c r="AV33" s="17">
        <f t="shared" si="1"/>
        <v>15439.999999999938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166.66649999999996</v>
      </c>
      <c r="BC33" s="17">
        <f t="shared" si="1"/>
        <v>308</v>
      </c>
    </row>
    <row r="35" spans="5:55" x14ac:dyDescent="0.25">
      <c r="E35" s="38">
        <f>E33/E37</f>
        <v>0.22500574398466133</v>
      </c>
      <c r="G35" s="29">
        <f>G33-M36</f>
        <v>55997.999999999913</v>
      </c>
      <c r="AE35" s="35">
        <f>SUM(U33:AE33)</f>
        <v>52809.700000000172</v>
      </c>
      <c r="AG35" s="32">
        <f>SUM(AG33:AP33)</f>
        <v>9137.9999999999382</v>
      </c>
    </row>
    <row r="36" spans="5:55" x14ac:dyDescent="0.25">
      <c r="G36" s="29">
        <f>G35-633*14</f>
        <v>47135.999999999913</v>
      </c>
      <c r="M36" s="29">
        <f>M33+N33</f>
        <v>9402.0000000000109</v>
      </c>
    </row>
    <row r="37" spans="5:55" x14ac:dyDescent="0.25">
      <c r="E37" s="17">
        <f>E33+F33+G33+H33+J33-633*14</f>
        <v>252438.0000000002</v>
      </c>
      <c r="G37" s="37">
        <f>M36/E37</f>
        <v>3.7244788819432904E-2</v>
      </c>
      <c r="M37" s="35">
        <f>AE35</f>
        <v>52809.700000000172</v>
      </c>
    </row>
    <row r="38" spans="5:55" x14ac:dyDescent="0.25">
      <c r="L38" s="27">
        <f>M38/E37</f>
        <v>3.6198987474151796E-2</v>
      </c>
      <c r="M38" s="29">
        <f>AG35</f>
        <v>9137.9999999999382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C1" zoomScale="80" zoomScaleNormal="80" workbookViewId="0">
      <pane ySplit="1" topLeftCell="A11" activePane="bottomLeft" state="frozen"/>
      <selection pane="bottomLeft" activeCell="CP34" sqref="CP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>
        <v>2.7923</v>
      </c>
      <c r="L13" s="64">
        <f t="shared" si="46"/>
        <v>1700.0000000000348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>
        <v>2.4382999999999999</v>
      </c>
      <c r="D14" s="64">
        <f t="shared" si="42"/>
        <v>1599.9999999998238</v>
      </c>
      <c r="E14" s="58">
        <v>3.4573999999999998</v>
      </c>
      <c r="F14" s="64">
        <f t="shared" si="43"/>
        <v>2499.9999999999468</v>
      </c>
      <c r="G14" s="58">
        <v>3.5095999999999998</v>
      </c>
      <c r="H14" s="64">
        <f t="shared" si="44"/>
        <v>2299.9999999999686</v>
      </c>
      <c r="I14" s="58">
        <v>1.7330000000000001</v>
      </c>
      <c r="J14" s="64">
        <f t="shared" si="45"/>
        <v>1200.0000000000898</v>
      </c>
      <c r="K14" s="58">
        <v>2.794</v>
      </c>
      <c r="L14" s="64">
        <f t="shared" si="46"/>
        <v>1700.0000000000348</v>
      </c>
      <c r="M14" s="58">
        <v>1.5253000000000001</v>
      </c>
      <c r="N14" s="64">
        <f t="shared" si="47"/>
        <v>900.0000000001229</v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>
        <v>42673</v>
      </c>
      <c r="BF14" s="67">
        <f t="shared" si="81"/>
        <v>22</v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>
        <v>812.31</v>
      </c>
      <c r="CL14" s="64">
        <f t="shared" si="79"/>
        <v>559.99999999994543</v>
      </c>
      <c r="CM14" s="65">
        <f t="shared" si="83"/>
        <v>31.5</v>
      </c>
      <c r="CN14" s="62">
        <v>11</v>
      </c>
      <c r="CO14" s="62">
        <v>31</v>
      </c>
      <c r="CP14" s="68">
        <v>12828.7</v>
      </c>
      <c r="CQ14" s="67">
        <f t="shared" si="80"/>
        <v>19.5</v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>
        <v>2.4403000000000001</v>
      </c>
      <c r="D15" s="64">
        <f t="shared" si="42"/>
        <v>2000.0000000002237</v>
      </c>
      <c r="E15" s="58">
        <v>3.4601000000000002</v>
      </c>
      <c r="F15" s="64">
        <f t="shared" si="43"/>
        <v>2700.0000000003688</v>
      </c>
      <c r="G15" s="58">
        <v>3.5118999999999998</v>
      </c>
      <c r="H15" s="64">
        <f t="shared" si="44"/>
        <v>2299.9999999999686</v>
      </c>
      <c r="I15" s="58">
        <v>1.7343</v>
      </c>
      <c r="J15" s="64">
        <f t="shared" si="45"/>
        <v>1299.9999999998568</v>
      </c>
      <c r="K15" s="58">
        <v>2.7957999999999998</v>
      </c>
      <c r="L15" s="64">
        <f t="shared" si="46"/>
        <v>1799.9999999998017</v>
      </c>
      <c r="M15" s="58">
        <v>1.5262</v>
      </c>
      <c r="N15" s="64">
        <f t="shared" si="47"/>
        <v>899.99999999990087</v>
      </c>
      <c r="O15" s="58">
        <v>14822</v>
      </c>
      <c r="P15" s="67">
        <f t="shared" si="86"/>
        <v>11</v>
      </c>
      <c r="Q15" s="58">
        <v>1224</v>
      </c>
      <c r="R15" s="67">
        <f t="shared" si="48"/>
        <v>4</v>
      </c>
      <c r="S15" s="58">
        <v>1052.5</v>
      </c>
      <c r="T15" s="67">
        <f t="shared" si="49"/>
        <v>0.79999999999995453</v>
      </c>
      <c r="U15" s="58">
        <v>440788.3</v>
      </c>
      <c r="V15" s="67">
        <f t="shared" si="50"/>
        <v>347.79999999998836</v>
      </c>
      <c r="W15" s="58">
        <v>417.61</v>
      </c>
      <c r="X15" s="65">
        <f t="shared" si="51"/>
        <v>290.00000000002046</v>
      </c>
      <c r="Y15" s="58">
        <v>3.0285000000000002</v>
      </c>
      <c r="Z15" s="65">
        <f t="shared" si="52"/>
        <v>2400.0000000001796</v>
      </c>
      <c r="AA15" s="58">
        <v>417.21</v>
      </c>
      <c r="AB15" s="65">
        <f t="shared" si="53"/>
        <v>389.99999999998636</v>
      </c>
      <c r="AC15" s="58">
        <v>390.4</v>
      </c>
      <c r="AD15" s="65">
        <f t="shared" si="54"/>
        <v>250</v>
      </c>
      <c r="AE15" s="58">
        <v>585.42999999999995</v>
      </c>
      <c r="AF15" s="65">
        <f t="shared" si="55"/>
        <v>199.99999999993179</v>
      </c>
      <c r="AG15" s="58">
        <v>7149</v>
      </c>
      <c r="AH15" s="67">
        <f t="shared" si="56"/>
        <v>34</v>
      </c>
      <c r="AI15" s="58">
        <v>659.33</v>
      </c>
      <c r="AJ15" s="65">
        <f t="shared" si="57"/>
        <v>590.00000000003183</v>
      </c>
      <c r="AK15" s="58">
        <v>218.52</v>
      </c>
      <c r="AL15" s="65">
        <f t="shared" si="57"/>
        <v>200.00000000001705</v>
      </c>
      <c r="AM15" s="58">
        <v>206.74</v>
      </c>
      <c r="AN15" s="65">
        <f t="shared" si="57"/>
        <v>129.99999999999545</v>
      </c>
      <c r="AO15" s="58">
        <v>199.53</v>
      </c>
      <c r="AP15" s="65">
        <f t="shared" si="57"/>
        <v>159.99999999999659</v>
      </c>
      <c r="AQ15" s="58">
        <v>258.01</v>
      </c>
      <c r="AR15" s="65">
        <f t="shared" si="58"/>
        <v>89.999999999974989</v>
      </c>
      <c r="AS15" s="58">
        <v>384.75</v>
      </c>
      <c r="AT15" s="65">
        <f t="shared" si="59"/>
        <v>139.99999999998636</v>
      </c>
      <c r="AU15" s="58">
        <v>294.26</v>
      </c>
      <c r="AV15" s="65">
        <f t="shared" si="60"/>
        <v>99.999999999965894</v>
      </c>
      <c r="AW15" s="58">
        <v>326.70999999999998</v>
      </c>
      <c r="AX15" s="65">
        <f t="shared" si="61"/>
        <v>159.99999999996817</v>
      </c>
      <c r="AY15" s="58">
        <v>365.29</v>
      </c>
      <c r="AZ15" s="65">
        <f t="shared" si="62"/>
        <v>129.99999999999545</v>
      </c>
      <c r="BA15" s="58">
        <v>383.5</v>
      </c>
      <c r="BB15" s="65">
        <f t="shared" si="63"/>
        <v>100.00000000002274</v>
      </c>
      <c r="BC15" s="58">
        <v>246.55</v>
      </c>
      <c r="BD15" s="65">
        <f t="shared" si="64"/>
        <v>20.000000000010232</v>
      </c>
      <c r="BE15" s="59">
        <v>42712</v>
      </c>
      <c r="BF15" s="67">
        <f t="shared" si="81"/>
        <v>39</v>
      </c>
      <c r="BG15" s="60">
        <v>237</v>
      </c>
      <c r="BH15" s="65">
        <f t="shared" si="65"/>
        <v>30.000000000001137</v>
      </c>
      <c r="BI15" s="60">
        <v>295.14999999999998</v>
      </c>
      <c r="BJ15" s="65">
        <f t="shared" si="82"/>
        <v>29.999999999972715</v>
      </c>
      <c r="BK15" s="60">
        <v>239.36</v>
      </c>
      <c r="BL15" s="65">
        <f t="shared" si="66"/>
        <v>40.000000000020464</v>
      </c>
      <c r="BM15" s="60">
        <v>226.81</v>
      </c>
      <c r="BN15" s="65">
        <f t="shared" si="67"/>
        <v>39.999999999992042</v>
      </c>
      <c r="BO15" s="60">
        <v>290.85000000000002</v>
      </c>
      <c r="BP15" s="65">
        <f t="shared" si="68"/>
        <v>40.000000000020464</v>
      </c>
      <c r="BQ15" s="60">
        <v>47349</v>
      </c>
      <c r="BR15" s="65">
        <f t="shared" si="69"/>
        <v>27</v>
      </c>
      <c r="BS15" s="60">
        <v>203.24</v>
      </c>
      <c r="BT15" s="65">
        <f t="shared" si="84"/>
        <v>30.000000000001137</v>
      </c>
      <c r="BU15" s="60">
        <v>43550</v>
      </c>
      <c r="BV15" s="65">
        <f t="shared" si="71"/>
        <v>27</v>
      </c>
      <c r="BW15" s="60">
        <v>233.74</v>
      </c>
      <c r="BX15" s="65">
        <f t="shared" si="72"/>
        <v>20.000000000010232</v>
      </c>
      <c r="BY15" s="60">
        <v>63097</v>
      </c>
      <c r="BZ15" s="67">
        <f t="shared" si="73"/>
        <v>22</v>
      </c>
      <c r="CA15" s="60">
        <v>34498.199999999997</v>
      </c>
      <c r="CB15" s="67">
        <f t="shared" si="74"/>
        <v>22.099999999998545</v>
      </c>
      <c r="CC15" s="60">
        <v>12735.3</v>
      </c>
      <c r="CD15" s="67">
        <f t="shared" si="75"/>
        <v>9.0999999999985448</v>
      </c>
      <c r="CE15" s="60">
        <v>6780.4</v>
      </c>
      <c r="CF15" s="67">
        <f t="shared" si="76"/>
        <v>7.1999999999998181</v>
      </c>
      <c r="CG15" s="60">
        <v>62715.1</v>
      </c>
      <c r="CH15" s="67">
        <f t="shared" si="77"/>
        <v>1.2999999999956344</v>
      </c>
      <c r="CI15" s="60">
        <v>969573</v>
      </c>
      <c r="CJ15" s="67">
        <f t="shared" si="78"/>
        <v>264</v>
      </c>
      <c r="CK15" s="60">
        <v>812.88</v>
      </c>
      <c r="CL15" s="64">
        <f t="shared" si="79"/>
        <v>570.00000000005002</v>
      </c>
      <c r="CM15" s="65">
        <f t="shared" si="83"/>
        <v>38.599999999998545</v>
      </c>
      <c r="CN15" s="62">
        <v>14</v>
      </c>
      <c r="CO15" s="62">
        <v>34</v>
      </c>
      <c r="CP15" s="68">
        <v>12853.3</v>
      </c>
      <c r="CQ15" s="67">
        <f t="shared" si="80"/>
        <v>24.599999999998545</v>
      </c>
      <c r="CR15" s="68">
        <v>15894</v>
      </c>
      <c r="CS15" s="67">
        <f t="shared" si="80"/>
        <v>14</v>
      </c>
      <c r="CT15" s="75">
        <v>7298</v>
      </c>
      <c r="CU15" s="67">
        <f t="shared" si="80"/>
        <v>10</v>
      </c>
      <c r="CV15" s="68">
        <v>17544</v>
      </c>
      <c r="CW15" s="67">
        <f t="shared" si="80"/>
        <v>19</v>
      </c>
    </row>
    <row r="16" spans="1:102" ht="25.5" customHeight="1" thickBot="1" x14ac:dyDescent="0.45">
      <c r="A16" s="63">
        <v>44452</v>
      </c>
      <c r="B16" s="44"/>
      <c r="C16" s="58">
        <v>2.4422000000000001</v>
      </c>
      <c r="D16" s="64">
        <f t="shared" si="42"/>
        <v>1900.0000000000127</v>
      </c>
      <c r="E16" s="58">
        <v>3.4628000000000001</v>
      </c>
      <c r="F16" s="64">
        <f t="shared" si="43"/>
        <v>2699.9999999999245</v>
      </c>
      <c r="G16" s="58">
        <v>3.5141</v>
      </c>
      <c r="H16" s="64">
        <f t="shared" si="44"/>
        <v>2200.0000000002019</v>
      </c>
      <c r="I16" s="58">
        <v>1.7355</v>
      </c>
      <c r="J16" s="64">
        <f t="shared" si="45"/>
        <v>1200.0000000000898</v>
      </c>
      <c r="K16" s="58">
        <v>2.7976000000000001</v>
      </c>
      <c r="L16" s="64">
        <f t="shared" si="46"/>
        <v>1800.0000000002458</v>
      </c>
      <c r="M16" s="58">
        <v>1.5270999999999999</v>
      </c>
      <c r="N16" s="64">
        <f t="shared" si="47"/>
        <v>899.99999999990087</v>
      </c>
      <c r="O16" s="58">
        <v>14828</v>
      </c>
      <c r="P16" s="67">
        <f t="shared" si="86"/>
        <v>6</v>
      </c>
      <c r="Q16" s="58">
        <v>1227</v>
      </c>
      <c r="R16" s="67">
        <f t="shared" si="48"/>
        <v>3</v>
      </c>
      <c r="S16" s="58">
        <v>1053.3</v>
      </c>
      <c r="T16" s="67">
        <f t="shared" si="49"/>
        <v>0.79999999999995453</v>
      </c>
      <c r="U16" s="58">
        <v>441089.4</v>
      </c>
      <c r="V16" s="67">
        <f t="shared" si="50"/>
        <v>301.10000000003492</v>
      </c>
      <c r="W16" s="58">
        <v>417.88</v>
      </c>
      <c r="X16" s="65">
        <f t="shared" si="51"/>
        <v>269.99999999998181</v>
      </c>
      <c r="Y16" s="58">
        <v>3.0310000000000001</v>
      </c>
      <c r="Z16" s="65">
        <f t="shared" si="52"/>
        <v>2499.9999999999468</v>
      </c>
      <c r="AA16" s="58">
        <v>417.59</v>
      </c>
      <c r="AB16" s="65">
        <f t="shared" si="53"/>
        <v>379.99999999999545</v>
      </c>
      <c r="AC16" s="58">
        <v>390.63</v>
      </c>
      <c r="AD16" s="65">
        <f t="shared" si="54"/>
        <v>230.00000000001819</v>
      </c>
      <c r="AE16" s="58">
        <v>585.65</v>
      </c>
      <c r="AF16" s="65">
        <f t="shared" si="55"/>
        <v>220.00000000002728</v>
      </c>
      <c r="AG16" s="58">
        <v>7184</v>
      </c>
      <c r="AH16" s="67">
        <f t="shared" si="56"/>
        <v>35</v>
      </c>
      <c r="AI16" s="58">
        <v>659.76</v>
      </c>
      <c r="AJ16" s="65">
        <f t="shared" si="57"/>
        <v>429.99999999994998</v>
      </c>
      <c r="AK16" s="58">
        <v>218.71</v>
      </c>
      <c r="AL16" s="65">
        <f t="shared" si="57"/>
        <v>189.99999999999773</v>
      </c>
      <c r="AM16" s="58">
        <v>206.88</v>
      </c>
      <c r="AN16" s="65">
        <f t="shared" si="57"/>
        <v>139.99999999998636</v>
      </c>
      <c r="AO16" s="58">
        <v>199.68</v>
      </c>
      <c r="AP16" s="65">
        <f t="shared" si="57"/>
        <v>150.00000000000568</v>
      </c>
      <c r="AQ16" s="58">
        <v>258.08</v>
      </c>
      <c r="AR16" s="65">
        <f t="shared" si="58"/>
        <v>69.999999999993179</v>
      </c>
      <c r="AS16" s="58">
        <v>384.93</v>
      </c>
      <c r="AT16" s="65">
        <f t="shared" si="59"/>
        <v>180.00000000000682</v>
      </c>
      <c r="AU16" s="58">
        <v>294.33999999999997</v>
      </c>
      <c r="AV16" s="65">
        <f t="shared" si="60"/>
        <v>79.999999999984084</v>
      </c>
      <c r="AW16" s="58">
        <v>326.87</v>
      </c>
      <c r="AX16" s="65">
        <f t="shared" si="61"/>
        <v>160.00000000002501</v>
      </c>
      <c r="AY16" s="58">
        <v>365.4</v>
      </c>
      <c r="AZ16" s="65">
        <f t="shared" si="62"/>
        <v>109.9999999999568</v>
      </c>
      <c r="BA16" s="58">
        <v>383.6</v>
      </c>
      <c r="BB16" s="65">
        <f t="shared" si="63"/>
        <v>100.00000000002274</v>
      </c>
      <c r="BC16" s="58">
        <v>246.58</v>
      </c>
      <c r="BD16" s="65">
        <f t="shared" si="64"/>
        <v>30.000000000001137</v>
      </c>
      <c r="BE16" s="59">
        <v>42750</v>
      </c>
      <c r="BF16" s="67">
        <f t="shared" si="81"/>
        <v>38</v>
      </c>
      <c r="BG16" s="60">
        <v>237.03</v>
      </c>
      <c r="BH16" s="65">
        <f t="shared" si="65"/>
        <v>30.000000000001137</v>
      </c>
      <c r="BI16" s="60">
        <v>295.17</v>
      </c>
      <c r="BJ16" s="65">
        <f t="shared" si="82"/>
        <v>20.000000000038654</v>
      </c>
      <c r="BK16" s="60">
        <v>239.39</v>
      </c>
      <c r="BL16" s="65">
        <f t="shared" si="66"/>
        <v>29.999999999972715</v>
      </c>
      <c r="BM16" s="60">
        <v>226.85</v>
      </c>
      <c r="BN16" s="65">
        <f t="shared" si="67"/>
        <v>39.999999999992042</v>
      </c>
      <c r="BO16" s="60">
        <v>290.89</v>
      </c>
      <c r="BP16" s="65">
        <f t="shared" si="68"/>
        <v>39.99999999996362</v>
      </c>
      <c r="BQ16" s="60">
        <v>47379</v>
      </c>
      <c r="BR16" s="65">
        <f t="shared" si="69"/>
        <v>30</v>
      </c>
      <c r="BS16" s="60">
        <v>203.27</v>
      </c>
      <c r="BT16" s="65">
        <f t="shared" si="84"/>
        <v>30.000000000001137</v>
      </c>
      <c r="BU16" s="60">
        <v>43585</v>
      </c>
      <c r="BV16" s="65">
        <f t="shared" si="71"/>
        <v>35</v>
      </c>
      <c r="BW16" s="60">
        <v>233.76</v>
      </c>
      <c r="BX16" s="65">
        <f t="shared" si="72"/>
        <v>19.99999999998181</v>
      </c>
      <c r="BY16" s="60">
        <v>63120</v>
      </c>
      <c r="BZ16" s="67">
        <f t="shared" si="73"/>
        <v>23</v>
      </c>
      <c r="CA16" s="60">
        <v>34523.4</v>
      </c>
      <c r="CB16" s="67">
        <f t="shared" si="74"/>
        <v>25.200000000004366</v>
      </c>
      <c r="CC16" s="60">
        <v>12748</v>
      </c>
      <c r="CD16" s="67">
        <f t="shared" si="75"/>
        <v>12.700000000000728</v>
      </c>
      <c r="CE16" s="60">
        <v>6780.4</v>
      </c>
      <c r="CF16" s="67">
        <f t="shared" si="76"/>
        <v>0</v>
      </c>
      <c r="CG16" s="60">
        <v>62839.199999999997</v>
      </c>
      <c r="CH16" s="67">
        <f t="shared" si="77"/>
        <v>124.09999999999854</v>
      </c>
      <c r="CI16" s="60">
        <v>969854</v>
      </c>
      <c r="CJ16" s="67">
        <f t="shared" si="78"/>
        <v>281</v>
      </c>
      <c r="CK16" s="60">
        <v>813.73</v>
      </c>
      <c r="CL16" s="64">
        <f t="shared" si="79"/>
        <v>850.00000000002274</v>
      </c>
      <c r="CM16" s="65">
        <f t="shared" si="83"/>
        <v>69.700000000000728</v>
      </c>
      <c r="CN16" s="62">
        <v>14</v>
      </c>
      <c r="CO16" s="62">
        <v>34</v>
      </c>
      <c r="CP16" s="68">
        <v>12905</v>
      </c>
      <c r="CQ16" s="67">
        <f t="shared" si="80"/>
        <v>51.700000000000728</v>
      </c>
      <c r="CR16" s="68">
        <v>15912</v>
      </c>
      <c r="CS16" s="67">
        <f t="shared" si="80"/>
        <v>18</v>
      </c>
      <c r="CT16" s="75">
        <v>7308</v>
      </c>
      <c r="CU16" s="67">
        <f t="shared" si="80"/>
        <v>10</v>
      </c>
      <c r="CV16" s="68">
        <v>17564</v>
      </c>
      <c r="CW16" s="67">
        <f t="shared" si="80"/>
        <v>20</v>
      </c>
    </row>
    <row r="17" spans="1:101" ht="25.5" customHeight="1" thickBot="1" x14ac:dyDescent="0.45">
      <c r="A17" s="63">
        <v>44453</v>
      </c>
      <c r="B17" s="44"/>
      <c r="C17" s="58">
        <v>2.4443999999999999</v>
      </c>
      <c r="D17" s="64">
        <f t="shared" si="42"/>
        <v>2199.9999999997576</v>
      </c>
      <c r="E17" s="58">
        <v>3.4658000000000002</v>
      </c>
      <c r="F17" s="64">
        <f t="shared" si="43"/>
        <v>3000.0000000001137</v>
      </c>
      <c r="G17" s="58">
        <v>3.5167999999999999</v>
      </c>
      <c r="H17" s="64">
        <f t="shared" si="44"/>
        <v>2699.9999999999245</v>
      </c>
      <c r="I17" s="58">
        <v>1.7369000000000001</v>
      </c>
      <c r="J17" s="64">
        <f t="shared" si="45"/>
        <v>1400.0000000000678</v>
      </c>
      <c r="K17" s="58">
        <v>2.7995000000000001</v>
      </c>
      <c r="L17" s="64">
        <f t="shared" si="46"/>
        <v>1900.0000000000127</v>
      </c>
      <c r="M17" s="58">
        <v>1.528</v>
      </c>
      <c r="N17" s="64">
        <f t="shared" si="47"/>
        <v>900.0000000001229</v>
      </c>
      <c r="O17" s="58">
        <v>14845</v>
      </c>
      <c r="P17" s="67">
        <f t="shared" si="86"/>
        <v>17</v>
      </c>
      <c r="Q17" s="58">
        <v>1230</v>
      </c>
      <c r="R17" s="67">
        <f t="shared" si="48"/>
        <v>3</v>
      </c>
      <c r="S17" s="58">
        <v>1054.4000000000001</v>
      </c>
      <c r="T17" s="67">
        <f t="shared" si="49"/>
        <v>1.1000000000001364</v>
      </c>
      <c r="U17" s="58">
        <v>441531.6</v>
      </c>
      <c r="V17" s="67">
        <f t="shared" si="50"/>
        <v>442.19999999995343</v>
      </c>
      <c r="W17" s="58">
        <v>418.15</v>
      </c>
      <c r="X17" s="65">
        <f t="shared" si="51"/>
        <v>269.99999999998181</v>
      </c>
      <c r="Y17" s="58">
        <v>3.0337000000000001</v>
      </c>
      <c r="Z17" s="65">
        <f t="shared" si="52"/>
        <v>2699.9999999999245</v>
      </c>
      <c r="AA17" s="58">
        <v>417.84</v>
      </c>
      <c r="AB17" s="65">
        <f t="shared" si="53"/>
        <v>250</v>
      </c>
      <c r="AC17" s="58">
        <v>390.91</v>
      </c>
      <c r="AD17" s="65">
        <f t="shared" si="54"/>
        <v>280.00000000002956</v>
      </c>
      <c r="AE17" s="58">
        <v>585.85</v>
      </c>
      <c r="AF17" s="65">
        <f t="shared" si="55"/>
        <v>200.00000000004547</v>
      </c>
      <c r="AG17" s="58">
        <v>7220</v>
      </c>
      <c r="AH17" s="67">
        <f t="shared" si="56"/>
        <v>36</v>
      </c>
      <c r="AI17" s="58">
        <v>660.18</v>
      </c>
      <c r="AJ17" s="65">
        <f t="shared" si="57"/>
        <v>419.99999999995907</v>
      </c>
      <c r="AK17" s="58">
        <v>218.96</v>
      </c>
      <c r="AL17" s="65">
        <f t="shared" si="57"/>
        <v>250</v>
      </c>
      <c r="AM17" s="58">
        <v>207.04</v>
      </c>
      <c r="AN17" s="65">
        <f t="shared" si="57"/>
        <v>159.99999999999659</v>
      </c>
      <c r="AO17" s="58">
        <v>199.85</v>
      </c>
      <c r="AP17" s="65">
        <f t="shared" si="57"/>
        <v>169.99999999998749</v>
      </c>
      <c r="AQ17" s="58">
        <v>258.18</v>
      </c>
      <c r="AR17" s="65">
        <f t="shared" si="58"/>
        <v>100.00000000002274</v>
      </c>
      <c r="AS17" s="58">
        <v>385.25</v>
      </c>
      <c r="AT17" s="65">
        <f t="shared" si="59"/>
        <v>319.99999999999318</v>
      </c>
      <c r="AU17" s="58">
        <v>294.44</v>
      </c>
      <c r="AV17" s="65">
        <f t="shared" si="60"/>
        <v>100.00000000002274</v>
      </c>
      <c r="AW17" s="58">
        <v>327.06</v>
      </c>
      <c r="AX17" s="65">
        <f t="shared" si="61"/>
        <v>189.99999999999773</v>
      </c>
      <c r="AY17" s="58">
        <v>365.54</v>
      </c>
      <c r="AZ17" s="65">
        <f t="shared" si="62"/>
        <v>140.0000000000432</v>
      </c>
      <c r="BA17" s="58">
        <v>383.7</v>
      </c>
      <c r="BB17" s="65">
        <f t="shared" si="63"/>
        <v>99.999999999965894</v>
      </c>
      <c r="BC17" s="58">
        <v>246.61</v>
      </c>
      <c r="BD17" s="65">
        <f t="shared" si="64"/>
        <v>30.000000000001137</v>
      </c>
      <c r="BE17" s="59">
        <v>42780</v>
      </c>
      <c r="BF17" s="67">
        <f t="shared" si="81"/>
        <v>30</v>
      </c>
      <c r="BG17" s="60">
        <v>237.06</v>
      </c>
      <c r="BH17" s="65">
        <f t="shared" si="65"/>
        <v>30.000000000001137</v>
      </c>
      <c r="BI17" s="60">
        <v>295.19</v>
      </c>
      <c r="BJ17" s="65">
        <f t="shared" si="82"/>
        <v>19.99999999998181</v>
      </c>
      <c r="BK17" s="60">
        <v>239.43</v>
      </c>
      <c r="BL17" s="65">
        <f t="shared" si="66"/>
        <v>40.000000000020464</v>
      </c>
      <c r="BM17" s="60">
        <v>226.89</v>
      </c>
      <c r="BN17" s="65">
        <f t="shared" si="67"/>
        <v>39.999999999992042</v>
      </c>
      <c r="BO17" s="60">
        <v>290.94</v>
      </c>
      <c r="BP17" s="65">
        <f t="shared" si="68"/>
        <v>50.000000000011369</v>
      </c>
      <c r="BQ17" s="60">
        <v>47406</v>
      </c>
      <c r="BR17" s="65">
        <f t="shared" si="69"/>
        <v>27</v>
      </c>
      <c r="BS17" s="60">
        <v>203.3</v>
      </c>
      <c r="BT17" s="65">
        <f t="shared" si="84"/>
        <v>30.000000000001137</v>
      </c>
      <c r="BU17" s="60">
        <v>43620</v>
      </c>
      <c r="BV17" s="65">
        <f t="shared" si="71"/>
        <v>35</v>
      </c>
      <c r="BW17" s="60">
        <v>233.79</v>
      </c>
      <c r="BX17" s="65">
        <f t="shared" si="72"/>
        <v>30.000000000001137</v>
      </c>
      <c r="BY17" s="60">
        <v>63146</v>
      </c>
      <c r="BZ17" s="67">
        <f t="shared" si="73"/>
        <v>26</v>
      </c>
      <c r="CA17" s="60">
        <v>34538.9</v>
      </c>
      <c r="CB17" s="67">
        <f t="shared" si="74"/>
        <v>15.5</v>
      </c>
      <c r="CC17" s="60">
        <v>12757</v>
      </c>
      <c r="CD17" s="67">
        <f t="shared" si="75"/>
        <v>9</v>
      </c>
      <c r="CE17" s="60">
        <v>6782.4</v>
      </c>
      <c r="CF17" s="67">
        <f t="shared" si="76"/>
        <v>2</v>
      </c>
      <c r="CG17" s="60">
        <v>62891.6</v>
      </c>
      <c r="CH17" s="67">
        <f t="shared" si="77"/>
        <v>52.400000000001455</v>
      </c>
      <c r="CI17" s="60">
        <v>970189</v>
      </c>
      <c r="CJ17" s="67">
        <f t="shared" si="78"/>
        <v>335</v>
      </c>
      <c r="CK17" s="60">
        <v>813.91</v>
      </c>
      <c r="CL17" s="64">
        <f t="shared" si="79"/>
        <v>179.99999999994998</v>
      </c>
      <c r="CM17" s="65">
        <f t="shared" si="83"/>
        <v>29</v>
      </c>
      <c r="CN17" s="62">
        <v>14</v>
      </c>
      <c r="CO17" s="62">
        <v>34</v>
      </c>
      <c r="CP17" s="68">
        <v>12916</v>
      </c>
      <c r="CQ17" s="67">
        <f t="shared" si="80"/>
        <v>11</v>
      </c>
      <c r="CR17" s="68">
        <v>15930</v>
      </c>
      <c r="CS17" s="67">
        <f t="shared" si="80"/>
        <v>18</v>
      </c>
      <c r="CT17" s="75">
        <v>7318</v>
      </c>
      <c r="CU17" s="67">
        <f t="shared" si="80"/>
        <v>10</v>
      </c>
      <c r="CV17" s="68">
        <v>17586</v>
      </c>
      <c r="CW17" s="67">
        <f t="shared" si="80"/>
        <v>22</v>
      </c>
    </row>
    <row r="18" spans="1:101" ht="25.5" customHeight="1" thickBot="1" x14ac:dyDescent="0.45">
      <c r="A18" s="63">
        <v>44454</v>
      </c>
      <c r="B18" s="44"/>
      <c r="C18" s="58">
        <v>2.4464999999999999</v>
      </c>
      <c r="D18" s="64">
        <f t="shared" si="42"/>
        <v>2099.9999999999909</v>
      </c>
      <c r="E18" s="58">
        <v>3.4687000000000001</v>
      </c>
      <c r="F18" s="64">
        <f t="shared" si="43"/>
        <v>2899.9999999999027</v>
      </c>
      <c r="G18" s="58">
        <v>3.5192999999999999</v>
      </c>
      <c r="H18" s="64">
        <f t="shared" si="44"/>
        <v>2499.9999999999468</v>
      </c>
      <c r="I18" s="58">
        <v>1.7383</v>
      </c>
      <c r="J18" s="64">
        <f t="shared" si="45"/>
        <v>1399.9999999998458</v>
      </c>
      <c r="K18" s="58">
        <v>2.8014000000000001</v>
      </c>
      <c r="L18" s="64">
        <f t="shared" si="46"/>
        <v>1900.0000000000127</v>
      </c>
      <c r="M18" s="58">
        <v>1.5288999999999999</v>
      </c>
      <c r="N18" s="64">
        <f t="shared" si="47"/>
        <v>899.99999999990087</v>
      </c>
      <c r="O18" s="58">
        <v>14851</v>
      </c>
      <c r="P18" s="67">
        <f t="shared" si="86"/>
        <v>6</v>
      </c>
      <c r="Q18" s="58">
        <v>1234</v>
      </c>
      <c r="R18" s="67">
        <f t="shared" si="48"/>
        <v>4</v>
      </c>
      <c r="S18" s="58">
        <v>1055.2</v>
      </c>
      <c r="T18" s="67">
        <f t="shared" si="49"/>
        <v>0.79999999999995453</v>
      </c>
      <c r="U18" s="58">
        <v>441866.7</v>
      </c>
      <c r="V18" s="67">
        <f t="shared" si="50"/>
        <v>335.10000000003492</v>
      </c>
      <c r="W18" s="58">
        <v>418.43</v>
      </c>
      <c r="X18" s="65">
        <f t="shared" si="51"/>
        <v>280.00000000002956</v>
      </c>
      <c r="Y18" s="58">
        <v>3.0363000000000002</v>
      </c>
      <c r="Z18" s="65">
        <f t="shared" si="52"/>
        <v>2600.0000000001578</v>
      </c>
      <c r="AA18" s="58">
        <v>418.19</v>
      </c>
      <c r="AB18" s="65">
        <f t="shared" si="53"/>
        <v>350.00000000002274</v>
      </c>
      <c r="AC18" s="58">
        <v>391.18</v>
      </c>
      <c r="AD18" s="65">
        <f t="shared" si="54"/>
        <v>269.99999999998181</v>
      </c>
      <c r="AE18" s="58">
        <v>586.03</v>
      </c>
      <c r="AF18" s="65">
        <f t="shared" si="55"/>
        <v>179.99999999994998</v>
      </c>
      <c r="AG18" s="58">
        <v>7258</v>
      </c>
      <c r="AH18" s="67">
        <f t="shared" si="56"/>
        <v>38</v>
      </c>
      <c r="AI18" s="58">
        <v>660.6</v>
      </c>
      <c r="AJ18" s="65">
        <f t="shared" si="57"/>
        <v>420.00000000007276</v>
      </c>
      <c r="AK18" s="58">
        <v>219.18</v>
      </c>
      <c r="AL18" s="65">
        <f t="shared" si="57"/>
        <v>219.99999999999886</v>
      </c>
      <c r="AM18" s="58">
        <v>207.19</v>
      </c>
      <c r="AN18" s="65">
        <f t="shared" si="57"/>
        <v>150.00000000000568</v>
      </c>
      <c r="AO18" s="58">
        <v>200.02</v>
      </c>
      <c r="AP18" s="65">
        <f t="shared" si="57"/>
        <v>170.00000000001592</v>
      </c>
      <c r="AQ18" s="58">
        <v>258.3</v>
      </c>
      <c r="AR18" s="65">
        <f t="shared" si="58"/>
        <v>120.00000000000455</v>
      </c>
      <c r="AS18" s="58">
        <v>385.5</v>
      </c>
      <c r="AT18" s="65">
        <f t="shared" si="59"/>
        <v>250</v>
      </c>
      <c r="AU18" s="58">
        <v>294.54000000000002</v>
      </c>
      <c r="AV18" s="65">
        <f t="shared" si="60"/>
        <v>100.00000000002274</v>
      </c>
      <c r="AW18" s="58">
        <v>327.2</v>
      </c>
      <c r="AX18" s="65">
        <f t="shared" si="61"/>
        <v>139.99999999998636</v>
      </c>
      <c r="AY18" s="58">
        <v>365.66</v>
      </c>
      <c r="AZ18" s="65">
        <f t="shared" si="62"/>
        <v>120.00000000000455</v>
      </c>
      <c r="BA18" s="58">
        <v>383.81</v>
      </c>
      <c r="BB18" s="65">
        <f t="shared" si="63"/>
        <v>110.00000000001364</v>
      </c>
      <c r="BC18" s="58">
        <v>246.64</v>
      </c>
      <c r="BD18" s="65">
        <f t="shared" si="64"/>
        <v>29.999999999972715</v>
      </c>
      <c r="BE18" s="59">
        <v>42816</v>
      </c>
      <c r="BF18" s="67">
        <f t="shared" si="81"/>
        <v>36</v>
      </c>
      <c r="BG18" s="60">
        <v>237.09</v>
      </c>
      <c r="BH18" s="65">
        <f t="shared" si="65"/>
        <v>30.000000000001137</v>
      </c>
      <c r="BI18" s="60">
        <v>295.22000000000003</v>
      </c>
      <c r="BJ18" s="65">
        <f t="shared" si="82"/>
        <v>30.000000000029559</v>
      </c>
      <c r="BK18" s="60">
        <v>239.47</v>
      </c>
      <c r="BL18" s="65">
        <f t="shared" si="66"/>
        <v>39.999999999992042</v>
      </c>
      <c r="BM18" s="60">
        <v>226.93</v>
      </c>
      <c r="BN18" s="65">
        <f t="shared" si="67"/>
        <v>40.000000000020464</v>
      </c>
      <c r="BO18" s="60">
        <v>290.99</v>
      </c>
      <c r="BP18" s="65">
        <f t="shared" si="68"/>
        <v>50.000000000011369</v>
      </c>
      <c r="BQ18" s="60">
        <v>47430</v>
      </c>
      <c r="BR18" s="65">
        <f t="shared" si="69"/>
        <v>24</v>
      </c>
      <c r="BS18" s="60">
        <v>203.32</v>
      </c>
      <c r="BT18" s="65">
        <f t="shared" si="84"/>
        <v>19.99999999998181</v>
      </c>
      <c r="BU18" s="60">
        <v>43651</v>
      </c>
      <c r="BV18" s="65">
        <f t="shared" si="71"/>
        <v>31</v>
      </c>
      <c r="BW18" s="60">
        <v>233.82</v>
      </c>
      <c r="BX18" s="65">
        <f t="shared" si="72"/>
        <v>30.000000000001137</v>
      </c>
      <c r="BY18" s="60">
        <v>63168</v>
      </c>
      <c r="BZ18" s="67">
        <f t="shared" si="73"/>
        <v>22</v>
      </c>
      <c r="CA18" s="60">
        <v>34568.699999999997</v>
      </c>
      <c r="CB18" s="67">
        <f t="shared" si="74"/>
        <v>29.799999999995634</v>
      </c>
      <c r="CC18" s="60">
        <v>12767.2</v>
      </c>
      <c r="CD18" s="67">
        <f t="shared" si="75"/>
        <v>10.200000000000728</v>
      </c>
      <c r="CE18" s="60">
        <v>6782.4</v>
      </c>
      <c r="CF18" s="67">
        <f t="shared" si="76"/>
        <v>0</v>
      </c>
      <c r="CG18" s="60">
        <v>62950.6</v>
      </c>
      <c r="CH18" s="67">
        <f t="shared" si="77"/>
        <v>59</v>
      </c>
      <c r="CI18" s="60">
        <v>970510</v>
      </c>
      <c r="CJ18" s="67">
        <f t="shared" si="78"/>
        <v>321</v>
      </c>
      <c r="CK18" s="60">
        <v>814.52</v>
      </c>
      <c r="CL18" s="64">
        <f t="shared" si="79"/>
        <v>610.00000000001364</v>
      </c>
      <c r="CM18" s="65">
        <f t="shared" si="83"/>
        <v>41.100000000000364</v>
      </c>
      <c r="CN18" s="62">
        <v>17</v>
      </c>
      <c r="CO18" s="62">
        <v>45</v>
      </c>
      <c r="CP18" s="68">
        <v>12943.1</v>
      </c>
      <c r="CQ18" s="67">
        <f t="shared" si="80"/>
        <v>27.100000000000364</v>
      </c>
      <c r="CR18" s="68">
        <v>15944</v>
      </c>
      <c r="CS18" s="67">
        <f t="shared" si="80"/>
        <v>14</v>
      </c>
      <c r="CT18" s="75">
        <v>7327</v>
      </c>
      <c r="CU18" s="67">
        <f t="shared" si="80"/>
        <v>9</v>
      </c>
      <c r="CV18" s="68">
        <v>17610</v>
      </c>
      <c r="CW18" s="67">
        <f t="shared" si="80"/>
        <v>24</v>
      </c>
    </row>
    <row r="19" spans="1:101" ht="25.5" customHeight="1" thickBot="1" x14ac:dyDescent="0.45">
      <c r="A19" s="63">
        <v>44455</v>
      </c>
      <c r="B19" s="44"/>
      <c r="C19" s="58">
        <v>2.4485999999999999</v>
      </c>
      <c r="D19" s="64">
        <f t="shared" si="42"/>
        <v>2099.9999999999909</v>
      </c>
      <c r="E19" s="58">
        <v>3.4716</v>
      </c>
      <c r="F19" s="64">
        <f t="shared" si="43"/>
        <v>2899.9999999999027</v>
      </c>
      <c r="G19" s="58">
        <v>3.5219</v>
      </c>
      <c r="H19" s="64">
        <f t="shared" si="44"/>
        <v>2600.0000000001578</v>
      </c>
      <c r="I19" s="58">
        <v>1.7397</v>
      </c>
      <c r="J19" s="64">
        <f t="shared" si="45"/>
        <v>1400.0000000000678</v>
      </c>
      <c r="K19" s="58">
        <v>2.8033000000000001</v>
      </c>
      <c r="L19" s="64">
        <f t="shared" si="46"/>
        <v>1900.0000000000127</v>
      </c>
      <c r="M19" s="58">
        <v>1.5297000000000001</v>
      </c>
      <c r="N19" s="64">
        <f t="shared" si="47"/>
        <v>800.00000000013392</v>
      </c>
      <c r="O19" s="58">
        <v>14860</v>
      </c>
      <c r="P19" s="67">
        <f t="shared" si="86"/>
        <v>9</v>
      </c>
      <c r="Q19" s="58">
        <v>1238</v>
      </c>
      <c r="R19" s="67">
        <f t="shared" si="48"/>
        <v>4</v>
      </c>
      <c r="S19" s="58">
        <v>1056.0999999999999</v>
      </c>
      <c r="T19" s="67">
        <f t="shared" si="49"/>
        <v>0.89999999999986358</v>
      </c>
      <c r="U19" s="58">
        <v>442202.6</v>
      </c>
      <c r="V19" s="67">
        <f t="shared" si="50"/>
        <v>335.89999999996508</v>
      </c>
      <c r="W19" s="58">
        <v>418.78</v>
      </c>
      <c r="X19" s="65">
        <f t="shared" si="51"/>
        <v>349.99999999996589</v>
      </c>
      <c r="Y19" s="58">
        <v>3.0388000000000002</v>
      </c>
      <c r="Z19" s="65">
        <f t="shared" si="52"/>
        <v>2499.9999999999468</v>
      </c>
      <c r="AA19" s="58">
        <v>418.44</v>
      </c>
      <c r="AB19" s="65">
        <f t="shared" si="53"/>
        <v>250</v>
      </c>
      <c r="AC19" s="58">
        <v>391.51</v>
      </c>
      <c r="AD19" s="65">
        <f t="shared" si="54"/>
        <v>329.99999999998408</v>
      </c>
      <c r="AE19" s="58">
        <v>586.23</v>
      </c>
      <c r="AF19" s="65">
        <f t="shared" si="55"/>
        <v>200.00000000004547</v>
      </c>
      <c r="AG19" s="58">
        <v>7299</v>
      </c>
      <c r="AH19" s="67">
        <f t="shared" si="56"/>
        <v>41</v>
      </c>
      <c r="AI19" s="58">
        <v>660.98</v>
      </c>
      <c r="AJ19" s="65">
        <f t="shared" si="57"/>
        <v>379.99999999999545</v>
      </c>
      <c r="AK19" s="58">
        <v>219.41</v>
      </c>
      <c r="AL19" s="65">
        <f t="shared" si="57"/>
        <v>229.99999999998977</v>
      </c>
      <c r="AM19" s="58">
        <v>207.44</v>
      </c>
      <c r="AN19" s="65">
        <f t="shared" si="57"/>
        <v>250</v>
      </c>
      <c r="AO19" s="58">
        <v>200.2</v>
      </c>
      <c r="AP19" s="65">
        <f t="shared" si="57"/>
        <v>179.9999999999784</v>
      </c>
      <c r="AQ19" s="58">
        <v>258.44</v>
      </c>
      <c r="AR19" s="65">
        <f t="shared" si="58"/>
        <v>139.99999999998636</v>
      </c>
      <c r="AS19" s="58">
        <v>385.76</v>
      </c>
      <c r="AT19" s="65">
        <f t="shared" si="59"/>
        <v>259.99999999999091</v>
      </c>
      <c r="AU19" s="58">
        <v>294.67</v>
      </c>
      <c r="AV19" s="65">
        <f t="shared" si="60"/>
        <v>129.99999999999545</v>
      </c>
      <c r="AW19" s="58">
        <v>327.37</v>
      </c>
      <c r="AX19" s="65">
        <f t="shared" si="61"/>
        <v>170.00000000001592</v>
      </c>
      <c r="AY19" s="58">
        <v>365.78</v>
      </c>
      <c r="AZ19" s="65">
        <f t="shared" si="62"/>
        <v>119.9999999999477</v>
      </c>
      <c r="BA19" s="58">
        <v>383.94</v>
      </c>
      <c r="BB19" s="65">
        <f t="shared" si="63"/>
        <v>129.99999999999545</v>
      </c>
      <c r="BC19" s="58">
        <v>246.68</v>
      </c>
      <c r="BD19" s="65">
        <f t="shared" si="64"/>
        <v>40.000000000020464</v>
      </c>
      <c r="BE19" s="59">
        <v>42859</v>
      </c>
      <c r="BF19" s="67">
        <f t="shared" si="81"/>
        <v>43</v>
      </c>
      <c r="BG19" s="60">
        <v>237.12</v>
      </c>
      <c r="BH19" s="65">
        <f t="shared" si="65"/>
        <v>30.000000000001137</v>
      </c>
      <c r="BI19" s="60">
        <v>295.24</v>
      </c>
      <c r="BJ19" s="65">
        <f t="shared" si="82"/>
        <v>19.99999999998181</v>
      </c>
      <c r="BK19" s="60">
        <v>239.51</v>
      </c>
      <c r="BL19" s="65">
        <f t="shared" si="66"/>
        <v>39.999999999992042</v>
      </c>
      <c r="BM19" s="60">
        <v>226.97</v>
      </c>
      <c r="BN19" s="65">
        <f t="shared" si="67"/>
        <v>39.999999999992042</v>
      </c>
      <c r="BO19" s="60">
        <v>291.04000000000002</v>
      </c>
      <c r="BP19" s="65">
        <f t="shared" si="68"/>
        <v>50.000000000011369</v>
      </c>
      <c r="BQ19" s="60">
        <v>47456</v>
      </c>
      <c r="BR19" s="65">
        <f t="shared" si="69"/>
        <v>26</v>
      </c>
      <c r="BS19" s="60">
        <v>203.36</v>
      </c>
      <c r="BT19" s="65">
        <f t="shared" si="84"/>
        <v>40.000000000020464</v>
      </c>
      <c r="BU19" s="60">
        <v>43688</v>
      </c>
      <c r="BV19" s="65">
        <f t="shared" si="71"/>
        <v>37</v>
      </c>
      <c r="BW19" s="60">
        <v>233.83</v>
      </c>
      <c r="BX19" s="65">
        <f t="shared" si="72"/>
        <v>10.000000000019327</v>
      </c>
      <c r="BY19" s="60">
        <v>63187</v>
      </c>
      <c r="BZ19" s="67">
        <f t="shared" si="73"/>
        <v>19</v>
      </c>
      <c r="CA19" s="60">
        <v>34587.4</v>
      </c>
      <c r="CB19" s="67">
        <f t="shared" si="74"/>
        <v>18.700000000004366</v>
      </c>
      <c r="CC19" s="60">
        <v>12778.8</v>
      </c>
      <c r="CD19" s="67">
        <f t="shared" si="75"/>
        <v>11.599999999998545</v>
      </c>
      <c r="CE19" s="60">
        <v>6790.1</v>
      </c>
      <c r="CF19" s="67">
        <f t="shared" si="76"/>
        <v>7.7000000000007276</v>
      </c>
      <c r="CG19" s="60">
        <v>63004.5</v>
      </c>
      <c r="CH19" s="67">
        <f t="shared" si="77"/>
        <v>53.900000000001455</v>
      </c>
      <c r="CI19" s="60">
        <v>970813</v>
      </c>
      <c r="CJ19" s="67">
        <f t="shared" si="78"/>
        <v>303</v>
      </c>
      <c r="CK19" s="60">
        <v>815.22</v>
      </c>
      <c r="CL19" s="64">
        <f t="shared" si="79"/>
        <v>700.00000000004547</v>
      </c>
      <c r="CM19" s="65">
        <f t="shared" si="83"/>
        <v>50.5</v>
      </c>
      <c r="CN19" s="62">
        <v>17</v>
      </c>
      <c r="CO19" s="62">
        <v>45</v>
      </c>
      <c r="CP19" s="68">
        <v>12982.6</v>
      </c>
      <c r="CQ19" s="67">
        <f t="shared" si="80"/>
        <v>39.5</v>
      </c>
      <c r="CR19" s="68">
        <v>15955</v>
      </c>
      <c r="CS19" s="67">
        <f t="shared" si="80"/>
        <v>11</v>
      </c>
      <c r="CT19" s="75">
        <v>7337</v>
      </c>
      <c r="CU19" s="67">
        <f t="shared" si="80"/>
        <v>10</v>
      </c>
      <c r="CV19" s="68">
        <v>17643</v>
      </c>
      <c r="CW19" s="67">
        <f t="shared" si="80"/>
        <v>33</v>
      </c>
    </row>
    <row r="20" spans="1:101" ht="25.5" customHeight="1" thickBot="1" x14ac:dyDescent="0.45">
      <c r="A20" s="63">
        <v>44456</v>
      </c>
      <c r="B20" s="44"/>
      <c r="C20" s="58">
        <v>2.4510000000000001</v>
      </c>
      <c r="D20" s="64">
        <f t="shared" si="42"/>
        <v>2400.0000000001796</v>
      </c>
      <c r="E20" s="58">
        <v>3.4744000000000002</v>
      </c>
      <c r="F20" s="64">
        <f t="shared" si="43"/>
        <v>2800.0000000001355</v>
      </c>
      <c r="G20" s="58">
        <v>3.5244</v>
      </c>
      <c r="H20" s="64">
        <f t="shared" si="44"/>
        <v>2499.9999999999468</v>
      </c>
      <c r="I20" s="58">
        <v>1.7411000000000001</v>
      </c>
      <c r="J20" s="64">
        <f t="shared" si="45"/>
        <v>1400.0000000000678</v>
      </c>
      <c r="K20" s="58">
        <v>2.8052000000000001</v>
      </c>
      <c r="L20" s="64">
        <f t="shared" si="46"/>
        <v>1900.0000000000127</v>
      </c>
      <c r="M20" s="58">
        <v>1.5306999999999999</v>
      </c>
      <c r="N20" s="64">
        <f t="shared" si="47"/>
        <v>999.99999999988984</v>
      </c>
      <c r="O20" s="58">
        <v>14861</v>
      </c>
      <c r="P20" s="67">
        <f t="shared" si="86"/>
        <v>1</v>
      </c>
      <c r="Q20" s="58">
        <v>1243</v>
      </c>
      <c r="R20" s="67">
        <f t="shared" si="48"/>
        <v>5</v>
      </c>
      <c r="S20" s="58">
        <v>1057</v>
      </c>
      <c r="T20" s="67">
        <f t="shared" si="49"/>
        <v>0.90000000000009095</v>
      </c>
      <c r="U20" s="58">
        <v>442565.9</v>
      </c>
      <c r="V20" s="67">
        <f t="shared" si="50"/>
        <v>363.30000000004657</v>
      </c>
      <c r="W20" s="58">
        <v>419.06</v>
      </c>
      <c r="X20" s="65">
        <f t="shared" si="51"/>
        <v>280.00000000002956</v>
      </c>
      <c r="Y20" s="58">
        <v>3.0413999999999999</v>
      </c>
      <c r="Z20" s="65">
        <f t="shared" si="52"/>
        <v>2599.9999999997135</v>
      </c>
      <c r="AA20" s="58">
        <v>418.8</v>
      </c>
      <c r="AB20" s="65">
        <f t="shared" si="53"/>
        <v>360.00000000001364</v>
      </c>
      <c r="AC20" s="58">
        <v>391.83</v>
      </c>
      <c r="AD20" s="65">
        <f t="shared" si="54"/>
        <v>319.99999999999318</v>
      </c>
      <c r="AE20" s="58">
        <v>586.44000000000005</v>
      </c>
      <c r="AF20" s="65">
        <f t="shared" si="55"/>
        <v>210.00000000003638</v>
      </c>
      <c r="AG20" s="58">
        <v>7335</v>
      </c>
      <c r="AH20" s="67">
        <f t="shared" si="56"/>
        <v>36</v>
      </c>
      <c r="AI20" s="58">
        <v>661.43</v>
      </c>
      <c r="AJ20" s="65">
        <f t="shared" si="57"/>
        <v>449.99999999993179</v>
      </c>
      <c r="AK20" s="58">
        <v>219.64</v>
      </c>
      <c r="AL20" s="65">
        <f t="shared" si="57"/>
        <v>229.99999999998977</v>
      </c>
      <c r="AM20" s="58">
        <v>207.67</v>
      </c>
      <c r="AN20" s="65">
        <f t="shared" si="57"/>
        <v>229.99999999998977</v>
      </c>
      <c r="AO20" s="58">
        <v>200.4</v>
      </c>
      <c r="AP20" s="65">
        <f t="shared" si="57"/>
        <v>200.00000000001705</v>
      </c>
      <c r="AQ20" s="58">
        <v>258.58</v>
      </c>
      <c r="AR20" s="65">
        <f t="shared" si="58"/>
        <v>139.99999999998636</v>
      </c>
      <c r="AS20" s="58">
        <v>386.02</v>
      </c>
      <c r="AT20" s="65">
        <f t="shared" si="59"/>
        <v>259.99999999999091</v>
      </c>
      <c r="AU20" s="58">
        <v>294.85000000000002</v>
      </c>
      <c r="AV20" s="65">
        <f t="shared" si="60"/>
        <v>180.00000000000682</v>
      </c>
      <c r="AW20" s="58">
        <v>327.54000000000002</v>
      </c>
      <c r="AX20" s="65">
        <f t="shared" si="61"/>
        <v>170.00000000001592</v>
      </c>
      <c r="AY20" s="58">
        <v>365.89</v>
      </c>
      <c r="AZ20" s="65">
        <f t="shared" si="62"/>
        <v>110.00000000001364</v>
      </c>
      <c r="BA20" s="58">
        <v>384.07</v>
      </c>
      <c r="BB20" s="65">
        <f t="shared" si="63"/>
        <v>129.99999999999545</v>
      </c>
      <c r="BC20" s="58">
        <v>246.71</v>
      </c>
      <c r="BD20" s="65">
        <f t="shared" si="64"/>
        <v>30.000000000001137</v>
      </c>
      <c r="BE20" s="59">
        <v>42889</v>
      </c>
      <c r="BF20" s="67">
        <f t="shared" si="81"/>
        <v>30</v>
      </c>
      <c r="BG20" s="60">
        <v>237.15</v>
      </c>
      <c r="BH20" s="65">
        <f t="shared" si="65"/>
        <v>30.000000000001137</v>
      </c>
      <c r="BI20" s="60">
        <v>295.27</v>
      </c>
      <c r="BJ20" s="65">
        <f t="shared" si="82"/>
        <v>29.999999999972715</v>
      </c>
      <c r="BK20" s="60">
        <v>239.55</v>
      </c>
      <c r="BL20" s="65">
        <f t="shared" si="66"/>
        <v>40.000000000020464</v>
      </c>
      <c r="BM20" s="60">
        <v>227.01</v>
      </c>
      <c r="BN20" s="65">
        <f t="shared" si="67"/>
        <v>39.999999999992042</v>
      </c>
      <c r="BO20" s="60">
        <v>291.08999999999997</v>
      </c>
      <c r="BP20" s="65">
        <f t="shared" si="68"/>
        <v>49.999999999954525</v>
      </c>
      <c r="BQ20" s="60">
        <v>47482</v>
      </c>
      <c r="BR20" s="65">
        <f t="shared" si="69"/>
        <v>26</v>
      </c>
      <c r="BS20" s="60">
        <v>203.39</v>
      </c>
      <c r="BT20" s="65">
        <f t="shared" si="84"/>
        <v>29.999999999972715</v>
      </c>
      <c r="BU20" s="60">
        <v>43722</v>
      </c>
      <c r="BV20" s="65">
        <f t="shared" si="71"/>
        <v>34</v>
      </c>
      <c r="BW20" s="60">
        <v>233.86</v>
      </c>
      <c r="BX20" s="65">
        <f t="shared" si="72"/>
        <v>30.000000000001137</v>
      </c>
      <c r="BY20" s="60">
        <v>63212</v>
      </c>
      <c r="BZ20" s="67">
        <f t="shared" si="73"/>
        <v>25</v>
      </c>
      <c r="CA20" s="60">
        <v>34620.300000000003</v>
      </c>
      <c r="CB20" s="67">
        <f t="shared" si="74"/>
        <v>32.900000000001455</v>
      </c>
      <c r="CC20" s="60">
        <v>12791.7</v>
      </c>
      <c r="CD20" s="67">
        <f t="shared" si="75"/>
        <v>12.900000000001455</v>
      </c>
      <c r="CE20" s="60">
        <v>6798.9</v>
      </c>
      <c r="CF20" s="67">
        <f t="shared" si="76"/>
        <v>8.7999999999992724</v>
      </c>
      <c r="CG20" s="60">
        <v>63065.2</v>
      </c>
      <c r="CH20" s="67">
        <f t="shared" si="77"/>
        <v>60.69999999999709</v>
      </c>
      <c r="CI20" s="60">
        <v>971103</v>
      </c>
      <c r="CJ20" s="67">
        <f t="shared" si="78"/>
        <v>290</v>
      </c>
      <c r="CK20" s="60">
        <v>815.82</v>
      </c>
      <c r="CL20" s="64">
        <f t="shared" si="79"/>
        <v>600.00000000002274</v>
      </c>
      <c r="CM20" s="65">
        <f t="shared" si="83"/>
        <v>55.799999999999272</v>
      </c>
      <c r="CN20" s="62">
        <v>17</v>
      </c>
      <c r="CO20" s="62">
        <v>45</v>
      </c>
      <c r="CP20" s="68">
        <v>13015.4</v>
      </c>
      <c r="CQ20" s="67">
        <f t="shared" si="80"/>
        <v>32.799999999999272</v>
      </c>
      <c r="CR20" s="68">
        <v>15978</v>
      </c>
      <c r="CS20" s="67">
        <f t="shared" si="80"/>
        <v>23</v>
      </c>
      <c r="CT20" s="75">
        <v>7347</v>
      </c>
      <c r="CU20" s="67">
        <f t="shared" si="80"/>
        <v>10</v>
      </c>
      <c r="CV20" s="68">
        <v>17675</v>
      </c>
      <c r="CW20" s="67">
        <f t="shared" si="80"/>
        <v>32</v>
      </c>
    </row>
    <row r="21" spans="1:101" ht="25.5" customHeight="1" thickBot="1" x14ac:dyDescent="0.45">
      <c r="A21" s="63">
        <v>44457</v>
      </c>
      <c r="B21" s="44"/>
      <c r="C21" s="58">
        <v>2.4533999999999998</v>
      </c>
      <c r="D21" s="64">
        <f t="shared" si="42"/>
        <v>2399.9999999997358</v>
      </c>
      <c r="E21" s="58">
        <v>3.4773000000000001</v>
      </c>
      <c r="F21" s="64">
        <f t="shared" si="43"/>
        <v>2899.9999999999027</v>
      </c>
      <c r="G21" s="58">
        <v>3.5270000000000001</v>
      </c>
      <c r="H21" s="64">
        <f t="shared" si="44"/>
        <v>2600.0000000001578</v>
      </c>
      <c r="I21" s="58">
        <v>1.7425999999999999</v>
      </c>
      <c r="J21" s="64">
        <f t="shared" si="45"/>
        <v>1499.9999999998347</v>
      </c>
      <c r="K21" s="58">
        <v>2.8071999999999999</v>
      </c>
      <c r="L21" s="64">
        <f t="shared" si="46"/>
        <v>1999.9999999997797</v>
      </c>
      <c r="M21" s="58">
        <v>1.5317000000000001</v>
      </c>
      <c r="N21" s="64">
        <f t="shared" si="47"/>
        <v>1000.0000000001119</v>
      </c>
      <c r="O21" s="58">
        <v>14875</v>
      </c>
      <c r="P21" s="67">
        <f t="shared" si="86"/>
        <v>14</v>
      </c>
      <c r="Q21" s="58">
        <v>1248</v>
      </c>
      <c r="R21" s="67">
        <f t="shared" si="48"/>
        <v>5</v>
      </c>
      <c r="S21" s="58">
        <v>1058</v>
      </c>
      <c r="T21" s="67">
        <f t="shared" si="49"/>
        <v>1</v>
      </c>
      <c r="U21" s="58">
        <v>442968.5</v>
      </c>
      <c r="V21" s="67">
        <f t="shared" si="50"/>
        <v>402.59999999997672</v>
      </c>
      <c r="W21" s="58">
        <v>419.35</v>
      </c>
      <c r="X21" s="65">
        <f t="shared" si="51"/>
        <v>290.00000000002046</v>
      </c>
      <c r="Y21" s="58">
        <v>3.044</v>
      </c>
      <c r="Z21" s="65">
        <f t="shared" si="52"/>
        <v>2600.0000000001578</v>
      </c>
      <c r="AA21" s="58">
        <v>418.92</v>
      </c>
      <c r="AB21" s="65">
        <f t="shared" si="53"/>
        <v>120.00000000000455</v>
      </c>
      <c r="AC21" s="58">
        <v>392.14</v>
      </c>
      <c r="AD21" s="65">
        <f t="shared" si="54"/>
        <v>310.00000000000227</v>
      </c>
      <c r="AE21" s="58">
        <v>586.64</v>
      </c>
      <c r="AF21" s="65">
        <f t="shared" si="55"/>
        <v>199.99999999993179</v>
      </c>
      <c r="AG21" s="58">
        <v>7372</v>
      </c>
      <c r="AH21" s="67">
        <f t="shared" si="56"/>
        <v>37</v>
      </c>
      <c r="AI21" s="58">
        <v>661.9</v>
      </c>
      <c r="AJ21" s="65">
        <f t="shared" si="57"/>
        <v>470.00000000002728</v>
      </c>
      <c r="AK21" s="58">
        <v>219.84</v>
      </c>
      <c r="AL21" s="65">
        <f t="shared" si="57"/>
        <v>200.00000000001705</v>
      </c>
      <c r="AM21" s="58">
        <v>207.85</v>
      </c>
      <c r="AN21" s="65">
        <f t="shared" si="57"/>
        <v>180.00000000000682</v>
      </c>
      <c r="AO21" s="58">
        <v>200.58</v>
      </c>
      <c r="AP21" s="65">
        <f t="shared" si="57"/>
        <v>180.00000000000682</v>
      </c>
      <c r="AQ21" s="58">
        <v>258.72000000000003</v>
      </c>
      <c r="AR21" s="65">
        <f t="shared" si="58"/>
        <v>140.0000000000432</v>
      </c>
      <c r="AS21" s="58">
        <v>386.27</v>
      </c>
      <c r="AT21" s="65">
        <f t="shared" si="59"/>
        <v>250</v>
      </c>
      <c r="AU21" s="58">
        <v>295.08999999999997</v>
      </c>
      <c r="AV21" s="65">
        <f t="shared" si="60"/>
        <v>239.99999999995225</v>
      </c>
      <c r="AW21" s="58">
        <v>327.75</v>
      </c>
      <c r="AX21" s="65">
        <f t="shared" si="61"/>
        <v>209.99999999997954</v>
      </c>
      <c r="AY21" s="58">
        <v>365.99</v>
      </c>
      <c r="AZ21" s="65">
        <f t="shared" si="62"/>
        <v>100.00000000002274</v>
      </c>
      <c r="BA21" s="58">
        <v>384.21</v>
      </c>
      <c r="BB21" s="65">
        <f t="shared" si="63"/>
        <v>139.99999999998636</v>
      </c>
      <c r="BC21" s="58">
        <v>246.73</v>
      </c>
      <c r="BD21" s="65">
        <f t="shared" si="64"/>
        <v>19.99999999998181</v>
      </c>
      <c r="BE21" s="59">
        <v>42909</v>
      </c>
      <c r="BF21" s="67">
        <f t="shared" si="81"/>
        <v>20</v>
      </c>
      <c r="BG21" s="60">
        <v>237.18</v>
      </c>
      <c r="BH21" s="65">
        <f t="shared" si="65"/>
        <v>30.000000000001137</v>
      </c>
      <c r="BI21" s="60">
        <v>295.29000000000002</v>
      </c>
      <c r="BJ21" s="65">
        <f t="shared" si="82"/>
        <v>20.000000000038654</v>
      </c>
      <c r="BK21" s="60">
        <v>239.6</v>
      </c>
      <c r="BL21" s="65">
        <f t="shared" si="66"/>
        <v>49.999999999982947</v>
      </c>
      <c r="BM21" s="60">
        <v>227.06</v>
      </c>
      <c r="BN21" s="65">
        <f t="shared" si="67"/>
        <v>50.000000000011369</v>
      </c>
      <c r="BO21" s="60">
        <v>291.14</v>
      </c>
      <c r="BP21" s="65">
        <f t="shared" si="68"/>
        <v>50.000000000011369</v>
      </c>
      <c r="BQ21" s="60">
        <v>47513</v>
      </c>
      <c r="BR21" s="65">
        <f t="shared" si="69"/>
        <v>31</v>
      </c>
      <c r="BS21" s="60">
        <v>203.43</v>
      </c>
      <c r="BT21" s="65">
        <f t="shared" si="84"/>
        <v>40.000000000020464</v>
      </c>
      <c r="BU21" s="60">
        <v>43758</v>
      </c>
      <c r="BV21" s="65">
        <f t="shared" si="71"/>
        <v>36</v>
      </c>
      <c r="BW21" s="60">
        <v>233.89</v>
      </c>
      <c r="BX21" s="65">
        <f t="shared" si="72"/>
        <v>29.999999999972715</v>
      </c>
      <c r="BY21" s="60">
        <v>63249</v>
      </c>
      <c r="BZ21" s="67">
        <f t="shared" si="73"/>
        <v>37</v>
      </c>
      <c r="CA21" s="60">
        <v>34653.199999999997</v>
      </c>
      <c r="CB21" s="67">
        <f t="shared" si="74"/>
        <v>32.899999999994179</v>
      </c>
      <c r="CC21" s="60">
        <v>12801</v>
      </c>
      <c r="CD21" s="67">
        <f t="shared" si="75"/>
        <v>9.2999999999992724</v>
      </c>
      <c r="CE21" s="60">
        <v>6807.8</v>
      </c>
      <c r="CF21" s="67">
        <f t="shared" si="76"/>
        <v>8.9000000000005457</v>
      </c>
      <c r="CG21" s="60">
        <v>63130.5</v>
      </c>
      <c r="CH21" s="67">
        <f t="shared" si="77"/>
        <v>65.30000000000291</v>
      </c>
      <c r="CI21" s="60">
        <v>971404</v>
      </c>
      <c r="CJ21" s="67">
        <f t="shared" si="78"/>
        <v>301</v>
      </c>
      <c r="CK21" s="60">
        <v>816.32</v>
      </c>
      <c r="CL21" s="64">
        <f t="shared" si="79"/>
        <v>500</v>
      </c>
      <c r="CM21" s="65">
        <f t="shared" si="83"/>
        <v>46.5</v>
      </c>
      <c r="CN21" s="62">
        <v>17</v>
      </c>
      <c r="CO21" s="62">
        <v>43</v>
      </c>
      <c r="CP21" s="68">
        <v>13048.9</v>
      </c>
      <c r="CQ21" s="67">
        <f t="shared" si="80"/>
        <v>33.5</v>
      </c>
      <c r="CR21" s="68">
        <v>15991</v>
      </c>
      <c r="CS21" s="67">
        <f t="shared" si="80"/>
        <v>13</v>
      </c>
      <c r="CT21" s="75">
        <v>7356</v>
      </c>
      <c r="CU21" s="67">
        <f t="shared" si="80"/>
        <v>9</v>
      </c>
      <c r="CV21" s="68">
        <v>17700</v>
      </c>
      <c r="CW21" s="67">
        <f t="shared" si="80"/>
        <v>25</v>
      </c>
    </row>
    <row r="22" spans="1:101" ht="25.5" customHeight="1" thickBot="1" x14ac:dyDescent="0.45">
      <c r="A22" s="63">
        <v>44458</v>
      </c>
      <c r="B22" s="44"/>
      <c r="C22" s="58">
        <v>2.4558</v>
      </c>
      <c r="D22" s="64">
        <f t="shared" si="42"/>
        <v>2400.0000000001796</v>
      </c>
      <c r="E22" s="58">
        <v>3.4803999999999999</v>
      </c>
      <c r="F22" s="64">
        <f t="shared" si="43"/>
        <v>3099.9999999998809</v>
      </c>
      <c r="G22" s="58">
        <v>3.5295000000000001</v>
      </c>
      <c r="H22" s="64">
        <f t="shared" si="44"/>
        <v>2499.9999999999468</v>
      </c>
      <c r="I22" s="58">
        <v>1.744</v>
      </c>
      <c r="J22" s="64">
        <f t="shared" si="45"/>
        <v>1400.0000000000678</v>
      </c>
      <c r="K22" s="58">
        <v>2.8090999999999999</v>
      </c>
      <c r="L22" s="64">
        <f t="shared" si="46"/>
        <v>1900.0000000000127</v>
      </c>
      <c r="M22" s="58">
        <v>1.5327</v>
      </c>
      <c r="N22" s="64">
        <f t="shared" si="47"/>
        <v>999.99999999988984</v>
      </c>
      <c r="O22" s="58">
        <v>14883</v>
      </c>
      <c r="P22" s="67">
        <f t="shared" si="86"/>
        <v>8</v>
      </c>
      <c r="Q22" s="58">
        <v>1252</v>
      </c>
      <c r="R22" s="67">
        <f t="shared" si="48"/>
        <v>4</v>
      </c>
      <c r="S22" s="58">
        <v>1058.9000000000001</v>
      </c>
      <c r="T22" s="67">
        <f t="shared" si="49"/>
        <v>0.90000000000009095</v>
      </c>
      <c r="U22" s="58">
        <v>443341.3</v>
      </c>
      <c r="V22" s="67">
        <f t="shared" si="50"/>
        <v>372.79999999998836</v>
      </c>
      <c r="W22" s="58">
        <v>419.65</v>
      </c>
      <c r="X22" s="65">
        <f t="shared" si="51"/>
        <v>299.99999999995453</v>
      </c>
      <c r="Y22" s="58">
        <v>3.0468999999999999</v>
      </c>
      <c r="Z22" s="65">
        <f t="shared" si="52"/>
        <v>2899.9999999999027</v>
      </c>
      <c r="AA22" s="58">
        <v>419.49</v>
      </c>
      <c r="AB22" s="65">
        <f t="shared" si="53"/>
        <v>569.99999999999318</v>
      </c>
      <c r="AC22" s="58">
        <v>392.44</v>
      </c>
      <c r="AD22" s="65">
        <f t="shared" si="54"/>
        <v>300.00000000001137</v>
      </c>
      <c r="AE22" s="58">
        <v>586.84</v>
      </c>
      <c r="AF22" s="65">
        <f t="shared" si="55"/>
        <v>200.00000000004547</v>
      </c>
      <c r="AG22" s="58">
        <v>7404</v>
      </c>
      <c r="AH22" s="67">
        <f t="shared" si="56"/>
        <v>32</v>
      </c>
      <c r="AI22" s="58">
        <v>662.46</v>
      </c>
      <c r="AJ22" s="65">
        <f t="shared" si="57"/>
        <v>560.00000000005912</v>
      </c>
      <c r="AK22" s="58">
        <v>220.05</v>
      </c>
      <c r="AL22" s="65">
        <f t="shared" si="57"/>
        <v>210.00000000000796</v>
      </c>
      <c r="AM22" s="58">
        <v>207.98</v>
      </c>
      <c r="AN22" s="65">
        <f t="shared" si="57"/>
        <v>129.99999999999545</v>
      </c>
      <c r="AO22" s="58">
        <v>200.77</v>
      </c>
      <c r="AP22" s="65">
        <f t="shared" si="57"/>
        <v>189.99999999999773</v>
      </c>
      <c r="AQ22" s="58">
        <v>258.87</v>
      </c>
      <c r="AR22" s="65">
        <f t="shared" si="58"/>
        <v>149.99999999997726</v>
      </c>
      <c r="AS22" s="58">
        <v>386.54</v>
      </c>
      <c r="AT22" s="65">
        <f t="shared" si="59"/>
        <v>270.00000000003865</v>
      </c>
      <c r="AU22" s="58">
        <v>295.27999999999997</v>
      </c>
      <c r="AV22" s="65">
        <f t="shared" si="60"/>
        <v>189.99999999999773</v>
      </c>
      <c r="AW22" s="58">
        <v>327.94</v>
      </c>
      <c r="AX22" s="65">
        <f t="shared" si="61"/>
        <v>189.99999999999773</v>
      </c>
      <c r="AY22" s="58">
        <v>366.12</v>
      </c>
      <c r="AZ22" s="65">
        <f t="shared" si="62"/>
        <v>129.99999999999545</v>
      </c>
      <c r="BA22" s="58">
        <v>384.34</v>
      </c>
      <c r="BB22" s="65">
        <f t="shared" si="63"/>
        <v>129.99999999999545</v>
      </c>
      <c r="BC22" s="58">
        <v>246.76</v>
      </c>
      <c r="BD22" s="65">
        <f t="shared" si="64"/>
        <v>30.000000000001137</v>
      </c>
      <c r="BE22" s="59">
        <v>42964</v>
      </c>
      <c r="BF22" s="67">
        <f t="shared" si="81"/>
        <v>55</v>
      </c>
      <c r="BG22" s="60">
        <v>237.21</v>
      </c>
      <c r="BH22" s="65">
        <f t="shared" si="65"/>
        <v>30.000000000001137</v>
      </c>
      <c r="BI22" s="60">
        <v>295.32</v>
      </c>
      <c r="BJ22" s="65">
        <f t="shared" si="82"/>
        <v>29.999999999972715</v>
      </c>
      <c r="BK22" s="60">
        <v>239.64</v>
      </c>
      <c r="BL22" s="65">
        <f t="shared" si="66"/>
        <v>39.999999999992042</v>
      </c>
      <c r="BM22" s="60">
        <v>227.1</v>
      </c>
      <c r="BN22" s="65">
        <f t="shared" si="67"/>
        <v>39.999999999992042</v>
      </c>
      <c r="BO22" s="60">
        <v>291.18</v>
      </c>
      <c r="BP22" s="65">
        <f t="shared" si="68"/>
        <v>40.000000000020464</v>
      </c>
      <c r="BQ22" s="60">
        <v>47544</v>
      </c>
      <c r="BR22" s="65">
        <f t="shared" si="69"/>
        <v>31</v>
      </c>
      <c r="BS22" s="60">
        <v>203.46</v>
      </c>
      <c r="BT22" s="65">
        <f t="shared" si="84"/>
        <v>30.000000000001137</v>
      </c>
      <c r="BU22" s="60">
        <v>43793</v>
      </c>
      <c r="BV22" s="65">
        <f t="shared" si="71"/>
        <v>35</v>
      </c>
      <c r="BW22" s="60">
        <v>233.92</v>
      </c>
      <c r="BX22" s="65">
        <f t="shared" si="72"/>
        <v>30.000000000001137</v>
      </c>
      <c r="BY22" s="60">
        <v>63289</v>
      </c>
      <c r="BZ22" s="67">
        <f t="shared" si="73"/>
        <v>40</v>
      </c>
      <c r="CA22" s="60">
        <v>34684.300000000003</v>
      </c>
      <c r="CB22" s="67">
        <f t="shared" si="74"/>
        <v>31.100000000005821</v>
      </c>
      <c r="CC22" s="60">
        <v>12812.1</v>
      </c>
      <c r="CD22" s="67">
        <f t="shared" si="75"/>
        <v>11.100000000000364</v>
      </c>
      <c r="CE22" s="60">
        <v>6810.1</v>
      </c>
      <c r="CF22" s="67">
        <f t="shared" si="76"/>
        <v>2.3000000000001819</v>
      </c>
      <c r="CG22" s="60">
        <v>63187.3</v>
      </c>
      <c r="CH22" s="67">
        <f t="shared" si="77"/>
        <v>56.80000000000291</v>
      </c>
      <c r="CI22" s="60">
        <v>971691</v>
      </c>
      <c r="CJ22" s="67">
        <f t="shared" si="78"/>
        <v>287</v>
      </c>
      <c r="CK22" s="60">
        <v>816.83</v>
      </c>
      <c r="CL22" s="64">
        <f t="shared" si="79"/>
        <v>509.99999999999091</v>
      </c>
      <c r="CM22" s="65">
        <f t="shared" si="83"/>
        <v>53.5</v>
      </c>
      <c r="CN22" s="62">
        <v>18</v>
      </c>
      <c r="CO22" s="62">
        <v>45</v>
      </c>
      <c r="CP22" s="68">
        <v>13083.4</v>
      </c>
      <c r="CQ22" s="67">
        <f t="shared" si="80"/>
        <v>34.5</v>
      </c>
      <c r="CR22" s="68">
        <v>16010</v>
      </c>
      <c r="CS22" s="67">
        <f t="shared" si="80"/>
        <v>19</v>
      </c>
      <c r="CT22" s="75">
        <v>7366</v>
      </c>
      <c r="CU22" s="67">
        <f t="shared" si="80"/>
        <v>10</v>
      </c>
      <c r="CV22" s="68">
        <v>17738</v>
      </c>
      <c r="CW22" s="67">
        <f t="shared" si="80"/>
        <v>38</v>
      </c>
    </row>
    <row r="23" spans="1:101" ht="25.5" customHeight="1" thickBot="1" x14ac:dyDescent="0.45">
      <c r="A23" s="63">
        <v>44459</v>
      </c>
      <c r="B23" s="44"/>
      <c r="C23" s="58">
        <v>2.4584000000000001</v>
      </c>
      <c r="D23" s="64">
        <f t="shared" si="42"/>
        <v>2600.0000000001578</v>
      </c>
      <c r="E23" s="58">
        <v>3.4834999999999998</v>
      </c>
      <c r="F23" s="64">
        <f t="shared" si="43"/>
        <v>3099.9999999998809</v>
      </c>
      <c r="G23" s="58">
        <v>3.5320999999999998</v>
      </c>
      <c r="H23" s="64">
        <f t="shared" si="44"/>
        <v>2599.9999999997135</v>
      </c>
      <c r="I23" s="58">
        <v>1.7454000000000001</v>
      </c>
      <c r="J23" s="64">
        <f t="shared" si="45"/>
        <v>1400.0000000000678</v>
      </c>
      <c r="K23" s="58">
        <v>2.8111000000000002</v>
      </c>
      <c r="L23" s="64">
        <f t="shared" si="46"/>
        <v>2000.0000000002237</v>
      </c>
      <c r="M23" s="58">
        <v>1.5337000000000001</v>
      </c>
      <c r="N23" s="64">
        <f t="shared" si="47"/>
        <v>1000.0000000001119</v>
      </c>
      <c r="O23" s="58">
        <v>14892</v>
      </c>
      <c r="P23" s="67">
        <f t="shared" si="86"/>
        <v>9</v>
      </c>
      <c r="Q23" s="58">
        <v>1257</v>
      </c>
      <c r="R23" s="67">
        <f t="shared" si="48"/>
        <v>5</v>
      </c>
      <c r="S23" s="58">
        <v>1059.9000000000001</v>
      </c>
      <c r="T23" s="67">
        <f t="shared" si="49"/>
        <v>1</v>
      </c>
      <c r="U23" s="58">
        <v>443742.4</v>
      </c>
      <c r="V23" s="67">
        <f t="shared" si="50"/>
        <v>401.10000000003492</v>
      </c>
      <c r="W23" s="58">
        <v>419.95</v>
      </c>
      <c r="X23" s="65">
        <f t="shared" si="51"/>
        <v>300.00000000001137</v>
      </c>
      <c r="Y23" s="58">
        <v>3.0495999999999999</v>
      </c>
      <c r="Z23" s="65">
        <f t="shared" si="52"/>
        <v>2699.9999999999245</v>
      </c>
      <c r="AA23" s="58">
        <v>419.89</v>
      </c>
      <c r="AB23" s="65">
        <f t="shared" si="53"/>
        <v>399.99999999997726</v>
      </c>
      <c r="AC23" s="58">
        <v>392.75</v>
      </c>
      <c r="AD23" s="65">
        <f t="shared" si="54"/>
        <v>310.00000000000227</v>
      </c>
      <c r="AE23" s="58">
        <v>587.07000000000005</v>
      </c>
      <c r="AF23" s="65">
        <f t="shared" si="55"/>
        <v>230.00000000001819</v>
      </c>
      <c r="AG23" s="58">
        <v>7440</v>
      </c>
      <c r="AH23" s="67">
        <f t="shared" si="56"/>
        <v>36</v>
      </c>
      <c r="AI23" s="58">
        <v>663.2</v>
      </c>
      <c r="AJ23" s="65">
        <f t="shared" si="57"/>
        <v>740.00000000000909</v>
      </c>
      <c r="AK23" s="58">
        <v>220.26</v>
      </c>
      <c r="AL23" s="65">
        <f t="shared" si="57"/>
        <v>209.99999999997954</v>
      </c>
      <c r="AM23" s="58">
        <v>208.11</v>
      </c>
      <c r="AN23" s="65">
        <f t="shared" si="57"/>
        <v>130.00000000002387</v>
      </c>
      <c r="AO23" s="58">
        <v>200.97</v>
      </c>
      <c r="AP23" s="65">
        <f t="shared" si="57"/>
        <v>199.99999999998863</v>
      </c>
      <c r="AQ23" s="58">
        <v>259.02</v>
      </c>
      <c r="AR23" s="65">
        <f t="shared" si="58"/>
        <v>149.99999999997726</v>
      </c>
      <c r="AS23" s="58">
        <v>386.78</v>
      </c>
      <c r="AT23" s="65">
        <f t="shared" si="59"/>
        <v>239.99999999995225</v>
      </c>
      <c r="AU23" s="58">
        <v>295.47000000000003</v>
      </c>
      <c r="AV23" s="65">
        <f t="shared" si="60"/>
        <v>190.00000000005457</v>
      </c>
      <c r="AW23" s="58">
        <v>328.07</v>
      </c>
      <c r="AX23" s="65">
        <f t="shared" si="61"/>
        <v>129.99999999999545</v>
      </c>
      <c r="AY23" s="58">
        <v>366.23</v>
      </c>
      <c r="AZ23" s="65">
        <f t="shared" si="62"/>
        <v>110.00000000001364</v>
      </c>
      <c r="BA23" s="58">
        <v>384.51</v>
      </c>
      <c r="BB23" s="65">
        <f t="shared" si="63"/>
        <v>170.00000000001592</v>
      </c>
      <c r="BC23" s="58">
        <v>246.79</v>
      </c>
      <c r="BD23" s="65">
        <f t="shared" si="64"/>
        <v>30.000000000001137</v>
      </c>
      <c r="BE23" s="59">
        <v>42998</v>
      </c>
      <c r="BF23" s="67">
        <f t="shared" si="81"/>
        <v>34</v>
      </c>
      <c r="BG23" s="60">
        <v>237.25</v>
      </c>
      <c r="BH23" s="65">
        <f t="shared" si="65"/>
        <v>39.999999999992042</v>
      </c>
      <c r="BI23" s="60">
        <v>295.36</v>
      </c>
      <c r="BJ23" s="65">
        <f t="shared" si="82"/>
        <v>40.000000000020464</v>
      </c>
      <c r="BK23" s="60">
        <v>239.68</v>
      </c>
      <c r="BL23" s="65">
        <f t="shared" si="66"/>
        <v>40.000000000020464</v>
      </c>
      <c r="BM23" s="60">
        <v>227.14</v>
      </c>
      <c r="BN23" s="65">
        <f t="shared" si="67"/>
        <v>39.999999999992042</v>
      </c>
      <c r="BO23" s="60">
        <v>291.22000000000003</v>
      </c>
      <c r="BP23" s="65">
        <f t="shared" si="68"/>
        <v>40.000000000020464</v>
      </c>
      <c r="BQ23" s="60">
        <v>47575</v>
      </c>
      <c r="BR23" s="65">
        <f t="shared" si="69"/>
        <v>31</v>
      </c>
      <c r="BS23" s="60">
        <v>203.49</v>
      </c>
      <c r="BT23" s="65">
        <f t="shared" si="84"/>
        <v>30.000000000001137</v>
      </c>
      <c r="BU23" s="60">
        <v>43840</v>
      </c>
      <c r="BV23" s="65">
        <f t="shared" si="71"/>
        <v>47</v>
      </c>
      <c r="BW23" s="60">
        <v>233.95</v>
      </c>
      <c r="BX23" s="65">
        <f t="shared" si="72"/>
        <v>30.000000000001137</v>
      </c>
      <c r="BY23" s="60">
        <v>63323</v>
      </c>
      <c r="BZ23" s="67">
        <f t="shared" si="73"/>
        <v>34</v>
      </c>
      <c r="CA23" s="60">
        <v>34715.300000000003</v>
      </c>
      <c r="CB23" s="67">
        <f t="shared" si="74"/>
        <v>31</v>
      </c>
      <c r="CC23" s="60">
        <v>12821.6</v>
      </c>
      <c r="CD23" s="67">
        <f t="shared" si="75"/>
        <v>9.5</v>
      </c>
      <c r="CE23" s="60">
        <v>6815.8</v>
      </c>
      <c r="CF23" s="67">
        <f t="shared" si="76"/>
        <v>5.6999999999998181</v>
      </c>
      <c r="CG23" s="60">
        <v>63249.3</v>
      </c>
      <c r="CH23" s="67">
        <f t="shared" si="77"/>
        <v>62</v>
      </c>
      <c r="CI23" s="60">
        <v>971982</v>
      </c>
      <c r="CJ23" s="67">
        <f t="shared" si="78"/>
        <v>291</v>
      </c>
      <c r="CK23" s="60">
        <v>817.4</v>
      </c>
      <c r="CL23" s="64">
        <f t="shared" si="79"/>
        <v>569.99999999993634</v>
      </c>
      <c r="CM23" s="65">
        <f t="shared" si="83"/>
        <v>62.800000000001091</v>
      </c>
      <c r="CN23" s="62">
        <v>17</v>
      </c>
      <c r="CO23" s="62">
        <v>41</v>
      </c>
      <c r="CP23" s="68">
        <v>13125.2</v>
      </c>
      <c r="CQ23" s="67">
        <f t="shared" si="80"/>
        <v>41.800000000001091</v>
      </c>
      <c r="CR23" s="68">
        <v>16031</v>
      </c>
      <c r="CS23" s="67">
        <f t="shared" si="80"/>
        <v>21</v>
      </c>
      <c r="CT23" s="75">
        <v>7376</v>
      </c>
      <c r="CU23" s="67">
        <f t="shared" si="80"/>
        <v>10</v>
      </c>
      <c r="CV23" s="68">
        <v>17772</v>
      </c>
      <c r="CW23" s="67">
        <f t="shared" si="80"/>
        <v>34</v>
      </c>
    </row>
    <row r="24" spans="1:101" ht="25.5" customHeight="1" thickBot="1" x14ac:dyDescent="0.45">
      <c r="A24" s="63">
        <v>44460</v>
      </c>
      <c r="B24" s="44"/>
      <c r="C24" s="58">
        <v>2.4611000000000001</v>
      </c>
      <c r="D24" s="64">
        <f t="shared" si="42"/>
        <v>2699.9999999999245</v>
      </c>
      <c r="E24" s="58">
        <v>3.4866000000000001</v>
      </c>
      <c r="F24" s="64">
        <f t="shared" si="43"/>
        <v>3100.0000000003247</v>
      </c>
      <c r="G24" s="58">
        <v>3.5348000000000002</v>
      </c>
      <c r="H24" s="64">
        <f t="shared" si="44"/>
        <v>2700.0000000003688</v>
      </c>
      <c r="I24" s="58">
        <v>1.7468999999999999</v>
      </c>
      <c r="J24" s="64">
        <f t="shared" si="45"/>
        <v>1499.9999999998347</v>
      </c>
      <c r="K24" s="58">
        <v>2.8130999999999999</v>
      </c>
      <c r="L24" s="64">
        <f t="shared" si="46"/>
        <v>1999.9999999997797</v>
      </c>
      <c r="M24" s="58">
        <v>1.5347</v>
      </c>
      <c r="N24" s="64">
        <f t="shared" si="47"/>
        <v>999.99999999988984</v>
      </c>
      <c r="O24" s="58">
        <v>14911</v>
      </c>
      <c r="P24" s="67">
        <f t="shared" si="86"/>
        <v>19</v>
      </c>
      <c r="Q24" s="58">
        <v>1262</v>
      </c>
      <c r="R24" s="67">
        <f t="shared" si="48"/>
        <v>5</v>
      </c>
      <c r="S24" s="58">
        <v>1060.9000000000001</v>
      </c>
      <c r="T24" s="67">
        <f t="shared" si="49"/>
        <v>1</v>
      </c>
      <c r="U24" s="58">
        <v>444140.5</v>
      </c>
      <c r="V24" s="67">
        <f t="shared" si="50"/>
        <v>398.09999999997672</v>
      </c>
      <c r="W24" s="58">
        <v>420.32</v>
      </c>
      <c r="X24" s="65">
        <f t="shared" si="51"/>
        <v>370.00000000000455</v>
      </c>
      <c r="Y24" s="58">
        <v>3.0524</v>
      </c>
      <c r="Z24" s="65">
        <f t="shared" si="52"/>
        <v>2800.0000000001355</v>
      </c>
      <c r="AA24" s="58">
        <v>420.15</v>
      </c>
      <c r="AB24" s="65">
        <f t="shared" si="53"/>
        <v>259.99999999999091</v>
      </c>
      <c r="AC24" s="58">
        <v>393.1</v>
      </c>
      <c r="AD24" s="65">
        <f t="shared" si="54"/>
        <v>350.00000000002274</v>
      </c>
      <c r="AE24" s="58">
        <v>587.39</v>
      </c>
      <c r="AF24" s="65">
        <f t="shared" si="55"/>
        <v>319.99999999993634</v>
      </c>
      <c r="AG24" s="58">
        <v>7477</v>
      </c>
      <c r="AH24" s="67">
        <f t="shared" si="56"/>
        <v>37</v>
      </c>
      <c r="AI24" s="58">
        <v>664.04</v>
      </c>
      <c r="AJ24" s="65">
        <f t="shared" si="57"/>
        <v>839.99999999991815</v>
      </c>
      <c r="AK24" s="58">
        <v>220.52</v>
      </c>
      <c r="AL24" s="65">
        <f t="shared" si="57"/>
        <v>260.00000000001933</v>
      </c>
      <c r="AM24" s="58">
        <v>208.27</v>
      </c>
      <c r="AN24" s="65">
        <f t="shared" si="57"/>
        <v>159.99999999999659</v>
      </c>
      <c r="AO24" s="58">
        <v>201.19</v>
      </c>
      <c r="AP24" s="65">
        <f t="shared" si="57"/>
        <v>219.99999999999886</v>
      </c>
      <c r="AQ24" s="58">
        <v>259.2</v>
      </c>
      <c r="AR24" s="65">
        <f t="shared" si="58"/>
        <v>180.00000000000682</v>
      </c>
      <c r="AS24" s="58">
        <v>386.94</v>
      </c>
      <c r="AT24" s="65">
        <f t="shared" si="59"/>
        <v>160.00000000002501</v>
      </c>
      <c r="AU24" s="58">
        <v>295.66000000000003</v>
      </c>
      <c r="AV24" s="65">
        <f t="shared" si="60"/>
        <v>189.99999999999773</v>
      </c>
      <c r="AW24" s="58">
        <v>328.2</v>
      </c>
      <c r="AX24" s="65">
        <f t="shared" si="61"/>
        <v>129.99999999999545</v>
      </c>
      <c r="AY24" s="58">
        <v>366.34</v>
      </c>
      <c r="AZ24" s="65">
        <f t="shared" si="62"/>
        <v>109.9999999999568</v>
      </c>
      <c r="BA24" s="58">
        <v>384.71</v>
      </c>
      <c r="BB24" s="65">
        <f t="shared" si="63"/>
        <v>199.99999999998863</v>
      </c>
      <c r="BC24" s="58">
        <v>246.81</v>
      </c>
      <c r="BD24" s="65">
        <f t="shared" si="64"/>
        <v>20.000000000010232</v>
      </c>
      <c r="BE24" s="59">
        <v>43031</v>
      </c>
      <c r="BF24" s="67">
        <f t="shared" si="81"/>
        <v>33</v>
      </c>
      <c r="BG24" s="60">
        <v>237.3</v>
      </c>
      <c r="BH24" s="65">
        <f t="shared" si="65"/>
        <v>50.000000000011369</v>
      </c>
      <c r="BI24" s="60">
        <v>295.39</v>
      </c>
      <c r="BJ24" s="65">
        <f t="shared" si="82"/>
        <v>29.999999999972715</v>
      </c>
      <c r="BK24" s="60">
        <v>239.72</v>
      </c>
      <c r="BL24" s="65">
        <f t="shared" si="66"/>
        <v>39.999999999992042</v>
      </c>
      <c r="BM24" s="60">
        <v>227.19</v>
      </c>
      <c r="BN24" s="65">
        <f t="shared" si="67"/>
        <v>50.000000000011369</v>
      </c>
      <c r="BO24" s="60">
        <v>291.27</v>
      </c>
      <c r="BP24" s="65">
        <f t="shared" si="68"/>
        <v>49.999999999954525</v>
      </c>
      <c r="BQ24" s="60">
        <v>47608</v>
      </c>
      <c r="BR24" s="65">
        <f t="shared" si="69"/>
        <v>33</v>
      </c>
      <c r="BS24" s="60">
        <v>203.53</v>
      </c>
      <c r="BT24" s="65">
        <f t="shared" si="84"/>
        <v>39.999999999992042</v>
      </c>
      <c r="BU24" s="60">
        <v>43880</v>
      </c>
      <c r="BV24" s="65">
        <f t="shared" si="71"/>
        <v>40</v>
      </c>
      <c r="BW24" s="60">
        <v>233.98</v>
      </c>
      <c r="BX24" s="65">
        <f t="shared" si="72"/>
        <v>30.000000000001137</v>
      </c>
      <c r="BY24" s="60">
        <v>63356</v>
      </c>
      <c r="BZ24" s="67">
        <f t="shared" si="73"/>
        <v>33</v>
      </c>
      <c r="CA24" s="60">
        <v>34746.300000000003</v>
      </c>
      <c r="CB24" s="67">
        <f t="shared" si="74"/>
        <v>31</v>
      </c>
      <c r="CC24" s="60">
        <v>12833.2</v>
      </c>
      <c r="CD24" s="67">
        <f t="shared" si="75"/>
        <v>11.600000000000364</v>
      </c>
      <c r="CE24" s="60">
        <v>6816.4</v>
      </c>
      <c r="CF24" s="67">
        <f t="shared" si="76"/>
        <v>0.5999999999994543</v>
      </c>
      <c r="CG24" s="60">
        <v>63308.2</v>
      </c>
      <c r="CH24" s="67">
        <f t="shared" si="77"/>
        <v>58.899999999994179</v>
      </c>
      <c r="CI24" s="60">
        <v>972275</v>
      </c>
      <c r="CJ24" s="67">
        <f t="shared" si="78"/>
        <v>293</v>
      </c>
      <c r="CK24" s="60">
        <v>818.04</v>
      </c>
      <c r="CL24" s="64">
        <f t="shared" si="79"/>
        <v>639.99999999998636</v>
      </c>
      <c r="CM24" s="65">
        <f t="shared" si="83"/>
        <v>54.699999999998909</v>
      </c>
      <c r="CN24" s="62">
        <v>17</v>
      </c>
      <c r="CO24" s="62">
        <v>41</v>
      </c>
      <c r="CP24" s="68">
        <v>13160.9</v>
      </c>
      <c r="CQ24" s="67">
        <f t="shared" si="80"/>
        <v>35.699999999998909</v>
      </c>
      <c r="CR24" s="68">
        <v>16050</v>
      </c>
      <c r="CS24" s="67">
        <f t="shared" si="80"/>
        <v>19</v>
      </c>
      <c r="CT24" s="75">
        <v>7386</v>
      </c>
      <c r="CU24" s="67">
        <f t="shared" si="80"/>
        <v>10</v>
      </c>
      <c r="CV24" s="68">
        <v>17789</v>
      </c>
      <c r="CW24" s="67">
        <f t="shared" si="80"/>
        <v>17</v>
      </c>
    </row>
    <row r="25" spans="1:101" ht="25.5" customHeight="1" thickBot="1" x14ac:dyDescent="0.45">
      <c r="A25" s="63">
        <v>44461</v>
      </c>
      <c r="B25" s="44"/>
      <c r="C25" s="58">
        <v>2.4636999999999998</v>
      </c>
      <c r="D25" s="64">
        <f t="shared" si="42"/>
        <v>2599.9999999997135</v>
      </c>
      <c r="E25" s="58">
        <v>3.4883999999999999</v>
      </c>
      <c r="F25" s="64">
        <f t="shared" si="43"/>
        <v>1799.9999999998017</v>
      </c>
      <c r="G25" s="58">
        <v>3.5375999999999999</v>
      </c>
      <c r="H25" s="64">
        <f t="shared" si="44"/>
        <v>2799.9999999996917</v>
      </c>
      <c r="I25" s="58">
        <v>1.7484</v>
      </c>
      <c r="J25" s="64">
        <f t="shared" si="45"/>
        <v>1500.0000000000568</v>
      </c>
      <c r="K25" s="58">
        <v>2.8149999999999999</v>
      </c>
      <c r="L25" s="64">
        <f t="shared" si="46"/>
        <v>1900.0000000000127</v>
      </c>
      <c r="M25" s="58">
        <v>1.5361</v>
      </c>
      <c r="N25" s="64">
        <f t="shared" si="47"/>
        <v>1400.0000000000678</v>
      </c>
      <c r="O25" s="58">
        <v>14914</v>
      </c>
      <c r="P25" s="67">
        <f t="shared" si="86"/>
        <v>3</v>
      </c>
      <c r="Q25" s="58">
        <v>1266</v>
      </c>
      <c r="R25" s="67">
        <f t="shared" si="48"/>
        <v>4</v>
      </c>
      <c r="S25" s="58">
        <v>1061.9000000000001</v>
      </c>
      <c r="T25" s="67">
        <f t="shared" si="49"/>
        <v>1</v>
      </c>
      <c r="U25" s="58">
        <v>444522.6</v>
      </c>
      <c r="V25" s="67">
        <f t="shared" si="50"/>
        <v>382.09999999997672</v>
      </c>
      <c r="W25" s="58">
        <v>420.6</v>
      </c>
      <c r="X25" s="65">
        <f t="shared" si="51"/>
        <v>280.00000000002956</v>
      </c>
      <c r="Y25" s="58">
        <v>3.0548000000000002</v>
      </c>
      <c r="Z25" s="65">
        <f t="shared" si="52"/>
        <v>2400.0000000001796</v>
      </c>
      <c r="AA25" s="58">
        <v>420.53</v>
      </c>
      <c r="AB25" s="65">
        <f t="shared" si="53"/>
        <v>379.99999999999545</v>
      </c>
      <c r="AC25" s="58">
        <v>393.5</v>
      </c>
      <c r="AD25" s="65">
        <f t="shared" si="54"/>
        <v>399.99999999997726</v>
      </c>
      <c r="AE25" s="58">
        <v>587.88</v>
      </c>
      <c r="AF25" s="65">
        <f t="shared" si="55"/>
        <v>490.00000000000909</v>
      </c>
      <c r="AG25" s="58">
        <v>7513</v>
      </c>
      <c r="AH25" s="67">
        <f t="shared" si="56"/>
        <v>36</v>
      </c>
      <c r="AI25" s="58">
        <v>664.88</v>
      </c>
      <c r="AJ25" s="65">
        <f t="shared" si="57"/>
        <v>840.00000000003183</v>
      </c>
      <c r="AK25" s="58">
        <v>220.76</v>
      </c>
      <c r="AL25" s="65">
        <f t="shared" si="57"/>
        <v>239.99999999998067</v>
      </c>
      <c r="AM25" s="58">
        <v>208.43</v>
      </c>
      <c r="AN25" s="65">
        <f t="shared" si="57"/>
        <v>159.99999999999659</v>
      </c>
      <c r="AO25" s="58">
        <v>201.41</v>
      </c>
      <c r="AP25" s="65">
        <f t="shared" si="57"/>
        <v>219.99999999999886</v>
      </c>
      <c r="AQ25" s="58">
        <v>259.36</v>
      </c>
      <c r="AR25" s="65">
        <f t="shared" si="58"/>
        <v>160.00000000002501</v>
      </c>
      <c r="AS25" s="58">
        <v>387.09</v>
      </c>
      <c r="AT25" s="65">
        <f t="shared" si="59"/>
        <v>149.99999999997726</v>
      </c>
      <c r="AU25" s="58">
        <v>295.83</v>
      </c>
      <c r="AV25" s="65">
        <f t="shared" si="60"/>
        <v>169.99999999995907</v>
      </c>
      <c r="AW25" s="58">
        <v>328.31</v>
      </c>
      <c r="AX25" s="65">
        <f t="shared" si="61"/>
        <v>110.00000000001364</v>
      </c>
      <c r="AY25" s="58">
        <v>366.45</v>
      </c>
      <c r="AZ25" s="65">
        <f t="shared" si="62"/>
        <v>110.00000000001364</v>
      </c>
      <c r="BA25" s="58">
        <v>384.82</v>
      </c>
      <c r="BB25" s="65">
        <f t="shared" si="63"/>
        <v>110.00000000001364</v>
      </c>
      <c r="BC25" s="58">
        <v>246.85</v>
      </c>
      <c r="BD25" s="65">
        <f t="shared" si="64"/>
        <v>39.999999999992042</v>
      </c>
      <c r="BE25" s="59">
        <v>43070</v>
      </c>
      <c r="BF25" s="67">
        <f t="shared" si="81"/>
        <v>39</v>
      </c>
      <c r="BG25" s="60">
        <v>237.34</v>
      </c>
      <c r="BH25" s="65">
        <f t="shared" si="65"/>
        <v>39.999999999992042</v>
      </c>
      <c r="BI25" s="60">
        <v>295.41000000000003</v>
      </c>
      <c r="BJ25" s="65">
        <f t="shared" si="82"/>
        <v>20.000000000038654</v>
      </c>
      <c r="BK25" s="60">
        <v>239.75</v>
      </c>
      <c r="BL25" s="65">
        <f t="shared" si="66"/>
        <v>30.000000000001137</v>
      </c>
      <c r="BM25" s="60">
        <v>227.23</v>
      </c>
      <c r="BN25" s="65">
        <f t="shared" si="67"/>
        <v>39.999999999992042</v>
      </c>
      <c r="BO25" s="60">
        <v>291.31</v>
      </c>
      <c r="BP25" s="65">
        <f t="shared" si="68"/>
        <v>40.000000000020464</v>
      </c>
      <c r="BQ25" s="60">
        <v>47640</v>
      </c>
      <c r="BR25" s="65">
        <f t="shared" si="69"/>
        <v>32</v>
      </c>
      <c r="BS25" s="60">
        <v>203.56</v>
      </c>
      <c r="BT25" s="65">
        <f t="shared" si="84"/>
        <v>30.000000000001137</v>
      </c>
      <c r="BU25" s="60">
        <v>43924</v>
      </c>
      <c r="BV25" s="65">
        <f t="shared" si="71"/>
        <v>44</v>
      </c>
      <c r="BW25" s="60">
        <v>234.01</v>
      </c>
      <c r="BX25" s="65">
        <f t="shared" si="72"/>
        <v>30.000000000001137</v>
      </c>
      <c r="BY25" s="60">
        <v>63397</v>
      </c>
      <c r="BZ25" s="67">
        <f t="shared" si="73"/>
        <v>41</v>
      </c>
      <c r="CA25" s="60">
        <v>34785.1</v>
      </c>
      <c r="CB25" s="67">
        <f t="shared" si="74"/>
        <v>38.799999999995634</v>
      </c>
      <c r="CC25" s="60">
        <v>12845.8</v>
      </c>
      <c r="CD25" s="67">
        <f t="shared" si="75"/>
        <v>12.599999999998545</v>
      </c>
      <c r="CE25" s="60">
        <v>6822.9</v>
      </c>
      <c r="CF25" s="67">
        <f t="shared" si="76"/>
        <v>6.5</v>
      </c>
      <c r="CG25" s="60">
        <v>63357.4</v>
      </c>
      <c r="CH25" s="67">
        <f t="shared" si="77"/>
        <v>49.200000000004366</v>
      </c>
      <c r="CI25" s="60">
        <v>972568</v>
      </c>
      <c r="CJ25" s="67">
        <f t="shared" si="78"/>
        <v>293</v>
      </c>
      <c r="CK25" s="60">
        <v>818.7</v>
      </c>
      <c r="CL25" s="64">
        <f t="shared" si="79"/>
        <v>660.00000000008185</v>
      </c>
      <c r="CM25" s="65">
        <f t="shared" si="83"/>
        <v>57</v>
      </c>
      <c r="CN25" s="62">
        <v>12</v>
      </c>
      <c r="CO25" s="62">
        <v>26</v>
      </c>
      <c r="CP25" s="68">
        <v>13201.9</v>
      </c>
      <c r="CQ25" s="67">
        <f t="shared" si="80"/>
        <v>41</v>
      </c>
      <c r="CR25" s="68">
        <v>16066</v>
      </c>
      <c r="CS25" s="67">
        <f t="shared" si="80"/>
        <v>16</v>
      </c>
      <c r="CT25" s="75">
        <v>7395</v>
      </c>
      <c r="CU25" s="67">
        <f t="shared" si="80"/>
        <v>9</v>
      </c>
      <c r="CV25" s="68">
        <v>17805</v>
      </c>
      <c r="CW25" s="67">
        <f t="shared" si="80"/>
        <v>16</v>
      </c>
    </row>
    <row r="26" spans="1:101" ht="25.5" customHeight="1" thickBot="1" x14ac:dyDescent="0.45">
      <c r="A26" s="63">
        <v>44462</v>
      </c>
      <c r="B26" s="44"/>
      <c r="C26" s="58">
        <v>2.4662999999999999</v>
      </c>
      <c r="D26" s="64">
        <f t="shared" si="42"/>
        <v>2600.0000000001578</v>
      </c>
      <c r="E26" s="58">
        <v>3.4921000000000002</v>
      </c>
      <c r="F26" s="64">
        <f t="shared" si="43"/>
        <v>3700.0000000002588</v>
      </c>
      <c r="G26" s="58">
        <v>3.5402999999999998</v>
      </c>
      <c r="H26" s="64">
        <f t="shared" si="44"/>
        <v>2699.9999999999245</v>
      </c>
      <c r="I26" s="58">
        <v>1.7499</v>
      </c>
      <c r="J26" s="64">
        <f t="shared" si="45"/>
        <v>1500.0000000000568</v>
      </c>
      <c r="K26" s="58">
        <v>2.8169</v>
      </c>
      <c r="L26" s="64">
        <f t="shared" si="46"/>
        <v>1900.0000000000127</v>
      </c>
      <c r="M26" s="58">
        <v>1.5374000000000001</v>
      </c>
      <c r="N26" s="64">
        <f t="shared" si="47"/>
        <v>1300.0000000000789</v>
      </c>
      <c r="O26" s="58">
        <v>14928</v>
      </c>
      <c r="P26" s="67">
        <f t="shared" si="86"/>
        <v>14</v>
      </c>
      <c r="Q26" s="58">
        <v>1271</v>
      </c>
      <c r="R26" s="67">
        <f t="shared" si="48"/>
        <v>5</v>
      </c>
      <c r="S26" s="58">
        <v>1062.9000000000001</v>
      </c>
      <c r="T26" s="67">
        <f t="shared" si="49"/>
        <v>1</v>
      </c>
      <c r="U26" s="58">
        <v>444902.1</v>
      </c>
      <c r="V26" s="67">
        <f t="shared" si="50"/>
        <v>379.5</v>
      </c>
      <c r="W26" s="58">
        <v>420.9</v>
      </c>
      <c r="X26" s="65">
        <f t="shared" si="51"/>
        <v>299.99999999995453</v>
      </c>
      <c r="Y26" s="58">
        <v>3.0571999999999999</v>
      </c>
      <c r="Z26" s="65">
        <f t="shared" si="52"/>
        <v>2399.9999999997358</v>
      </c>
      <c r="AA26" s="58">
        <v>420.8</v>
      </c>
      <c r="AB26" s="65">
        <f t="shared" si="53"/>
        <v>270.00000000003865</v>
      </c>
      <c r="AC26" s="58">
        <v>393.89</v>
      </c>
      <c r="AD26" s="65">
        <f t="shared" si="54"/>
        <v>389.99999999998636</v>
      </c>
      <c r="AE26" s="58">
        <v>588.41</v>
      </c>
      <c r="AF26" s="65">
        <f t="shared" si="55"/>
        <v>529.99999999997272</v>
      </c>
      <c r="AG26" s="58">
        <v>7551</v>
      </c>
      <c r="AH26" s="67">
        <f t="shared" si="56"/>
        <v>38</v>
      </c>
      <c r="AI26" s="58">
        <v>665.79</v>
      </c>
      <c r="AJ26" s="65">
        <f t="shared" si="57"/>
        <v>909.99999999996817</v>
      </c>
      <c r="AK26" s="58">
        <v>221.01</v>
      </c>
      <c r="AL26" s="65">
        <f t="shared" si="57"/>
        <v>250</v>
      </c>
      <c r="AM26" s="58">
        <v>208.56</v>
      </c>
      <c r="AN26" s="65">
        <f t="shared" si="57"/>
        <v>129.99999999999545</v>
      </c>
      <c r="AO26" s="58">
        <v>201.61</v>
      </c>
      <c r="AP26" s="65">
        <f t="shared" si="57"/>
        <v>200.00000000001705</v>
      </c>
      <c r="AQ26" s="58">
        <v>259.48</v>
      </c>
      <c r="AR26" s="65">
        <f t="shared" si="58"/>
        <v>120.00000000000455</v>
      </c>
      <c r="AS26" s="58">
        <v>387.23</v>
      </c>
      <c r="AT26" s="65">
        <f t="shared" si="59"/>
        <v>140.0000000000432</v>
      </c>
      <c r="AU26" s="58">
        <v>296.01</v>
      </c>
      <c r="AV26" s="65">
        <f t="shared" si="60"/>
        <v>180.00000000000682</v>
      </c>
      <c r="AW26" s="58">
        <v>328.43</v>
      </c>
      <c r="AX26" s="65">
        <f t="shared" si="61"/>
        <v>120.00000000000455</v>
      </c>
      <c r="AY26" s="58">
        <v>366.57</v>
      </c>
      <c r="AZ26" s="65">
        <f t="shared" si="62"/>
        <v>120.00000000000455</v>
      </c>
      <c r="BA26" s="58">
        <v>384.92</v>
      </c>
      <c r="BB26" s="65">
        <f t="shared" si="63"/>
        <v>100.00000000002274</v>
      </c>
      <c r="BC26" s="58">
        <v>246.9</v>
      </c>
      <c r="BD26" s="65">
        <f t="shared" si="64"/>
        <v>50.000000000011369</v>
      </c>
      <c r="BE26" s="59">
        <v>43104</v>
      </c>
      <c r="BF26" s="67">
        <f t="shared" si="81"/>
        <v>34</v>
      </c>
      <c r="BG26" s="60">
        <v>237.38</v>
      </c>
      <c r="BH26" s="65">
        <f t="shared" si="65"/>
        <v>39.999999999992042</v>
      </c>
      <c r="BI26" s="60">
        <v>295.43</v>
      </c>
      <c r="BJ26" s="65">
        <f t="shared" si="82"/>
        <v>19.99999999998181</v>
      </c>
      <c r="BK26" s="60">
        <v>239.78</v>
      </c>
      <c r="BL26" s="65">
        <f t="shared" si="66"/>
        <v>30.000000000001137</v>
      </c>
      <c r="BM26" s="60">
        <v>227.29</v>
      </c>
      <c r="BN26" s="65">
        <f t="shared" si="67"/>
        <v>60.000000000002274</v>
      </c>
      <c r="BO26" s="60">
        <v>291.36</v>
      </c>
      <c r="BP26" s="65">
        <f t="shared" si="68"/>
        <v>50.000000000011369</v>
      </c>
      <c r="BQ26" s="60">
        <v>47666</v>
      </c>
      <c r="BR26" s="65">
        <f t="shared" si="69"/>
        <v>26</v>
      </c>
      <c r="BS26" s="60">
        <v>203.59</v>
      </c>
      <c r="BT26" s="65">
        <f t="shared" si="84"/>
        <v>30.000000000001137</v>
      </c>
      <c r="BU26" s="60">
        <v>43966</v>
      </c>
      <c r="BV26" s="65">
        <f t="shared" si="71"/>
        <v>42</v>
      </c>
      <c r="BW26" s="60">
        <v>234.04</v>
      </c>
      <c r="BX26" s="65">
        <f t="shared" si="72"/>
        <v>30.000000000001137</v>
      </c>
      <c r="BY26" s="60">
        <v>63427</v>
      </c>
      <c r="BZ26" s="67">
        <f t="shared" si="73"/>
        <v>30</v>
      </c>
      <c r="CA26" s="60">
        <v>34819.1</v>
      </c>
      <c r="CB26" s="67">
        <f t="shared" si="74"/>
        <v>34</v>
      </c>
      <c r="CC26" s="60">
        <v>12860.3</v>
      </c>
      <c r="CD26" s="67">
        <f t="shared" si="75"/>
        <v>14.5</v>
      </c>
      <c r="CE26" s="60">
        <v>6823.5</v>
      </c>
      <c r="CF26" s="67">
        <f t="shared" si="76"/>
        <v>0.6000000000003638</v>
      </c>
      <c r="CG26" s="60">
        <v>63407.5</v>
      </c>
      <c r="CH26" s="67">
        <f t="shared" si="77"/>
        <v>50.099999999998545</v>
      </c>
      <c r="CI26" s="60">
        <v>972867</v>
      </c>
      <c r="CJ26" s="67">
        <f t="shared" si="78"/>
        <v>299</v>
      </c>
      <c r="CK26" s="60">
        <v>819.37</v>
      </c>
      <c r="CL26" s="64">
        <f t="shared" si="79"/>
        <v>669.99999999995907</v>
      </c>
      <c r="CM26" s="65">
        <f t="shared" si="83"/>
        <v>58</v>
      </c>
      <c r="CN26" s="62">
        <v>0</v>
      </c>
      <c r="CO26" s="62">
        <v>0</v>
      </c>
      <c r="CP26" s="68">
        <v>13246.9</v>
      </c>
      <c r="CQ26" s="67">
        <f t="shared" si="80"/>
        <v>45</v>
      </c>
      <c r="CR26" s="68">
        <v>16079</v>
      </c>
      <c r="CS26" s="67">
        <f t="shared" si="80"/>
        <v>13</v>
      </c>
      <c r="CT26" s="75">
        <v>7405</v>
      </c>
      <c r="CU26" s="67">
        <f t="shared" si="80"/>
        <v>10</v>
      </c>
      <c r="CV26" s="68">
        <v>17822</v>
      </c>
      <c r="CW26" s="67">
        <f t="shared" si="80"/>
        <v>17</v>
      </c>
    </row>
    <row r="27" spans="1:101" ht="25.5" customHeight="1" thickBot="1" x14ac:dyDescent="0.45">
      <c r="A27" s="63">
        <v>44463</v>
      </c>
      <c r="B27" s="44"/>
      <c r="C27" s="58">
        <v>2.4687000000000001</v>
      </c>
      <c r="D27" s="64">
        <f t="shared" si="42"/>
        <v>2400.0000000001796</v>
      </c>
      <c r="E27" s="58">
        <v>3.4948000000000001</v>
      </c>
      <c r="F27" s="64">
        <f t="shared" si="43"/>
        <v>2699.9999999999245</v>
      </c>
      <c r="G27" s="58">
        <v>3.5428999999999999</v>
      </c>
      <c r="H27" s="64">
        <f t="shared" si="44"/>
        <v>2600.0000000001578</v>
      </c>
      <c r="I27" s="58">
        <v>1.7514000000000001</v>
      </c>
      <c r="J27" s="64">
        <f t="shared" si="45"/>
        <v>1500.0000000000568</v>
      </c>
      <c r="K27" s="58">
        <v>2.8187000000000002</v>
      </c>
      <c r="L27" s="64">
        <f t="shared" si="46"/>
        <v>1800.0000000002458</v>
      </c>
      <c r="M27" s="58">
        <v>1.5386</v>
      </c>
      <c r="N27" s="64">
        <f t="shared" si="47"/>
        <v>1199.9999999998679</v>
      </c>
      <c r="O27" s="58">
        <v>14943</v>
      </c>
      <c r="P27" s="67">
        <f t="shared" si="86"/>
        <v>15</v>
      </c>
      <c r="Q27" s="58">
        <v>1276</v>
      </c>
      <c r="R27" s="67">
        <f t="shared" si="48"/>
        <v>5</v>
      </c>
      <c r="S27" s="58">
        <v>1063.9000000000001</v>
      </c>
      <c r="T27" s="67">
        <f t="shared" si="49"/>
        <v>1</v>
      </c>
      <c r="U27" s="58">
        <v>445271.7</v>
      </c>
      <c r="V27" s="67">
        <f t="shared" si="50"/>
        <v>369.60000000003492</v>
      </c>
      <c r="W27" s="58">
        <v>421.18</v>
      </c>
      <c r="X27" s="65">
        <f t="shared" si="51"/>
        <v>280.00000000002956</v>
      </c>
      <c r="Y27" s="58">
        <v>3.0596999999999999</v>
      </c>
      <c r="Z27" s="65">
        <f t="shared" si="52"/>
        <v>2499.9999999999468</v>
      </c>
      <c r="AA27" s="58">
        <v>421.16</v>
      </c>
      <c r="AB27" s="65">
        <f t="shared" si="53"/>
        <v>360.00000000001364</v>
      </c>
      <c r="AC27" s="58">
        <v>394.27</v>
      </c>
      <c r="AD27" s="65">
        <f t="shared" si="54"/>
        <v>379.99999999999545</v>
      </c>
      <c r="AE27" s="58">
        <v>588.82000000000005</v>
      </c>
      <c r="AF27" s="65">
        <f t="shared" si="55"/>
        <v>410.00000000008185</v>
      </c>
      <c r="AG27" s="58">
        <v>7583</v>
      </c>
      <c r="AH27" s="67">
        <f t="shared" si="56"/>
        <v>32</v>
      </c>
      <c r="AI27" s="58">
        <v>666.59</v>
      </c>
      <c r="AJ27" s="65">
        <f t="shared" si="57"/>
        <v>800.00000000006821</v>
      </c>
      <c r="AK27" s="58">
        <v>221.26</v>
      </c>
      <c r="AL27" s="65">
        <f t="shared" si="57"/>
        <v>250</v>
      </c>
      <c r="AM27" s="58">
        <v>208.71</v>
      </c>
      <c r="AN27" s="65">
        <f t="shared" si="57"/>
        <v>150.00000000000568</v>
      </c>
      <c r="AO27" s="58">
        <v>201.82</v>
      </c>
      <c r="AP27" s="65">
        <f t="shared" si="57"/>
        <v>209.99999999997954</v>
      </c>
      <c r="AQ27" s="58">
        <v>259.61</v>
      </c>
      <c r="AR27" s="65">
        <f t="shared" si="58"/>
        <v>129.99999999999545</v>
      </c>
      <c r="AS27" s="58">
        <v>387.37</v>
      </c>
      <c r="AT27" s="65">
        <f t="shared" si="59"/>
        <v>139.99999999998636</v>
      </c>
      <c r="AU27" s="58">
        <v>296.19</v>
      </c>
      <c r="AV27" s="65">
        <f t="shared" si="60"/>
        <v>180.00000000000682</v>
      </c>
      <c r="AW27" s="58">
        <v>328.55</v>
      </c>
      <c r="AX27" s="65">
        <f t="shared" si="61"/>
        <v>120.00000000000455</v>
      </c>
      <c r="AY27" s="58">
        <v>366.68</v>
      </c>
      <c r="AZ27" s="65">
        <f t="shared" si="62"/>
        <v>110.00000000001364</v>
      </c>
      <c r="BA27" s="58">
        <v>385.02</v>
      </c>
      <c r="BB27" s="65">
        <f t="shared" si="63"/>
        <v>99.999999999965894</v>
      </c>
      <c r="BC27" s="58">
        <v>246.94</v>
      </c>
      <c r="BD27" s="65">
        <f t="shared" si="64"/>
        <v>39.999999999992042</v>
      </c>
      <c r="BE27" s="59">
        <v>43145</v>
      </c>
      <c r="BF27" s="67">
        <f t="shared" si="81"/>
        <v>41</v>
      </c>
      <c r="BG27" s="60">
        <v>237.43</v>
      </c>
      <c r="BH27" s="65">
        <f t="shared" si="65"/>
        <v>50.000000000011369</v>
      </c>
      <c r="BI27" s="60">
        <v>295.45</v>
      </c>
      <c r="BJ27" s="65">
        <f t="shared" si="82"/>
        <v>19.99999999998181</v>
      </c>
      <c r="BK27" s="60">
        <v>239.82</v>
      </c>
      <c r="BL27" s="65">
        <f t="shared" si="66"/>
        <v>39.999999999992042</v>
      </c>
      <c r="BM27" s="60">
        <v>227.34</v>
      </c>
      <c r="BN27" s="65">
        <f t="shared" si="67"/>
        <v>50.000000000011369</v>
      </c>
      <c r="BO27" s="60">
        <v>291.39999999999998</v>
      </c>
      <c r="BP27" s="65">
        <f t="shared" si="68"/>
        <v>39.99999999996362</v>
      </c>
      <c r="BQ27" s="60">
        <v>47693</v>
      </c>
      <c r="BR27" s="65">
        <f t="shared" si="69"/>
        <v>27</v>
      </c>
      <c r="BS27" s="60">
        <v>203.62</v>
      </c>
      <c r="BT27" s="65">
        <f t="shared" si="84"/>
        <v>30.000000000001137</v>
      </c>
      <c r="BU27" s="60">
        <v>44006</v>
      </c>
      <c r="BV27" s="65">
        <f t="shared" si="71"/>
        <v>40</v>
      </c>
      <c r="BW27" s="60">
        <v>234.08</v>
      </c>
      <c r="BX27" s="65">
        <f t="shared" si="72"/>
        <v>40.000000000020464</v>
      </c>
      <c r="BY27" s="60">
        <v>63459</v>
      </c>
      <c r="BZ27" s="67">
        <f t="shared" si="73"/>
        <v>32</v>
      </c>
      <c r="CA27" s="60"/>
      <c r="CB27" s="67" t="str">
        <f t="shared" si="74"/>
        <v/>
      </c>
      <c r="CC27" s="60">
        <v>12869</v>
      </c>
      <c r="CD27" s="67">
        <f t="shared" si="75"/>
        <v>8.7000000000007276</v>
      </c>
      <c r="CE27" s="60">
        <v>6833</v>
      </c>
      <c r="CF27" s="67">
        <f t="shared" si="76"/>
        <v>9.5</v>
      </c>
      <c r="CG27" s="60">
        <v>63467.4</v>
      </c>
      <c r="CH27" s="67">
        <f t="shared" si="77"/>
        <v>59.900000000001455</v>
      </c>
      <c r="CI27" s="60">
        <v>973158</v>
      </c>
      <c r="CJ27" s="67">
        <f t="shared" si="78"/>
        <v>291</v>
      </c>
      <c r="CK27" s="60">
        <v>820.01</v>
      </c>
      <c r="CL27" s="64">
        <f t="shared" si="79"/>
        <v>639.99999999998636</v>
      </c>
      <c r="CM27" s="65">
        <f t="shared" si="83"/>
        <v>58.399999999999636</v>
      </c>
      <c r="CN27" s="62">
        <v>10</v>
      </c>
      <c r="CO27" s="62">
        <v>24</v>
      </c>
      <c r="CP27" s="68">
        <v>13289.3</v>
      </c>
      <c r="CQ27" s="67">
        <f t="shared" si="80"/>
        <v>42.399999999999636</v>
      </c>
      <c r="CR27" s="68">
        <v>16095</v>
      </c>
      <c r="CS27" s="67">
        <f t="shared" si="80"/>
        <v>16</v>
      </c>
      <c r="CT27" s="75">
        <v>7416</v>
      </c>
      <c r="CU27" s="67">
        <f t="shared" si="80"/>
        <v>11</v>
      </c>
      <c r="CV27" s="68">
        <v>17843</v>
      </c>
      <c r="CW27" s="67">
        <f t="shared" si="80"/>
        <v>21</v>
      </c>
    </row>
    <row r="28" spans="1:101" ht="25.5" customHeight="1" thickBot="1" x14ac:dyDescent="0.45">
      <c r="A28" s="63">
        <v>44464</v>
      </c>
      <c r="B28" s="44"/>
      <c r="C28" s="58">
        <v>2.4710000000000001</v>
      </c>
      <c r="D28" s="64">
        <f t="shared" si="42"/>
        <v>2299.9999999999686</v>
      </c>
      <c r="E28" s="58">
        <v>3.4975999999999998</v>
      </c>
      <c r="F28" s="64">
        <f t="shared" si="43"/>
        <v>2799.9999999996917</v>
      </c>
      <c r="G28" s="58">
        <v>3.5453999999999999</v>
      </c>
      <c r="H28" s="64">
        <f t="shared" si="44"/>
        <v>2499.9999999999468</v>
      </c>
      <c r="I28" s="58">
        <v>1.7528999999999999</v>
      </c>
      <c r="J28" s="64">
        <f t="shared" si="45"/>
        <v>1499.9999999998347</v>
      </c>
      <c r="K28" s="58">
        <v>2.8207</v>
      </c>
      <c r="L28" s="64">
        <f t="shared" si="46"/>
        <v>1999.9999999997797</v>
      </c>
      <c r="M28" s="58">
        <v>1.5399</v>
      </c>
      <c r="N28" s="64">
        <f t="shared" si="47"/>
        <v>1300.0000000000789</v>
      </c>
      <c r="O28" s="58">
        <v>14953</v>
      </c>
      <c r="P28" s="67">
        <f t="shared" si="86"/>
        <v>10</v>
      </c>
      <c r="Q28" s="58">
        <v>1280</v>
      </c>
      <c r="R28" s="67">
        <f t="shared" si="48"/>
        <v>4</v>
      </c>
      <c r="S28" s="58">
        <v>1064.7</v>
      </c>
      <c r="T28" s="67">
        <f t="shared" si="49"/>
        <v>0.79999999999995453</v>
      </c>
      <c r="U28" s="58">
        <v>445641.8</v>
      </c>
      <c r="V28" s="67">
        <f t="shared" si="50"/>
        <v>370.09999999997672</v>
      </c>
      <c r="W28" s="58">
        <v>421.44</v>
      </c>
      <c r="X28" s="65">
        <f t="shared" si="51"/>
        <v>259.99999999999091</v>
      </c>
      <c r="Y28" s="58">
        <v>3.0621999999999998</v>
      </c>
      <c r="Z28" s="65">
        <f t="shared" si="52"/>
        <v>2499.9999999999468</v>
      </c>
      <c r="AA28" s="58">
        <v>421.46</v>
      </c>
      <c r="AB28" s="65">
        <f t="shared" si="53"/>
        <v>299.99999999995453</v>
      </c>
      <c r="AC28" s="58">
        <v>394.71</v>
      </c>
      <c r="AD28" s="65">
        <f t="shared" si="54"/>
        <v>439.99999999999773</v>
      </c>
      <c r="AE28" s="58">
        <v>589.21</v>
      </c>
      <c r="AF28" s="65">
        <f t="shared" si="55"/>
        <v>389.99999999998636</v>
      </c>
      <c r="AG28" s="58">
        <v>7617</v>
      </c>
      <c r="AH28" s="67">
        <f t="shared" si="56"/>
        <v>34</v>
      </c>
      <c r="AI28" s="58">
        <v>667.22</v>
      </c>
      <c r="AJ28" s="65">
        <f t="shared" si="57"/>
        <v>629.99999999999545</v>
      </c>
      <c r="AK28" s="58">
        <v>221.46</v>
      </c>
      <c r="AL28" s="65">
        <f t="shared" si="57"/>
        <v>200.00000000001705</v>
      </c>
      <c r="AM28" s="58">
        <v>208.82</v>
      </c>
      <c r="AN28" s="65">
        <f t="shared" si="57"/>
        <v>109.99999999998522</v>
      </c>
      <c r="AO28" s="58">
        <v>202.04</v>
      </c>
      <c r="AP28" s="65">
        <f t="shared" si="57"/>
        <v>219.99999999999886</v>
      </c>
      <c r="AQ28" s="58">
        <v>259.79000000000002</v>
      </c>
      <c r="AR28" s="65">
        <f t="shared" si="58"/>
        <v>180.00000000000682</v>
      </c>
      <c r="AS28" s="58">
        <v>387.53</v>
      </c>
      <c r="AT28" s="65">
        <f t="shared" si="59"/>
        <v>159.99999999996817</v>
      </c>
      <c r="AU28" s="58">
        <v>296.33</v>
      </c>
      <c r="AV28" s="65">
        <f t="shared" si="60"/>
        <v>139.99999999998636</v>
      </c>
      <c r="AW28" s="58">
        <v>328.67</v>
      </c>
      <c r="AX28" s="65">
        <f t="shared" si="61"/>
        <v>120.00000000000455</v>
      </c>
      <c r="AY28" s="58">
        <v>366.8</v>
      </c>
      <c r="AZ28" s="65">
        <f t="shared" si="62"/>
        <v>120.00000000000455</v>
      </c>
      <c r="BA28" s="58">
        <v>385.11</v>
      </c>
      <c r="BB28" s="65">
        <f t="shared" si="63"/>
        <v>90.000000000031832</v>
      </c>
      <c r="BC28" s="58">
        <v>246.98</v>
      </c>
      <c r="BD28" s="65">
        <f t="shared" si="64"/>
        <v>39.999999999992042</v>
      </c>
      <c r="BE28" s="59">
        <v>43185</v>
      </c>
      <c r="BF28" s="67">
        <f t="shared" si="81"/>
        <v>40</v>
      </c>
      <c r="BG28" s="60">
        <v>237.48</v>
      </c>
      <c r="BH28" s="65">
        <f t="shared" si="65"/>
        <v>49.999999999982947</v>
      </c>
      <c r="BI28" s="60">
        <v>295.47000000000003</v>
      </c>
      <c r="BJ28" s="65">
        <f t="shared" si="82"/>
        <v>20.000000000038654</v>
      </c>
      <c r="BK28" s="60">
        <v>239.85</v>
      </c>
      <c r="BL28" s="65">
        <f t="shared" si="66"/>
        <v>30.000000000001137</v>
      </c>
      <c r="BM28" s="60">
        <v>227.38</v>
      </c>
      <c r="BN28" s="65">
        <f t="shared" si="67"/>
        <v>39.999999999992042</v>
      </c>
      <c r="BO28" s="60">
        <v>291.44</v>
      </c>
      <c r="BP28" s="65">
        <f t="shared" si="68"/>
        <v>40.000000000020464</v>
      </c>
      <c r="BQ28" s="60">
        <v>47721</v>
      </c>
      <c r="BR28" s="65">
        <f t="shared" si="69"/>
        <v>28</v>
      </c>
      <c r="BS28" s="60">
        <v>203.66</v>
      </c>
      <c r="BT28" s="65">
        <f t="shared" si="84"/>
        <v>39.999999999992042</v>
      </c>
      <c r="BU28" s="60">
        <v>44041</v>
      </c>
      <c r="BV28" s="65">
        <f t="shared" si="71"/>
        <v>35</v>
      </c>
      <c r="BW28" s="60">
        <v>234.11</v>
      </c>
      <c r="BX28" s="65">
        <f t="shared" si="72"/>
        <v>30.000000000001137</v>
      </c>
      <c r="BY28" s="60">
        <v>63489</v>
      </c>
      <c r="BZ28" s="67">
        <f t="shared" si="73"/>
        <v>30</v>
      </c>
      <c r="CA28" s="60"/>
      <c r="CB28" s="67">
        <f t="shared" si="74"/>
        <v>0</v>
      </c>
      <c r="CC28" s="60">
        <v>12877.7</v>
      </c>
      <c r="CD28" s="67">
        <f t="shared" si="75"/>
        <v>8.7000000000007276</v>
      </c>
      <c r="CE28" s="60">
        <v>6833.5</v>
      </c>
      <c r="CF28" s="67">
        <f t="shared" si="76"/>
        <v>0.5</v>
      </c>
      <c r="CG28" s="60">
        <v>63520.3</v>
      </c>
      <c r="CH28" s="67">
        <f t="shared" si="77"/>
        <v>52.900000000001455</v>
      </c>
      <c r="CI28" s="60">
        <v>973437</v>
      </c>
      <c r="CJ28" s="67">
        <f t="shared" si="78"/>
        <v>279</v>
      </c>
      <c r="CK28" s="60">
        <v>820.65</v>
      </c>
      <c r="CL28" s="64">
        <f t="shared" si="79"/>
        <v>639.99999999998636</v>
      </c>
      <c r="CM28" s="65">
        <f t="shared" si="83"/>
        <v>135.5</v>
      </c>
      <c r="CN28" s="62">
        <v>8</v>
      </c>
      <c r="CO28" s="62">
        <v>17</v>
      </c>
      <c r="CP28" s="68">
        <v>13409.8</v>
      </c>
      <c r="CQ28" s="67">
        <f t="shared" si="80"/>
        <v>120.5</v>
      </c>
      <c r="CR28" s="68">
        <v>16110</v>
      </c>
      <c r="CS28" s="67">
        <f t="shared" si="80"/>
        <v>15</v>
      </c>
      <c r="CT28" s="75">
        <v>7425</v>
      </c>
      <c r="CU28" s="67">
        <f t="shared" si="80"/>
        <v>9</v>
      </c>
      <c r="CV28" s="68">
        <v>17868</v>
      </c>
      <c r="CW28" s="67">
        <f t="shared" si="80"/>
        <v>25</v>
      </c>
    </row>
    <row r="29" spans="1:101" ht="25.5" customHeight="1" thickBot="1" x14ac:dyDescent="0.45">
      <c r="A29" s="63">
        <v>44465</v>
      </c>
      <c r="B29" s="44"/>
      <c r="C29" s="58">
        <v>2.4733999999999998</v>
      </c>
      <c r="D29" s="64">
        <f t="shared" si="42"/>
        <v>2399.9999999997358</v>
      </c>
      <c r="E29" s="58">
        <v>3.5005000000000002</v>
      </c>
      <c r="F29" s="64">
        <f t="shared" si="43"/>
        <v>2900.0000000003465</v>
      </c>
      <c r="G29" s="58">
        <v>3.5478999999999998</v>
      </c>
      <c r="H29" s="64">
        <f t="shared" si="44"/>
        <v>2499.9999999999468</v>
      </c>
      <c r="I29" s="58">
        <v>1.7543</v>
      </c>
      <c r="J29" s="64">
        <f t="shared" si="45"/>
        <v>1400.0000000000678</v>
      </c>
      <c r="K29" s="58">
        <v>2.8224999999999998</v>
      </c>
      <c r="L29" s="64">
        <f t="shared" si="46"/>
        <v>1799.9999999998017</v>
      </c>
      <c r="M29" s="58">
        <v>1.5408999999999999</v>
      </c>
      <c r="N29" s="64">
        <f t="shared" si="47"/>
        <v>999.99999999988984</v>
      </c>
      <c r="O29" s="58">
        <v>14968</v>
      </c>
      <c r="P29" s="67">
        <f t="shared" si="86"/>
        <v>15</v>
      </c>
      <c r="Q29" s="58">
        <v>1287</v>
      </c>
      <c r="R29" s="67">
        <f t="shared" si="48"/>
        <v>7</v>
      </c>
      <c r="S29" s="58">
        <v>1066.5</v>
      </c>
      <c r="T29" s="67">
        <f t="shared" si="49"/>
        <v>1.7999999999999545</v>
      </c>
      <c r="U29" s="58">
        <v>446385.5</v>
      </c>
      <c r="V29" s="67">
        <f t="shared" si="50"/>
        <v>743.70000000001164</v>
      </c>
      <c r="W29" s="58">
        <v>421.86</v>
      </c>
      <c r="X29" s="65">
        <f t="shared" si="51"/>
        <v>420.00000000001592</v>
      </c>
      <c r="Y29" s="58">
        <v>3.0663</v>
      </c>
      <c r="Z29" s="65">
        <f t="shared" si="52"/>
        <v>4100.0000000002146</v>
      </c>
      <c r="AA29" s="58">
        <v>421.97</v>
      </c>
      <c r="AB29" s="65">
        <f t="shared" si="53"/>
        <v>510.00000000004775</v>
      </c>
      <c r="AC29" s="58">
        <v>395.36</v>
      </c>
      <c r="AD29" s="65">
        <f t="shared" si="54"/>
        <v>650.00000000003411</v>
      </c>
      <c r="AE29" s="58">
        <v>589.61</v>
      </c>
      <c r="AF29" s="65">
        <f t="shared" si="55"/>
        <v>399.99999999997726</v>
      </c>
      <c r="AG29" s="58">
        <v>7666</v>
      </c>
      <c r="AH29" s="67">
        <f t="shared" si="56"/>
        <v>49</v>
      </c>
      <c r="AI29" s="58">
        <v>668.3</v>
      </c>
      <c r="AJ29" s="65">
        <f t="shared" si="57"/>
        <v>1079.9999999999272</v>
      </c>
      <c r="AK29" s="58">
        <v>221.79</v>
      </c>
      <c r="AL29" s="65">
        <f t="shared" si="57"/>
        <v>329.99999999998408</v>
      </c>
      <c r="AM29" s="58">
        <v>209.07</v>
      </c>
      <c r="AN29" s="65">
        <f t="shared" si="57"/>
        <v>250</v>
      </c>
      <c r="AO29" s="58">
        <v>202.4</v>
      </c>
      <c r="AP29" s="65">
        <f t="shared" si="57"/>
        <v>360.00000000001364</v>
      </c>
      <c r="AQ29" s="58">
        <v>260.12</v>
      </c>
      <c r="AR29" s="65">
        <f t="shared" si="58"/>
        <v>329.99999999998408</v>
      </c>
      <c r="AS29" s="58">
        <v>387.91</v>
      </c>
      <c r="AT29" s="65">
        <f t="shared" si="59"/>
        <v>380.0000000000523</v>
      </c>
      <c r="AU29" s="58">
        <v>296.47000000000003</v>
      </c>
      <c r="AV29" s="65">
        <f t="shared" si="60"/>
        <v>140.0000000000432</v>
      </c>
      <c r="AW29" s="58">
        <v>328.87</v>
      </c>
      <c r="AX29" s="65">
        <f t="shared" si="61"/>
        <v>199.99999999998863</v>
      </c>
      <c r="AY29" s="58">
        <v>366.99</v>
      </c>
      <c r="AZ29" s="65">
        <f t="shared" si="62"/>
        <v>189.99999999999773</v>
      </c>
      <c r="BA29" s="58">
        <v>385.35</v>
      </c>
      <c r="BB29" s="65">
        <f t="shared" si="63"/>
        <v>240.00000000000909</v>
      </c>
      <c r="BC29" s="58">
        <v>247.03</v>
      </c>
      <c r="BD29" s="65">
        <f t="shared" si="64"/>
        <v>50.000000000011369</v>
      </c>
      <c r="BE29" s="59">
        <v>43225</v>
      </c>
      <c r="BF29" s="67">
        <f t="shared" si="81"/>
        <v>40</v>
      </c>
      <c r="BG29" s="60">
        <v>237.55</v>
      </c>
      <c r="BH29" s="65">
        <f t="shared" si="65"/>
        <v>70.0000000000216</v>
      </c>
      <c r="BI29" s="60">
        <v>295.51</v>
      </c>
      <c r="BJ29" s="65">
        <f t="shared" si="82"/>
        <v>39.99999999996362</v>
      </c>
      <c r="BK29" s="60">
        <v>239.9</v>
      </c>
      <c r="BL29" s="65">
        <f t="shared" si="66"/>
        <v>50.000000000011369</v>
      </c>
      <c r="BM29" s="60">
        <v>227.44</v>
      </c>
      <c r="BN29" s="65">
        <f t="shared" si="67"/>
        <v>60.000000000002274</v>
      </c>
      <c r="BO29" s="60">
        <v>291.5</v>
      </c>
      <c r="BP29" s="65">
        <f t="shared" si="68"/>
        <v>60.000000000002274</v>
      </c>
      <c r="BQ29" s="60">
        <v>47774</v>
      </c>
      <c r="BR29" s="65">
        <f t="shared" si="69"/>
        <v>53</v>
      </c>
      <c r="BS29" s="60">
        <v>203.7</v>
      </c>
      <c r="BT29" s="65">
        <f t="shared" si="84"/>
        <v>39.999999999992042</v>
      </c>
      <c r="BU29" s="60">
        <v>44100</v>
      </c>
      <c r="BV29" s="65">
        <f t="shared" si="71"/>
        <v>59</v>
      </c>
      <c r="BW29" s="60">
        <v>234.16</v>
      </c>
      <c r="BX29" s="65">
        <f t="shared" si="72"/>
        <v>49.999999999982947</v>
      </c>
      <c r="BY29" s="60">
        <v>63556</v>
      </c>
      <c r="BZ29" s="67">
        <f t="shared" si="73"/>
        <v>67</v>
      </c>
      <c r="CA29" s="60"/>
      <c r="CB29" s="67">
        <f t="shared" si="74"/>
        <v>0</v>
      </c>
      <c r="CC29" s="60">
        <v>12895.5</v>
      </c>
      <c r="CD29" s="67">
        <f t="shared" si="75"/>
        <v>17.799999999999272</v>
      </c>
      <c r="CE29" s="60">
        <v>6833.7</v>
      </c>
      <c r="CF29" s="67">
        <f t="shared" si="76"/>
        <v>0.1999999999998181</v>
      </c>
      <c r="CG29" s="60">
        <v>63617.5</v>
      </c>
      <c r="CH29" s="67">
        <f t="shared" si="77"/>
        <v>97.19999999999709</v>
      </c>
      <c r="CI29" s="60">
        <v>973872</v>
      </c>
      <c r="CJ29" s="67">
        <f t="shared" si="78"/>
        <v>435</v>
      </c>
      <c r="CK29" s="60">
        <v>821.26</v>
      </c>
      <c r="CL29" s="64">
        <f t="shared" si="79"/>
        <v>610.00000000001364</v>
      </c>
      <c r="CM29" s="65">
        <f t="shared" si="83"/>
        <v>69.900000000001455</v>
      </c>
      <c r="CN29" s="62">
        <v>10</v>
      </c>
      <c r="CO29" s="62">
        <v>24</v>
      </c>
      <c r="CP29" s="68">
        <v>13449.7</v>
      </c>
      <c r="CQ29" s="67">
        <f t="shared" si="80"/>
        <v>39.900000000001455</v>
      </c>
      <c r="CR29" s="68">
        <v>16140</v>
      </c>
      <c r="CS29" s="67">
        <f t="shared" si="80"/>
        <v>30</v>
      </c>
      <c r="CT29" s="75">
        <v>7441</v>
      </c>
      <c r="CU29" s="67">
        <f t="shared" si="80"/>
        <v>16</v>
      </c>
      <c r="CV29" s="68">
        <v>17917</v>
      </c>
      <c r="CW29" s="67">
        <f t="shared" si="80"/>
        <v>49</v>
      </c>
    </row>
    <row r="30" spans="1:101" ht="25.5" customHeight="1" thickBot="1" x14ac:dyDescent="0.45">
      <c r="A30" s="63">
        <v>44466</v>
      </c>
      <c r="B30" s="44"/>
      <c r="C30" s="58">
        <v>2.476</v>
      </c>
      <c r="D30" s="64">
        <f t="shared" si="42"/>
        <v>2600.0000000001578</v>
      </c>
      <c r="E30" s="58">
        <v>3.5036</v>
      </c>
      <c r="F30" s="64">
        <f t="shared" si="43"/>
        <v>3099.9999999998809</v>
      </c>
      <c r="G30" s="58">
        <v>3.5507</v>
      </c>
      <c r="H30" s="64">
        <f t="shared" si="44"/>
        <v>2800.0000000001355</v>
      </c>
      <c r="I30" s="58">
        <v>1.7558</v>
      </c>
      <c r="J30" s="64">
        <f t="shared" si="45"/>
        <v>1500.0000000000568</v>
      </c>
      <c r="K30" s="58">
        <v>2.8243999999999998</v>
      </c>
      <c r="L30" s="64">
        <f t="shared" si="46"/>
        <v>1900.0000000000127</v>
      </c>
      <c r="M30" s="58">
        <v>1.5421</v>
      </c>
      <c r="N30" s="64">
        <f t="shared" si="47"/>
        <v>1200.0000000000898</v>
      </c>
      <c r="O30" s="58">
        <v>14974</v>
      </c>
      <c r="P30" s="67">
        <f t="shared" si="86"/>
        <v>6</v>
      </c>
      <c r="Q30" s="58">
        <v>1290</v>
      </c>
      <c r="R30" s="67">
        <f t="shared" si="48"/>
        <v>3</v>
      </c>
      <c r="S30" s="58">
        <v>1067.3</v>
      </c>
      <c r="T30" s="67">
        <f t="shared" si="49"/>
        <v>0.79999999999995453</v>
      </c>
      <c r="U30" s="58">
        <v>446671.9</v>
      </c>
      <c r="V30" s="67">
        <f t="shared" si="50"/>
        <v>286.40000000002328</v>
      </c>
      <c r="W30" s="58">
        <v>422.08</v>
      </c>
      <c r="X30" s="65">
        <f t="shared" si="51"/>
        <v>219.99999999997044</v>
      </c>
      <c r="Y30" s="58">
        <v>3.0686</v>
      </c>
      <c r="Z30" s="65">
        <f t="shared" si="52"/>
        <v>2299.9999999999686</v>
      </c>
      <c r="AA30" s="58">
        <v>422.24</v>
      </c>
      <c r="AB30" s="65">
        <f t="shared" si="53"/>
        <v>269.99999999998181</v>
      </c>
      <c r="AC30" s="58">
        <v>395.67</v>
      </c>
      <c r="AD30" s="65">
        <f t="shared" si="54"/>
        <v>310.00000000000227</v>
      </c>
      <c r="AE30" s="58">
        <v>589.86</v>
      </c>
      <c r="AF30" s="65">
        <f t="shared" si="55"/>
        <v>250</v>
      </c>
      <c r="AG30" s="58">
        <v>7715</v>
      </c>
      <c r="AH30" s="67">
        <f t="shared" si="56"/>
        <v>49</v>
      </c>
      <c r="AI30" s="58">
        <v>668.82</v>
      </c>
      <c r="AJ30" s="65">
        <f t="shared" si="57"/>
        <v>520.0000000000955</v>
      </c>
      <c r="AK30" s="58">
        <v>221.97</v>
      </c>
      <c r="AL30" s="65">
        <f t="shared" si="57"/>
        <v>180.00000000000682</v>
      </c>
      <c r="AM30" s="58">
        <v>209.22</v>
      </c>
      <c r="AN30" s="65">
        <f t="shared" si="57"/>
        <v>150.00000000000568</v>
      </c>
      <c r="AO30" s="58">
        <v>202.56</v>
      </c>
      <c r="AP30" s="65">
        <f t="shared" si="57"/>
        <v>159.99999999999659</v>
      </c>
      <c r="AQ30" s="58">
        <v>260.26</v>
      </c>
      <c r="AR30" s="65">
        <f t="shared" si="58"/>
        <v>139.99999999998636</v>
      </c>
      <c r="AS30" s="58">
        <v>388.09</v>
      </c>
      <c r="AT30" s="65">
        <f t="shared" si="59"/>
        <v>179.99999999994998</v>
      </c>
      <c r="AU30" s="58">
        <v>296.91000000000003</v>
      </c>
      <c r="AV30" s="65">
        <f t="shared" si="60"/>
        <v>439.99999999999773</v>
      </c>
      <c r="AW30" s="58">
        <v>328.97</v>
      </c>
      <c r="AX30" s="65">
        <f t="shared" si="61"/>
        <v>100.00000000002274</v>
      </c>
      <c r="AY30" s="58">
        <v>367.11</v>
      </c>
      <c r="AZ30" s="65">
        <f t="shared" si="62"/>
        <v>120.00000000000455</v>
      </c>
      <c r="BA30" s="58">
        <v>385.45</v>
      </c>
      <c r="BB30" s="65">
        <f t="shared" si="63"/>
        <v>99.999999999965894</v>
      </c>
      <c r="BC30" s="58">
        <v>247.06</v>
      </c>
      <c r="BD30" s="65">
        <f t="shared" si="64"/>
        <v>30.000000000001137</v>
      </c>
      <c r="BE30" s="59">
        <v>43265</v>
      </c>
      <c r="BF30" s="67">
        <f t="shared" si="81"/>
        <v>40</v>
      </c>
      <c r="BG30" s="60">
        <v>237.58</v>
      </c>
      <c r="BH30" s="65">
        <f t="shared" si="65"/>
        <v>30.000000000001137</v>
      </c>
      <c r="BI30" s="60">
        <v>295.52999999999997</v>
      </c>
      <c r="BJ30" s="65">
        <f t="shared" si="82"/>
        <v>19.99999999998181</v>
      </c>
      <c r="BK30" s="60">
        <v>239.94</v>
      </c>
      <c r="BL30" s="65">
        <f t="shared" si="66"/>
        <v>39.999999999992042</v>
      </c>
      <c r="BM30" s="60">
        <v>227.47</v>
      </c>
      <c r="BN30" s="65">
        <f t="shared" si="67"/>
        <v>30.000000000001137</v>
      </c>
      <c r="BO30" s="60">
        <v>291.52999999999997</v>
      </c>
      <c r="BP30" s="65">
        <f t="shared" si="68"/>
        <v>29.999999999972715</v>
      </c>
      <c r="BQ30" s="60">
        <v>47801</v>
      </c>
      <c r="BR30" s="65">
        <f t="shared" si="69"/>
        <v>27</v>
      </c>
      <c r="BS30" s="60">
        <v>203.73</v>
      </c>
      <c r="BT30" s="65">
        <f t="shared" si="84"/>
        <v>30.000000000001137</v>
      </c>
      <c r="BU30" s="60">
        <v>44130</v>
      </c>
      <c r="BV30" s="65">
        <f t="shared" si="71"/>
        <v>30</v>
      </c>
      <c r="BW30" s="60">
        <v>234.17</v>
      </c>
      <c r="BX30" s="65">
        <f t="shared" si="72"/>
        <v>9.9999999999909051</v>
      </c>
      <c r="BY30" s="60">
        <v>63584</v>
      </c>
      <c r="BZ30" s="67">
        <f t="shared" si="73"/>
        <v>28</v>
      </c>
      <c r="CA30" s="60"/>
      <c r="CB30" s="67">
        <f t="shared" si="74"/>
        <v>0</v>
      </c>
      <c r="CC30" s="60">
        <v>12907.3</v>
      </c>
      <c r="CD30" s="67">
        <f t="shared" si="75"/>
        <v>11.799999999999272</v>
      </c>
      <c r="CE30" s="60">
        <v>6841</v>
      </c>
      <c r="CF30" s="67">
        <f t="shared" si="76"/>
        <v>7.3000000000001819</v>
      </c>
      <c r="CG30" s="60">
        <v>63656.1</v>
      </c>
      <c r="CH30" s="67">
        <f t="shared" si="77"/>
        <v>38.599999999998545</v>
      </c>
      <c r="CI30" s="60">
        <v>974098</v>
      </c>
      <c r="CJ30" s="67">
        <f t="shared" si="78"/>
        <v>226</v>
      </c>
      <c r="CK30" s="60">
        <v>822.03</v>
      </c>
      <c r="CL30" s="64">
        <f t="shared" si="79"/>
        <v>769.99999999998181</v>
      </c>
      <c r="CM30" s="65">
        <f t="shared" si="83"/>
        <v>106.5</v>
      </c>
      <c r="CN30" s="62">
        <v>30</v>
      </c>
      <c r="CO30" s="62">
        <v>72</v>
      </c>
      <c r="CP30" s="68">
        <v>13542.2</v>
      </c>
      <c r="CQ30" s="67">
        <f t="shared" si="80"/>
        <v>92.5</v>
      </c>
      <c r="CR30" s="68">
        <v>16154</v>
      </c>
      <c r="CS30" s="67">
        <f t="shared" si="80"/>
        <v>14</v>
      </c>
      <c r="CT30" s="75">
        <v>7450</v>
      </c>
      <c r="CU30" s="67">
        <f t="shared" si="80"/>
        <v>9</v>
      </c>
      <c r="CV30" s="68">
        <v>17947</v>
      </c>
      <c r="CW30" s="67">
        <f t="shared" si="80"/>
        <v>30</v>
      </c>
    </row>
    <row r="31" spans="1:101" ht="25.5" customHeight="1" thickBot="1" x14ac:dyDescent="0.45">
      <c r="A31" s="63">
        <v>44467</v>
      </c>
      <c r="B31" s="66"/>
      <c r="C31" s="58"/>
      <c r="D31" s="64" t="str">
        <f t="shared" si="42"/>
        <v>0</v>
      </c>
      <c r="E31" s="58"/>
      <c r="F31" s="64" t="str">
        <f t="shared" si="43"/>
        <v>0</v>
      </c>
      <c r="G31" s="58"/>
      <c r="H31" s="64" t="str">
        <f t="shared" si="44"/>
        <v>0</v>
      </c>
      <c r="I31" s="58"/>
      <c r="J31" s="64" t="str">
        <f t="shared" si="45"/>
        <v>0</v>
      </c>
      <c r="K31" s="58"/>
      <c r="L31" s="64" t="str">
        <f t="shared" si="46"/>
        <v>0</v>
      </c>
      <c r="M31" s="58"/>
      <c r="N31" s="64" t="str">
        <f t="shared" si="47"/>
        <v/>
      </c>
      <c r="O31" s="58"/>
      <c r="P31" s="67" t="str">
        <f t="shared" si="86"/>
        <v/>
      </c>
      <c r="Q31" s="58"/>
      <c r="R31" s="67" t="str">
        <f t="shared" si="48"/>
        <v/>
      </c>
      <c r="S31" s="58"/>
      <c r="T31" s="67" t="str">
        <f t="shared" si="49"/>
        <v/>
      </c>
      <c r="U31" s="58"/>
      <c r="V31" s="67" t="str">
        <f t="shared" si="50"/>
        <v/>
      </c>
      <c r="W31" s="58"/>
      <c r="X31" s="65" t="str">
        <f t="shared" si="51"/>
        <v/>
      </c>
      <c r="Y31" s="58"/>
      <c r="Z31" s="65" t="str">
        <f t="shared" si="52"/>
        <v/>
      </c>
      <c r="AA31" s="58"/>
      <c r="AB31" s="65" t="str">
        <f t="shared" si="53"/>
        <v/>
      </c>
      <c r="AC31" s="58"/>
      <c r="AD31" s="65" t="str">
        <f t="shared" si="54"/>
        <v/>
      </c>
      <c r="AE31" s="58"/>
      <c r="AF31" s="65" t="str">
        <f t="shared" si="55"/>
        <v/>
      </c>
      <c r="AG31" s="58"/>
      <c r="AH31" s="67" t="str">
        <f t="shared" si="56"/>
        <v/>
      </c>
      <c r="AI31" s="58"/>
      <c r="AJ31" s="65" t="str">
        <f t="shared" si="57"/>
        <v/>
      </c>
      <c r="AK31" s="58"/>
      <c r="AL31" s="65" t="str">
        <f t="shared" si="57"/>
        <v/>
      </c>
      <c r="AM31" s="58"/>
      <c r="AN31" s="65" t="str">
        <f t="shared" si="57"/>
        <v/>
      </c>
      <c r="AO31" s="58"/>
      <c r="AP31" s="65" t="str">
        <f t="shared" si="57"/>
        <v/>
      </c>
      <c r="AQ31" s="58"/>
      <c r="AR31" s="65" t="str">
        <f t="shared" si="58"/>
        <v/>
      </c>
      <c r="AS31" s="58"/>
      <c r="AT31" s="65" t="str">
        <f t="shared" si="59"/>
        <v/>
      </c>
      <c r="AU31" s="58"/>
      <c r="AV31" s="65" t="str">
        <f t="shared" si="60"/>
        <v/>
      </c>
      <c r="AW31" s="58"/>
      <c r="AX31" s="65" t="str">
        <f t="shared" si="61"/>
        <v/>
      </c>
      <c r="AY31" s="58"/>
      <c r="AZ31" s="65" t="str">
        <f t="shared" si="62"/>
        <v/>
      </c>
      <c r="BA31" s="58"/>
      <c r="BB31" s="65" t="str">
        <f t="shared" si="63"/>
        <v/>
      </c>
      <c r="BC31" s="58"/>
      <c r="BD31" s="65" t="str">
        <f t="shared" si="64"/>
        <v/>
      </c>
      <c r="BE31" s="59"/>
      <c r="BF31" s="67" t="str">
        <f t="shared" si="81"/>
        <v/>
      </c>
      <c r="BG31" s="60"/>
      <c r="BH31" s="65" t="str">
        <f t="shared" si="65"/>
        <v/>
      </c>
      <c r="BI31" s="60"/>
      <c r="BJ31" s="65" t="str">
        <f t="shared" si="82"/>
        <v/>
      </c>
      <c r="BK31" s="60"/>
      <c r="BL31" s="65" t="str">
        <f t="shared" si="66"/>
        <v/>
      </c>
      <c r="BM31" s="60"/>
      <c r="BN31" s="65" t="str">
        <f t="shared" si="67"/>
        <v/>
      </c>
      <c r="BO31" s="60"/>
      <c r="BP31" s="65" t="str">
        <f t="shared" si="68"/>
        <v/>
      </c>
      <c r="BQ31" s="60"/>
      <c r="BR31" s="65" t="str">
        <f t="shared" si="69"/>
        <v/>
      </c>
      <c r="BS31" s="60"/>
      <c r="BT31" s="65" t="str">
        <f t="shared" si="84"/>
        <v/>
      </c>
      <c r="BU31" s="60"/>
      <c r="BV31" s="65" t="str">
        <f t="shared" si="71"/>
        <v/>
      </c>
      <c r="BW31" s="60"/>
      <c r="BX31" s="65" t="str">
        <f t="shared" si="72"/>
        <v/>
      </c>
      <c r="BY31" s="60"/>
      <c r="BZ31" s="67" t="str">
        <f t="shared" si="73"/>
        <v/>
      </c>
      <c r="CA31" s="60"/>
      <c r="CB31" s="67">
        <f t="shared" si="74"/>
        <v>0</v>
      </c>
      <c r="CC31" s="60"/>
      <c r="CD31" s="67" t="str">
        <f t="shared" si="75"/>
        <v/>
      </c>
      <c r="CE31" s="60"/>
      <c r="CF31" s="67" t="str">
        <f t="shared" si="76"/>
        <v/>
      </c>
      <c r="CG31" s="60"/>
      <c r="CH31" s="67" t="str">
        <f t="shared" si="77"/>
        <v/>
      </c>
      <c r="CI31" s="60"/>
      <c r="CJ31" s="67" t="str">
        <f t="shared" si="78"/>
        <v/>
      </c>
      <c r="CK31" s="60"/>
      <c r="CL31" s="64" t="str">
        <f t="shared" si="79"/>
        <v/>
      </c>
      <c r="CM31" s="65" t="e">
        <f t="shared" si="83"/>
        <v>#VALUE!</v>
      </c>
      <c r="CN31" s="62">
        <v>0</v>
      </c>
      <c r="CO31" s="62">
        <v>0</v>
      </c>
      <c r="CP31" s="68"/>
      <c r="CQ31" s="67" t="str">
        <f t="shared" si="80"/>
        <v/>
      </c>
      <c r="CR31" s="68"/>
      <c r="CS31" s="67" t="str">
        <f t="shared" si="80"/>
        <v/>
      </c>
      <c r="CT31" s="75"/>
      <c r="CU31" s="67" t="str">
        <f t="shared" si="80"/>
        <v/>
      </c>
      <c r="CV31" s="68"/>
      <c r="CW31" s="67" t="str">
        <f t="shared" si="80"/>
        <v/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1.75" x14ac:dyDescent="0.4">
      <c r="AX37" s="65"/>
    </row>
    <row r="38" spans="1:101" x14ac:dyDescent="0.3">
      <c r="Q38" s="71"/>
      <c r="R38" s="57"/>
      <c r="AK38" s="61"/>
      <c r="CJ38" s="61"/>
      <c r="CL38" s="72"/>
      <c r="CM38" s="72"/>
      <c r="CN38" s="57"/>
      <c r="CO38" s="57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D34" sqref="D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85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85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85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14</v>
      </c>
      <c r="D19" s="40">
        <v>34</v>
      </c>
      <c r="E19" s="41">
        <v>85</v>
      </c>
      <c r="F19" s="41">
        <v>5748</v>
      </c>
      <c r="G19" s="41">
        <v>0</v>
      </c>
      <c r="H19" s="41">
        <v>1712</v>
      </c>
      <c r="I19" s="41">
        <v>5</v>
      </c>
      <c r="J19" s="41">
        <v>425</v>
      </c>
      <c r="K19" s="42">
        <v>85</v>
      </c>
      <c r="L19" s="42">
        <v>70</v>
      </c>
      <c r="M19" s="42">
        <v>1416</v>
      </c>
      <c r="N19" s="39">
        <v>85</v>
      </c>
      <c r="O19" s="39">
        <v>0</v>
      </c>
      <c r="P19" s="39">
        <v>85</v>
      </c>
      <c r="Q19" s="39">
        <v>4168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44452</v>
      </c>
      <c r="B20" s="40">
        <v>0</v>
      </c>
      <c r="C20" s="40">
        <v>14</v>
      </c>
      <c r="D20" s="40">
        <v>34</v>
      </c>
      <c r="E20" s="41">
        <v>80</v>
      </c>
      <c r="F20" s="41">
        <v>5752</v>
      </c>
      <c r="G20" s="41">
        <v>0</v>
      </c>
      <c r="H20" s="41">
        <v>1714</v>
      </c>
      <c r="I20" s="41">
        <v>0</v>
      </c>
      <c r="J20" s="41">
        <v>425</v>
      </c>
      <c r="K20" s="42">
        <v>85</v>
      </c>
      <c r="L20" s="42">
        <v>70</v>
      </c>
      <c r="M20" s="42">
        <v>1416</v>
      </c>
      <c r="N20" s="39">
        <v>85</v>
      </c>
      <c r="O20" s="39">
        <v>0</v>
      </c>
      <c r="P20" s="39">
        <v>85</v>
      </c>
      <c r="Q20" s="39">
        <v>4171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44453</v>
      </c>
      <c r="B21" s="40">
        <v>0</v>
      </c>
      <c r="C21" s="40">
        <v>14</v>
      </c>
      <c r="D21" s="40">
        <v>34</v>
      </c>
      <c r="E21" s="41">
        <v>70</v>
      </c>
      <c r="F21" s="41">
        <v>5754</v>
      </c>
      <c r="G21" s="41">
        <v>0</v>
      </c>
      <c r="H21" s="41">
        <v>1716</v>
      </c>
      <c r="I21" s="41">
        <v>0</v>
      </c>
      <c r="J21" s="41">
        <v>426</v>
      </c>
      <c r="K21" s="42">
        <v>85</v>
      </c>
      <c r="L21" s="42">
        <v>70</v>
      </c>
      <c r="M21" s="42">
        <v>1416</v>
      </c>
      <c r="N21" s="39">
        <v>85</v>
      </c>
      <c r="O21" s="39">
        <v>0</v>
      </c>
      <c r="P21" s="39">
        <v>80</v>
      </c>
      <c r="Q21" s="39">
        <v>4175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17</v>
      </c>
      <c r="D22" s="40">
        <v>45</v>
      </c>
      <c r="E22" s="41">
        <v>60</v>
      </c>
      <c r="F22" s="41">
        <v>5762</v>
      </c>
      <c r="G22" s="41">
        <v>0</v>
      </c>
      <c r="H22" s="41">
        <v>1718</v>
      </c>
      <c r="I22" s="41">
        <v>0</v>
      </c>
      <c r="J22" s="41">
        <v>427</v>
      </c>
      <c r="K22" s="42">
        <v>85</v>
      </c>
      <c r="L22" s="42">
        <v>65</v>
      </c>
      <c r="M22" s="42">
        <v>1418</v>
      </c>
      <c r="N22" s="39">
        <v>85</v>
      </c>
      <c r="O22" s="39">
        <v>0</v>
      </c>
      <c r="P22" s="39">
        <v>80</v>
      </c>
      <c r="Q22" s="39">
        <v>4178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17</v>
      </c>
      <c r="D23" s="40">
        <v>45</v>
      </c>
      <c r="E23" s="41">
        <v>50</v>
      </c>
      <c r="F23" s="41">
        <v>5767</v>
      </c>
      <c r="G23" s="41">
        <v>0</v>
      </c>
      <c r="H23" s="41">
        <v>1720</v>
      </c>
      <c r="I23" s="41">
        <v>0</v>
      </c>
      <c r="J23" s="41">
        <v>429</v>
      </c>
      <c r="K23" s="42">
        <v>85</v>
      </c>
      <c r="L23" s="42">
        <v>65</v>
      </c>
      <c r="M23" s="42">
        <v>1418</v>
      </c>
      <c r="N23" s="39">
        <v>85</v>
      </c>
      <c r="O23" s="39">
        <v>0</v>
      </c>
      <c r="P23" s="39">
        <v>80</v>
      </c>
      <c r="Q23" s="39">
        <v>4180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17</v>
      </c>
      <c r="D24" s="40">
        <v>43</v>
      </c>
      <c r="E24" s="41">
        <v>40</v>
      </c>
      <c r="F24" s="41">
        <v>5772</v>
      </c>
      <c r="G24" s="41">
        <v>0</v>
      </c>
      <c r="H24" s="41">
        <v>1722</v>
      </c>
      <c r="I24" s="41">
        <v>0</v>
      </c>
      <c r="J24" s="41">
        <v>430</v>
      </c>
      <c r="K24" s="42">
        <v>85</v>
      </c>
      <c r="L24" s="42">
        <v>65</v>
      </c>
      <c r="M24" s="42">
        <v>1419</v>
      </c>
      <c r="N24" s="39">
        <v>85</v>
      </c>
      <c r="O24" s="39">
        <v>0</v>
      </c>
      <c r="P24" s="39">
        <v>75</v>
      </c>
      <c r="Q24" s="39">
        <v>4184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17</v>
      </c>
      <c r="D25" s="40">
        <v>43</v>
      </c>
      <c r="E25" s="41">
        <v>25</v>
      </c>
      <c r="F25" s="41">
        <v>5776</v>
      </c>
      <c r="G25" s="41">
        <v>0</v>
      </c>
      <c r="H25" s="41">
        <v>1724</v>
      </c>
      <c r="I25" s="41">
        <v>0</v>
      </c>
      <c r="J25" s="41">
        <v>431</v>
      </c>
      <c r="K25" s="42">
        <v>85</v>
      </c>
      <c r="L25" s="42">
        <v>65</v>
      </c>
      <c r="M25" s="42">
        <v>1419</v>
      </c>
      <c r="N25" s="39">
        <v>85</v>
      </c>
      <c r="O25" s="39">
        <v>0</v>
      </c>
      <c r="P25" s="39">
        <v>70</v>
      </c>
      <c r="Q25" s="39">
        <v>4187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18</v>
      </c>
      <c r="D26" s="40">
        <v>45</v>
      </c>
      <c r="E26" s="41">
        <v>15</v>
      </c>
      <c r="F26" s="41">
        <v>5781</v>
      </c>
      <c r="G26" s="41">
        <v>0</v>
      </c>
      <c r="H26" s="41">
        <v>1725</v>
      </c>
      <c r="I26" s="41">
        <v>0</v>
      </c>
      <c r="J26" s="41">
        <v>432</v>
      </c>
      <c r="K26" s="42">
        <v>85</v>
      </c>
      <c r="L26" s="42">
        <v>65</v>
      </c>
      <c r="M26" s="42">
        <v>1419</v>
      </c>
      <c r="N26" s="39">
        <v>85</v>
      </c>
      <c r="O26" s="39">
        <v>0</v>
      </c>
      <c r="P26" s="39">
        <v>65</v>
      </c>
      <c r="Q26" s="39">
        <v>4190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17</v>
      </c>
      <c r="D27" s="40">
        <v>41</v>
      </c>
      <c r="E27" s="41">
        <v>10</v>
      </c>
      <c r="F27" s="41">
        <v>5786</v>
      </c>
      <c r="G27" s="41">
        <v>0</v>
      </c>
      <c r="H27" s="41">
        <v>1727</v>
      </c>
      <c r="I27" s="41">
        <v>0</v>
      </c>
      <c r="J27" s="41">
        <v>433</v>
      </c>
      <c r="K27" s="42">
        <v>85</v>
      </c>
      <c r="L27" s="42">
        <v>60</v>
      </c>
      <c r="M27" s="42">
        <v>1422</v>
      </c>
      <c r="N27" s="39">
        <v>85</v>
      </c>
      <c r="O27" s="39">
        <v>0</v>
      </c>
      <c r="P27" s="39">
        <v>60</v>
      </c>
      <c r="Q27" s="39">
        <v>4193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17</v>
      </c>
      <c r="D28" s="40">
        <v>41</v>
      </c>
      <c r="E28" s="41">
        <v>85</v>
      </c>
      <c r="F28" s="41">
        <v>5791</v>
      </c>
      <c r="G28" s="41">
        <v>80</v>
      </c>
      <c r="H28" s="41">
        <v>1729</v>
      </c>
      <c r="I28" s="41">
        <v>85</v>
      </c>
      <c r="J28" s="41">
        <v>435</v>
      </c>
      <c r="K28" s="42">
        <v>85</v>
      </c>
      <c r="L28" s="42">
        <v>60</v>
      </c>
      <c r="M28" s="42">
        <v>1422</v>
      </c>
      <c r="N28" s="39">
        <v>85</v>
      </c>
      <c r="O28" s="39">
        <v>85</v>
      </c>
      <c r="P28" s="39">
        <v>85</v>
      </c>
      <c r="Q28" s="39">
        <v>4196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12</v>
      </c>
      <c r="D29" s="40">
        <v>26</v>
      </c>
      <c r="E29" s="41">
        <v>85</v>
      </c>
      <c r="F29" s="41">
        <v>5796</v>
      </c>
      <c r="G29" s="41">
        <v>70</v>
      </c>
      <c r="H29" s="41">
        <v>1732</v>
      </c>
      <c r="I29" s="41">
        <v>85</v>
      </c>
      <c r="J29" s="41">
        <v>436</v>
      </c>
      <c r="K29" s="42">
        <v>85</v>
      </c>
      <c r="L29" s="42">
        <v>60</v>
      </c>
      <c r="M29" s="42">
        <v>1423</v>
      </c>
      <c r="N29" s="39">
        <v>85</v>
      </c>
      <c r="O29" s="39">
        <v>85</v>
      </c>
      <c r="P29" s="39">
        <v>85</v>
      </c>
      <c r="Q29" s="39">
        <v>4199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>
        <v>85</v>
      </c>
      <c r="F30" s="41">
        <v>5801</v>
      </c>
      <c r="G30" s="41">
        <v>60</v>
      </c>
      <c r="H30" s="41">
        <v>1732</v>
      </c>
      <c r="I30" s="41">
        <v>85</v>
      </c>
      <c r="J30" s="41">
        <v>437</v>
      </c>
      <c r="K30" s="42">
        <v>85</v>
      </c>
      <c r="L30" s="42">
        <v>60</v>
      </c>
      <c r="M30" s="42">
        <v>1423</v>
      </c>
      <c r="N30" s="39">
        <v>85</v>
      </c>
      <c r="O30" s="39">
        <v>83</v>
      </c>
      <c r="P30" s="39">
        <v>85</v>
      </c>
      <c r="Q30" s="39">
        <v>4201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10</v>
      </c>
      <c r="D31" s="40">
        <v>24</v>
      </c>
      <c r="E31" s="41">
        <v>85</v>
      </c>
      <c r="F31" s="41">
        <v>5806</v>
      </c>
      <c r="G31" s="41">
        <v>50</v>
      </c>
      <c r="H31" s="41">
        <v>1736</v>
      </c>
      <c r="I31" s="41">
        <v>85</v>
      </c>
      <c r="J31" s="41">
        <v>438</v>
      </c>
      <c r="K31" s="42">
        <v>85</v>
      </c>
      <c r="L31" s="42">
        <v>58</v>
      </c>
      <c r="M31" s="42">
        <v>1425</v>
      </c>
      <c r="N31" s="39">
        <v>85</v>
      </c>
      <c r="O31" s="39">
        <v>80</v>
      </c>
      <c r="P31" s="39">
        <v>85</v>
      </c>
      <c r="Q31" s="39">
        <v>4204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8</v>
      </c>
      <c r="D32" s="40">
        <v>17</v>
      </c>
      <c r="E32" s="41">
        <v>85</v>
      </c>
      <c r="F32" s="41">
        <v>5810</v>
      </c>
      <c r="G32" s="41">
        <v>40</v>
      </c>
      <c r="H32" s="41">
        <v>1738</v>
      </c>
      <c r="I32" s="41">
        <v>85</v>
      </c>
      <c r="J32" s="41">
        <v>439</v>
      </c>
      <c r="K32" s="42">
        <v>85</v>
      </c>
      <c r="L32" s="42">
        <v>58</v>
      </c>
      <c r="M32" s="42">
        <v>1425</v>
      </c>
      <c r="N32" s="39">
        <v>85</v>
      </c>
      <c r="O32" s="39">
        <v>78</v>
      </c>
      <c r="P32" s="39">
        <v>85</v>
      </c>
      <c r="Q32" s="39">
        <v>4207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8</v>
      </c>
      <c r="D33" s="40">
        <v>17</v>
      </c>
      <c r="E33" s="41">
        <v>85</v>
      </c>
      <c r="F33" s="41">
        <v>5818</v>
      </c>
      <c r="G33" s="41">
        <v>30</v>
      </c>
      <c r="H33" s="41">
        <v>1740</v>
      </c>
      <c r="I33" s="41">
        <v>85</v>
      </c>
      <c r="J33" s="41">
        <v>439</v>
      </c>
      <c r="K33" s="42">
        <v>85</v>
      </c>
      <c r="L33" s="42">
        <v>55</v>
      </c>
      <c r="M33" s="42">
        <v>1427</v>
      </c>
      <c r="N33" s="39">
        <v>85</v>
      </c>
      <c r="O33" s="39">
        <v>70</v>
      </c>
      <c r="P33" s="39">
        <v>85</v>
      </c>
      <c r="Q33" s="39">
        <v>4215</v>
      </c>
      <c r="R33" s="78">
        <v>45</v>
      </c>
      <c r="S33" s="78">
        <v>217</v>
      </c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30</v>
      </c>
      <c r="D34" s="40">
        <v>72</v>
      </c>
      <c r="E34" s="41">
        <v>85</v>
      </c>
      <c r="F34" s="41">
        <v>5822</v>
      </c>
      <c r="G34" s="41">
        <v>17</v>
      </c>
      <c r="H34" s="41">
        <v>1743</v>
      </c>
      <c r="I34" s="41">
        <v>85</v>
      </c>
      <c r="J34" s="41">
        <v>441</v>
      </c>
      <c r="K34" s="42">
        <v>85</v>
      </c>
      <c r="L34" s="42">
        <v>55</v>
      </c>
      <c r="M34" s="42">
        <v>1428</v>
      </c>
      <c r="N34" s="39">
        <v>85</v>
      </c>
      <c r="O34" s="39">
        <v>68</v>
      </c>
      <c r="P34" s="39">
        <v>85</v>
      </c>
      <c r="Q34" s="39">
        <v>4217</v>
      </c>
      <c r="R34" s="78">
        <v>45</v>
      </c>
      <c r="S34" s="78">
        <v>217</v>
      </c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-217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2021-09-28T18:23:04Z</dcterms:modified>
</cp:coreProperties>
</file>