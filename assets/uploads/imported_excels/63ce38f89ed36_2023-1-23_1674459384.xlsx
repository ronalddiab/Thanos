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3\"/>
    </mc:Choice>
  </mc:AlternateContent>
  <xr:revisionPtr revIDLastSave="28" documentId="11_AFAB2E38AE2C67A2124C4A3058B599C18848555B" xr6:coauthVersionLast="47" xr6:coauthVersionMax="47" xr10:uidLastSave="{F6459C14-ACD8-4735-B49C-D1488107D919}"/>
  <bookViews>
    <workbookView xWindow="1350" yWindow="165" windowWidth="12915" windowHeight="8910" tabRatio="579" firstSheet="5" activeTab="7" xr2:uid="{00000000-000D-0000-FFFF-FFFF00000000}"/>
  </bookViews>
  <sheets>
    <sheet name="Total" sheetId="81" r:id="rId1"/>
    <sheet name="Submetering" sheetId="82" r:id="rId2"/>
    <sheet name="ELEC" sheetId="2" r:id="rId3"/>
    <sheet name="B5" sheetId="1" r:id="rId4"/>
    <sheet name="tanks" sheetId="7" r:id="rId5"/>
    <sheet name="WATER" sheetId="5" r:id="rId6"/>
    <sheet name="General information " sheetId="73" r:id="rId7"/>
    <sheet name="GEN" sheetId="3" r:id="rId8"/>
    <sheet name="EDl log" sheetId="76" r:id="rId9"/>
    <sheet name="graphic" sheetId="4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2022'!$A$41:$AJ$92</definedName>
    <definedName name="_xlnm.Print_Area" localSheetId="5">WATER!$A$3:$C$37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76" l="1"/>
  <c r="B20" i="76"/>
  <c r="B21" i="76"/>
  <c r="B22" i="76"/>
  <c r="B23" i="76"/>
  <c r="B24" i="76"/>
  <c r="B25" i="76"/>
  <c r="Y12" i="2"/>
  <c r="Y13" i="2" s="1"/>
  <c r="Y14" i="2" s="1"/>
  <c r="Y15" i="2" s="1"/>
  <c r="Y16" i="2" s="1"/>
  <c r="Y17" i="2" s="1"/>
  <c r="Y18" i="2" s="1"/>
  <c r="W12" i="2"/>
  <c r="W13" i="2" s="1"/>
  <c r="W14" i="2" s="1"/>
  <c r="W15" i="2" s="1"/>
  <c r="W16" i="2" s="1"/>
  <c r="W17" i="2" s="1"/>
  <c r="W18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X5" i="2"/>
  <c r="Z5" i="2"/>
  <c r="X6" i="2"/>
  <c r="Z6" i="2"/>
  <c r="X7" i="2"/>
  <c r="Z7" i="2"/>
  <c r="X8" i="2"/>
  <c r="Z8" i="2"/>
  <c r="X9" i="2"/>
  <c r="Z9" i="2"/>
  <c r="X10" i="2"/>
  <c r="Z10" i="2"/>
  <c r="Y23" i="2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20" i="2"/>
  <c r="Y21" i="2" s="1"/>
  <c r="H16" i="2"/>
  <c r="F16" i="2"/>
  <c r="F17" i="2"/>
  <c r="F23" i="2"/>
  <c r="F24" i="2" s="1"/>
  <c r="F26" i="2" s="1"/>
  <c r="F27" i="2" s="1"/>
  <c r="F28" i="2" s="1"/>
  <c r="F29" i="2" s="1"/>
  <c r="F30" i="2" s="1"/>
  <c r="F31" i="2" s="1"/>
  <c r="F32" i="2" s="1"/>
  <c r="F33" i="2" s="1"/>
  <c r="F34" i="2" s="1"/>
  <c r="C13" i="3"/>
  <c r="D12" i="1"/>
  <c r="D13" i="1"/>
  <c r="D12" i="73" l="1"/>
  <c r="B8" i="3" l="1"/>
  <c r="B9" i="3" s="1"/>
  <c r="B15" i="3" s="1"/>
  <c r="B16" i="3" s="1"/>
  <c r="B22" i="3" s="1"/>
  <c r="B23" i="3" s="1"/>
  <c r="B25" i="3" s="1"/>
  <c r="B26" i="3" s="1"/>
  <c r="B27" i="3" s="1"/>
  <c r="B28" i="3" s="1"/>
  <c r="B29" i="3" s="1"/>
  <c r="B30" i="3" s="1"/>
  <c r="B31" i="3" s="1"/>
  <c r="B32" i="3" s="1"/>
  <c r="B33" i="3" s="1"/>
  <c r="M11" i="1"/>
  <c r="M12" i="1" s="1"/>
  <c r="M13" i="1" s="1"/>
  <c r="M14" i="1" s="1"/>
  <c r="M15" i="1" s="1"/>
  <c r="M16" i="1" s="1"/>
  <c r="M17" i="1" s="1"/>
  <c r="M18" i="1" s="1"/>
  <c r="M24" i="1" s="1"/>
  <c r="M25" i="1" s="1"/>
  <c r="M27" i="1" s="1"/>
  <c r="M28" i="1" s="1"/>
  <c r="M29" i="1" s="1"/>
  <c r="M30" i="1" s="1"/>
  <c r="M31" i="1" s="1"/>
  <c r="M32" i="1" s="1"/>
  <c r="M33" i="1" s="1"/>
  <c r="M34" i="1" s="1"/>
  <c r="M35" i="1" s="1"/>
  <c r="P9" i="2"/>
  <c r="P10" i="2" s="1"/>
  <c r="P16" i="2" s="1"/>
  <c r="P17" i="2" s="1"/>
  <c r="P23" i="2" s="1"/>
  <c r="P24" i="2" s="1"/>
  <c r="P26" i="2" s="1"/>
  <c r="P27" i="2" s="1"/>
  <c r="P28" i="2" s="1"/>
  <c r="P29" i="2" s="1"/>
  <c r="P30" i="2" s="1"/>
  <c r="P31" i="2" s="1"/>
  <c r="P32" i="2" s="1"/>
  <c r="P33" i="2" s="1"/>
  <c r="P34" i="2" s="1"/>
  <c r="L9" i="2"/>
  <c r="L10" i="2" s="1"/>
  <c r="L16" i="2" s="1"/>
  <c r="L17" i="2" s="1"/>
  <c r="L23" i="2" s="1"/>
  <c r="L24" i="2" s="1"/>
  <c r="L26" i="2" s="1"/>
  <c r="L27" i="2" s="1"/>
  <c r="L28" i="2" s="1"/>
  <c r="L29" i="2" s="1"/>
  <c r="L30" i="2" s="1"/>
  <c r="L31" i="2" s="1"/>
  <c r="L32" i="2" s="1"/>
  <c r="L33" i="2" s="1"/>
  <c r="L34" i="2" s="1"/>
  <c r="J9" i="2"/>
  <c r="J10" i="2" s="1"/>
  <c r="J16" i="2" s="1"/>
  <c r="J17" i="2" s="1"/>
  <c r="J23" i="2" s="1"/>
  <c r="J24" i="2" s="1"/>
  <c r="J26" i="2" s="1"/>
  <c r="J27" i="2" s="1"/>
  <c r="J28" i="2" s="1"/>
  <c r="J29" i="2" s="1"/>
  <c r="J30" i="2" s="1"/>
  <c r="J31" i="2" s="1"/>
  <c r="J32" i="2" s="1"/>
  <c r="J33" i="2" s="1"/>
  <c r="J34" i="2" s="1"/>
  <c r="H9" i="2"/>
  <c r="H10" i="2" s="1"/>
  <c r="H17" i="2" s="1"/>
  <c r="H23" i="2" s="1"/>
  <c r="H24" i="2" s="1"/>
  <c r="H26" i="2" s="1"/>
  <c r="H27" i="2" s="1"/>
  <c r="H28" i="2" s="1"/>
  <c r="H29" i="2" s="1"/>
  <c r="H30" i="2" s="1"/>
  <c r="H31" i="2" s="1"/>
  <c r="H32" i="2" s="1"/>
  <c r="H33" i="2" s="1"/>
  <c r="H34" i="2" s="1"/>
  <c r="F9" i="2"/>
  <c r="F10" i="2" s="1"/>
  <c r="D10" i="2"/>
  <c r="D16" i="2" s="1"/>
  <c r="D17" i="2" s="1"/>
  <c r="D23" i="2" s="1"/>
  <c r="D24" i="2" s="1"/>
  <c r="D26" i="2" s="1"/>
  <c r="D27" i="2" s="1"/>
  <c r="D28" i="2" s="1"/>
  <c r="D29" i="2" s="1"/>
  <c r="D30" i="2" s="1"/>
  <c r="D31" i="2" s="1"/>
  <c r="D32" i="2" s="1"/>
  <c r="D33" i="2" s="1"/>
  <c r="D34" i="2" s="1"/>
  <c r="A6" i="73" l="1"/>
  <c r="Z5" i="7"/>
  <c r="AB5" i="7" s="1"/>
  <c r="B5" i="7"/>
  <c r="G10" i="5"/>
  <c r="G11" i="5" s="1"/>
  <c r="G12" i="5" s="1"/>
  <c r="G14" i="5" s="1"/>
  <c r="G15" i="5" s="1"/>
  <c r="G16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AX11" i="5"/>
  <c r="AX12" i="5" s="1"/>
  <c r="AX18" i="5" s="1"/>
  <c r="AX19" i="5" s="1"/>
  <c r="AX23" i="5" s="1"/>
  <c r="AX25" i="5" s="1"/>
  <c r="AX26" i="5" s="1"/>
  <c r="AX28" i="5" s="1"/>
  <c r="AX29" i="5" s="1"/>
  <c r="AX30" i="5" s="1"/>
  <c r="AX31" i="5" s="1"/>
  <c r="AX32" i="5" s="1"/>
  <c r="AX33" i="5" s="1"/>
  <c r="AX34" i="5" s="1"/>
  <c r="AX35" i="5" s="1"/>
  <c r="AX36" i="5" s="1"/>
  <c r="AV11" i="5"/>
  <c r="AV12" i="5" s="1"/>
  <c r="AV18" i="5" s="1"/>
  <c r="AV19" i="5" s="1"/>
  <c r="AV23" i="5" s="1"/>
  <c r="AV24" i="5" s="1"/>
  <c r="AV25" i="5" s="1"/>
  <c r="AV26" i="5" s="1"/>
  <c r="AV28" i="5" s="1"/>
  <c r="AV29" i="5" s="1"/>
  <c r="AV30" i="5" s="1"/>
  <c r="AV31" i="5" s="1"/>
  <c r="AV32" i="5" s="1"/>
  <c r="AV33" i="5" s="1"/>
  <c r="AV34" i="5" s="1"/>
  <c r="AV35" i="5" s="1"/>
  <c r="AV36" i="5" s="1"/>
  <c r="AT6" i="5"/>
  <c r="AT7" i="5" s="1"/>
  <c r="AT9" i="5" s="1"/>
  <c r="AT10" i="5" s="1"/>
  <c r="AT11" i="5" s="1"/>
  <c r="AT12" i="5" s="1"/>
  <c r="AT13" i="5" s="1"/>
  <c r="AT14" i="5" s="1"/>
  <c r="AT16" i="5" s="1"/>
  <c r="AT18" i="5" s="1"/>
  <c r="AT19" i="5" s="1"/>
  <c r="AT20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P5" i="1"/>
  <c r="P6" i="1" s="1"/>
  <c r="P7" i="1" s="1"/>
  <c r="P8" i="1" s="1"/>
  <c r="P9" i="1" s="1"/>
  <c r="P10" i="1" s="1"/>
  <c r="P11" i="1" s="1"/>
  <c r="P12" i="1" s="1"/>
  <c r="P17" i="1" s="1"/>
  <c r="P18" i="1" s="1"/>
  <c r="P20" i="1" s="1"/>
  <c r="P21" i="1" s="1"/>
  <c r="P22" i="1" s="1"/>
  <c r="P23" i="1" s="1"/>
  <c r="P24" i="1" s="1"/>
  <c r="P25" i="1" s="1"/>
  <c r="P27" i="1" s="1"/>
  <c r="P28" i="1" s="1"/>
  <c r="P29" i="1" s="1"/>
  <c r="P30" i="1" s="1"/>
  <c r="P31" i="1" s="1"/>
  <c r="P32" i="1" s="1"/>
  <c r="P33" i="1" s="1"/>
  <c r="P34" i="1" s="1"/>
  <c r="P35" i="1" s="1"/>
  <c r="H11" i="1"/>
  <c r="H13" i="1" s="1"/>
  <c r="H14" i="1" s="1"/>
  <c r="H15" i="1" s="1"/>
  <c r="H16" i="1" s="1"/>
  <c r="H17" i="1" s="1"/>
  <c r="H18" i="1" s="1"/>
  <c r="H20" i="1" s="1"/>
  <c r="H21" i="1" s="1"/>
  <c r="H22" i="1" s="1"/>
  <c r="H23" i="1" s="1"/>
  <c r="H24" i="1" s="1"/>
  <c r="H25" i="1" s="1"/>
  <c r="H27" i="1" s="1"/>
  <c r="H28" i="1" s="1"/>
  <c r="H29" i="1" s="1"/>
  <c r="H30" i="1" s="1"/>
  <c r="H31" i="1" s="1"/>
  <c r="H32" i="1" s="1"/>
  <c r="H33" i="1" s="1"/>
  <c r="H34" i="1" s="1"/>
  <c r="H35" i="1" s="1"/>
  <c r="F11" i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7" i="1" s="1"/>
  <c r="F28" i="1" s="1"/>
  <c r="F29" i="1" s="1"/>
  <c r="F30" i="1" s="1"/>
  <c r="F31" i="1" s="1"/>
  <c r="F32" i="1" s="1"/>
  <c r="F33" i="1" s="1"/>
  <c r="F34" i="1" s="1"/>
  <c r="F35" i="1" s="1"/>
  <c r="B17" i="1"/>
  <c r="B18" i="1" s="1"/>
  <c r="B24" i="1" s="1"/>
  <c r="B25" i="1" s="1"/>
  <c r="B27" i="1" s="1"/>
  <c r="B28" i="1" s="1"/>
  <c r="B29" i="1" s="1"/>
  <c r="B30" i="1" s="1"/>
  <c r="B31" i="1" s="1"/>
  <c r="B32" i="1" s="1"/>
  <c r="B33" i="1" s="1"/>
  <c r="B34" i="1" s="1"/>
  <c r="B35" i="1" s="1"/>
  <c r="B5" i="1"/>
  <c r="C17" i="1" l="1"/>
  <c r="C18" i="1" s="1"/>
  <c r="C24" i="1" s="1"/>
  <c r="C25" i="1" s="1"/>
  <c r="C27" i="1" s="1"/>
  <c r="C28" i="1" s="1"/>
  <c r="C29" i="1" s="1"/>
  <c r="C30" i="1" s="1"/>
  <c r="C31" i="1" s="1"/>
  <c r="C32" i="1" s="1"/>
  <c r="C33" i="1" s="1"/>
  <c r="C34" i="1" s="1"/>
  <c r="C35" i="1" s="1"/>
  <c r="D14" i="1"/>
  <c r="AD5" i="7"/>
  <c r="D5" i="7"/>
  <c r="Q33" i="2"/>
  <c r="AF5" i="7" l="1"/>
  <c r="F5" i="7"/>
  <c r="C23" i="3"/>
  <c r="C24" i="3"/>
  <c r="H24" i="5"/>
  <c r="E15" i="2"/>
  <c r="E16" i="2"/>
  <c r="D14" i="73"/>
  <c r="D15" i="73"/>
  <c r="D16" i="73"/>
  <c r="D17" i="73"/>
  <c r="D18" i="73"/>
  <c r="D19" i="73"/>
  <c r="D20" i="73"/>
  <c r="D5" i="2"/>
  <c r="R49" i="74"/>
  <c r="S49" i="74"/>
  <c r="R50" i="74"/>
  <c r="S50" i="74"/>
  <c r="R51" i="74"/>
  <c r="S51" i="74"/>
  <c r="R52" i="74"/>
  <c r="S52" i="74"/>
  <c r="R53" i="74"/>
  <c r="S53" i="74"/>
  <c r="R54" i="74"/>
  <c r="S54" i="74"/>
  <c r="R55" i="74"/>
  <c r="S55" i="74"/>
  <c r="R56" i="74"/>
  <c r="S56" i="74"/>
  <c r="R57" i="74"/>
  <c r="S57" i="74"/>
  <c r="R58" i="74"/>
  <c r="S58" i="74"/>
  <c r="R59" i="74"/>
  <c r="S59" i="74"/>
  <c r="R60" i="74"/>
  <c r="S60" i="74"/>
  <c r="R61" i="74"/>
  <c r="S61" i="74"/>
  <c r="R62" i="74"/>
  <c r="S62" i="74"/>
  <c r="R63" i="74"/>
  <c r="S63" i="74"/>
  <c r="R64" i="74"/>
  <c r="S64" i="74"/>
  <c r="R65" i="74"/>
  <c r="S65" i="74"/>
  <c r="R66" i="74"/>
  <c r="S66" i="74"/>
  <c r="R67" i="74"/>
  <c r="S67" i="74"/>
  <c r="R68" i="74"/>
  <c r="S68" i="74"/>
  <c r="R69" i="74"/>
  <c r="S69" i="74"/>
  <c r="R70" i="74"/>
  <c r="S70" i="74"/>
  <c r="R71" i="74"/>
  <c r="S71" i="74"/>
  <c r="R72" i="74"/>
  <c r="S72" i="74"/>
  <c r="R73" i="74"/>
  <c r="S73" i="74"/>
  <c r="R74" i="74"/>
  <c r="S74" i="74"/>
  <c r="R75" i="74"/>
  <c r="S75" i="74"/>
  <c r="R76" i="74"/>
  <c r="S76" i="74"/>
  <c r="R77" i="74"/>
  <c r="S77" i="74"/>
  <c r="S48" i="74"/>
  <c r="R48" i="74"/>
  <c r="H5" i="7" l="1"/>
  <c r="AH5" i="7"/>
  <c r="BK5" i="7"/>
  <c r="BJ5" i="7"/>
  <c r="BI5" i="7"/>
  <c r="BB5" i="7"/>
  <c r="BA5" i="7"/>
  <c r="AZ5" i="7"/>
  <c r="D2" i="3"/>
  <c r="E2" i="3"/>
  <c r="F2" i="3"/>
  <c r="G2" i="3"/>
  <c r="H2" i="3"/>
  <c r="I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U5" i="5"/>
  <c r="AU6" i="5" s="1"/>
  <c r="AW5" i="5"/>
  <c r="BB5" i="5"/>
  <c r="C5" i="5"/>
  <c r="D5" i="5"/>
  <c r="F5" i="5"/>
  <c r="K5" i="5"/>
  <c r="L5" i="5"/>
  <c r="M5" i="5"/>
  <c r="N5" i="5"/>
  <c r="O5" i="5"/>
  <c r="P5" i="5"/>
  <c r="Q5" i="5"/>
  <c r="R5" i="5"/>
  <c r="S5" i="5"/>
  <c r="U5" i="5"/>
  <c r="W5" i="5"/>
  <c r="Y5" i="5"/>
  <c r="AA5" i="5"/>
  <c r="AB5" i="5"/>
  <c r="AC5" i="5"/>
  <c r="AD5" i="5"/>
  <c r="AF5" i="5"/>
  <c r="AG5" i="5"/>
  <c r="AH5" i="5"/>
  <c r="AI5" i="5"/>
  <c r="AJ5" i="5"/>
  <c r="AK5" i="5"/>
  <c r="AL5" i="5"/>
  <c r="AM5" i="5"/>
  <c r="AN5" i="5"/>
  <c r="AO5" i="5"/>
  <c r="AP5" i="5"/>
  <c r="B5" i="5"/>
  <c r="N3" i="2"/>
  <c r="O3" i="2"/>
  <c r="S3" i="2"/>
  <c r="T3" i="2"/>
  <c r="U3" i="2"/>
  <c r="V3" i="2"/>
  <c r="X3" i="2"/>
  <c r="Z3" i="2"/>
  <c r="AB3" i="2"/>
  <c r="AD3" i="2"/>
  <c r="AE3" i="2"/>
  <c r="AF3" i="2"/>
  <c r="AG3" i="2"/>
  <c r="AJ5" i="7" l="1"/>
  <c r="J5" i="7"/>
  <c r="AL5" i="7" l="1"/>
  <c r="L5" i="7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P5" i="2"/>
  <c r="H5" i="2"/>
  <c r="J5" i="2"/>
  <c r="L5" i="2"/>
  <c r="K11" i="1"/>
  <c r="K12" i="1" s="1"/>
  <c r="K13" i="1" s="1"/>
  <c r="K14" i="1" s="1"/>
  <c r="K15" i="1" s="1"/>
  <c r="K16" i="1" s="1"/>
  <c r="K17" i="1" s="1"/>
  <c r="K18" i="1" s="1"/>
  <c r="K19" i="1" s="1"/>
  <c r="K24" i="1" s="1"/>
  <c r="K25" i="1" s="1"/>
  <c r="K27" i="1" s="1"/>
  <c r="K28" i="1" s="1"/>
  <c r="K29" i="1" s="1"/>
  <c r="K30" i="1" s="1"/>
  <c r="K31" i="1" s="1"/>
  <c r="K32" i="1" s="1"/>
  <c r="K33" i="1" s="1"/>
  <c r="K34" i="1" s="1"/>
  <c r="K35" i="1" s="1"/>
  <c r="F5" i="1"/>
  <c r="F6" i="1" s="1"/>
  <c r="F7" i="1" s="1"/>
  <c r="G4" i="1"/>
  <c r="H5" i="1"/>
  <c r="H6" i="1" s="1"/>
  <c r="I4" i="1"/>
  <c r="J4" i="1"/>
  <c r="M6" i="1"/>
  <c r="M7" i="1" s="1"/>
  <c r="O4" i="1"/>
  <c r="Q5" i="1"/>
  <c r="R4" i="1"/>
  <c r="S4" i="1"/>
  <c r="T4" i="1"/>
  <c r="W4" i="1"/>
  <c r="Y4" i="1"/>
  <c r="Z4" i="1"/>
  <c r="AA4" i="1"/>
  <c r="AB4" i="1"/>
  <c r="AD4" i="1"/>
  <c r="AE6" i="1"/>
  <c r="AE7" i="1" s="1"/>
  <c r="AE9" i="1" s="1"/>
  <c r="AE10" i="1" s="1"/>
  <c r="AE11" i="1" s="1"/>
  <c r="AF4" i="1"/>
  <c r="AG4" i="1"/>
  <c r="AH4" i="1"/>
  <c r="AK4" i="1"/>
  <c r="AM4" i="1"/>
  <c r="AN4" i="1"/>
  <c r="AO4" i="1"/>
  <c r="AP4" i="1"/>
  <c r="AQ4" i="1"/>
  <c r="AR4" i="1"/>
  <c r="AS4" i="1"/>
  <c r="AT4" i="1"/>
  <c r="AU4" i="1"/>
  <c r="AV4" i="1"/>
  <c r="AW4" i="1"/>
  <c r="AX4" i="1"/>
  <c r="AV7" i="5"/>
  <c r="AX7" i="5"/>
  <c r="BC5" i="5"/>
  <c r="BD5" i="5"/>
  <c r="BE5" i="5"/>
  <c r="BF5" i="5"/>
  <c r="BG5" i="5"/>
  <c r="AS5" i="5"/>
  <c r="F5" i="76"/>
  <c r="F6" i="76" s="1"/>
  <c r="F7" i="76" s="1"/>
  <c r="F8" i="76" s="1"/>
  <c r="F9" i="76" s="1"/>
  <c r="F10" i="76" s="1"/>
  <c r="F11" i="76" s="1"/>
  <c r="F12" i="76" s="1"/>
  <c r="F13" i="76" s="1"/>
  <c r="C3" i="76"/>
  <c r="D3" i="76"/>
  <c r="G3" i="76"/>
  <c r="I3" i="76"/>
  <c r="K3" i="76"/>
  <c r="L3" i="76"/>
  <c r="M3" i="76"/>
  <c r="N3" i="76"/>
  <c r="O3" i="76"/>
  <c r="P3" i="76"/>
  <c r="Q3" i="76"/>
  <c r="R3" i="76"/>
  <c r="S3" i="76"/>
  <c r="T3" i="76"/>
  <c r="R3" i="3"/>
  <c r="R4" i="3" s="1"/>
  <c r="R5" i="3" s="1"/>
  <c r="R6" i="3" s="1"/>
  <c r="R7" i="3" s="1"/>
  <c r="R8" i="3" s="1"/>
  <c r="R9" i="3" s="1"/>
  <c r="R11" i="3" s="1"/>
  <c r="R12" i="3" s="1"/>
  <c r="R13" i="3" s="1"/>
  <c r="R14" i="3" s="1"/>
  <c r="R15" i="3" s="1"/>
  <c r="R16" i="3" s="1"/>
  <c r="R17" i="3" s="1"/>
  <c r="R18" i="3" s="1"/>
  <c r="R19" i="3" s="1"/>
  <c r="R22" i="3" s="1"/>
  <c r="R23" i="3" s="1"/>
  <c r="R24" i="3" s="1"/>
  <c r="R25" i="3" s="1"/>
  <c r="R26" i="3" s="1"/>
  <c r="R27" i="3" s="1"/>
  <c r="R28" i="3" s="1"/>
  <c r="R29" i="3" s="1"/>
  <c r="J3" i="3"/>
  <c r="J4" i="3" s="1"/>
  <c r="J5" i="3" s="1"/>
  <c r="J6" i="3" s="1"/>
  <c r="J8" i="3" s="1"/>
  <c r="J9" i="3" s="1"/>
  <c r="AL2" i="3"/>
  <c r="BC5" i="7"/>
  <c r="BD5" i="7"/>
  <c r="BE5" i="7"/>
  <c r="BF5" i="7"/>
  <c r="BG5" i="7"/>
  <c r="BH5" i="7"/>
  <c r="Y15" i="76"/>
  <c r="X15" i="76"/>
  <c r="W15" i="76"/>
  <c r="W13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AA19" i="76"/>
  <c r="AB19" i="76"/>
  <c r="AC19" i="76"/>
  <c r="Z9" i="76"/>
  <c r="AA9" i="76"/>
  <c r="AB9" i="76"/>
  <c r="AC9" i="76"/>
  <c r="AD9" i="76"/>
  <c r="AE9" i="76"/>
  <c r="AF9" i="76"/>
  <c r="Z10" i="76"/>
  <c r="AA10" i="76"/>
  <c r="AB10" i="76"/>
  <c r="AC10" i="76"/>
  <c r="AD10" i="76"/>
  <c r="AE10" i="76"/>
  <c r="AF10" i="76"/>
  <c r="Z11" i="76"/>
  <c r="AA11" i="76"/>
  <c r="AB11" i="76"/>
  <c r="AC11" i="76"/>
  <c r="AD11" i="76"/>
  <c r="AE11" i="76"/>
  <c r="AF11" i="76"/>
  <c r="Y10" i="76"/>
  <c r="Y11" i="76"/>
  <c r="Y9" i="76"/>
  <c r="W4" i="76"/>
  <c r="V10" i="76"/>
  <c r="W10" i="76"/>
  <c r="V11" i="76"/>
  <c r="W11" i="76"/>
  <c r="W9" i="76"/>
  <c r="V9" i="76"/>
  <c r="V49" i="74"/>
  <c r="W49" i="74"/>
  <c r="V50" i="74"/>
  <c r="W50" i="74"/>
  <c r="V51" i="74"/>
  <c r="W51" i="74"/>
  <c r="V52" i="74"/>
  <c r="W52" i="74"/>
  <c r="V53" i="74"/>
  <c r="W53" i="74"/>
  <c r="V54" i="74"/>
  <c r="W54" i="74"/>
  <c r="V55" i="74"/>
  <c r="W55" i="74"/>
  <c r="V56" i="74"/>
  <c r="W56" i="74"/>
  <c r="V57" i="74"/>
  <c r="W57" i="74"/>
  <c r="V58" i="74"/>
  <c r="W58" i="74"/>
  <c r="V59" i="74"/>
  <c r="W59" i="74"/>
  <c r="V60" i="74"/>
  <c r="W60" i="74"/>
  <c r="V61" i="74"/>
  <c r="W61" i="74"/>
  <c r="V62" i="74"/>
  <c r="W62" i="74"/>
  <c r="V63" i="74"/>
  <c r="W63" i="74"/>
  <c r="V64" i="74"/>
  <c r="W64" i="74"/>
  <c r="V65" i="74"/>
  <c r="W65" i="74"/>
  <c r="V66" i="74"/>
  <c r="W66" i="74"/>
  <c r="V67" i="74"/>
  <c r="W67" i="74"/>
  <c r="V68" i="74"/>
  <c r="W68" i="74"/>
  <c r="V69" i="74"/>
  <c r="W69" i="74"/>
  <c r="V70" i="74"/>
  <c r="W70" i="74"/>
  <c r="V71" i="74"/>
  <c r="W71" i="74"/>
  <c r="V72" i="74"/>
  <c r="W72" i="74"/>
  <c r="V73" i="74"/>
  <c r="W73" i="74"/>
  <c r="V74" i="74"/>
  <c r="W74" i="74"/>
  <c r="V75" i="74"/>
  <c r="W75" i="74"/>
  <c r="V76" i="74"/>
  <c r="W76" i="74"/>
  <c r="V77" i="74"/>
  <c r="W77" i="74"/>
  <c r="V78" i="74"/>
  <c r="W78" i="74"/>
  <c r="W48" i="74"/>
  <c r="V48" i="74"/>
  <c r="H15" i="76" l="1"/>
  <c r="I14" i="76"/>
  <c r="F15" i="76"/>
  <c r="G14" i="76"/>
  <c r="J10" i="3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5" i="3" s="1"/>
  <c r="J26" i="3" s="1"/>
  <c r="J27" i="3" s="1"/>
  <c r="J28" i="3" s="1"/>
  <c r="J29" i="3" s="1"/>
  <c r="J30" i="3" s="1"/>
  <c r="J31" i="3" s="1"/>
  <c r="J32" i="3" s="1"/>
  <c r="J33" i="3" s="1"/>
  <c r="AE12" i="1"/>
  <c r="AE14" i="1" s="1"/>
  <c r="N5" i="7"/>
  <c r="R30" i="3"/>
  <c r="R31" i="3" s="1"/>
  <c r="R32" i="3" s="1"/>
  <c r="R33" i="3" s="1"/>
  <c r="F16" i="76"/>
  <c r="F17" i="76" s="1"/>
  <c r="F18" i="76" s="1"/>
  <c r="F19" i="76" s="1"/>
  <c r="F20" i="76" s="1"/>
  <c r="F21" i="76" s="1"/>
  <c r="F22" i="76" s="1"/>
  <c r="H16" i="76"/>
  <c r="H17" i="76" s="1"/>
  <c r="H19" i="76" s="1"/>
  <c r="H20" i="76" s="1"/>
  <c r="H21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G18" i="1"/>
  <c r="E17" i="2"/>
  <c r="D5" i="1"/>
  <c r="Z6" i="7"/>
  <c r="C25" i="3"/>
  <c r="F23" i="76" l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AE15" i="1"/>
  <c r="AE17" i="1" s="1"/>
  <c r="AE18" i="1" s="1"/>
  <c r="P5" i="7"/>
  <c r="E18" i="2"/>
  <c r="C26" i="3"/>
  <c r="D13" i="73"/>
  <c r="D11" i="73"/>
  <c r="AE19" i="1" l="1"/>
  <c r="AE21" i="1" s="1"/>
  <c r="AE22" i="1" s="1"/>
  <c r="R5" i="7"/>
  <c r="E19" i="2"/>
  <c r="C27" i="3"/>
  <c r="AE24" i="1" l="1"/>
  <c r="AE25" i="1" s="1"/>
  <c r="T5" i="7"/>
  <c r="E20" i="2"/>
  <c r="N49" i="74"/>
  <c r="O49" i="74"/>
  <c r="N50" i="74"/>
  <c r="O50" i="74"/>
  <c r="N51" i="74"/>
  <c r="O51" i="74"/>
  <c r="N52" i="74"/>
  <c r="O52" i="74"/>
  <c r="N53" i="74"/>
  <c r="O53" i="74"/>
  <c r="N54" i="74"/>
  <c r="O54" i="74"/>
  <c r="N55" i="74"/>
  <c r="O55" i="74"/>
  <c r="N56" i="74"/>
  <c r="O56" i="74"/>
  <c r="N57" i="74"/>
  <c r="O57" i="74"/>
  <c r="N58" i="74"/>
  <c r="O58" i="74"/>
  <c r="N59" i="74"/>
  <c r="O59" i="74"/>
  <c r="N60" i="74"/>
  <c r="O60" i="74"/>
  <c r="N61" i="74"/>
  <c r="O61" i="74"/>
  <c r="N62" i="74"/>
  <c r="O62" i="74"/>
  <c r="N63" i="74"/>
  <c r="O63" i="74"/>
  <c r="N64" i="74"/>
  <c r="O64" i="74"/>
  <c r="N65" i="74"/>
  <c r="O65" i="74"/>
  <c r="N66" i="74"/>
  <c r="O66" i="74"/>
  <c r="N67" i="74"/>
  <c r="O67" i="74"/>
  <c r="N68" i="74"/>
  <c r="O68" i="74"/>
  <c r="N69" i="74"/>
  <c r="O69" i="74"/>
  <c r="N70" i="74"/>
  <c r="O70" i="74"/>
  <c r="N71" i="74"/>
  <c r="O71" i="74"/>
  <c r="N72" i="74"/>
  <c r="O72" i="74"/>
  <c r="N73" i="74"/>
  <c r="O73" i="74"/>
  <c r="N74" i="74"/>
  <c r="O74" i="74"/>
  <c r="N75" i="74"/>
  <c r="O75" i="74"/>
  <c r="N76" i="74"/>
  <c r="O76" i="74"/>
  <c r="N77" i="74"/>
  <c r="O77" i="74"/>
  <c r="N78" i="74"/>
  <c r="O78" i="74"/>
  <c r="O48" i="74"/>
  <c r="N48" i="74"/>
  <c r="D5" i="73"/>
  <c r="AM6" i="5" s="1"/>
  <c r="D6" i="73"/>
  <c r="D7" i="73"/>
  <c r="D8" i="73"/>
  <c r="D9" i="73"/>
  <c r="D10" i="73"/>
  <c r="D21" i="73"/>
  <c r="D22" i="73"/>
  <c r="D23" i="73"/>
  <c r="D26" i="73"/>
  <c r="D27" i="73"/>
  <c r="D28" i="73"/>
  <c r="D29" i="73"/>
  <c r="D30" i="73"/>
  <c r="D31" i="73"/>
  <c r="D32" i="73"/>
  <c r="D33" i="73"/>
  <c r="D34" i="73"/>
  <c r="D35" i="73"/>
  <c r="X9" i="76"/>
  <c r="X10" i="76"/>
  <c r="X11" i="76"/>
  <c r="C22" i="3"/>
  <c r="Q6" i="1"/>
  <c r="Q7" i="1" s="1"/>
  <c r="Q8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C7" i="1"/>
  <c r="AC9" i="1" s="1"/>
  <c r="AC10" i="1" s="1"/>
  <c r="AC11" i="1" s="1"/>
  <c r="AC12" i="1" s="1"/>
  <c r="AC14" i="1" s="1"/>
  <c r="AC15" i="1" s="1"/>
  <c r="AC17" i="1" s="1"/>
  <c r="AC18" i="1" s="1"/>
  <c r="AC19" i="1" s="1"/>
  <c r="AC21" i="1" s="1"/>
  <c r="AC22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A4" i="2"/>
  <c r="AC4" i="2"/>
  <c r="AC5" i="2" l="1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A5" i="2"/>
  <c r="Q9" i="1"/>
  <c r="Q10" i="1" s="1"/>
  <c r="Q11" i="1" s="1"/>
  <c r="Q12" i="1" s="1"/>
  <c r="AE26" i="1"/>
  <c r="AE27" i="1" s="1"/>
  <c r="AE28" i="1" s="1"/>
  <c r="AE29" i="1" s="1"/>
  <c r="AE30" i="1" s="1"/>
  <c r="V5" i="7"/>
  <c r="C28" i="3"/>
  <c r="E21" i="2"/>
  <c r="I30" i="1"/>
  <c r="AB5" i="2" l="1"/>
  <c r="AA6" i="2"/>
  <c r="AE31" i="1"/>
  <c r="AE32" i="1" s="1"/>
  <c r="AE33" i="1" s="1"/>
  <c r="AE34" i="1" s="1"/>
  <c r="AE35" i="1" s="1"/>
  <c r="Q17" i="1"/>
  <c r="Q18" i="1" s="1"/>
  <c r="Q20" i="1" s="1"/>
  <c r="Q21" i="1" s="1"/>
  <c r="Q22" i="1" s="1"/>
  <c r="Q23" i="1" s="1"/>
  <c r="Q24" i="1" s="1"/>
  <c r="Q25" i="1" s="1"/>
  <c r="Q27" i="1" s="1"/>
  <c r="Q28" i="1" s="1"/>
  <c r="Q29" i="1" s="1"/>
  <c r="Q30" i="1" s="1"/>
  <c r="Q31" i="1" s="1"/>
  <c r="Q32" i="1" s="1"/>
  <c r="Q33" i="1" s="1"/>
  <c r="Q34" i="1" s="1"/>
  <c r="Q35" i="1" s="1"/>
  <c r="C29" i="3"/>
  <c r="E22" i="2"/>
  <c r="AM18" i="5"/>
  <c r="AB6" i="2" l="1"/>
  <c r="AA7" i="2"/>
  <c r="C30" i="3"/>
  <c r="E23" i="2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6" i="7"/>
  <c r="AB7" i="2" l="1"/>
  <c r="AA8" i="2"/>
  <c r="C31" i="3"/>
  <c r="E29" i="2"/>
  <c r="AF14" i="1"/>
  <c r="AF15" i="1"/>
  <c r="AF16" i="1"/>
  <c r="AF17" i="1"/>
  <c r="AB8" i="2" l="1"/>
  <c r="AA9" i="2"/>
  <c r="C33" i="3"/>
  <c r="C32" i="3"/>
  <c r="E30" i="2"/>
  <c r="F49" i="74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B4" i="76"/>
  <c r="B5" i="76" s="1"/>
  <c r="B6" i="76" s="1"/>
  <c r="B7" i="76" s="1"/>
  <c r="B8" i="76" s="1"/>
  <c r="B9" i="76" s="1"/>
  <c r="B10" i="76" s="1"/>
  <c r="B11" i="76" s="1"/>
  <c r="AB9" i="2" l="1"/>
  <c r="AA10" i="2"/>
  <c r="B12" i="76"/>
  <c r="B13" i="76" s="1"/>
  <c r="V28" i="76"/>
  <c r="V27" i="76"/>
  <c r="V26" i="76"/>
  <c r="AB10" i="2" l="1"/>
  <c r="AA11" i="2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B15" i="76"/>
  <c r="B16" i="76" s="1"/>
  <c r="B17" i="76" s="1"/>
  <c r="C14" i="76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26" i="76" l="1"/>
  <c r="C25" i="76"/>
  <c r="E15" i="77"/>
  <c r="E16" i="77"/>
  <c r="E17" i="77"/>
  <c r="E18" i="77"/>
  <c r="E14" i="77"/>
  <c r="B27" i="76" l="1"/>
  <c r="C26" i="76"/>
  <c r="V11" i="74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J4" i="76"/>
  <c r="J5" i="76" s="1"/>
  <c r="J6" i="76" s="1"/>
  <c r="J7" i="76" s="1"/>
  <c r="J8" i="76" s="1"/>
  <c r="J9" i="76" s="1"/>
  <c r="J10" i="76" s="1"/>
  <c r="J11" i="76" s="1"/>
  <c r="J12" i="76" s="1"/>
  <c r="J13" i="76" s="1"/>
  <c r="J14" i="76" s="1"/>
  <c r="J15" i="76" s="1"/>
  <c r="V6" i="5"/>
  <c r="V7" i="5" s="1"/>
  <c r="V8" i="5" s="1"/>
  <c r="V9" i="5" s="1"/>
  <c r="V10" i="5" s="1"/>
  <c r="V11" i="5" s="1"/>
  <c r="V12" i="5" s="1"/>
  <c r="V14" i="5" s="1"/>
  <c r="V15" i="5" s="1"/>
  <c r="V17" i="5" s="1"/>
  <c r="V18" i="5" s="1"/>
  <c r="V19" i="5" s="1"/>
  <c r="V20" i="5" s="1"/>
  <c r="V21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7" i="5" s="1"/>
  <c r="G8" i="5" s="1"/>
  <c r="T6" i="5"/>
  <c r="T7" i="5" s="1"/>
  <c r="T8" i="5" s="1"/>
  <c r="T9" i="5" s="1"/>
  <c r="T11" i="5" s="1"/>
  <c r="T12" i="5" s="1"/>
  <c r="T13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3" i="5" s="1"/>
  <c r="T35" i="5" s="1"/>
  <c r="T36" i="5" s="1"/>
  <c r="X6" i="5"/>
  <c r="X7" i="5" s="1"/>
  <c r="X8" i="5" s="1"/>
  <c r="X9" i="5" s="1"/>
  <c r="X10" i="5" s="1"/>
  <c r="X11" i="5" s="1"/>
  <c r="X12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B28" i="76" l="1"/>
  <c r="C27" i="76"/>
  <c r="J19" i="76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J16" i="76"/>
  <c r="H25" i="5"/>
  <c r="I21" i="2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B29" i="76" l="1"/>
  <c r="B30" i="76" s="1"/>
  <c r="B31" i="76" s="1"/>
  <c r="B32" i="76" s="1"/>
  <c r="B33" i="76" s="1"/>
  <c r="B34" i="76" s="1"/>
  <c r="C28" i="76"/>
  <c r="I22" i="2"/>
  <c r="C5" i="3"/>
  <c r="C4" i="3"/>
  <c r="C6" i="3" l="1"/>
  <c r="C7" i="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AJ32" i="5" l="1"/>
  <c r="Q7" i="2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R7" i="2" s="1"/>
  <c r="C11" i="76"/>
  <c r="N6" i="2"/>
  <c r="R6" i="2" s="1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J32" i="82" l="1"/>
  <c r="AD32" i="3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G22" i="2" l="1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H12" i="77"/>
  <c r="BA7" i="5" l="1"/>
  <c r="I8" i="77" l="1"/>
  <c r="AC34" i="76" l="1"/>
  <c r="U34" i="5" l="1"/>
  <c r="K4" i="76"/>
  <c r="AA28" i="76"/>
  <c r="AB28" i="76" s="1"/>
  <c r="AE28" i="76" s="1"/>
  <c r="AF28" i="76" s="1"/>
  <c r="U35" i="5" l="1"/>
  <c r="U36" i="5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W30" i="76" l="1"/>
  <c r="AH38" i="1" l="1"/>
  <c r="AH37" i="1"/>
  <c r="AK38" i="5"/>
  <c r="F39" i="5"/>
  <c r="B39" i="5"/>
  <c r="P34" i="3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Z6" i="5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31" i="76" l="1"/>
  <c r="S23" i="3" l="1"/>
  <c r="U23" i="3" s="1"/>
  <c r="K29" i="76"/>
  <c r="I18" i="76"/>
  <c r="G31" i="76"/>
  <c r="C31" i="76"/>
  <c r="K31" i="76" l="1"/>
  <c r="N31" i="76" s="1"/>
  <c r="S25" i="3"/>
  <c r="I31" i="76"/>
  <c r="M31" i="76" s="1"/>
  <c r="L31" i="76"/>
  <c r="D31" i="7"/>
  <c r="U25" i="3" l="1"/>
  <c r="Z25" i="3"/>
  <c r="D31" i="76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AI23" i="3" l="1"/>
  <c r="N26" i="1"/>
  <c r="C15" i="76"/>
  <c r="N27" i="1" l="1"/>
  <c r="L26" i="1"/>
  <c r="AD25" i="3"/>
  <c r="C16" i="76"/>
  <c r="G5" i="76"/>
  <c r="AI25" i="3" l="1"/>
  <c r="N28" i="1"/>
  <c r="L27" i="1"/>
  <c r="N29" i="1" l="1"/>
  <c r="L28" i="1"/>
  <c r="L29" i="1" l="1"/>
  <c r="C19" i="76"/>
  <c r="N31" i="1" l="1"/>
  <c r="C20" i="76"/>
  <c r="C4" i="76"/>
  <c r="L14" i="76" l="1"/>
  <c r="L31" i="1"/>
  <c r="C21" i="76"/>
  <c r="K14" i="76"/>
  <c r="K16" i="76"/>
  <c r="N16" i="76" s="1"/>
  <c r="K17" i="76"/>
  <c r="N17" i="76" s="1"/>
  <c r="N15" i="76"/>
  <c r="G15" i="76"/>
  <c r="I15" i="76"/>
  <c r="M15" i="76" s="1"/>
  <c r="N14" i="76" l="1"/>
  <c r="D14" i="76"/>
  <c r="M14" i="76"/>
  <c r="E14" i="76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E5" i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7" i="1"/>
  <c r="G8" i="1"/>
  <c r="R10" i="1"/>
  <c r="M8" i="2"/>
  <c r="E6" i="82" s="1"/>
  <c r="I8" i="1"/>
  <c r="G9" i="1"/>
  <c r="R11" i="1"/>
  <c r="M9" i="2"/>
  <c r="E7" i="82" s="1"/>
  <c r="I9" i="1"/>
  <c r="G10" i="1"/>
  <c r="E12" i="1"/>
  <c r="D12" i="7"/>
  <c r="I11" i="1"/>
  <c r="I10" i="1"/>
  <c r="E13" i="1"/>
  <c r="M11" i="2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C5" i="7" l="1"/>
  <c r="E5" i="7"/>
  <c r="G5" i="7"/>
  <c r="I5" i="7"/>
  <c r="K5" i="7"/>
  <c r="M5" i="7"/>
  <c r="O5" i="7"/>
  <c r="Q5" i="7"/>
  <c r="S5" i="7"/>
  <c r="U5" i="7"/>
  <c r="W5" i="7"/>
  <c r="AA6" i="7"/>
  <c r="AC5" i="7"/>
  <c r="AA5" i="7"/>
  <c r="AE5" i="7"/>
  <c r="AG5" i="7"/>
  <c r="AI5" i="7"/>
  <c r="AK5" i="7"/>
  <c r="AM5" i="7"/>
  <c r="I6" i="82"/>
  <c r="N8" i="2"/>
  <c r="R8" i="2" s="1"/>
  <c r="C14" i="7"/>
  <c r="C6" i="7"/>
  <c r="E9" i="82"/>
  <c r="N11" i="2"/>
  <c r="A35" i="76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J7" i="63"/>
  <c r="A32" i="65"/>
  <c r="P63" i="74"/>
  <c r="P75" i="74"/>
  <c r="A18" i="65"/>
  <c r="D32" i="63"/>
  <c r="P48" i="74"/>
  <c r="B14" i="2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E14" i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12" i="81" l="1"/>
  <c r="O14" i="2"/>
  <c r="AO5" i="7"/>
  <c r="Y5" i="7"/>
  <c r="X5" i="7" s="1"/>
  <c r="O4" i="8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AN5" i="7" l="1"/>
  <c r="AR5" i="7"/>
  <c r="AQ5" i="7" s="1"/>
  <c r="E12" i="82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AO6" i="7" s="1"/>
  <c r="J15" i="7"/>
  <c r="I15" i="7"/>
  <c r="I11" i="7"/>
  <c r="J11" i="7"/>
  <c r="W7" i="1" l="1"/>
  <c r="I16" i="82"/>
  <c r="T18" i="1"/>
  <c r="D9" i="75"/>
  <c r="E9" i="75" s="1"/>
  <c r="D15" i="65"/>
  <c r="BD18" i="5"/>
  <c r="J14" i="82"/>
  <c r="I29" i="79"/>
  <c r="O30" i="79"/>
  <c r="AJ7" i="7"/>
  <c r="AK7" i="7" s="1"/>
  <c r="AZ14" i="5"/>
  <c r="BC14" i="5" s="1"/>
  <c r="AU15" i="5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U18" i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AU16" i="5" l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Z15" i="5"/>
  <c r="BC15" i="5" s="1"/>
  <c r="I17" i="82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D19" i="65" l="1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Y6" i="7" l="1"/>
  <c r="X6" i="7" s="1"/>
  <c r="AR6" i="7"/>
  <c r="AS6" i="7" s="1"/>
  <c r="C15" i="3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I29" i="82" l="1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E29" i="82" l="1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AS24" i="7" l="1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J1" i="1" l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AZ34" i="5" l="1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BC34" i="5" l="1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BC36" i="5" l="1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AS30" i="7" l="1"/>
  <c r="X30" i="7"/>
  <c r="B31" i="65"/>
  <c r="Y31" i="7"/>
  <c r="AR31" i="7" s="1"/>
  <c r="T33" i="7"/>
  <c r="V32" i="7"/>
  <c r="W32" i="7" s="1"/>
  <c r="U32" i="7"/>
  <c r="AS31" i="7" l="1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B34" i="65" l="1"/>
  <c r="X33" i="7"/>
  <c r="AR43" i="7" l="1"/>
  <c r="AR44" i="7" s="1"/>
  <c r="BC34" i="7"/>
  <c r="AS34" i="7"/>
  <c r="AS33" i="7"/>
  <c r="AS40" i="7" l="1"/>
  <c r="H31" i="63" l="1"/>
  <c r="F34" i="65"/>
  <c r="C35" i="3" l="1"/>
  <c r="B10" i="77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N10" i="2"/>
  <c r="R10" i="2" s="1"/>
  <c r="C4" i="63"/>
  <c r="D4" i="63" s="1"/>
  <c r="E5" i="81"/>
  <c r="S11" i="76"/>
  <c r="N13" i="2"/>
  <c r="R13" i="2" s="1"/>
  <c r="N12" i="2"/>
  <c r="R12" i="2" s="1"/>
  <c r="N9" i="2"/>
  <c r="E6" i="81"/>
  <c r="E7" i="81" l="1"/>
  <c r="R9" i="2"/>
  <c r="S5" i="76"/>
  <c r="R5" i="2"/>
  <c r="E9" i="81"/>
  <c r="R11" i="2"/>
  <c r="S7" i="76"/>
  <c r="S8" i="76"/>
  <c r="S12" i="76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C10" i="63"/>
  <c r="D10" i="63" s="1"/>
  <c r="C9" i="63"/>
  <c r="D9" i="63" s="1"/>
  <c r="C8" i="63"/>
  <c r="D8" i="63" s="1"/>
  <c r="E11" i="81"/>
  <c r="E10" i="81"/>
  <c r="E4" i="81"/>
  <c r="C11" i="63"/>
  <c r="D11" i="63" s="1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E6" i="5" s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J23" i="5" s="1"/>
  <c r="D23" i="5"/>
  <c r="E23" i="5"/>
  <c r="C24" i="5"/>
  <c r="J22" i="5"/>
  <c r="L18" i="81" s="1"/>
  <c r="K18" i="81"/>
  <c r="C25" i="5" l="1"/>
  <c r="K19" i="81"/>
  <c r="L19" i="8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K28" i="82" l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2" i="3" s="1"/>
  <c r="Z21" i="3"/>
  <c r="F21" i="63" l="1"/>
  <c r="AE21" i="3"/>
  <c r="AF21" i="3" s="1"/>
  <c r="AK21" i="3"/>
  <c r="AL21" i="3"/>
  <c r="BK23" i="7"/>
  <c r="AG20" i="3"/>
  <c r="K23" i="3"/>
  <c r="Z23" i="3" s="1"/>
  <c r="K24" i="3" l="1"/>
  <c r="Z24" i="3" s="1"/>
  <c r="BK24" i="7"/>
  <c r="AG21" i="3"/>
  <c r="AL22" i="3"/>
  <c r="F22" i="63"/>
  <c r="AE22" i="3"/>
  <c r="AF22" i="3" s="1"/>
  <c r="AK22" i="3"/>
  <c r="K26" i="3" l="1"/>
  <c r="Z26" i="3" s="1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7" i="3" s="1"/>
  <c r="K28" i="3" l="1"/>
  <c r="Z28" i="3" s="1"/>
  <c r="F25" i="63"/>
  <c r="AK25" i="3"/>
  <c r="AE25" i="3"/>
  <c r="AF25" i="3" s="1"/>
  <c r="AL25" i="3"/>
  <c r="BK27" i="7"/>
  <c r="AG24" i="3"/>
  <c r="K29" i="3" l="1"/>
  <c r="Z29" i="3" s="1"/>
  <c r="F26" i="63"/>
  <c r="AE26" i="3"/>
  <c r="AF26" i="3" s="1"/>
  <c r="AK26" i="3"/>
  <c r="AL26" i="3"/>
  <c r="BK28" i="7"/>
  <c r="AG25" i="3"/>
  <c r="BK29" i="7" l="1"/>
  <c r="AG26" i="3"/>
  <c r="AK27" i="3"/>
  <c r="F27" i="63"/>
  <c r="AE27" i="3"/>
  <c r="AF27" i="3" s="1"/>
  <c r="AL27" i="3"/>
  <c r="K31" i="3" l="1"/>
  <c r="Z31" i="3" s="1"/>
  <c r="K30" i="3"/>
  <c r="Z30" i="3" s="1"/>
  <c r="BK30" i="7"/>
  <c r="AG27" i="3"/>
  <c r="AK28" i="3"/>
  <c r="F28" i="63"/>
  <c r="AE28" i="3"/>
  <c r="AF28" i="3" s="1"/>
  <c r="AL28" i="3"/>
  <c r="K32" i="3" l="1"/>
  <c r="Z32" i="3" s="1"/>
  <c r="F29" i="63"/>
  <c r="AE29" i="3"/>
  <c r="AF29" i="3" s="1"/>
  <c r="AL29" i="3"/>
  <c r="AK29" i="3"/>
  <c r="BK31" i="7"/>
  <c r="AG28" i="3"/>
  <c r="AL31" i="3" l="1"/>
  <c r="AE31" i="3"/>
  <c r="AF31" i="3" s="1"/>
  <c r="AK31" i="3"/>
  <c r="K33" i="3"/>
  <c r="Z33" i="3" s="1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10" i="5" s="1"/>
  <c r="AK9" i="5"/>
  <c r="F9" i="65"/>
  <c r="H6" i="63"/>
  <c r="K12" i="5" l="1"/>
  <c r="L11" i="5"/>
  <c r="AK11" i="5" s="1"/>
  <c r="F10" i="65"/>
  <c r="H7" i="63"/>
  <c r="H8" i="63" l="1"/>
  <c r="F11" i="65"/>
  <c r="K13" i="5"/>
  <c r="L12" i="5"/>
  <c r="AK12" i="5" s="1"/>
  <c r="H9" i="63" l="1"/>
  <c r="F12" i="65"/>
  <c r="K14" i="5"/>
  <c r="L13" i="5"/>
  <c r="AK13" i="5" s="1"/>
  <c r="F13" i="65" l="1"/>
  <c r="H10" i="63"/>
  <c r="K15" i="5"/>
  <c r="L14" i="5"/>
  <c r="AK14" i="5" s="1"/>
  <c r="K16" i="5" l="1"/>
  <c r="L15" i="5"/>
  <c r="AK15" i="5" s="1"/>
  <c r="F14" i="65"/>
  <c r="H11" i="63"/>
  <c r="K17" i="5" l="1"/>
  <c r="L16" i="5"/>
  <c r="AK16" i="5" s="1"/>
  <c r="F15" i="65"/>
  <c r="H12" i="63"/>
  <c r="K18" i="5" l="1"/>
  <c r="L17" i="5"/>
  <c r="AK17" i="5" s="1"/>
  <c r="H13" i="63"/>
  <c r="F16" i="65"/>
  <c r="K19" i="5" l="1"/>
  <c r="L18" i="5"/>
  <c r="AK18" i="5" s="1"/>
  <c r="H14" i="63"/>
  <c r="F17" i="65"/>
  <c r="K20" i="5" l="1"/>
  <c r="L19" i="5"/>
  <c r="AK19" i="5" s="1"/>
  <c r="F18" i="65"/>
  <c r="H15" i="63"/>
  <c r="K21" i="5" l="1"/>
  <c r="L20" i="5"/>
  <c r="AK20" i="5" s="1"/>
  <c r="H16" i="63"/>
  <c r="F19" i="65"/>
  <c r="H2" i="63"/>
  <c r="F5" i="65"/>
  <c r="K22" i="5" l="1"/>
  <c r="L21" i="5"/>
  <c r="AK21" i="5" s="1"/>
  <c r="F20" i="65"/>
  <c r="H17" i="63"/>
  <c r="K23" i="5" l="1"/>
  <c r="L22" i="5"/>
  <c r="AK22" i="5" s="1"/>
  <c r="F21" i="65"/>
  <c r="H18" i="63"/>
  <c r="K24" i="5" l="1"/>
  <c r="L23" i="5"/>
  <c r="AK23" i="5" s="1"/>
  <c r="F22" i="65"/>
  <c r="H19" i="63"/>
  <c r="K25" i="5" l="1"/>
  <c r="L24" i="5"/>
  <c r="AK24" i="5" s="1"/>
  <c r="F23" i="65"/>
  <c r="H20" i="63"/>
  <c r="K26" i="5" l="1"/>
  <c r="L25" i="5"/>
  <c r="AK25" i="5" s="1"/>
  <c r="F24" i="65"/>
  <c r="H21" i="63"/>
  <c r="K27" i="5" l="1"/>
  <c r="L26" i="5"/>
  <c r="AK26" i="5" s="1"/>
  <c r="H22" i="63"/>
  <c r="F25" i="65"/>
  <c r="K28" i="5" l="1"/>
  <c r="L27" i="5"/>
  <c r="AK27" i="5" s="1"/>
  <c r="H23" i="63"/>
  <c r="F26" i="65"/>
  <c r="K29" i="5" l="1"/>
  <c r="L28" i="5"/>
  <c r="AK28" i="5" s="1"/>
  <c r="F27" i="65"/>
  <c r="H24" i="63"/>
  <c r="K30" i="5" l="1"/>
  <c r="L29" i="5"/>
  <c r="AK29" i="5" s="1"/>
  <c r="H25" i="63"/>
  <c r="F28" i="65"/>
  <c r="K31" i="5" l="1"/>
  <c r="L30" i="5"/>
  <c r="AK30" i="5" s="1"/>
  <c r="H26" i="63"/>
  <c r="F29" i="65"/>
  <c r="H27" i="63" l="1"/>
  <c r="F30" i="65"/>
  <c r="K32" i="5"/>
  <c r="L31" i="5"/>
  <c r="AK31" i="5" s="1"/>
  <c r="K33" i="5" l="1"/>
  <c r="L32" i="5"/>
  <c r="AK32" i="5" s="1"/>
  <c r="F31" i="65"/>
  <c r="H28" i="63"/>
  <c r="F32" i="65" l="1"/>
  <c r="H29" i="63"/>
  <c r="K34" i="5"/>
  <c r="L33" i="5"/>
  <c r="AK33" i="5" s="1"/>
  <c r="F33" i="65" l="1"/>
  <c r="H30" i="63"/>
  <c r="K35" i="5"/>
  <c r="L34" i="5"/>
  <c r="AK34" i="5" s="1"/>
  <c r="K36" i="5" l="1"/>
  <c r="L36" i="5" s="1"/>
  <c r="AK36" i="5" s="1"/>
  <c r="L35" i="5"/>
  <c r="AK35" i="5" s="1"/>
  <c r="X3" i="3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L37" i="5" l="1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4" i="3" s="1"/>
  <c r="I23" i="3"/>
  <c r="H25" i="3" l="1"/>
  <c r="I25" i="3" s="1"/>
  <c r="H26" i="3" l="1"/>
  <c r="I26" i="3" s="1"/>
  <c r="H27" i="3" l="1"/>
  <c r="I27" i="3" s="1"/>
  <c r="H28" i="3" l="1"/>
  <c r="I28" i="3" s="1"/>
  <c r="H29" i="3" l="1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G32" i="5" s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E7" i="5" s="1"/>
  <c r="AE8" i="5" s="1"/>
  <c r="AE9" i="5" s="1"/>
  <c r="AE10" i="5" l="1"/>
  <c r="AE11" i="5" s="1"/>
  <c r="AE12" i="5" s="1"/>
  <c r="AE13" i="5" s="1"/>
  <c r="AE14" i="5" s="1"/>
  <c r="AE15" i="5" s="1"/>
  <c r="AF6" i="5"/>
  <c r="AI6" i="5" s="1"/>
  <c r="AE16" i="5" l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8" i="5" s="1"/>
  <c r="AE29" i="5" s="1"/>
  <c r="AE30" i="5" s="1"/>
  <c r="AE31" i="5" s="1"/>
  <c r="AE32" i="5" s="1"/>
  <c r="AE33" i="5" s="1"/>
  <c r="AE34" i="5" s="1"/>
  <c r="AE35" i="5" s="1"/>
  <c r="AE36" i="5" s="1"/>
  <c r="AF7" i="5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AF36" i="5" l="1"/>
  <c r="AI36" i="5" s="1"/>
  <c r="AF35" i="5"/>
  <c r="AI35" i="5" s="1"/>
  <c r="Z4" i="2" l="1"/>
  <c r="X4" i="2"/>
  <c r="AC27" i="76" l="1"/>
  <c r="AC28" i="76"/>
  <c r="AC26" i="76"/>
  <c r="AC29" i="76" l="1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O35" i="76" l="1"/>
  <c r="AB33" i="76"/>
  <c r="AB34" i="76" s="1"/>
  <c r="AB36" i="76"/>
  <c r="AB38" i="76" s="1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S5" i="2" s="1"/>
  <c r="U4" i="2"/>
  <c r="U5" i="2" s="1"/>
  <c r="V5" i="2" l="1"/>
  <c r="U6" i="2"/>
  <c r="T5" i="2"/>
  <c r="S6" i="2"/>
  <c r="V4" i="2"/>
  <c r="AF4" i="2" s="1"/>
  <c r="T4" i="2"/>
  <c r="V6" i="2" l="1"/>
  <c r="U7" i="2"/>
  <c r="S7" i="2"/>
  <c r="T6" i="2"/>
  <c r="AF5" i="2"/>
  <c r="B2" i="63"/>
  <c r="H5" i="65"/>
  <c r="A2" i="63"/>
  <c r="AE4" i="2"/>
  <c r="AG4" i="2" s="1"/>
  <c r="V7" i="2" l="1"/>
  <c r="U8" i="2"/>
  <c r="T7" i="2"/>
  <c r="S8" i="2"/>
  <c r="AF6" i="2"/>
  <c r="H6" i="65"/>
  <c r="B3" i="63"/>
  <c r="A3" i="63"/>
  <c r="AE5" i="2"/>
  <c r="AG5" i="2" s="1"/>
  <c r="V8" i="2" l="1"/>
  <c r="U9" i="2"/>
  <c r="T8" i="2"/>
  <c r="S9" i="2"/>
  <c r="B4" i="63"/>
  <c r="H7" i="65"/>
  <c r="A4" i="63"/>
  <c r="AE6" i="2"/>
  <c r="AG6" i="2" s="1"/>
  <c r="AF7" i="2"/>
  <c r="T9" i="2" l="1"/>
  <c r="S10" i="2"/>
  <c r="T10" i="2" s="1"/>
  <c r="V9" i="2"/>
  <c r="U10" i="2"/>
  <c r="V10" i="2" s="1"/>
  <c r="AF8" i="2"/>
  <c r="A5" i="63"/>
  <c r="AE7" i="2"/>
  <c r="AG7" i="2" s="1"/>
  <c r="B5" i="63"/>
  <c r="H8" i="65"/>
  <c r="A6" i="63" l="1"/>
  <c r="AE8" i="2"/>
  <c r="AG8" i="2" s="1"/>
  <c r="AF9" i="2"/>
  <c r="H9" i="65"/>
  <c r="B6" i="63"/>
  <c r="S11" i="2" l="1"/>
  <c r="A7" i="63"/>
  <c r="AE9" i="2"/>
  <c r="AG9" i="2" s="1"/>
  <c r="B7" i="63"/>
  <c r="H10" i="65"/>
  <c r="U11" i="2"/>
  <c r="AF10" i="2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AY6" i="5" s="1"/>
  <c r="BB6" i="5" s="1"/>
  <c r="H23" i="65" l="1"/>
  <c r="B20" i="63"/>
  <c r="U24" i="2"/>
  <c r="V23" i="2"/>
  <c r="AF23" i="2" s="1"/>
  <c r="AS7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D5" i="1" l="1"/>
  <c r="AG5" i="1" l="1"/>
  <c r="AM5" i="1"/>
  <c r="AD6" i="1"/>
  <c r="F6" i="75" l="1"/>
  <c r="G6" i="75" s="1"/>
  <c r="AG6" i="1"/>
  <c r="AM6" i="1"/>
  <c r="F7" i="75" s="1"/>
  <c r="G7" i="75" s="1"/>
  <c r="AD7" i="1"/>
  <c r="AD8" i="1" l="1"/>
  <c r="AG7" i="1"/>
  <c r="AM7" i="1"/>
  <c r="F8" i="75" s="1"/>
  <c r="G8" i="75" s="1"/>
  <c r="AG8" i="1" l="1"/>
  <c r="AM8" i="1"/>
  <c r="AD9" i="1"/>
  <c r="AG9" i="1" l="1"/>
  <c r="AM9" i="1"/>
  <c r="F10" i="75" s="1"/>
  <c r="G10" i="75" s="1"/>
  <c r="AD10" i="1"/>
  <c r="F9" i="75"/>
  <c r="G9" i="75" s="1"/>
  <c r="AG10" i="1" l="1"/>
  <c r="AM10" i="1"/>
  <c r="AD11" i="1"/>
  <c r="AM11" i="1" l="1"/>
  <c r="F12" i="75" s="1"/>
  <c r="G12" i="75" s="1"/>
  <c r="AG11" i="1"/>
  <c r="AD12" i="1"/>
  <c r="F11" i="75"/>
  <c r="G11" i="75" s="1"/>
  <c r="AG12" i="1" l="1"/>
  <c r="AM12" i="1"/>
  <c r="AD13" i="1"/>
  <c r="F13" i="75" l="1"/>
  <c r="G13" i="75" s="1"/>
  <c r="AG13" i="1"/>
  <c r="AM13" i="1"/>
  <c r="F14" i="75" s="1"/>
  <c r="G14" i="75" s="1"/>
  <c r="AD14" i="1"/>
  <c r="AG14" i="1" l="1"/>
  <c r="AM14" i="1"/>
  <c r="F15" i="75" s="1"/>
  <c r="G15" i="75" s="1"/>
  <c r="AD15" i="1"/>
  <c r="AG15" i="1" l="1"/>
  <c r="AM15" i="1"/>
  <c r="F16" i="75" s="1"/>
  <c r="G16" i="75" s="1"/>
  <c r="AD16" i="1"/>
  <c r="AM16" i="1" l="1"/>
  <c r="F17" i="75" s="1"/>
  <c r="G17" i="75" s="1"/>
  <c r="AG16" i="1"/>
  <c r="AD17" i="1"/>
  <c r="AM17" i="1" l="1"/>
  <c r="F18" i="75" s="1"/>
  <c r="G18" i="75" s="1"/>
  <c r="AG17" i="1"/>
  <c r="AD18" i="1"/>
  <c r="AM18" i="1" l="1"/>
  <c r="F19" i="75" s="1"/>
  <c r="G19" i="75" s="1"/>
  <c r="AG18" i="1"/>
  <c r="AD19" i="1"/>
  <c r="AD20" i="1" l="1"/>
  <c r="AG19" i="1"/>
  <c r="AM19" i="1"/>
  <c r="F20" i="75" s="1"/>
  <c r="G20" i="75" s="1"/>
  <c r="AM20" i="1" l="1"/>
  <c r="F21" i="75" s="1"/>
  <c r="G21" i="75" s="1"/>
  <c r="AG20" i="1"/>
  <c r="AD21" i="1"/>
  <c r="AD22" i="1" l="1"/>
  <c r="AM21" i="1"/>
  <c r="F22" i="75" s="1"/>
  <c r="G22" i="75" s="1"/>
  <c r="AG21" i="1"/>
  <c r="AG22" i="1" l="1"/>
  <c r="AM22" i="1"/>
  <c r="F23" i="75" s="1"/>
  <c r="G23" i="75" s="1"/>
  <c r="AD23" i="1"/>
  <c r="AM23" i="1" l="1"/>
  <c r="F24" i="75" s="1"/>
  <c r="G24" i="75" s="1"/>
  <c r="AG23" i="1"/>
  <c r="AD24" i="1"/>
  <c r="AD25" i="1" l="1"/>
  <c r="AM24" i="1"/>
  <c r="F25" i="75" s="1"/>
  <c r="G25" i="75" s="1"/>
  <c r="AG24" i="1"/>
  <c r="AM25" i="1" l="1"/>
  <c r="F26" i="75" s="1"/>
  <c r="G26" i="75" s="1"/>
  <c r="AG25" i="1"/>
  <c r="AD26" i="1"/>
  <c r="AG26" i="1" l="1"/>
  <c r="AM26" i="1"/>
  <c r="F27" i="75" s="1"/>
  <c r="G27" i="75" s="1"/>
  <c r="AD27" i="1"/>
  <c r="AM27" i="1" l="1"/>
  <c r="F28" i="75" s="1"/>
  <c r="G28" i="75" s="1"/>
  <c r="AG27" i="1"/>
  <c r="AD28" i="1"/>
  <c r="AD29" i="1" l="1"/>
  <c r="AG28" i="1"/>
  <c r="AM28" i="1"/>
  <c r="F29" i="75" s="1"/>
  <c r="G29" i="75" s="1"/>
  <c r="AM29" i="1" l="1"/>
  <c r="F30" i="75" s="1"/>
  <c r="G30" i="75" s="1"/>
  <c r="AG29" i="1"/>
  <c r="AD30" i="1"/>
  <c r="AD31" i="1" l="1"/>
  <c r="AM30" i="1"/>
  <c r="F31" i="75" s="1"/>
  <c r="G31" i="75" s="1"/>
  <c r="AG30" i="1"/>
  <c r="AG31" i="1" l="1"/>
  <c r="AM31" i="1"/>
  <c r="F32" i="75" s="1"/>
  <c r="G32" i="75" s="1"/>
  <c r="AD32" i="1"/>
  <c r="AD33" i="1" l="1"/>
  <c r="AG32" i="1"/>
  <c r="AM32" i="1"/>
  <c r="F33" i="75" s="1"/>
  <c r="G33" i="75" s="1"/>
  <c r="AG33" i="1" l="1"/>
  <c r="AM33" i="1"/>
  <c r="AD35" i="1"/>
  <c r="AD34" i="1"/>
  <c r="AM35" i="1" l="1"/>
  <c r="AG35" i="1"/>
  <c r="AM34" i="1"/>
  <c r="AG34" i="1"/>
  <c r="AM36" i="1" l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M27" i="3"/>
  <c r="L28" i="3"/>
  <c r="AA9" i="3" l="1"/>
  <c r="AC9" i="3" s="1"/>
  <c r="AH9" i="3" s="1"/>
  <c r="F9" i="3"/>
  <c r="AB9" i="3" s="1"/>
  <c r="M28" i="3"/>
  <c r="L29" i="3"/>
  <c r="D11" i="3"/>
  <c r="E10" i="3"/>
  <c r="AA10" i="3" l="1"/>
  <c r="AC10" i="3" s="1"/>
  <c r="AH10" i="3" s="1"/>
  <c r="F10" i="3"/>
  <c r="AB10" i="3" s="1"/>
  <c r="D12" i="3"/>
  <c r="E11" i="3"/>
  <c r="M29" i="3"/>
  <c r="L30" i="3"/>
  <c r="AA11" i="3" l="1"/>
  <c r="AC11" i="3" s="1"/>
  <c r="AH11" i="3" s="1"/>
  <c r="F11" i="3"/>
  <c r="AB11" i="3" s="1"/>
  <c r="M30" i="3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AA21" i="3" l="1"/>
  <c r="AC21" i="3" s="1"/>
  <c r="AH21" i="3" s="1"/>
  <c r="F21" i="3"/>
  <c r="AB21" i="3" s="1"/>
  <c r="E22" i="3"/>
  <c r="AA22" i="3" l="1"/>
  <c r="AC22" i="3" s="1"/>
  <c r="AH22" i="3" s="1"/>
  <c r="F22" i="3"/>
  <c r="AB22" i="3" s="1"/>
  <c r="E23" i="3"/>
  <c r="AA23" i="3" l="1"/>
  <c r="AC23" i="3" s="1"/>
  <c r="AH23" i="3" s="1"/>
  <c r="F23" i="3"/>
  <c r="AB23" i="3" s="1"/>
  <c r="E24" i="3"/>
  <c r="F24" i="3" s="1"/>
  <c r="AA24" i="3" l="1"/>
  <c r="AC24" i="3" s="1"/>
  <c r="AH24" i="3" s="1"/>
  <c r="AB24" i="3"/>
  <c r="E25" i="3"/>
  <c r="F25" i="3" s="1"/>
  <c r="AA25" i="3" l="1"/>
  <c r="AC25" i="3" s="1"/>
  <c r="AH25" i="3" s="1"/>
  <c r="AB25" i="3"/>
  <c r="E26" i="3"/>
  <c r="AA26" i="3" l="1"/>
  <c r="AC26" i="3" s="1"/>
  <c r="AH26" i="3" s="1"/>
  <c r="F26" i="3"/>
  <c r="AB26" i="3" s="1"/>
  <c r="E27" i="3"/>
  <c r="AA27" i="3" l="1"/>
  <c r="AC27" i="3" s="1"/>
  <c r="AH27" i="3" s="1"/>
  <c r="F27" i="3"/>
  <c r="AB27" i="3" s="1"/>
  <c r="E28" i="3"/>
  <c r="AA28" i="3" l="1"/>
  <c r="AC28" i="3" s="1"/>
  <c r="AH28" i="3" s="1"/>
  <c r="F28" i="3"/>
  <c r="AB28" i="3" s="1"/>
  <c r="E29" i="3"/>
  <c r="AA29" i="3" l="1"/>
  <c r="AC29" i="3" s="1"/>
  <c r="AH29" i="3" s="1"/>
  <c r="F29" i="3"/>
  <c r="AB29" i="3" s="1"/>
  <c r="E30" i="3"/>
  <c r="E31" i="3" l="1"/>
  <c r="F30" i="3"/>
  <c r="AB30" i="3" s="1"/>
  <c r="AA30" i="3"/>
  <c r="AC30" i="3" s="1"/>
  <c r="AH30" i="3" s="1"/>
  <c r="E32" i="3" l="1"/>
  <c r="E33" i="3"/>
  <c r="AA33" i="3" s="1"/>
  <c r="AC33" i="3" s="1"/>
  <c r="AH33" i="3" s="1"/>
  <c r="F31" i="3"/>
  <c r="AB31" i="3" s="1"/>
  <c r="AA31" i="3"/>
  <c r="AC31" i="3" s="1"/>
  <c r="AH31" i="3" s="1"/>
  <c r="AA32" i="3" l="1"/>
  <c r="AC32" i="3" s="1"/>
  <c r="AH32" i="3" s="1"/>
  <c r="F32" i="3"/>
  <c r="AB3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Starwood Mgt Cooperation</author>
  </authors>
  <commentList>
    <comment ref="A7" authorId="0" shapeId="0" xr:uid="{00000000-0006-0000-0E00-000001000000}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<sst xmlns="http://schemas.openxmlformats.org/spreadsheetml/2006/main" count="666" uniqueCount="418">
  <si>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</si>
  <si>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</si>
  <si>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</si>
  <si>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</si>
  <si>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</si>
  <si>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</si>
  <si>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(Liter) </t>
  </si>
  <si>
    <t>Fuel Oil  $/Liter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</si>
  <si>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</si>
  <si>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</si>
  <si>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</si>
  <si>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</si>
  <si>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</si>
  <si>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</si>
  <si>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</si>
  <si>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>Beirut</t>
  </si>
  <si>
    <t>ATS1 Kwh</t>
  </si>
  <si>
    <t>ATS2 Kwh</t>
  </si>
  <si>
    <t>ATS3 Kwh</t>
  </si>
  <si>
    <t>ATS4 Kwh</t>
  </si>
  <si>
    <t>ATS5 Kwh</t>
  </si>
  <si>
    <t>Guest  (m3)</t>
  </si>
  <si>
    <t>Kitchen &amp; Laundry (m3)</t>
  </si>
  <si>
    <t>.</t>
  </si>
  <si>
    <t>OOC</t>
  </si>
  <si>
    <t>Room OCC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</si>
  <si>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</si>
  <si>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</si>
  <si>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</si>
  <si>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</si>
  <si>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</si>
  <si>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</si>
  <si>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</si>
  <si>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</si>
  <si>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</si>
  <si>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</si>
  <si>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</si>
  <si>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KWH/Rooc</t>
  </si>
  <si>
    <t>Gen MHW</t>
  </si>
  <si>
    <t>Gen/Day KWH</t>
  </si>
  <si>
    <t>EDL KWH</t>
  </si>
  <si>
    <t>CH1 RH</t>
  </si>
  <si>
    <t>RH</t>
  </si>
  <si>
    <t>C1h1 power</t>
  </si>
  <si>
    <t>CH1 Con KWH</t>
  </si>
  <si>
    <t>CH2 RH</t>
  </si>
  <si>
    <t>Ch2 power</t>
  </si>
  <si>
    <t>CH2 Con KWH</t>
  </si>
  <si>
    <t>CH3 RH</t>
  </si>
  <si>
    <t>Ch3 power</t>
  </si>
  <si>
    <t>CH3 Con KWH</t>
  </si>
  <si>
    <t>RH total</t>
  </si>
  <si>
    <t>KWH total</t>
  </si>
  <si>
    <r>
      <t xml:space="preserve">AVG </t>
    </r>
    <r>
      <rPr>
        <sz val="8"/>
        <color indexed="8"/>
        <rFont val="Calibri"/>
        <family val="2"/>
      </rPr>
      <t>chiller KW/Hr</t>
    </r>
  </si>
  <si>
    <t>Boiler A</t>
  </si>
  <si>
    <t>Boiler B</t>
  </si>
  <si>
    <t>Boiler C</t>
  </si>
  <si>
    <t>Boiler</t>
  </si>
  <si>
    <t>SteamA</t>
  </si>
  <si>
    <t>SteamB</t>
  </si>
  <si>
    <t>Steam</t>
  </si>
  <si>
    <t>Boiler &amp; steam</t>
  </si>
  <si>
    <t>Total Boiler Runing H</t>
  </si>
  <si>
    <t>Total Steam Runing H</t>
  </si>
  <si>
    <t>GAS1 %</t>
  </si>
  <si>
    <t>GAS1/L</t>
  </si>
  <si>
    <t>GAS2%</t>
  </si>
  <si>
    <t>Gas2/L</t>
  </si>
  <si>
    <t>GAS3%</t>
  </si>
  <si>
    <t>GAS3/L</t>
  </si>
  <si>
    <t>Gas Cons</t>
  </si>
  <si>
    <t>Delivery</t>
  </si>
  <si>
    <t>Cost/L</t>
  </si>
  <si>
    <t>Level Tank Gen</t>
  </si>
  <si>
    <t>Level tank Boiler</t>
  </si>
  <si>
    <t>Daily Cons Bo.</t>
  </si>
  <si>
    <t>Boiler litter</t>
  </si>
  <si>
    <t>Run Hr a</t>
  </si>
  <si>
    <t>Boiler A fuel</t>
  </si>
  <si>
    <t xml:space="preserve">Daily consumption </t>
  </si>
  <si>
    <t>AVG</t>
  </si>
  <si>
    <t>index Run H</t>
  </si>
  <si>
    <t>Run Hrb</t>
  </si>
  <si>
    <t xml:space="preserve">Boiler B Fuel </t>
  </si>
  <si>
    <t>Run C</t>
  </si>
  <si>
    <t xml:space="preserve">Total RH </t>
  </si>
  <si>
    <t xml:space="preserve">Total Fuel </t>
  </si>
  <si>
    <t>Run SA</t>
  </si>
  <si>
    <t>Steam A Conter</t>
  </si>
  <si>
    <t xml:space="preserve">Liters </t>
  </si>
  <si>
    <t>Run SteamB</t>
  </si>
  <si>
    <t>Steam B Conter</t>
  </si>
  <si>
    <t>SB Litters</t>
  </si>
  <si>
    <t>Avg</t>
  </si>
  <si>
    <t xml:space="preserve">  </t>
  </si>
  <si>
    <t xml:space="preserve">Nb Delivery </t>
  </si>
  <si>
    <t xml:space="preserve">                                                                                                   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</si>
  <si>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</si>
  <si>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</si>
  <si>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</si>
  <si>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</si>
  <si>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</si>
  <si>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</si>
  <si>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</si>
  <si>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</si>
  <si>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</si>
  <si>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</si>
  <si>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</si>
  <si>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Total sotck</t>
  </si>
  <si>
    <t>Diesel Cons Per day</t>
  </si>
  <si>
    <t>Diesel Delivery</t>
  </si>
  <si>
    <t>Genset Co</t>
  </si>
  <si>
    <t xml:space="preserve">Steam </t>
  </si>
  <si>
    <t>Boil</t>
  </si>
  <si>
    <t xml:space="preserve">Outdoor temperature </t>
  </si>
  <si>
    <t>Cost /L</t>
  </si>
  <si>
    <t xml:space="preserve">Boiler+Steam </t>
  </si>
  <si>
    <t>Generator</t>
  </si>
  <si>
    <t xml:space="preserve">Occupancy </t>
  </si>
  <si>
    <t>AVE TEPM</t>
  </si>
  <si>
    <t>AVE Humidity</t>
  </si>
  <si>
    <t xml:space="preserve">NB delivery </t>
  </si>
  <si>
    <t>Entrance</t>
  </si>
  <si>
    <t xml:space="preserve">Level </t>
  </si>
  <si>
    <t>Quantity CM3</t>
  </si>
  <si>
    <t xml:space="preserve">Var </t>
  </si>
  <si>
    <t>Date</t>
  </si>
  <si>
    <t>Truck</t>
  </si>
  <si>
    <t>Truck M3/day</t>
  </si>
  <si>
    <t>N0. Trucks</t>
  </si>
  <si>
    <t xml:space="preserve">REQ. # of
trucks </t>
  </si>
  <si>
    <t>City</t>
  </si>
  <si>
    <t>City/day</t>
  </si>
  <si>
    <t xml:space="preserve">Total water delivery </t>
  </si>
  <si>
    <t>SW</t>
  </si>
  <si>
    <t>Cosum SW/day</t>
  </si>
  <si>
    <t>RO Guest/ Liter</t>
  </si>
  <si>
    <t>RO  K&amp;L/ Liter</t>
  </si>
  <si>
    <t>TOTAL RO Production</t>
  </si>
  <si>
    <t>RO 1  RH</t>
  </si>
  <si>
    <t>RO 2 RH</t>
  </si>
  <si>
    <t>RO water counter</t>
  </si>
  <si>
    <t>RO Cons m3</t>
  </si>
  <si>
    <t xml:space="preserve">Steam Boiler </t>
  </si>
  <si>
    <t xml:space="preserve">Steam Boiler/day </t>
  </si>
  <si>
    <t>Softener Guest</t>
  </si>
  <si>
    <t xml:space="preserve">Guest Sotf/day </t>
  </si>
  <si>
    <t>Softener K&amp;L</t>
  </si>
  <si>
    <t>K&amp;L Soft/Day</t>
  </si>
  <si>
    <t xml:space="preserve">Fire Tank  Level </t>
  </si>
  <si>
    <t xml:space="preserve">Fire Tank Counter </t>
  </si>
  <si>
    <t>Laundry Hot Water Counter</t>
  </si>
  <si>
    <t>Hot Water Cons/day</t>
  </si>
  <si>
    <t>Laundry Cold Water Counter</t>
  </si>
  <si>
    <t>Cold Water Cons/day</t>
  </si>
  <si>
    <t>Laundry Water Total Cons</t>
  </si>
  <si>
    <t xml:space="preserve">K&amp;L Sotf/day </t>
  </si>
  <si>
    <t>Guest / day</t>
  </si>
  <si>
    <t xml:space="preserve">K&amp;L /day </t>
  </si>
  <si>
    <t>Avg Outside Temp</t>
  </si>
  <si>
    <t>Banquet Activity</t>
  </si>
  <si>
    <t>MainI</t>
  </si>
  <si>
    <t xml:space="preserve">Kitchen and Laundry  </t>
  </si>
  <si>
    <t xml:space="preserve">Guest </t>
  </si>
  <si>
    <t xml:space="preserve">Main Tank </t>
  </si>
  <si>
    <t>Main</t>
  </si>
  <si>
    <t>Total VAR</t>
  </si>
  <si>
    <t xml:space="preserve">Hotel Consumption </t>
  </si>
  <si>
    <t>Ball R</t>
  </si>
  <si>
    <t xml:space="preserve">Meeting </t>
  </si>
  <si>
    <t>outlet</t>
  </si>
  <si>
    <t xml:space="preserve">GENERAL &amp; HOTEL'S INFORMATION SHEET </t>
  </si>
  <si>
    <t>Max Temp</t>
  </si>
  <si>
    <t xml:space="preserve">MIN TEMP </t>
  </si>
  <si>
    <t xml:space="preserve">AVE TEMP </t>
  </si>
  <si>
    <t xml:space="preserve">AVE Humidity 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</si>
  <si>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</si>
  <si>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</si>
  <si>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</si>
  <si>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</si>
  <si>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</si>
  <si>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</si>
  <si>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</si>
  <si>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</si>
  <si>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</si>
  <si>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># of EMP/OCC Room</t>
  </si>
  <si>
    <t>http://www.accuweather.com/en/lb/lebanon-weather</t>
  </si>
  <si>
    <t>GEN1</t>
  </si>
  <si>
    <t>RUN HR</t>
  </si>
  <si>
    <t>Fuel Counter Index</t>
  </si>
  <si>
    <t>Cons /day</t>
  </si>
  <si>
    <t>Diesel L/H</t>
  </si>
  <si>
    <t>next service</t>
  </si>
  <si>
    <t>ALARM</t>
  </si>
  <si>
    <t>GEN2</t>
  </si>
  <si>
    <t>GEN3</t>
  </si>
  <si>
    <t xml:space="preserve">RH total </t>
  </si>
  <si>
    <t>Gen Con /day</t>
  </si>
  <si>
    <t>Total Deisel Cons/day</t>
  </si>
  <si>
    <t>H /L</t>
  </si>
  <si>
    <t>TOAL KW GEN</t>
  </si>
  <si>
    <t xml:space="preserve">fuel Consuption </t>
  </si>
  <si>
    <t>AVG KW/h</t>
  </si>
  <si>
    <t>EDL</t>
  </si>
  <si>
    <t>Consu EDL KW</t>
  </si>
  <si>
    <t>Peak</t>
  </si>
  <si>
    <t>Night</t>
  </si>
  <si>
    <t>P</t>
  </si>
  <si>
    <t>D</t>
  </si>
  <si>
    <t>N</t>
  </si>
  <si>
    <t>fee</t>
  </si>
  <si>
    <t>T EDL</t>
  </si>
  <si>
    <t xml:space="preserve">Gen </t>
  </si>
  <si>
    <t>Elc C</t>
  </si>
  <si>
    <t xml:space="preserve">VAT 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</si>
  <si>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</si>
  <si>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</si>
  <si>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</si>
  <si>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</si>
  <si>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</si>
  <si>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</si>
  <si>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</si>
  <si>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</si>
  <si>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</si>
  <si>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</si>
  <si>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</si>
  <si>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</si>
  <si>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Occ %</t>
  </si>
  <si>
    <t>Per G</t>
  </si>
  <si>
    <t>Gen RH</t>
  </si>
  <si>
    <t>H Deg</t>
  </si>
  <si>
    <t>VAT</t>
  </si>
  <si>
    <t>C Deg</t>
  </si>
  <si>
    <t>day</t>
  </si>
  <si>
    <t>$ without VAT</t>
  </si>
  <si>
    <t>TOTAL CH RH</t>
  </si>
  <si>
    <t>TOTAL CH cons KW</t>
  </si>
  <si>
    <t>TOTAL ELIC KW</t>
  </si>
  <si>
    <t>TOTAL EDL</t>
  </si>
  <si>
    <t>TOTAL GEN KW</t>
  </si>
  <si>
    <t>GEN HR</t>
  </si>
  <si>
    <t>WATER IN</t>
  </si>
  <si>
    <t>TOTAL CT</t>
  </si>
  <si>
    <t>TOTAL WATER</t>
  </si>
  <si>
    <t>Boiler Fuel</t>
  </si>
  <si>
    <t>Steam Fuel</t>
  </si>
  <si>
    <t>GEN FUEL</t>
  </si>
  <si>
    <t>FUEL TOTAL</t>
  </si>
  <si>
    <r>
      <t>CT/m</t>
    </r>
    <r>
      <rPr>
        <b/>
        <sz val="12"/>
        <color indexed="8"/>
        <rFont val="Calibri"/>
        <family val="2"/>
      </rPr>
      <t>ᶾ</t>
    </r>
  </si>
  <si>
    <t>Water Consumption</t>
  </si>
  <si>
    <t>Chiller KW</t>
  </si>
  <si>
    <t>GEN KW</t>
  </si>
  <si>
    <t>EDL KW</t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</si>
  <si>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</si>
  <si>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</si>
  <si>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</si>
  <si>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</si>
  <si>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Outdoor conditions</t>
  </si>
  <si>
    <t xml:space="preserve">Date </t>
  </si>
  <si>
    <t>Total Boiler
running   H</t>
  </si>
  <si>
    <t>AVE CONSUM</t>
  </si>
  <si>
    <t>Total Steam
running   H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</si>
  <si>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</si>
  <si>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</si>
  <si>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</si>
  <si>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</si>
  <si>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</si>
  <si>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</si>
  <si>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</si>
  <si>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</si>
  <si>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</si>
  <si>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</si>
  <si>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>AVE
TEPM</t>
  </si>
  <si>
    <t>AVE
Humidity</t>
  </si>
  <si>
    <t>Swimming Pool</t>
  </si>
  <si>
    <t>Jacuzzi</t>
  </si>
  <si>
    <t>Water meter SW Pool</t>
  </si>
  <si>
    <t>Cons  M3</t>
  </si>
  <si>
    <t>Time</t>
  </si>
  <si>
    <t>1.0-1.5</t>
  </si>
  <si>
    <t>7.2-7.4</t>
  </si>
  <si>
    <t>Chl</t>
  </si>
  <si>
    <t>PH</t>
  </si>
  <si>
    <t>T C</t>
  </si>
  <si>
    <t>Counter 1</t>
  </si>
  <si>
    <t>Counter 2</t>
  </si>
  <si>
    <t>Total</t>
  </si>
  <si>
    <t>EMPTY</t>
  </si>
  <si>
    <t>2:00:00AM</t>
  </si>
  <si>
    <t>Four Seasons Hotel Beirut</t>
  </si>
  <si>
    <t xml:space="preserve">Annual Utility consumption report </t>
  </si>
  <si>
    <t>( Heating Degree Days / Cooling Degree Days ) 2020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</si>
  <si>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</si>
  <si>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</si>
  <si>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</si>
  <si>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</si>
  <si>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</si>
  <si>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</si>
  <si>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</si>
  <si>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</si>
  <si>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</si>
  <si>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</si>
  <si>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</si>
  <si>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</si>
  <si>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</si>
  <si>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Jan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</si>
  <si>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</si>
  <si>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</si>
  <si>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</si>
  <si>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</si>
  <si>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</si>
  <si>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</si>
  <si>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</si>
  <si>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</si>
  <si>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>http://www.accuweather.com/en/lb/beirut</t>
  </si>
  <si>
    <t xml:space="preserve">Utility Expense </t>
  </si>
  <si>
    <t>Rate</t>
  </si>
  <si>
    <t xml:space="preserve">Utility  </t>
  </si>
  <si>
    <t>Qt</t>
  </si>
  <si>
    <t>Cost</t>
  </si>
  <si>
    <t>Total LLP</t>
  </si>
  <si>
    <t>Total per day</t>
  </si>
  <si>
    <t>MTD</t>
  </si>
  <si>
    <t xml:space="preserve"> Estimation MTD</t>
  </si>
  <si>
    <t>Forecast MTD</t>
  </si>
  <si>
    <t>Budget</t>
  </si>
  <si>
    <t>Water Truck</t>
  </si>
  <si>
    <t>City Water</t>
  </si>
  <si>
    <t xml:space="preserve">Diesel </t>
  </si>
  <si>
    <t xml:space="preserve">Gas </t>
  </si>
  <si>
    <t>Electricity</t>
  </si>
  <si>
    <t>Last Year MTD</t>
  </si>
  <si>
    <t>Budget MTD</t>
  </si>
  <si>
    <t>Diff MTD /last Y MDT</t>
  </si>
  <si>
    <t xml:space="preserve">Diff MTD /Budget </t>
  </si>
  <si>
    <t>Cooling Deg</t>
  </si>
  <si>
    <t>Heating Deg</t>
  </si>
  <si>
    <t>Av temp deg C</t>
  </si>
  <si>
    <t xml:space="preserve">Generator RH </t>
  </si>
  <si>
    <t>Generator RD</t>
  </si>
  <si>
    <t xml:space="preserve">RH/DAY </t>
  </si>
  <si>
    <t>ATS-4</t>
  </si>
  <si>
    <t>descriptions</t>
  </si>
  <si>
    <t>STATUS</t>
  </si>
  <si>
    <t>Sensors</t>
  </si>
  <si>
    <t>indicator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</si>
  <si>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</si>
  <si>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</si>
  <si>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</si>
  <si>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</si>
  <si>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</si>
  <si>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</si>
  <si>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</si>
  <si>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</si>
  <si>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Mechanical panel B1</t>
  </si>
  <si>
    <t>MCC-5B-2</t>
  </si>
  <si>
    <t>NS1000N</t>
  </si>
  <si>
    <t>Mechanical B5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</si>
  <si>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</si>
  <si>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</si>
  <si>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</si>
  <si>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</si>
  <si>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</si>
  <si>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</si>
  <si>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Emergency Main Distribution Board -2</t>
  </si>
  <si>
    <t>EDP-1F</t>
  </si>
  <si>
    <t>NS630B</t>
  </si>
  <si>
    <t>Power panel 1st floor</t>
  </si>
  <si>
    <t>EDP-1B</t>
  </si>
  <si>
    <t>Power panel 1st Basement</t>
  </si>
  <si>
    <t>EDP-2F</t>
  </si>
  <si>
    <t>Power panel 2nnd floor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</si>
  <si>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</si>
  <si>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</si>
  <si>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</si>
  <si>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</si>
  <si>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</si>
  <si>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</si>
  <si>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</si>
  <si>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</si>
  <si>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</si>
  <si>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</si>
  <si>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Emergency Main Distribution Board 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</si>
  <si>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</si>
  <si>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</si>
  <si>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</si>
  <si>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</si>
  <si>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</si>
  <si>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</si>
  <si>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</si>
  <si>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</si>
  <si>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</si>
  <si>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</si>
  <si>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</si>
  <si>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</si>
  <si>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</si>
  <si>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</si>
  <si>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</si>
  <si>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</si>
  <si>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</si>
  <si>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Cooling Tower</t>
  </si>
  <si>
    <t>EMCP-TF1</t>
  </si>
  <si>
    <t>Mechanical panel lower technical</t>
  </si>
  <si>
    <t>MCC-5B-3</t>
  </si>
  <si>
    <t>Mechanical panel B5</t>
  </si>
  <si>
    <t>CHILLER-2</t>
  </si>
  <si>
    <t>Geothermal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</si>
  <si>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</si>
  <si>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</si>
  <si>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</si>
  <si>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</si>
  <si>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</si>
  <si>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</si>
  <si>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</si>
  <si>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</si>
  <si>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</si>
  <si>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</si>
  <si>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CHILLER-1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</si>
</sst>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63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18" fillId="0" borderId="0" xfId="0" applyFont="1" applyAlignment="1">
      <alignment vertical="top" wrapText="1"/>
    </xf>
    <xf numFmtId="3" fontId="19" fillId="0" borderId="0" xfId="0" applyNumberFormat="1" applyFont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1" fontId="5" fillId="0" borderId="6" xfId="0" applyNumberFormat="1" applyFont="1" applyBorder="1"/>
    <xf numFmtId="0" fontId="11" fillId="0" borderId="0" xfId="0" applyFont="1" applyAlignment="1">
      <alignment horizontal="center" wrapText="1"/>
    </xf>
    <xf numFmtId="17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Border="1"/>
    <xf numFmtId="0" fontId="22" fillId="0" borderId="12" xfId="0" applyFont="1" applyBorder="1"/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/>
    <xf numFmtId="0" fontId="0" fillId="0" borderId="26" xfId="0" applyBorder="1"/>
    <xf numFmtId="0" fontId="0" fillId="0" borderId="37" xfId="0" applyBorder="1"/>
    <xf numFmtId="0" fontId="0" fillId="0" borderId="28" xfId="0" applyBorder="1"/>
    <xf numFmtId="0" fontId="0" fillId="0" borderId="38" xfId="0" applyBorder="1"/>
    <xf numFmtId="0" fontId="0" fillId="0" borderId="39" xfId="0" applyBorder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2" fillId="0" borderId="43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Alignment="1">
      <alignment wrapText="1"/>
    </xf>
    <xf numFmtId="43" fontId="0" fillId="0" borderId="28" xfId="0" applyNumberFormat="1" applyBorder="1"/>
    <xf numFmtId="0" fontId="22" fillId="0" borderId="44" xfId="0" applyFont="1" applyBorder="1"/>
    <xf numFmtId="0" fontId="0" fillId="14" borderId="1" xfId="0" applyFill="1" applyBorder="1" applyAlignment="1">
      <alignment horizontal="right"/>
    </xf>
    <xf numFmtId="2" fontId="22" fillId="0" borderId="7" xfId="0" applyNumberFormat="1" applyFont="1" applyBorder="1"/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21" fillId="3" borderId="12" xfId="0" applyFont="1" applyFill="1" applyBorder="1" applyAlignment="1">
      <alignment horizont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 wrapText="1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0" fontId="0" fillId="24" borderId="0" xfId="0" applyFill="1" applyAlignment="1">
      <alignment horizontal="right"/>
    </xf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0" fontId="18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/>
    <xf numFmtId="0" fontId="19" fillId="3" borderId="68" xfId="0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0" xfId="0" applyNumberFormat="1"/>
    <xf numFmtId="176" fontId="0" fillId="22" borderId="1" xfId="0" applyNumberFormat="1" applyFill="1" applyBorder="1"/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9" fontId="0" fillId="0" borderId="0" xfId="4" applyFo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/>
    <xf numFmtId="10" fontId="16" fillId="0" borderId="0" xfId="4" applyNumberFormat="1" applyFont="1"/>
    <xf numFmtId="169" fontId="0" fillId="0" borderId="0" xfId="0" applyNumberFormat="1"/>
    <xf numFmtId="172" fontId="0" fillId="0" borderId="1" xfId="0" applyNumberFormat="1" applyBorder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17" fontId="22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43" fontId="16" fillId="0" borderId="0" xfId="1" applyFont="1" applyBorder="1"/>
    <xf numFmtId="9" fontId="0" fillId="0" borderId="0" xfId="0" applyNumberFormat="1" applyAlignment="1">
      <alignment horizontal="center"/>
    </xf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43" fontId="22" fillId="0" borderId="0" xfId="0" applyNumberFormat="1" applyFont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Border="1" applyAlignment="1">
      <alignment wrapText="1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24" borderId="0" xfId="0" applyFill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Alignment="1">
      <alignment horizontal="left" wrapText="1"/>
    </xf>
    <xf numFmtId="1" fontId="0" fillId="24" borderId="0" xfId="0" applyNumberFormat="1" applyFill="1" applyAlignment="1">
      <alignment horizontal="left"/>
    </xf>
    <xf numFmtId="1" fontId="0" fillId="24" borderId="0" xfId="0" applyNumberFormat="1" applyFill="1" applyAlignment="1">
      <alignment horizontal="left" indent="2"/>
    </xf>
    <xf numFmtId="2" fontId="0" fillId="24" borderId="0" xfId="0" applyNumberFormat="1" applyFill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3" borderId="0" xfId="0" applyFill="1" applyAlignment="1">
      <alignment horizontal="center" vertical="center"/>
    </xf>
    <xf numFmtId="4" fontId="19" fillId="24" borderId="0" xfId="0" applyNumberFormat="1" applyFont="1" applyFill="1" applyAlignment="1">
      <alignment horizontal="center" vertical="top" wrapText="1"/>
    </xf>
    <xf numFmtId="2" fontId="0" fillId="24" borderId="0" xfId="0" applyNumberFormat="1" applyFill="1"/>
    <xf numFmtId="0" fontId="0" fillId="24" borderId="0" xfId="0" applyFill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/>
    <xf numFmtId="180" fontId="0" fillId="0" borderId="34" xfId="0" applyNumberFormat="1" applyBorder="1"/>
    <xf numFmtId="0" fontId="0" fillId="0" borderId="7" xfId="0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9" fontId="16" fillId="0" borderId="1" xfId="4" applyFont="1" applyFill="1" applyBorder="1"/>
    <xf numFmtId="41" fontId="0" fillId="8" borderId="1" xfId="0" applyNumberFormat="1" applyFill="1" applyBorder="1"/>
    <xf numFmtId="43" fontId="0" fillId="0" borderId="0" xfId="1" applyFont="1"/>
    <xf numFmtId="2" fontId="0" fillId="0" borderId="0" xfId="1" applyNumberFormat="1" applyFont="1"/>
    <xf numFmtId="173" fontId="0" fillId="2" borderId="7" xfId="0" applyNumberFormat="1" applyFill="1" applyBorder="1" applyAlignment="1">
      <alignment horizontal="left"/>
    </xf>
    <xf numFmtId="43" fontId="0" fillId="0" borderId="43" xfId="0" applyNumberFormat="1" applyBorder="1" applyAlignment="1">
      <alignment horizontal="center"/>
    </xf>
    <xf numFmtId="41" fontId="0" fillId="0" borderId="43" xfId="0" applyNumberFormat="1" applyBorder="1" applyAlignment="1">
      <alignment horizontal="center"/>
    </xf>
    <xf numFmtId="176" fontId="0" fillId="0" borderId="0" xfId="0" applyNumberFormat="1" applyAlignment="1">
      <alignment horizontal="righ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microsoft.com/office/2017/06/relationships/rdRichValueStructure" Target="richData/rdrichvaluestructure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46" Type="http://schemas.openxmlformats.org/officeDocument/2006/relationships/customXml" Target="../customXml/item2.xml"/><Relationship Id="rId20" Type="http://schemas.openxmlformats.org/officeDocument/2006/relationships/externalLink" Target="externalLinks/externalLink2.xml"/><Relationship Id="rId41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0</c:v>
                </c:pt>
                <c:pt idx="2">
                  <c:v>0</c:v>
                </c:pt>
                <c:pt idx="3">
                  <c:v>2464</c:v>
                </c:pt>
                <c:pt idx="4">
                  <c:v>2763</c:v>
                </c:pt>
                <c:pt idx="5">
                  <c:v>2299</c:v>
                </c:pt>
                <c:pt idx="6">
                  <c:v>0</c:v>
                </c:pt>
                <c:pt idx="7">
                  <c:v>0</c:v>
                </c:pt>
                <c:pt idx="8">
                  <c:v>2330</c:v>
                </c:pt>
                <c:pt idx="9">
                  <c:v>3064</c:v>
                </c:pt>
                <c:pt idx="10">
                  <c:v>2908</c:v>
                </c:pt>
                <c:pt idx="11">
                  <c:v>1839</c:v>
                </c:pt>
                <c:pt idx="12">
                  <c:v>4552</c:v>
                </c:pt>
                <c:pt idx="13">
                  <c:v>0</c:v>
                </c:pt>
                <c:pt idx="14">
                  <c:v>0</c:v>
                </c:pt>
                <c:pt idx="15">
                  <c:v>2647</c:v>
                </c:pt>
                <c:pt idx="16">
                  <c:v>3310</c:v>
                </c:pt>
                <c:pt idx="17">
                  <c:v>3279</c:v>
                </c:pt>
                <c:pt idx="18">
                  <c:v>3504</c:v>
                </c:pt>
                <c:pt idx="19">
                  <c:v>3229</c:v>
                </c:pt>
                <c:pt idx="20">
                  <c:v>0</c:v>
                </c:pt>
                <c:pt idx="21">
                  <c:v>0</c:v>
                </c:pt>
                <c:pt idx="22">
                  <c:v>2894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633488"/>
        <c:axId val="445638584"/>
      </c:lineChart>
      <c:catAx>
        <c:axId val="44563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638584"/>
        <c:crosses val="autoZero"/>
        <c:auto val="1"/>
        <c:lblAlgn val="ctr"/>
        <c:lblOffset val="100"/>
        <c:noMultiLvlLbl val="0"/>
      </c:catAx>
      <c:valAx>
        <c:axId val="44563858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63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278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637800"/>
        <c:axId val="445631920"/>
      </c:lineChart>
      <c:catAx>
        <c:axId val="445637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631920"/>
        <c:crosses val="autoZero"/>
        <c:auto val="1"/>
        <c:lblAlgn val="ctr"/>
        <c:lblOffset val="100"/>
        <c:noMultiLvlLbl val="0"/>
      </c:catAx>
      <c:valAx>
        <c:axId val="445631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637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802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813"/>
          <c:w val="0.77663126001870308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632312"/>
        <c:axId val="445632704"/>
      </c:lineChart>
      <c:catAx>
        <c:axId val="445632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632704"/>
        <c:crosses val="autoZero"/>
        <c:auto val="1"/>
        <c:lblAlgn val="ctr"/>
        <c:lblOffset val="100"/>
        <c:noMultiLvlLbl val="0"/>
      </c:catAx>
      <c:valAx>
        <c:axId val="44563270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632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26440"/>
        <c:axId val="177826832"/>
      </c:lineChart>
      <c:catAx>
        <c:axId val="177826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26832"/>
        <c:crosses val="autoZero"/>
        <c:auto val="1"/>
        <c:lblAlgn val="ctr"/>
        <c:lblOffset val="100"/>
        <c:noMultiLvlLbl val="0"/>
      </c:catAx>
      <c:valAx>
        <c:axId val="1778268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26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750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278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24480"/>
        <c:axId val="177824872"/>
      </c:lineChart>
      <c:catAx>
        <c:axId val="17782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24872"/>
        <c:crosses val="autoZero"/>
        <c:auto val="1"/>
        <c:lblAlgn val="ctr"/>
        <c:lblOffset val="100"/>
        <c:noMultiLvlLbl val="0"/>
      </c:catAx>
      <c:valAx>
        <c:axId val="17782487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2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46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334656"/>
        <c:axId val="178332696"/>
      </c:lineChart>
      <c:catAx>
        <c:axId val="17833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332696"/>
        <c:crosses val="autoZero"/>
        <c:auto val="1"/>
        <c:lblAlgn val="ctr"/>
        <c:lblOffset val="100"/>
        <c:noMultiLvlLbl val="0"/>
      </c:catAx>
      <c:valAx>
        <c:axId val="178332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33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28792"/>
        <c:axId val="177829184"/>
      </c:lineChart>
      <c:catAx>
        <c:axId val="177828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29184"/>
        <c:crosses val="autoZero"/>
        <c:auto val="1"/>
        <c:lblAlgn val="ctr"/>
        <c:lblOffset val="100"/>
        <c:noMultiLvlLbl val="0"/>
      </c:catAx>
      <c:valAx>
        <c:axId val="177829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28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24088"/>
        <c:axId val="179087104"/>
      </c:lineChart>
      <c:catAx>
        <c:axId val="177824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87104"/>
        <c:crosses val="autoZero"/>
        <c:auto val="1"/>
        <c:lblAlgn val="ctr"/>
        <c:lblOffset val="100"/>
        <c:noMultiLvlLbl val="0"/>
      </c:catAx>
      <c:valAx>
        <c:axId val="179087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824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15.5</c:v>
                </c:pt>
                <c:pt idx="14">
                  <c:v>15.5</c:v>
                </c:pt>
                <c:pt idx="15">
                  <c:v>16</c:v>
                </c:pt>
                <c:pt idx="16">
                  <c:v>16</c:v>
                </c:pt>
                <c:pt idx="17">
                  <c:v>16.5</c:v>
                </c:pt>
                <c:pt idx="18">
                  <c:v>16.5</c:v>
                </c:pt>
                <c:pt idx="19">
                  <c:v>0</c:v>
                </c:pt>
                <c:pt idx="20">
                  <c:v>0</c:v>
                </c:pt>
                <c:pt idx="21">
                  <c:v>21.5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206064"/>
        <c:axId val="447205280"/>
      </c:lineChart>
      <c:catAx>
        <c:axId val="447206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5280"/>
        <c:crosses val="autoZero"/>
        <c:auto val="1"/>
        <c:lblAlgn val="ctr"/>
        <c:lblOffset val="100"/>
        <c:noMultiLvlLbl val="0"/>
      </c:catAx>
      <c:valAx>
        <c:axId val="44720528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5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-3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203712"/>
        <c:axId val="447204496"/>
      </c:lineChart>
      <c:catAx>
        <c:axId val="44720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4496"/>
        <c:crosses val="autoZero"/>
        <c:auto val="1"/>
        <c:lblAlgn val="ctr"/>
        <c:lblOffset val="100"/>
        <c:noMultiLvlLbl val="0"/>
      </c:catAx>
      <c:valAx>
        <c:axId val="447204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15.5</c:v>
                </c:pt>
                <c:pt idx="14">
                  <c:v>15.5</c:v>
                </c:pt>
                <c:pt idx="15">
                  <c:v>16</c:v>
                </c:pt>
                <c:pt idx="16">
                  <c:v>16</c:v>
                </c:pt>
                <c:pt idx="17">
                  <c:v>16.5</c:v>
                </c:pt>
                <c:pt idx="18">
                  <c:v>16.5</c:v>
                </c:pt>
                <c:pt idx="21">
                  <c:v>21.5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207240"/>
        <c:axId val="447204104"/>
      </c:lineChart>
      <c:catAx>
        <c:axId val="447207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4104"/>
        <c:crosses val="autoZero"/>
        <c:auto val="1"/>
        <c:lblAlgn val="ctr"/>
        <c:lblOffset val="100"/>
        <c:noMultiLvlLbl val="0"/>
      </c:catAx>
      <c:valAx>
        <c:axId val="447204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7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8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17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15</c:v>
                </c:pt>
                <c:pt idx="9">
                  <c:v>13</c:v>
                </c:pt>
                <c:pt idx="10">
                  <c:v>9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14</c:v>
                </c:pt>
                <c:pt idx="15">
                  <c:v>13</c:v>
                </c:pt>
                <c:pt idx="16">
                  <c:v>10</c:v>
                </c:pt>
                <c:pt idx="17">
                  <c:v>14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202928"/>
        <c:axId val="447204888"/>
      </c:lineChart>
      <c:catAx>
        <c:axId val="447202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4888"/>
        <c:crosses val="autoZero"/>
        <c:auto val="1"/>
        <c:lblAlgn val="ctr"/>
        <c:lblOffset val="100"/>
        <c:noMultiLvlLbl val="0"/>
      </c:catAx>
      <c:valAx>
        <c:axId val="44720488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209200"/>
        <c:axId val="447205672"/>
      </c:lineChart>
      <c:catAx>
        <c:axId val="44720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5672"/>
        <c:crosses val="autoZero"/>
        <c:auto val="1"/>
        <c:lblAlgn val="ctr"/>
        <c:lblOffset val="100"/>
        <c:noMultiLvlLbl val="0"/>
      </c:catAx>
      <c:valAx>
        <c:axId val="447205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342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84</c:v>
                </c:pt>
                <c:pt idx="4">
                  <c:v>297</c:v>
                </c:pt>
                <c:pt idx="5">
                  <c:v>113</c:v>
                </c:pt>
                <c:pt idx="6">
                  <c:v>0</c:v>
                </c:pt>
                <c:pt idx="7">
                  <c:v>0</c:v>
                </c:pt>
                <c:pt idx="8">
                  <c:v>180</c:v>
                </c:pt>
                <c:pt idx="9">
                  <c:v>276.5</c:v>
                </c:pt>
                <c:pt idx="10">
                  <c:v>67</c:v>
                </c:pt>
                <c:pt idx="11">
                  <c:v>205</c:v>
                </c:pt>
                <c:pt idx="12">
                  <c:v>141.5</c:v>
                </c:pt>
                <c:pt idx="13">
                  <c:v>0</c:v>
                </c:pt>
                <c:pt idx="14">
                  <c:v>0</c:v>
                </c:pt>
                <c:pt idx="15">
                  <c:v>258</c:v>
                </c:pt>
                <c:pt idx="16">
                  <c:v>182</c:v>
                </c:pt>
                <c:pt idx="17">
                  <c:v>185</c:v>
                </c:pt>
                <c:pt idx="18">
                  <c:v>143</c:v>
                </c:pt>
                <c:pt idx="19">
                  <c:v>150</c:v>
                </c:pt>
                <c:pt idx="20">
                  <c:v>0</c:v>
                </c:pt>
                <c:pt idx="21">
                  <c:v>0</c:v>
                </c:pt>
                <c:pt idx="22">
                  <c:v>261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206456"/>
        <c:axId val="447206848"/>
      </c:lineChart>
      <c:catAx>
        <c:axId val="447206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6848"/>
        <c:crosses val="autoZero"/>
        <c:auto val="1"/>
        <c:lblAlgn val="ctr"/>
        <c:lblOffset val="100"/>
        <c:noMultiLvlLbl val="0"/>
      </c:catAx>
      <c:valAx>
        <c:axId val="447206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6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202536"/>
        <c:axId val="549790968"/>
      </c:lineChart>
      <c:catAx>
        <c:axId val="447202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90968"/>
        <c:crosses val="autoZero"/>
        <c:auto val="1"/>
        <c:lblAlgn val="ctr"/>
        <c:lblOffset val="100"/>
        <c:noMultiLvlLbl val="0"/>
      </c:catAx>
      <c:valAx>
        <c:axId val="5497909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7202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0</c:v>
                </c:pt>
                <c:pt idx="2">
                  <c:v>0</c:v>
                </c:pt>
                <c:pt idx="3">
                  <c:v>2464</c:v>
                </c:pt>
                <c:pt idx="4">
                  <c:v>2763</c:v>
                </c:pt>
                <c:pt idx="5">
                  <c:v>2299</c:v>
                </c:pt>
                <c:pt idx="6">
                  <c:v>0</c:v>
                </c:pt>
                <c:pt idx="7">
                  <c:v>0</c:v>
                </c:pt>
                <c:pt idx="8">
                  <c:v>2330</c:v>
                </c:pt>
                <c:pt idx="9">
                  <c:v>3064</c:v>
                </c:pt>
                <c:pt idx="10">
                  <c:v>2908</c:v>
                </c:pt>
                <c:pt idx="11">
                  <c:v>1839</c:v>
                </c:pt>
                <c:pt idx="12">
                  <c:v>4552</c:v>
                </c:pt>
                <c:pt idx="13">
                  <c:v>0</c:v>
                </c:pt>
                <c:pt idx="14">
                  <c:v>0</c:v>
                </c:pt>
                <c:pt idx="15">
                  <c:v>2647</c:v>
                </c:pt>
                <c:pt idx="16">
                  <c:v>3310</c:v>
                </c:pt>
                <c:pt idx="17">
                  <c:v>3279</c:v>
                </c:pt>
                <c:pt idx="18">
                  <c:v>3504</c:v>
                </c:pt>
                <c:pt idx="19">
                  <c:v>3229</c:v>
                </c:pt>
                <c:pt idx="20">
                  <c:v>0</c:v>
                </c:pt>
                <c:pt idx="21">
                  <c:v>0</c:v>
                </c:pt>
                <c:pt idx="22">
                  <c:v>2894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791752"/>
        <c:axId val="549789792"/>
      </c:lineChart>
      <c:catAx>
        <c:axId val="549791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89792"/>
        <c:crosses val="autoZero"/>
        <c:auto val="1"/>
        <c:lblAlgn val="ctr"/>
        <c:lblOffset val="100"/>
        <c:noMultiLvlLbl val="0"/>
      </c:catAx>
      <c:valAx>
        <c:axId val="5497897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91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278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785872"/>
        <c:axId val="549787832"/>
      </c:lineChart>
      <c:catAx>
        <c:axId val="549785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87832"/>
        <c:crosses val="autoZero"/>
        <c:auto val="1"/>
        <c:lblAlgn val="ctr"/>
        <c:lblOffset val="100"/>
        <c:noMultiLvlLbl val="0"/>
      </c:catAx>
      <c:valAx>
        <c:axId val="549787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85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17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15</c:v>
                </c:pt>
                <c:pt idx="9">
                  <c:v>13</c:v>
                </c:pt>
                <c:pt idx="10">
                  <c:v>9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14</c:v>
                </c:pt>
                <c:pt idx="15">
                  <c:v>13</c:v>
                </c:pt>
                <c:pt idx="16">
                  <c:v>10</c:v>
                </c:pt>
                <c:pt idx="17">
                  <c:v>14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791360"/>
        <c:axId val="549790184"/>
      </c:lineChart>
      <c:catAx>
        <c:axId val="54979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90184"/>
        <c:crosses val="autoZero"/>
        <c:auto val="1"/>
        <c:lblAlgn val="ctr"/>
        <c:lblOffset val="100"/>
        <c:noMultiLvlLbl val="0"/>
      </c:catAx>
      <c:valAx>
        <c:axId val="54979018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9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8208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-1156.7096774193487</c:v>
                </c:pt>
                <c:pt idx="3">
                  <c:v>-408.06451612904493</c:v>
                </c:pt>
                <c:pt idx="4">
                  <c:v>-920.03225806451519</c:v>
                </c:pt>
                <c:pt idx="5">
                  <c:v>-710.03225806450064</c:v>
                </c:pt>
                <c:pt idx="6">
                  <c:v>0</c:v>
                </c:pt>
                <c:pt idx="7">
                  <c:v>-920.03225806451519</c:v>
                </c:pt>
                <c:pt idx="8">
                  <c:v>-613.35483870966709</c:v>
                </c:pt>
                <c:pt idx="9">
                  <c:v>-920.03225806454429</c:v>
                </c:pt>
                <c:pt idx="10">
                  <c:v>-920.03225806451519</c:v>
                </c:pt>
                <c:pt idx="11">
                  <c:v>-1380.0483870967582</c:v>
                </c:pt>
                <c:pt idx="12">
                  <c:v>0</c:v>
                </c:pt>
                <c:pt idx="13">
                  <c:v>0</c:v>
                </c:pt>
                <c:pt idx="14">
                  <c:v>-1013.1774193548481</c:v>
                </c:pt>
                <c:pt idx="15">
                  <c:v>-990.03225806450064</c:v>
                </c:pt>
                <c:pt idx="16">
                  <c:v>-1533.3870967742114</c:v>
                </c:pt>
                <c:pt idx="17">
                  <c:v>-623.1612903225614</c:v>
                </c:pt>
                <c:pt idx="18">
                  <c:v>-1226.7096774193778</c:v>
                </c:pt>
                <c:pt idx="19">
                  <c:v>0</c:v>
                </c:pt>
                <c:pt idx="20">
                  <c:v>0</c:v>
                </c:pt>
                <c:pt idx="21">
                  <c:v>-1156.7096774193487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792928"/>
        <c:axId val="549788224"/>
      </c:lineChart>
      <c:catAx>
        <c:axId val="549792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88224"/>
        <c:crosses val="autoZero"/>
        <c:auto val="1"/>
        <c:lblAlgn val="ctr"/>
        <c:lblOffset val="100"/>
        <c:noMultiLvlLbl val="0"/>
      </c:catAx>
      <c:valAx>
        <c:axId val="5497882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9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792536"/>
        <c:axId val="549786264"/>
      </c:lineChart>
      <c:catAx>
        <c:axId val="549792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86264"/>
        <c:crosses val="autoZero"/>
        <c:auto val="1"/>
        <c:lblAlgn val="ctr"/>
        <c:lblOffset val="100"/>
        <c:noMultiLvlLbl val="0"/>
      </c:catAx>
      <c:valAx>
        <c:axId val="549786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92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73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793320"/>
        <c:axId val="549786656"/>
      </c:lineChart>
      <c:catAx>
        <c:axId val="549793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86656"/>
        <c:crosses val="autoZero"/>
        <c:auto val="1"/>
        <c:lblAlgn val="ctr"/>
        <c:lblOffset val="100"/>
        <c:noMultiLvlLbl val="0"/>
      </c:catAx>
      <c:valAx>
        <c:axId val="54978665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9793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080536"/>
        <c:axId val="551076616"/>
      </c:lineChart>
      <c:catAx>
        <c:axId val="551080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6616"/>
        <c:crosses val="autoZero"/>
        <c:auto val="1"/>
        <c:lblAlgn val="ctr"/>
        <c:lblOffset val="100"/>
        <c:noMultiLvlLbl val="0"/>
      </c:catAx>
      <c:valAx>
        <c:axId val="55107661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80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079752"/>
        <c:axId val="551077400"/>
      </c:lineChart>
      <c:catAx>
        <c:axId val="551079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7400"/>
        <c:crosses val="autoZero"/>
        <c:auto val="1"/>
        <c:lblAlgn val="ctr"/>
        <c:lblOffset val="100"/>
        <c:noMultiLvlLbl val="0"/>
      </c:catAx>
      <c:valAx>
        <c:axId val="551077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9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10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075832"/>
        <c:axId val="551080144"/>
      </c:lineChart>
      <c:catAx>
        <c:axId val="551075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80144"/>
        <c:crosses val="autoZero"/>
        <c:auto val="1"/>
        <c:lblAlgn val="ctr"/>
        <c:lblOffset val="100"/>
        <c:noMultiLvlLbl val="0"/>
      </c:catAx>
      <c:valAx>
        <c:axId val="551080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5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16</c:v>
                </c:pt>
                <c:pt idx="1">
                  <c:v>17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15.5</c:v>
                </c:pt>
                <c:pt idx="14">
                  <c:v>15.5</c:v>
                </c:pt>
                <c:pt idx="15">
                  <c:v>16</c:v>
                </c:pt>
                <c:pt idx="16">
                  <c:v>16</c:v>
                </c:pt>
                <c:pt idx="17">
                  <c:v>16.5</c:v>
                </c:pt>
                <c:pt idx="18">
                  <c:v>16.5</c:v>
                </c:pt>
                <c:pt idx="21">
                  <c:v>21.5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078968"/>
        <c:axId val="551078576"/>
      </c:lineChart>
      <c:catAx>
        <c:axId val="551078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8576"/>
        <c:crosses val="autoZero"/>
        <c:auto val="1"/>
        <c:lblAlgn val="ctr"/>
        <c:lblOffset val="100"/>
        <c:noMultiLvlLbl val="0"/>
      </c:catAx>
      <c:valAx>
        <c:axId val="551078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8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7503"/>
          <c:w val="0.12343118198094784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078184"/>
        <c:axId val="551082104"/>
      </c:lineChart>
      <c:catAx>
        <c:axId val="551078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82104"/>
        <c:crosses val="autoZero"/>
        <c:auto val="1"/>
        <c:lblAlgn val="ctr"/>
        <c:lblOffset val="100"/>
        <c:noMultiLvlLbl val="0"/>
      </c:catAx>
      <c:valAx>
        <c:axId val="551082104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8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4075"/>
          <c:w val="0.15690398532825034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278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075048"/>
        <c:axId val="551077008"/>
      </c:lineChart>
      <c:catAx>
        <c:axId val="551075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7008"/>
        <c:crosses val="autoZero"/>
        <c:auto val="1"/>
        <c:lblAlgn val="ctr"/>
        <c:lblOffset val="100"/>
        <c:noMultiLvlLbl val="0"/>
      </c:catAx>
      <c:valAx>
        <c:axId val="55107700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5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97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077792"/>
        <c:axId val="551079360"/>
      </c:lineChart>
      <c:catAx>
        <c:axId val="551077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9360"/>
        <c:crosses val="autoZero"/>
        <c:auto val="1"/>
        <c:lblAlgn val="ctr"/>
        <c:lblOffset val="100"/>
        <c:noMultiLvlLbl val="0"/>
      </c:catAx>
      <c:valAx>
        <c:axId val="55107936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07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4075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NOV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OCT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Downloads\FEB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LY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UST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N33">
            <v>3572</v>
          </cell>
          <cell r="O33">
            <v>0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X33">
            <v>0</v>
          </cell>
          <cell r="Z33">
            <v>0</v>
          </cell>
          <cell r="AB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G34">
            <v>0</v>
          </cell>
          <cell r="I34">
            <v>0</v>
          </cell>
          <cell r="J34">
            <v>0</v>
          </cell>
          <cell r="O34">
            <v>1869</v>
          </cell>
          <cell r="R34">
            <v>0</v>
          </cell>
          <cell r="S34">
            <v>0</v>
          </cell>
          <cell r="T34">
            <v>0</v>
          </cell>
          <cell r="W34"/>
          <cell r="Y34">
            <v>0</v>
          </cell>
          <cell r="Z34">
            <v>141419</v>
          </cell>
          <cell r="AA34">
            <v>0</v>
          </cell>
          <cell r="AB34">
            <v>0</v>
          </cell>
          <cell r="AD34">
            <v>0</v>
          </cell>
          <cell r="AF34">
            <v>0</v>
          </cell>
          <cell r="AG34">
            <v>0</v>
          </cell>
          <cell r="AH34">
            <v>0</v>
          </cell>
          <cell r="AK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35</v>
          </cell>
          <cell r="AQ34">
            <v>1050</v>
          </cell>
          <cell r="AR34">
            <v>73</v>
          </cell>
          <cell r="AS34">
            <v>2190</v>
          </cell>
          <cell r="AT34">
            <v>5190</v>
          </cell>
          <cell r="AU34">
            <v>0</v>
          </cell>
          <cell r="AV34"/>
          <cell r="AW34"/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F35"/>
          <cell r="K35">
            <v>7089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/>
          <cell r="S35"/>
          <cell r="U35">
            <v>0</v>
          </cell>
          <cell r="W35">
            <v>0</v>
          </cell>
          <cell r="Y35">
            <v>0</v>
          </cell>
          <cell r="AA35">
            <v>0</v>
          </cell>
          <cell r="AB35">
            <v>251</v>
          </cell>
          <cell r="AC35">
            <v>855</v>
          </cell>
          <cell r="AD35">
            <v>0</v>
          </cell>
          <cell r="AF35">
            <v>0</v>
          </cell>
          <cell r="AG35">
            <v>2247.41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19.5</v>
          </cell>
          <cell r="AN35">
            <v>0</v>
          </cell>
          <cell r="AO35"/>
          <cell r="AP35">
            <v>0</v>
          </cell>
        </row>
        <row r="36">
          <cell r="AS36">
            <v>0.9</v>
          </cell>
          <cell r="AU36">
            <v>1.1000000000000001</v>
          </cell>
          <cell r="AW36">
            <v>2.9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D32">
            <v>805681</v>
          </cell>
          <cell r="E32">
            <v>1190</v>
          </cell>
          <cell r="F32">
            <v>85</v>
          </cell>
          <cell r="G32"/>
          <cell r="H32">
            <v>12231</v>
          </cell>
          <cell r="I32" t="str">
            <v>ok</v>
          </cell>
          <cell r="K32">
            <v>0</v>
          </cell>
          <cell r="L32">
            <v>392191</v>
          </cell>
          <cell r="M32">
            <v>0</v>
          </cell>
          <cell r="N32">
            <v>250</v>
          </cell>
          <cell r="O32"/>
          <cell r="P32">
            <v>10873</v>
          </cell>
          <cell r="Q32" t="str">
            <v>ok</v>
          </cell>
          <cell r="R32">
            <v>13917</v>
          </cell>
          <cell r="S32">
            <v>0</v>
          </cell>
          <cell r="T32">
            <v>418512</v>
          </cell>
          <cell r="U32">
            <v>0</v>
          </cell>
          <cell r="V32">
            <v>250</v>
          </cell>
          <cell r="W32"/>
          <cell r="X32">
            <v>14773</v>
          </cell>
          <cell r="Y32" t="str">
            <v>ok</v>
          </cell>
          <cell r="Z32">
            <v>14</v>
          </cell>
          <cell r="AA32">
            <v>1190</v>
          </cell>
          <cell r="AB32">
            <v>585</v>
          </cell>
          <cell r="AC32">
            <v>85</v>
          </cell>
          <cell r="AD32">
            <v>3586.9999999995343</v>
          </cell>
          <cell r="AE32">
            <v>256.21428571425247</v>
          </cell>
          <cell r="AF32">
            <v>0.16013392857140779</v>
          </cell>
          <cell r="AG32">
            <v>1.0008370535712987E-4</v>
          </cell>
          <cell r="AH32">
            <v>84.999899916294638</v>
          </cell>
          <cell r="AI32">
            <v>923.23628691971146</v>
          </cell>
          <cell r="AJ32">
            <v>0.25738396624472576</v>
          </cell>
          <cell r="AK32">
            <v>65.94544906569368</v>
          </cell>
          <cell r="AL32">
            <v>1</v>
          </cell>
        </row>
      </sheetData>
      <sheetData sheetId="6">
        <row r="35">
          <cell r="AZ35">
            <v>0</v>
          </cell>
          <cell r="BA35">
            <v>19.5</v>
          </cell>
          <cell r="BB35">
            <v>0.76</v>
          </cell>
          <cell r="BC35">
            <v>1</v>
          </cell>
          <cell r="BD35">
            <v>19224</v>
          </cell>
          <cell r="BE35" t="e">
            <v>#REF!</v>
          </cell>
          <cell r="BF35"/>
          <cell r="BG35" t="e">
            <v>#REF!</v>
          </cell>
          <cell r="BH35"/>
          <cell r="BI35">
            <v>22</v>
          </cell>
          <cell r="BJ35">
            <v>8.714076246335356</v>
          </cell>
          <cell r="BK35">
            <v>0.16013392857140779</v>
          </cell>
        </row>
      </sheetData>
      <sheetData sheetId="7">
        <row r="21">
          <cell r="W21">
            <v>44887</v>
          </cell>
        </row>
        <row r="26">
          <cell r="V26">
            <v>401934</v>
          </cell>
          <cell r="W26">
            <v>401934</v>
          </cell>
          <cell r="Y26">
            <v>80</v>
          </cell>
          <cell r="Z26">
            <v>1</v>
          </cell>
          <cell r="AA26">
            <v>0</v>
          </cell>
          <cell r="AB26">
            <v>0</v>
          </cell>
          <cell r="AC26">
            <v>1033333</v>
          </cell>
          <cell r="AD26">
            <v>0</v>
          </cell>
        </row>
        <row r="27">
          <cell r="V27">
            <v>561453</v>
          </cell>
          <cell r="W27">
            <v>563190</v>
          </cell>
          <cell r="Y27">
            <v>112</v>
          </cell>
          <cell r="Z27">
            <v>1</v>
          </cell>
          <cell r="AA27">
            <v>1737</v>
          </cell>
          <cell r="AB27">
            <v>194544</v>
          </cell>
          <cell r="AC27">
            <v>6200000</v>
          </cell>
          <cell r="AD27">
            <v>0.90563086548488003</v>
          </cell>
        </row>
        <row r="28">
          <cell r="V28">
            <v>161459</v>
          </cell>
          <cell r="W28">
            <v>161640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9.4369134515119912E-2</v>
          </cell>
          <cell r="AE28">
            <v>2896</v>
          </cell>
          <cell r="AF28">
            <v>12825.142857142857</v>
          </cell>
        </row>
        <row r="29">
          <cell r="AA29">
            <v>1918</v>
          </cell>
          <cell r="AB29">
            <v>252464</v>
          </cell>
          <cell r="AC29">
            <v>7234333</v>
          </cell>
        </row>
        <row r="30">
          <cell r="W30">
            <v>0</v>
          </cell>
          <cell r="AA30"/>
          <cell r="AB30">
            <v>7486797</v>
          </cell>
          <cell r="AC30"/>
        </row>
        <row r="31">
          <cell r="AA31"/>
          <cell r="AB31"/>
          <cell r="AC31"/>
        </row>
        <row r="32">
          <cell r="W32">
            <v>238</v>
          </cell>
          <cell r="X32">
            <v>59.5</v>
          </cell>
          <cell r="Y32">
            <v>59.5</v>
          </cell>
          <cell r="AA32"/>
          <cell r="AB32"/>
          <cell r="AC32"/>
        </row>
        <row r="33">
          <cell r="C33">
            <v>0</v>
          </cell>
          <cell r="D33">
            <v>0</v>
          </cell>
          <cell r="G33">
            <v>0</v>
          </cell>
          <cell r="I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-95.279709677430787</v>
          </cell>
          <cell r="R33">
            <v>64.683430178843395</v>
          </cell>
          <cell r="S33">
            <v>3572</v>
          </cell>
          <cell r="T33">
            <v>1.8108463095980794E-2</v>
          </cell>
          <cell r="AA33">
            <v>0.11</v>
          </cell>
          <cell r="AB33">
            <v>823547.67</v>
          </cell>
          <cell r="AC33">
            <v>7234333</v>
          </cell>
        </row>
        <row r="34">
          <cell r="AA34"/>
          <cell r="AB34">
            <v>8310344.6699999999</v>
          </cell>
          <cell r="AC34">
            <v>0</v>
          </cell>
        </row>
        <row r="35">
          <cell r="AA35"/>
          <cell r="AB35"/>
          <cell r="AC35"/>
        </row>
        <row r="36">
          <cell r="AA36" t="str">
            <v>$ without VAT</v>
          </cell>
          <cell r="AB36">
            <v>4966.3661691542293</v>
          </cell>
          <cell r="AC36"/>
        </row>
      </sheetData>
      <sheetData sheetId="8"/>
      <sheetData sheetId="9">
        <row r="5">
          <cell r="B5">
            <v>24</v>
          </cell>
          <cell r="C5">
            <v>20</v>
          </cell>
        </row>
        <row r="6">
          <cell r="B6">
            <v>25</v>
          </cell>
          <cell r="C6">
            <v>18</v>
          </cell>
        </row>
        <row r="7">
          <cell r="B7">
            <v>24</v>
          </cell>
          <cell r="C7">
            <v>18</v>
          </cell>
        </row>
        <row r="8">
          <cell r="B8">
            <v>24</v>
          </cell>
          <cell r="C8">
            <v>17</v>
          </cell>
        </row>
        <row r="9">
          <cell r="B9">
            <v>25</v>
          </cell>
          <cell r="C9">
            <v>18</v>
          </cell>
        </row>
        <row r="10">
          <cell r="B10"/>
          <cell r="C10"/>
        </row>
        <row r="11">
          <cell r="B11">
            <v>20</v>
          </cell>
          <cell r="C11">
            <v>16</v>
          </cell>
        </row>
        <row r="12">
          <cell r="B12">
            <v>21</v>
          </cell>
          <cell r="C12">
            <v>16</v>
          </cell>
        </row>
        <row r="13">
          <cell r="B13">
            <v>22</v>
          </cell>
          <cell r="C13">
            <v>18</v>
          </cell>
        </row>
        <row r="14">
          <cell r="B14">
            <v>24</v>
          </cell>
          <cell r="C14">
            <v>23</v>
          </cell>
        </row>
        <row r="15">
          <cell r="B15"/>
          <cell r="C15"/>
        </row>
        <row r="16">
          <cell r="B16"/>
          <cell r="C16"/>
        </row>
        <row r="17">
          <cell r="B17">
            <v>27</v>
          </cell>
          <cell r="C17">
            <v>21</v>
          </cell>
        </row>
        <row r="18">
          <cell r="B18">
            <v>25</v>
          </cell>
          <cell r="C18">
            <v>20</v>
          </cell>
        </row>
        <row r="19">
          <cell r="B19">
            <v>22</v>
          </cell>
          <cell r="C19">
            <v>21</v>
          </cell>
        </row>
        <row r="20">
          <cell r="B20">
            <v>23</v>
          </cell>
          <cell r="C20">
            <v>16</v>
          </cell>
        </row>
        <row r="21">
          <cell r="B21">
            <v>23</v>
          </cell>
          <cell r="C21">
            <v>18</v>
          </cell>
        </row>
        <row r="22">
          <cell r="B22">
            <v>21</v>
          </cell>
          <cell r="C22">
            <v>15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/>
          <cell r="C28"/>
        </row>
        <row r="29">
          <cell r="B29"/>
          <cell r="C29"/>
        </row>
        <row r="30">
          <cell r="B30"/>
          <cell r="C30"/>
        </row>
        <row r="31">
          <cell r="B31">
            <v>21</v>
          </cell>
          <cell r="C31">
            <v>15</v>
          </cell>
        </row>
        <row r="32">
          <cell r="B32">
            <v>23</v>
          </cell>
          <cell r="C32">
            <v>18</v>
          </cell>
        </row>
        <row r="33">
          <cell r="B33">
            <v>24</v>
          </cell>
          <cell r="C33">
            <v>16</v>
          </cell>
        </row>
        <row r="34">
          <cell r="B34">
            <v>22</v>
          </cell>
          <cell r="C34">
            <v>17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6"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/>
          <cell r="C6"/>
        </row>
        <row r="7">
          <cell r="B7"/>
          <cell r="C7"/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/>
          <cell r="C20"/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/>
          <cell r="C25"/>
        </row>
        <row r="26">
          <cell r="B26"/>
          <cell r="C26"/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/>
          <cell r="C32"/>
        </row>
        <row r="33">
          <cell r="B33"/>
          <cell r="C33"/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zoomScale="70" zoomScaleNormal="70" workbookViewId="0">
      <selection activeCell="F16" sqref="F16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97" bestFit="1" customWidth="1"/>
    <col min="13" max="13" width="12.28515625" style="97" customWidth="1"/>
    <col min="14" max="14" width="12.28515625" style="420" customWidth="1"/>
    <col min="15" max="15" width="11.7109375" bestFit="1" customWidth="1"/>
  </cols>
  <sheetData>
    <row r="1" spans="1:15" ht="45">
      <c r="A1" s="494" t="s">
        <v>0</v>
      </c>
      <c r="B1" s="494" t="s">
        <v>1</v>
      </c>
      <c r="C1" s="494" t="s">
        <v>2</v>
      </c>
      <c r="D1" s="494" t="s">
        <v>3</v>
      </c>
      <c r="E1" s="495" t="s">
        <v>4</v>
      </c>
      <c r="F1" s="495" t="s">
        <v>5</v>
      </c>
      <c r="G1" s="495" t="s">
        <v>6</v>
      </c>
      <c r="H1" s="495" t="s">
        <v>7</v>
      </c>
      <c r="I1" s="495" t="s">
        <v>8</v>
      </c>
      <c r="J1" s="495" t="s">
        <v>9</v>
      </c>
      <c r="K1" s="495" t="s">
        <v>10</v>
      </c>
      <c r="L1" s="495" t="s">
        <v>11</v>
      </c>
      <c r="M1" s="496" t="s">
        <v>12</v>
      </c>
      <c r="N1" s="418" t="s">
        <v>13</v>
      </c>
      <c r="O1" s="495" t="s">
        <v>14</v>
      </c>
    </row>
    <row r="2" spans="1:15">
      <c r="A2" t="s">
        <v>15</v>
      </c>
      <c r="B2">
        <v>1</v>
      </c>
      <c r="C2">
        <v>12</v>
      </c>
      <c r="D2">
        <v>2022</v>
      </c>
      <c r="E2" s="192">
        <f>ELEC!N4</f>
        <v>0</v>
      </c>
      <c r="F2" s="282">
        <f>SUM('EDl log'!T4)</f>
        <v>0</v>
      </c>
      <c r="G2" s="192">
        <f>-tanks!AW6</f>
        <v>0</v>
      </c>
      <c r="H2" s="529">
        <f>tanks!AV6</f>
        <v>0</v>
      </c>
      <c r="I2" s="10">
        <f>('B5'!AU5)*0.51</f>
        <v>0</v>
      </c>
      <c r="J2" s="265">
        <f>'B5'!AX5/0.51</f>
        <v>1.5686274509803921</v>
      </c>
      <c r="K2" s="192">
        <f>WATER!I6</f>
        <v>0</v>
      </c>
      <c r="L2" s="283">
        <f>SUM(WATER!J6)</f>
        <v>0</v>
      </c>
      <c r="M2" s="283">
        <f>WATER!Q6</f>
        <v>0</v>
      </c>
      <c r="N2" s="419">
        <v>0.6</v>
      </c>
      <c r="O2" s="10">
        <f>ELEC!B4</f>
        <v>0</v>
      </c>
    </row>
    <row r="3" spans="1:15">
      <c r="A3" t="s">
        <v>15</v>
      </c>
      <c r="B3">
        <f>B2+1</f>
        <v>2</v>
      </c>
      <c r="C3">
        <v>12</v>
      </c>
      <c r="D3">
        <f>D2</f>
        <v>2022</v>
      </c>
      <c r="E3" s="192">
        <f>ELEC!N5</f>
        <v>0</v>
      </c>
      <c r="F3" s="282">
        <f>SUM('EDl log'!T5)</f>
        <v>0</v>
      </c>
      <c r="G3" s="192">
        <f>-tanks!AW7</f>
        <v>0</v>
      </c>
      <c r="H3" s="529">
        <f>tanks!AV7</f>
        <v>0</v>
      </c>
      <c r="I3" s="10">
        <f>('B5'!AU6)*0.51</f>
        <v>0</v>
      </c>
      <c r="J3" s="265">
        <f>'B5'!AX6/0.51</f>
        <v>1.5686274509803921</v>
      </c>
      <c r="K3" s="192">
        <f>WATER!I7</f>
        <v>0</v>
      </c>
      <c r="L3" s="283">
        <f>SUM(WATER!J7)</f>
        <v>0</v>
      </c>
      <c r="M3" s="283">
        <f>WATER!Q7</f>
        <v>0</v>
      </c>
      <c r="N3" s="419">
        <v>0.6</v>
      </c>
      <c r="O3" s="10">
        <f>ELEC!B5</f>
        <v>0</v>
      </c>
    </row>
    <row r="4" spans="1:15">
      <c r="A4" t="s">
        <v>15</v>
      </c>
      <c r="B4">
        <f t="shared" ref="B4:B32" si="0">B3+1</f>
        <v>3</v>
      </c>
      <c r="C4">
        <v>12</v>
      </c>
      <c r="D4">
        <f t="shared" ref="D4:D32" si="1">D3</f>
        <v>2022</v>
      </c>
      <c r="E4" s="192">
        <f>ELEC!N6</f>
        <v>2464</v>
      </c>
      <c r="F4" s="282">
        <f>SUM('EDl log'!T6)</f>
        <v>0.44608162524029543</v>
      </c>
      <c r="G4" s="192">
        <f>-tanks!AW8</f>
        <v>84</v>
      </c>
      <c r="H4" s="529">
        <f>tanks!AV8</f>
        <v>0</v>
      </c>
      <c r="I4" s="10">
        <f>('B5'!AU7)*0.51</f>
        <v>0</v>
      </c>
      <c r="J4" s="265">
        <f>'B5'!AX7/0.51</f>
        <v>1.5686274509803921</v>
      </c>
      <c r="K4" s="192">
        <f>WATER!I8</f>
        <v>0</v>
      </c>
      <c r="L4" s="283">
        <f>SUM(WATER!J8)</f>
        <v>0</v>
      </c>
      <c r="M4" s="283">
        <f>WATER!Q8</f>
        <v>0</v>
      </c>
      <c r="N4" s="419">
        <v>0.6</v>
      </c>
      <c r="O4" s="10">
        <f>ELEC!B6</f>
        <v>0</v>
      </c>
    </row>
    <row r="5" spans="1:15">
      <c r="A5" t="s">
        <v>15</v>
      </c>
      <c r="B5">
        <f t="shared" si="0"/>
        <v>4</v>
      </c>
      <c r="C5">
        <v>12</v>
      </c>
      <c r="D5">
        <f t="shared" si="1"/>
        <v>2022</v>
      </c>
      <c r="E5" s="192">
        <f>ELEC!N7</f>
        <v>2763</v>
      </c>
      <c r="F5" s="282">
        <f>SUM('EDl log'!T7)</f>
        <v>9.1413982725126242E-2</v>
      </c>
      <c r="G5" s="192">
        <f>-tanks!AW9</f>
        <v>297</v>
      </c>
      <c r="H5" s="529">
        <f>tanks!AV9</f>
        <v>0.89</v>
      </c>
      <c r="I5" s="10">
        <f>('B5'!AU8)*0.51</f>
        <v>0</v>
      </c>
      <c r="J5" s="265">
        <f>'B5'!AX8/0.51</f>
        <v>1.5686274509803921</v>
      </c>
      <c r="K5" s="192">
        <f>WATER!I9</f>
        <v>0</v>
      </c>
      <c r="L5" s="283">
        <f>SUM(WATER!J9)</f>
        <v>0</v>
      </c>
      <c r="M5" s="283">
        <f>WATER!Q9</f>
        <v>0</v>
      </c>
      <c r="N5" s="419">
        <v>0.6</v>
      </c>
      <c r="O5" s="10">
        <f>ELEC!B7</f>
        <v>0</v>
      </c>
    </row>
    <row r="6" spans="1:15">
      <c r="A6" t="s">
        <v>15</v>
      </c>
      <c r="B6">
        <f t="shared" si="0"/>
        <v>5</v>
      </c>
      <c r="C6">
        <v>12</v>
      </c>
      <c r="D6">
        <f t="shared" si="1"/>
        <v>2022</v>
      </c>
      <c r="E6" s="192">
        <f>ELEC!N8</f>
        <v>2299</v>
      </c>
      <c r="F6" s="282">
        <f>SUM('EDl log'!T8)</f>
        <v>0.37636382619401887</v>
      </c>
      <c r="G6" s="192">
        <f>-tanks!AW10</f>
        <v>113</v>
      </c>
      <c r="H6" s="529">
        <f>tanks!AV10</f>
        <v>0.89</v>
      </c>
      <c r="I6" s="10">
        <f>('B5'!AU9)*0.51</f>
        <v>0</v>
      </c>
      <c r="J6" s="265">
        <f>'B5'!AX9/0.51</f>
        <v>1.5686274509803921</v>
      </c>
      <c r="K6" s="192">
        <f>WATER!I10</f>
        <v>0</v>
      </c>
      <c r="L6" s="283">
        <f>SUM(WATER!J10)</f>
        <v>0</v>
      </c>
      <c r="M6" s="283">
        <f>WATER!Q10</f>
        <v>0</v>
      </c>
      <c r="N6" s="419">
        <v>0.6</v>
      </c>
      <c r="O6" s="10">
        <f>ELEC!B8</f>
        <v>0</v>
      </c>
    </row>
    <row r="7" spans="1:15">
      <c r="A7" t="s">
        <v>15</v>
      </c>
      <c r="B7">
        <f t="shared" si="0"/>
        <v>6</v>
      </c>
      <c r="C7">
        <v>12</v>
      </c>
      <c r="D7">
        <f t="shared" si="1"/>
        <v>2022</v>
      </c>
      <c r="E7" s="192">
        <f>ELEC!N9</f>
        <v>0</v>
      </c>
      <c r="F7" s="282">
        <f>SUM('EDl log'!T9)</f>
        <v>0</v>
      </c>
      <c r="G7" s="192">
        <f>-tanks!AW11</f>
        <v>0</v>
      </c>
      <c r="H7" s="529">
        <f>tanks!AV11</f>
        <v>0.89</v>
      </c>
      <c r="I7" s="10">
        <f>('B5'!AU10)*0.51</f>
        <v>0</v>
      </c>
      <c r="J7" s="265">
        <f>'B5'!AX10/0.51</f>
        <v>1.5686274509803921</v>
      </c>
      <c r="K7" s="192">
        <f>WATER!I11</f>
        <v>0</v>
      </c>
      <c r="L7" s="283">
        <f>SUM(WATER!J11)</f>
        <v>0</v>
      </c>
      <c r="M7" s="283">
        <f>WATER!Q11</f>
        <v>0</v>
      </c>
      <c r="N7" s="419">
        <v>0.6</v>
      </c>
      <c r="O7" s="10">
        <f>ELEC!B9</f>
        <v>0</v>
      </c>
    </row>
    <row r="8" spans="1:15">
      <c r="A8" t="s">
        <v>15</v>
      </c>
      <c r="B8">
        <f t="shared" si="0"/>
        <v>7</v>
      </c>
      <c r="C8">
        <v>12</v>
      </c>
      <c r="D8">
        <f t="shared" si="1"/>
        <v>2022</v>
      </c>
      <c r="E8" s="192">
        <f>ELEC!N10</f>
        <v>0</v>
      </c>
      <c r="F8" s="282">
        <f>SUM('EDl log'!T10)</f>
        <v>0</v>
      </c>
      <c r="G8" s="192">
        <f>-tanks!AW12</f>
        <v>0</v>
      </c>
      <c r="H8" s="529">
        <f>tanks!AV12</f>
        <v>0.89</v>
      </c>
      <c r="I8" s="10">
        <f>('B5'!AU11)*0.51</f>
        <v>0</v>
      </c>
      <c r="J8" s="265">
        <f>'B5'!AX11/0.51</f>
        <v>1.5686274509803921</v>
      </c>
      <c r="K8" s="192">
        <f>WATER!I12</f>
        <v>0</v>
      </c>
      <c r="L8" s="283">
        <f>SUM(WATER!J12)</f>
        <v>0</v>
      </c>
      <c r="M8" s="283">
        <f>WATER!Q12</f>
        <v>0</v>
      </c>
      <c r="N8" s="419">
        <v>0.6</v>
      </c>
      <c r="O8" s="10">
        <f>ELEC!B10</f>
        <v>0</v>
      </c>
    </row>
    <row r="9" spans="1:15">
      <c r="A9" t="s">
        <v>15</v>
      </c>
      <c r="B9">
        <f t="shared" si="0"/>
        <v>8</v>
      </c>
      <c r="C9">
        <v>12</v>
      </c>
      <c r="D9">
        <f t="shared" si="1"/>
        <v>2022</v>
      </c>
      <c r="E9" s="192">
        <f>ELEC!N11</f>
        <v>2330</v>
      </c>
      <c r="F9" s="282">
        <f>SUM('EDl log'!T11)</f>
        <v>0.34604210432906268</v>
      </c>
      <c r="G9" s="192">
        <f>-tanks!AW13</f>
        <v>180</v>
      </c>
      <c r="H9" s="529">
        <f>tanks!AV13</f>
        <v>0.89</v>
      </c>
      <c r="I9" s="10">
        <f>('B5'!AU12)*0.51</f>
        <v>0</v>
      </c>
      <c r="J9" s="265">
        <f>'B5'!AX12/0.51</f>
        <v>1.5686274509803921</v>
      </c>
      <c r="K9" s="192">
        <f>WATER!I13</f>
        <v>5</v>
      </c>
      <c r="L9" s="283">
        <f>SUM(WATER!J13)</f>
        <v>48.387096774193552</v>
      </c>
      <c r="M9" s="283">
        <f>WATER!Q13</f>
        <v>0</v>
      </c>
      <c r="N9" s="419">
        <v>0.6</v>
      </c>
      <c r="O9" s="10">
        <f>ELEC!B11</f>
        <v>0</v>
      </c>
    </row>
    <row r="10" spans="1:15">
      <c r="A10" t="s">
        <v>15</v>
      </c>
      <c r="B10">
        <f t="shared" si="0"/>
        <v>9</v>
      </c>
      <c r="C10">
        <v>12</v>
      </c>
      <c r="D10">
        <f t="shared" si="1"/>
        <v>2022</v>
      </c>
      <c r="E10" s="192">
        <f>ELEC!N12</f>
        <v>3064</v>
      </c>
      <c r="F10" s="282">
        <f>SUM('EDl log'!T12)</f>
        <v>0.14730665195213169</v>
      </c>
      <c r="G10" s="192">
        <f>-tanks!AW14</f>
        <v>276.5</v>
      </c>
      <c r="H10" s="529">
        <f>tanks!AV14</f>
        <v>0.89</v>
      </c>
      <c r="I10" s="10">
        <f>('B5'!AU13)*0.51</f>
        <v>0</v>
      </c>
      <c r="J10" s="265">
        <f>'B5'!AX13/0.51</f>
        <v>1.5686274509803921</v>
      </c>
      <c r="K10" s="192">
        <f>WATER!I14</f>
        <v>0</v>
      </c>
      <c r="L10" s="283">
        <f>SUM(WATER!J14)</f>
        <v>0</v>
      </c>
      <c r="M10" s="283">
        <f>WATER!Q14</f>
        <v>0</v>
      </c>
      <c r="N10" s="419">
        <v>0.6</v>
      </c>
      <c r="O10" s="10">
        <f>ELEC!B12</f>
        <v>0</v>
      </c>
    </row>
    <row r="11" spans="1:15">
      <c r="A11" t="s">
        <v>15</v>
      </c>
      <c r="B11">
        <f t="shared" si="0"/>
        <v>10</v>
      </c>
      <c r="C11">
        <v>12</v>
      </c>
      <c r="D11">
        <f t="shared" si="1"/>
        <v>2022</v>
      </c>
      <c r="E11" s="192">
        <f>ELEC!N13</f>
        <v>2908</v>
      </c>
      <c r="F11" s="282">
        <f>SUM('EDl log'!T13)</f>
        <v>0.31147034723294648</v>
      </c>
      <c r="G11" s="192">
        <f>-tanks!AW15</f>
        <v>67</v>
      </c>
      <c r="H11" s="529">
        <f>tanks!AV15</f>
        <v>0.89</v>
      </c>
      <c r="I11" s="10">
        <f>('B5'!AU14)*0.51</f>
        <v>0</v>
      </c>
      <c r="J11" s="265">
        <f>'B5'!AX14/0.51</f>
        <v>1.5686274509803921</v>
      </c>
      <c r="K11" s="192">
        <f>WATER!I15</f>
        <v>0</v>
      </c>
      <c r="L11" s="283">
        <f>SUM(WATER!J15)</f>
        <v>0</v>
      </c>
      <c r="M11" s="283">
        <f>WATER!Q15</f>
        <v>0</v>
      </c>
      <c r="N11" s="419">
        <v>0.6</v>
      </c>
      <c r="O11" s="10">
        <f>ELEC!B13</f>
        <v>0</v>
      </c>
    </row>
    <row r="12" spans="1:15">
      <c r="A12" t="s">
        <v>15</v>
      </c>
      <c r="B12">
        <f t="shared" si="0"/>
        <v>11</v>
      </c>
      <c r="C12">
        <v>12</v>
      </c>
      <c r="D12">
        <f t="shared" si="1"/>
        <v>2022</v>
      </c>
      <c r="E12" s="192">
        <f>ELEC!N14</f>
        <v>1839</v>
      </c>
      <c r="F12" s="282">
        <f>SUM('EDl log'!T14)</f>
        <v>0.43781768262303655</v>
      </c>
      <c r="G12" s="192">
        <f>-tanks!AW16</f>
        <v>205</v>
      </c>
      <c r="H12" s="529">
        <f>tanks!AV16</f>
        <v>0.89</v>
      </c>
      <c r="I12" s="10">
        <f>('B5'!AU15)*0.51</f>
        <v>0</v>
      </c>
      <c r="J12" s="265">
        <f>'B5'!AX15/0.51</f>
        <v>1.5686274509803921</v>
      </c>
      <c r="K12" s="192">
        <f>WATER!I16</f>
        <v>0</v>
      </c>
      <c r="L12" s="283">
        <f>SUM(WATER!J16)</f>
        <v>0</v>
      </c>
      <c r="M12" s="283">
        <f>WATER!Q16</f>
        <v>0</v>
      </c>
      <c r="N12" s="419">
        <v>0.6</v>
      </c>
      <c r="O12" s="10">
        <f>ELEC!B14</f>
        <v>0</v>
      </c>
    </row>
    <row r="13" spans="1:15">
      <c r="A13" t="s">
        <v>15</v>
      </c>
      <c r="B13">
        <f t="shared" si="0"/>
        <v>12</v>
      </c>
      <c r="C13">
        <v>12</v>
      </c>
      <c r="D13">
        <f t="shared" si="1"/>
        <v>2022</v>
      </c>
      <c r="E13" s="192">
        <f>ELEC!N15</f>
        <v>4552</v>
      </c>
      <c r="F13" s="282">
        <f>SUM('EDl log'!T15)</f>
        <v>0.27353657044773744</v>
      </c>
      <c r="G13" s="192">
        <f>-tanks!AW17</f>
        <v>141.5</v>
      </c>
      <c r="H13" s="529">
        <f>tanks!AV17</f>
        <v>0.89</v>
      </c>
      <c r="I13" s="10">
        <f>('B5'!AU16)*0.51</f>
        <v>0</v>
      </c>
      <c r="J13" s="265">
        <f>'B5'!AX16/0.51</f>
        <v>1.5686274509803921</v>
      </c>
      <c r="K13" s="192">
        <f>WATER!I17</f>
        <v>63</v>
      </c>
      <c r="L13" s="283">
        <f>SUM(WATER!J17)</f>
        <v>3.8402457757296466</v>
      </c>
      <c r="M13" s="283">
        <f>WATER!Q17</f>
        <v>0</v>
      </c>
      <c r="N13" s="419">
        <v>0.6</v>
      </c>
      <c r="O13" s="10">
        <f>ELEC!B15</f>
        <v>0</v>
      </c>
    </row>
    <row r="14" spans="1:15">
      <c r="A14" t="s">
        <v>15</v>
      </c>
      <c r="B14">
        <f t="shared" si="0"/>
        <v>13</v>
      </c>
      <c r="C14">
        <v>12</v>
      </c>
      <c r="D14">
        <f t="shared" si="1"/>
        <v>2022</v>
      </c>
      <c r="E14" s="192">
        <f>ELEC!N16</f>
        <v>0</v>
      </c>
      <c r="F14" s="282">
        <f>SUM('EDl log'!T16)</f>
        <v>0</v>
      </c>
      <c r="G14" s="192">
        <f>-tanks!AW18</f>
        <v>0</v>
      </c>
      <c r="H14" s="529">
        <f>tanks!AV18</f>
        <v>0.89</v>
      </c>
      <c r="I14" s="10">
        <f>('B5'!AU17)*0.51</f>
        <v>0</v>
      </c>
      <c r="J14" s="265">
        <f>'B5'!AX17/0.51</f>
        <v>1.5686274509803921</v>
      </c>
      <c r="K14" s="192">
        <f>WATER!I18</f>
        <v>0</v>
      </c>
      <c r="L14" s="283">
        <f>SUM(WATER!J18)</f>
        <v>0</v>
      </c>
      <c r="M14" s="283">
        <f>WATER!Q18</f>
        <v>0</v>
      </c>
      <c r="N14" s="419">
        <v>0.6</v>
      </c>
      <c r="O14" s="10">
        <f>ELEC!B16</f>
        <v>0</v>
      </c>
    </row>
    <row r="15" spans="1:15">
      <c r="A15" t="s">
        <v>15</v>
      </c>
      <c r="B15">
        <f t="shared" si="0"/>
        <v>14</v>
      </c>
      <c r="C15">
        <v>12</v>
      </c>
      <c r="D15">
        <f t="shared" si="1"/>
        <v>2022</v>
      </c>
      <c r="E15" s="192">
        <f>ELEC!N17</f>
        <v>0</v>
      </c>
      <c r="F15" s="282">
        <f>SUM('EDl log'!T17)</f>
        <v>0</v>
      </c>
      <c r="G15" s="192">
        <f>-tanks!AW19</f>
        <v>0</v>
      </c>
      <c r="H15" s="529">
        <f>tanks!AV19</f>
        <v>0.89</v>
      </c>
      <c r="I15" s="10">
        <f>('B5'!AU18)*0.51</f>
        <v>0</v>
      </c>
      <c r="J15" s="265">
        <f>'B5'!AX18/0.51</f>
        <v>1.5686274509803921</v>
      </c>
      <c r="K15" s="192">
        <f>WATER!I19</f>
        <v>0</v>
      </c>
      <c r="L15" s="283">
        <f>SUM(WATER!J19)</f>
        <v>0</v>
      </c>
      <c r="M15" s="283">
        <f>WATER!Q19</f>
        <v>0</v>
      </c>
      <c r="N15" s="419">
        <v>0.6</v>
      </c>
      <c r="O15" s="10">
        <f>ELEC!B17</f>
        <v>0</v>
      </c>
    </row>
    <row r="16" spans="1:15">
      <c r="A16" t="s">
        <v>15</v>
      </c>
      <c r="B16">
        <f t="shared" si="0"/>
        <v>15</v>
      </c>
      <c r="C16">
        <v>12</v>
      </c>
      <c r="D16">
        <f t="shared" si="1"/>
        <v>2022</v>
      </c>
      <c r="E16" s="192">
        <f>ELEC!N18</f>
        <v>2647</v>
      </c>
      <c r="F16" s="282">
        <f>SUM('EDl log'!T18)</f>
        <v>0.31572835277448014</v>
      </c>
      <c r="G16" s="192">
        <f>-tanks!AW20</f>
        <v>258</v>
      </c>
      <c r="H16" s="529">
        <f>tanks!AV20</f>
        <v>0.86799999999999999</v>
      </c>
      <c r="I16" s="10">
        <f>('B5'!AU19)*0.51</f>
        <v>0</v>
      </c>
      <c r="J16" s="265">
        <f>'B5'!AX19/0.51</f>
        <v>1.5686274509803921</v>
      </c>
      <c r="K16" s="192">
        <f>WATER!I20</f>
        <v>0</v>
      </c>
      <c r="L16" s="283">
        <f>SUM(WATER!J20)</f>
        <v>0</v>
      </c>
      <c r="M16" s="283">
        <f>WATER!Q20</f>
        <v>0</v>
      </c>
      <c r="N16" s="419">
        <v>0.6</v>
      </c>
      <c r="O16" s="10">
        <f>ELEC!B18</f>
        <v>0</v>
      </c>
    </row>
    <row r="17" spans="1:15">
      <c r="A17" t="s">
        <v>15</v>
      </c>
      <c r="B17">
        <f t="shared" si="0"/>
        <v>16</v>
      </c>
      <c r="C17">
        <v>12</v>
      </c>
      <c r="D17">
        <f t="shared" si="1"/>
        <v>2022</v>
      </c>
      <c r="E17" s="192">
        <f>ELEC!N19</f>
        <v>3310</v>
      </c>
      <c r="F17" s="282">
        <f>SUM('EDl log'!T19)</f>
        <v>0.26167394856597276</v>
      </c>
      <c r="G17" s="192">
        <f>-tanks!AW21</f>
        <v>182</v>
      </c>
      <c r="H17" s="529">
        <f>tanks!AV21</f>
        <v>0.86799999999999999</v>
      </c>
      <c r="I17" s="10">
        <f>('B5'!AU20)*0.51</f>
        <v>0</v>
      </c>
      <c r="J17" s="265">
        <f>'B5'!AX20/0.51</f>
        <v>1.5686274509803921</v>
      </c>
      <c r="K17" s="192">
        <f>WATER!I21</f>
        <v>0</v>
      </c>
      <c r="L17" s="283">
        <f>SUM(WATER!J21)</f>
        <v>0</v>
      </c>
      <c r="M17" s="283">
        <f>WATER!Q21</f>
        <v>0</v>
      </c>
      <c r="N17" s="419">
        <v>0.6</v>
      </c>
      <c r="O17" s="10">
        <f>ELEC!B19</f>
        <v>0</v>
      </c>
    </row>
    <row r="18" spans="1:15">
      <c r="A18" t="s">
        <v>15</v>
      </c>
      <c r="B18">
        <f t="shared" si="0"/>
        <v>17</v>
      </c>
      <c r="C18">
        <v>12</v>
      </c>
      <c r="D18">
        <f t="shared" si="1"/>
        <v>2022</v>
      </c>
      <c r="E18" s="192">
        <f>ELEC!N20</f>
        <v>3279</v>
      </c>
      <c r="F18" s="282">
        <f>SUM('EDl log'!T20)</f>
        <v>0.40922023363753746</v>
      </c>
      <c r="G18" s="192">
        <f>-tanks!AW22</f>
        <v>185</v>
      </c>
      <c r="H18" s="529">
        <f>tanks!AV22</f>
        <v>0.86799999999999999</v>
      </c>
      <c r="I18" s="10">
        <f>('B5'!AU21)*0.51</f>
        <v>0</v>
      </c>
      <c r="J18" s="265">
        <f>'B5'!AX21/0.51</f>
        <v>1.5686274509803921</v>
      </c>
      <c r="K18" s="192">
        <f>WATER!I22</f>
        <v>0</v>
      </c>
      <c r="L18" s="283">
        <f>SUM(WATER!J22)</f>
        <v>0</v>
      </c>
      <c r="M18" s="283">
        <f>WATER!Q22</f>
        <v>0</v>
      </c>
      <c r="N18" s="419">
        <v>0.6</v>
      </c>
      <c r="O18" s="10">
        <f>ELEC!B20</f>
        <v>0</v>
      </c>
    </row>
    <row r="19" spans="1:15">
      <c r="A19" t="s">
        <v>15</v>
      </c>
      <c r="B19">
        <f t="shared" si="0"/>
        <v>18</v>
      </c>
      <c r="C19">
        <v>12</v>
      </c>
      <c r="D19">
        <f t="shared" si="1"/>
        <v>2022</v>
      </c>
      <c r="E19" s="192">
        <f>ELEC!N21</f>
        <v>3504</v>
      </c>
      <c r="F19" s="282">
        <f>SUM('EDl log'!T21)</f>
        <v>0.16481307871514922</v>
      </c>
      <c r="G19" s="192">
        <f>-tanks!AW23</f>
        <v>143</v>
      </c>
      <c r="H19" s="529">
        <f>tanks!AV23</f>
        <v>0.88300000000000001</v>
      </c>
      <c r="I19" s="10">
        <f>('B5'!AU22)*0.51</f>
        <v>0</v>
      </c>
      <c r="J19" s="265">
        <f>'B5'!AX22/0.51</f>
        <v>1.5686274509803921</v>
      </c>
      <c r="K19" s="192">
        <f>WATER!I23</f>
        <v>0</v>
      </c>
      <c r="L19" s="283">
        <f>SUM(WATER!J23)</f>
        <v>0</v>
      </c>
      <c r="M19" s="283">
        <f>WATER!Q23</f>
        <v>0</v>
      </c>
      <c r="N19" s="419">
        <v>0.6</v>
      </c>
      <c r="O19" s="10">
        <f>ELEC!B21</f>
        <v>0</v>
      </c>
    </row>
    <row r="20" spans="1:15">
      <c r="A20" t="s">
        <v>15</v>
      </c>
      <c r="B20">
        <f t="shared" si="0"/>
        <v>19</v>
      </c>
      <c r="C20">
        <v>12</v>
      </c>
      <c r="D20">
        <f t="shared" si="1"/>
        <v>2022</v>
      </c>
      <c r="E20" s="192">
        <f>ELEC!N22</f>
        <v>3229</v>
      </c>
      <c r="F20" s="282">
        <f>SUM('EDl log'!T22)</f>
        <v>0.34148852831385779</v>
      </c>
      <c r="G20" s="192">
        <f>-tanks!AW24</f>
        <v>150</v>
      </c>
      <c r="H20" s="529">
        <f>tanks!AV24</f>
        <v>0.88300000000000001</v>
      </c>
      <c r="I20" s="10">
        <f>('B5'!AU23)*0.51</f>
        <v>0</v>
      </c>
      <c r="J20" s="265">
        <f>'B5'!AX23/0.51</f>
        <v>1.5686274509803921</v>
      </c>
      <c r="K20" s="192">
        <f>WATER!I24</f>
        <v>0</v>
      </c>
      <c r="L20" s="283">
        <f>SUM(WATER!J24)</f>
        <v>0</v>
      </c>
      <c r="M20" s="283">
        <f>WATER!Q24</f>
        <v>0</v>
      </c>
      <c r="N20" s="419">
        <v>0.6</v>
      </c>
      <c r="O20" s="10">
        <f>ELEC!B22</f>
        <v>0</v>
      </c>
    </row>
    <row r="21" spans="1:15">
      <c r="A21" t="s">
        <v>15</v>
      </c>
      <c r="B21">
        <f t="shared" si="0"/>
        <v>20</v>
      </c>
      <c r="C21">
        <v>12</v>
      </c>
      <c r="D21">
        <f t="shared" si="1"/>
        <v>2022</v>
      </c>
      <c r="E21" s="192">
        <f>ELEC!N23</f>
        <v>0</v>
      </c>
      <c r="F21" s="282">
        <f>SUM('EDl log'!T23)</f>
        <v>0</v>
      </c>
      <c r="G21" s="192">
        <f>-tanks!AW25</f>
        <v>0</v>
      </c>
      <c r="H21" s="529">
        <f>tanks!AV25</f>
        <v>0.88300000000000001</v>
      </c>
      <c r="I21" s="10">
        <f>('B5'!AU24)*0.51</f>
        <v>0</v>
      </c>
      <c r="J21" s="265">
        <f>'B5'!AX24/0.51</f>
        <v>1.5686274509803921</v>
      </c>
      <c r="K21" s="192">
        <f>WATER!I25</f>
        <v>0</v>
      </c>
      <c r="L21" s="283">
        <f>SUM(WATER!J25)</f>
        <v>0</v>
      </c>
      <c r="M21" s="283">
        <f>WATER!Q25</f>
        <v>0</v>
      </c>
      <c r="N21" s="419">
        <v>0.6</v>
      </c>
      <c r="O21" s="10">
        <f>ELEC!B23</f>
        <v>0</v>
      </c>
    </row>
    <row r="22" spans="1:15">
      <c r="A22" t="s">
        <v>15</v>
      </c>
      <c r="B22">
        <f t="shared" si="0"/>
        <v>21</v>
      </c>
      <c r="C22">
        <v>12</v>
      </c>
      <c r="D22">
        <f t="shared" si="1"/>
        <v>2022</v>
      </c>
      <c r="E22" s="192">
        <f>ELEC!N24</f>
        <v>0</v>
      </c>
      <c r="F22" s="282">
        <f>SUM('EDl log'!T24)</f>
        <v>0</v>
      </c>
      <c r="G22" s="192">
        <f>-tanks!AW26</f>
        <v>0</v>
      </c>
      <c r="H22" s="529">
        <f>tanks!AV26</f>
        <v>0.88300000000000001</v>
      </c>
      <c r="I22" s="10">
        <f>('B5'!AU25)*0.51</f>
        <v>0</v>
      </c>
      <c r="J22" s="265">
        <f>'B5'!AX25/0.51</f>
        <v>1.5686274509803921</v>
      </c>
      <c r="K22" s="192">
        <f>WATER!I26</f>
        <v>0</v>
      </c>
      <c r="L22" s="283">
        <f>SUM(WATER!J26)</f>
        <v>0</v>
      </c>
      <c r="M22" s="283">
        <f>WATER!Q26</f>
        <v>0</v>
      </c>
      <c r="N22" s="419">
        <v>0.6</v>
      </c>
      <c r="O22" s="10">
        <f>ELEC!B24</f>
        <v>0</v>
      </c>
    </row>
    <row r="23" spans="1:15">
      <c r="A23" t="s">
        <v>15</v>
      </c>
      <c r="B23">
        <f t="shared" si="0"/>
        <v>22</v>
      </c>
      <c r="C23">
        <v>12</v>
      </c>
      <c r="D23">
        <f t="shared" si="1"/>
        <v>2022</v>
      </c>
      <c r="E23" s="192">
        <f>ELEC!N25</f>
        <v>2894</v>
      </c>
      <c r="F23" s="282">
        <f>SUM('EDl log'!T25)</f>
        <v>0.32595926903665784</v>
      </c>
      <c r="G23" s="192">
        <f>-tanks!AW27</f>
        <v>261</v>
      </c>
      <c r="H23" s="529">
        <f>tanks!AV27</f>
        <v>0.88300000000000001</v>
      </c>
      <c r="I23" s="10">
        <f>('B5'!AU26)*0.51</f>
        <v>0</v>
      </c>
      <c r="J23" s="265">
        <f>'B5'!AX26/0.51</f>
        <v>1.5686274509803921</v>
      </c>
      <c r="K23" s="192">
        <f>WATER!I27</f>
        <v>0</v>
      </c>
      <c r="L23" s="283">
        <f>SUM(WATER!J27)</f>
        <v>0</v>
      </c>
      <c r="M23" s="283">
        <f>WATER!Q27</f>
        <v>0</v>
      </c>
      <c r="N23" s="419">
        <v>0.6</v>
      </c>
      <c r="O23" s="10">
        <f>ELEC!B25</f>
        <v>0</v>
      </c>
    </row>
    <row r="24" spans="1:15">
      <c r="A24" t="s">
        <v>15</v>
      </c>
      <c r="B24">
        <f t="shared" si="0"/>
        <v>23</v>
      </c>
      <c r="C24">
        <v>12</v>
      </c>
      <c r="D24">
        <f t="shared" si="1"/>
        <v>2022</v>
      </c>
      <c r="E24" s="192">
        <f>ELEC!N26</f>
        <v>0</v>
      </c>
      <c r="F24" s="282">
        <f>SUM('EDl log'!T26)</f>
        <v>0</v>
      </c>
      <c r="G24" s="192">
        <f>-tanks!AW28</f>
        <v>0</v>
      </c>
      <c r="H24" s="529">
        <f>tanks!AV28</f>
        <v>0.88300000000000001</v>
      </c>
      <c r="I24" s="10">
        <f>('B5'!AU27)*0.51</f>
        <v>0</v>
      </c>
      <c r="J24" s="265">
        <f>'B5'!AX27/0.51</f>
        <v>1.5686274509803921</v>
      </c>
      <c r="K24" s="192">
        <f>WATER!I28</f>
        <v>0</v>
      </c>
      <c r="L24" s="283">
        <f>SUM(WATER!J28)</f>
        <v>0</v>
      </c>
      <c r="M24" s="283">
        <f>WATER!Q28</f>
        <v>0</v>
      </c>
      <c r="N24" s="419">
        <v>0.6</v>
      </c>
      <c r="O24" s="10">
        <f>ELEC!B26</f>
        <v>0</v>
      </c>
    </row>
    <row r="25" spans="1:15">
      <c r="A25" t="s">
        <v>15</v>
      </c>
      <c r="B25">
        <f t="shared" si="0"/>
        <v>24</v>
      </c>
      <c r="C25">
        <v>12</v>
      </c>
      <c r="D25">
        <f t="shared" si="1"/>
        <v>2022</v>
      </c>
      <c r="E25" s="192">
        <f>ELEC!N27</f>
        <v>0</v>
      </c>
      <c r="F25" s="282">
        <f>SUM('EDl log'!T27)</f>
        <v>0</v>
      </c>
      <c r="G25" s="192">
        <f>-tanks!AW29</f>
        <v>0</v>
      </c>
      <c r="H25" s="529">
        <f>tanks!AV29</f>
        <v>0.88300000000000001</v>
      </c>
      <c r="I25" s="10">
        <f>('B5'!AU28)*0.51</f>
        <v>0</v>
      </c>
      <c r="J25" s="265">
        <f>'B5'!AX28/0.51</f>
        <v>1.5686274509803921</v>
      </c>
      <c r="K25" s="192">
        <f>WATER!I29</f>
        <v>0</v>
      </c>
      <c r="L25" s="283">
        <f>SUM(WATER!J29)</f>
        <v>0</v>
      </c>
      <c r="M25" s="283">
        <f>WATER!Q29</f>
        <v>0</v>
      </c>
      <c r="N25" s="419">
        <v>0.6</v>
      </c>
      <c r="O25" s="10">
        <f>ELEC!B27</f>
        <v>0</v>
      </c>
    </row>
    <row r="26" spans="1:15">
      <c r="A26" t="s">
        <v>15</v>
      </c>
      <c r="B26">
        <f>B25+1</f>
        <v>25</v>
      </c>
      <c r="C26">
        <v>12</v>
      </c>
      <c r="D26">
        <f t="shared" si="1"/>
        <v>2022</v>
      </c>
      <c r="E26" s="192">
        <f>ELEC!N28</f>
        <v>0</v>
      </c>
      <c r="F26" s="282">
        <f>SUM('EDl log'!T28)</f>
        <v>0</v>
      </c>
      <c r="G26" s="192">
        <f>-tanks!AW30</f>
        <v>0</v>
      </c>
      <c r="H26" s="529">
        <f>tanks!AV30</f>
        <v>0.88300000000000001</v>
      </c>
      <c r="I26" s="10">
        <f>('B5'!AU29)*0.51</f>
        <v>0</v>
      </c>
      <c r="J26" s="265">
        <f>'B5'!AX29/0.51</f>
        <v>1.5686274509803921</v>
      </c>
      <c r="K26" s="192">
        <f>WATER!I30</f>
        <v>0</v>
      </c>
      <c r="L26" s="283">
        <f>SUM(WATER!J30)</f>
        <v>0</v>
      </c>
      <c r="M26" s="283">
        <f>WATER!Q30</f>
        <v>0</v>
      </c>
      <c r="N26" s="419">
        <v>0.6</v>
      </c>
      <c r="O26" s="10">
        <f>ELEC!B28</f>
        <v>0</v>
      </c>
    </row>
    <row r="27" spans="1:15">
      <c r="A27" t="s">
        <v>15</v>
      </c>
      <c r="B27">
        <f t="shared" si="0"/>
        <v>26</v>
      </c>
      <c r="C27">
        <v>12</v>
      </c>
      <c r="D27">
        <f t="shared" si="1"/>
        <v>2022</v>
      </c>
      <c r="E27" s="192">
        <f>ELEC!N29</f>
        <v>0</v>
      </c>
      <c r="F27" s="282">
        <f>SUM('EDl log'!T29)</f>
        <v>0</v>
      </c>
      <c r="G27" s="192">
        <f>-tanks!AW31</f>
        <v>0</v>
      </c>
      <c r="H27" s="529">
        <f>tanks!AV31</f>
        <v>0.88300000000000001</v>
      </c>
      <c r="I27" s="10">
        <f>('B5'!AU30)*0.51</f>
        <v>0</v>
      </c>
      <c r="J27" s="265">
        <f>'B5'!AX30/0.51</f>
        <v>1.5686274509803921</v>
      </c>
      <c r="K27" s="192">
        <f>WATER!I31</f>
        <v>0</v>
      </c>
      <c r="L27" s="283">
        <f>SUM(WATER!J31)</f>
        <v>0</v>
      </c>
      <c r="M27" s="283">
        <f>WATER!Q31</f>
        <v>0</v>
      </c>
      <c r="N27" s="419">
        <v>0.6</v>
      </c>
      <c r="O27" s="10">
        <f>ELEC!B29</f>
        <v>0</v>
      </c>
    </row>
    <row r="28" spans="1:15">
      <c r="A28" t="s">
        <v>15</v>
      </c>
      <c r="B28">
        <f t="shared" si="0"/>
        <v>27</v>
      </c>
      <c r="C28">
        <v>12</v>
      </c>
      <c r="D28">
        <f t="shared" si="1"/>
        <v>2022</v>
      </c>
      <c r="E28" s="192">
        <f>ELEC!N30</f>
        <v>0</v>
      </c>
      <c r="F28" s="282">
        <f>SUM('EDl log'!T30)</f>
        <v>0</v>
      </c>
      <c r="G28" s="192">
        <f>-tanks!AW32</f>
        <v>0</v>
      </c>
      <c r="H28" s="529">
        <f>tanks!AV32</f>
        <v>0.88300000000000001</v>
      </c>
      <c r="I28" s="10">
        <f>('B5'!AU31)*0.51</f>
        <v>0</v>
      </c>
      <c r="J28" s="265">
        <f>'B5'!AX31/0.51</f>
        <v>1.5686274509803921</v>
      </c>
      <c r="K28" s="192">
        <f>WATER!I32</f>
        <v>0</v>
      </c>
      <c r="L28" s="283">
        <f>SUM(WATER!J32)</f>
        <v>0</v>
      </c>
      <c r="M28" s="283">
        <f>WATER!Q32</f>
        <v>0</v>
      </c>
      <c r="N28" s="419">
        <v>0.6</v>
      </c>
      <c r="O28" s="10">
        <f>ELEC!B30</f>
        <v>0</v>
      </c>
    </row>
    <row r="29" spans="1:15">
      <c r="A29" t="s">
        <v>15</v>
      </c>
      <c r="B29">
        <f t="shared" si="0"/>
        <v>28</v>
      </c>
      <c r="C29">
        <v>12</v>
      </c>
      <c r="D29">
        <f t="shared" si="1"/>
        <v>2022</v>
      </c>
      <c r="E29" s="192">
        <f>ELEC!N31</f>
        <v>0</v>
      </c>
      <c r="F29" s="282">
        <f>SUM('EDl log'!T31)</f>
        <v>0</v>
      </c>
      <c r="G29" s="192">
        <f>-tanks!AW33</f>
        <v>0</v>
      </c>
      <c r="H29" s="529">
        <f>tanks!AV33</f>
        <v>0.88300000000000001</v>
      </c>
      <c r="I29" s="10">
        <f>('B5'!AU32)*0.51</f>
        <v>0</v>
      </c>
      <c r="J29" s="265">
        <f>'B5'!AX32/0.51</f>
        <v>1.5686274509803921</v>
      </c>
      <c r="K29" s="192">
        <f>WATER!I33</f>
        <v>0</v>
      </c>
      <c r="L29" s="283">
        <f>SUM(WATER!J33)</f>
        <v>0</v>
      </c>
      <c r="M29" s="283">
        <f>WATER!Q33</f>
        <v>0</v>
      </c>
      <c r="N29" s="419">
        <v>0.6</v>
      </c>
      <c r="O29" s="10">
        <f>ELEC!B31</f>
        <v>0</v>
      </c>
    </row>
    <row r="30" spans="1:15">
      <c r="A30" t="s">
        <v>15</v>
      </c>
      <c r="B30">
        <f t="shared" si="0"/>
        <v>29</v>
      </c>
      <c r="C30">
        <v>12</v>
      </c>
      <c r="D30">
        <f t="shared" si="1"/>
        <v>2022</v>
      </c>
      <c r="E30" s="192">
        <f>ELEC!N32</f>
        <v>0</v>
      </c>
      <c r="F30" s="282">
        <f>SUM('EDl log'!T32)</f>
        <v>0</v>
      </c>
      <c r="G30" s="192">
        <f>-tanks!AW34</f>
        <v>0</v>
      </c>
      <c r="H30" s="529">
        <f>tanks!AV34</f>
        <v>0.88300000000000001</v>
      </c>
      <c r="I30" s="10">
        <f>('B5'!AU33)*0.51</f>
        <v>0</v>
      </c>
      <c r="J30" s="265">
        <f>'B5'!AX33/0.51</f>
        <v>1.5686274509803921</v>
      </c>
      <c r="K30" s="192">
        <f>WATER!I34</f>
        <v>0</v>
      </c>
      <c r="L30" s="283">
        <f>SUM(WATER!J34)</f>
        <v>0</v>
      </c>
      <c r="M30" s="283">
        <f>WATER!Q34</f>
        <v>0</v>
      </c>
      <c r="N30" s="419">
        <v>0.6</v>
      </c>
      <c r="O30" s="10">
        <f>ELEC!B32</f>
        <v>0</v>
      </c>
    </row>
    <row r="31" spans="1:15">
      <c r="A31" t="s">
        <v>15</v>
      </c>
      <c r="B31">
        <f t="shared" si="0"/>
        <v>30</v>
      </c>
      <c r="C31">
        <v>12</v>
      </c>
      <c r="D31">
        <f t="shared" si="1"/>
        <v>2022</v>
      </c>
      <c r="E31" s="192">
        <f>ELEC!N33</f>
        <v>0</v>
      </c>
      <c r="F31" s="282">
        <f>SUM('EDl log'!T33)</f>
        <v>0</v>
      </c>
      <c r="G31" s="192">
        <f>-tanks!AW35</f>
        <v>0</v>
      </c>
      <c r="H31" s="529">
        <f>tanks!AV35</f>
        <v>0.88300000000000001</v>
      </c>
      <c r="I31" s="10">
        <f>('B5'!AU34)*0.51</f>
        <v>0</v>
      </c>
      <c r="J31" s="265">
        <f>'B5'!AX34/0.51</f>
        <v>1.5686274509803921</v>
      </c>
      <c r="K31" s="192">
        <f>WATER!I35</f>
        <v>0</v>
      </c>
      <c r="L31" s="283">
        <f>SUM(WATER!J35)</f>
        <v>0</v>
      </c>
      <c r="M31" s="283">
        <f>WATER!Q35</f>
        <v>0</v>
      </c>
      <c r="N31" s="419">
        <v>0.6</v>
      </c>
      <c r="O31" s="10">
        <f>ELEC!B33</f>
        <v>0</v>
      </c>
    </row>
    <row r="32" spans="1:15">
      <c r="A32" t="s">
        <v>15</v>
      </c>
      <c r="B32">
        <f t="shared" si="0"/>
        <v>31</v>
      </c>
      <c r="C32">
        <v>12</v>
      </c>
      <c r="D32">
        <f t="shared" si="1"/>
        <v>2022</v>
      </c>
      <c r="E32" s="192">
        <f>ELEC!N34</f>
        <v>0</v>
      </c>
      <c r="F32" s="282">
        <f>SUM('EDl log'!T34)</f>
        <v>0</v>
      </c>
      <c r="G32" s="192">
        <f>-tanks!AW36</f>
        <v>0</v>
      </c>
      <c r="H32" s="529">
        <f>tanks!AV36</f>
        <v>0.88300000000000001</v>
      </c>
      <c r="I32" s="10">
        <f>('B5'!AU35)*0.51</f>
        <v>0</v>
      </c>
      <c r="J32" s="265">
        <f>'B5'!AX35/0.51</f>
        <v>1.5686274509803921</v>
      </c>
      <c r="K32" s="192">
        <f>WATER!I36</f>
        <v>0</v>
      </c>
      <c r="L32" s="283">
        <f>SUM(WATER!J36)</f>
        <v>0</v>
      </c>
      <c r="M32" s="283">
        <f>WATER!Q36</f>
        <v>0</v>
      </c>
      <c r="N32" s="41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1"/>
  <sheetViews>
    <sheetView zoomScale="80" zoomScaleNormal="80" workbookViewId="0">
      <selection activeCell="C2" sqref="C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0</v>
      </c>
      <c r="B1" t="s">
        <v>1</v>
      </c>
      <c r="C1" t="s">
        <v>2</v>
      </c>
      <c r="D1" t="s">
        <v>3</v>
      </c>
      <c r="E1" s="19" t="s">
        <v>16</v>
      </c>
      <c r="F1" s="19" t="s">
        <v>17</v>
      </c>
      <c r="G1" s="19" t="s">
        <v>18</v>
      </c>
      <c r="H1" s="19" t="s">
        <v>19</v>
      </c>
      <c r="I1" s="19" t="s">
        <v>20</v>
      </c>
      <c r="J1" s="19" t="s">
        <v>21</v>
      </c>
      <c r="K1" s="19" t="s">
        <v>22</v>
      </c>
      <c r="L1" s="19" t="s">
        <v>14</v>
      </c>
    </row>
    <row r="2" spans="1:13">
      <c r="A2" t="s">
        <v>15</v>
      </c>
      <c r="B2">
        <v>1</v>
      </c>
      <c r="C2">
        <v>12</v>
      </c>
      <c r="D2">
        <v>2022</v>
      </c>
      <c r="E2" s="192">
        <f>ELEC!M4</f>
        <v>0</v>
      </c>
      <c r="F2" s="192">
        <f>ELEC!K4</f>
        <v>0</v>
      </c>
      <c r="G2" s="192">
        <f>ELEC!I4</f>
        <v>0</v>
      </c>
      <c r="H2" s="192">
        <f>ELEC!E4</f>
        <v>0</v>
      </c>
      <c r="I2" s="192">
        <f>ELEC!G4</f>
        <v>0</v>
      </c>
      <c r="J2" s="192">
        <f>WATER!Y6</f>
        <v>0</v>
      </c>
      <c r="K2" s="192">
        <f>WATER!AJ6</f>
        <v>0</v>
      </c>
      <c r="L2" s="10">
        <f>ELEC!B4</f>
        <v>0</v>
      </c>
      <c r="M2" s="10"/>
    </row>
    <row r="3" spans="1:13">
      <c r="A3" t="s">
        <v>15</v>
      </c>
      <c r="B3">
        <f>B2+1</f>
        <v>2</v>
      </c>
      <c r="C3">
        <v>12</v>
      </c>
      <c r="D3">
        <v>2022</v>
      </c>
      <c r="E3" s="192">
        <f>ELEC!M5</f>
        <v>0</v>
      </c>
      <c r="F3" s="192">
        <f>ELEC!K5</f>
        <v>0</v>
      </c>
      <c r="G3" s="192">
        <f>ELEC!I5</f>
        <v>0</v>
      </c>
      <c r="H3" s="192">
        <f>ELEC!E5</f>
        <v>0</v>
      </c>
      <c r="I3" s="192">
        <f>ELEC!G5</f>
        <v>0</v>
      </c>
      <c r="J3" s="192">
        <f>WATER!Y7</f>
        <v>0</v>
      </c>
      <c r="K3" s="192">
        <f>WATER!AJ7</f>
        <v>0</v>
      </c>
      <c r="L3" s="10">
        <f>ELEC!B5</f>
        <v>0</v>
      </c>
      <c r="M3" s="10"/>
    </row>
    <row r="4" spans="1:13">
      <c r="A4" t="s">
        <v>15</v>
      </c>
      <c r="B4">
        <f t="shared" ref="B4:B32" si="0">B3+1</f>
        <v>3</v>
      </c>
      <c r="C4">
        <v>12</v>
      </c>
      <c r="D4">
        <v>2022</v>
      </c>
      <c r="E4" s="192">
        <f>ELEC!M6</f>
        <v>598</v>
      </c>
      <c r="F4" s="192">
        <f>ELEC!K6</f>
        <v>756</v>
      </c>
      <c r="G4" s="192">
        <f>ELEC!I6</f>
        <v>352</v>
      </c>
      <c r="H4" s="192">
        <f>ELEC!E6</f>
        <v>500</v>
      </c>
      <c r="I4" s="192">
        <f>ELEC!G6</f>
        <v>258</v>
      </c>
      <c r="J4" s="192">
        <f>WATER!Y8</f>
        <v>0</v>
      </c>
      <c r="K4" s="192">
        <f>WATER!AJ8</f>
        <v>0</v>
      </c>
      <c r="L4" s="10">
        <f>ELEC!B6</f>
        <v>0</v>
      </c>
      <c r="M4" s="10"/>
    </row>
    <row r="5" spans="1:13">
      <c r="A5" t="s">
        <v>15</v>
      </c>
      <c r="B5">
        <f t="shared" si="0"/>
        <v>4</v>
      </c>
      <c r="C5">
        <v>12</v>
      </c>
      <c r="D5">
        <v>2022</v>
      </c>
      <c r="E5" s="192">
        <f>ELEC!M7</f>
        <v>834</v>
      </c>
      <c r="F5" s="192">
        <f>ELEC!K7</f>
        <v>760</v>
      </c>
      <c r="G5" s="192">
        <f>ELEC!I7</f>
        <v>360</v>
      </c>
      <c r="H5" s="192">
        <f>ELEC!E7</f>
        <v>520</v>
      </c>
      <c r="I5" s="192">
        <f>ELEC!G7</f>
        <v>289</v>
      </c>
      <c r="J5" s="192">
        <f>WATER!Y9</f>
        <v>0</v>
      </c>
      <c r="K5" s="192">
        <f>WATER!AJ9</f>
        <v>0</v>
      </c>
      <c r="L5" s="10">
        <f>ELEC!B7</f>
        <v>0</v>
      </c>
      <c r="M5" s="10"/>
    </row>
    <row r="6" spans="1:13">
      <c r="A6" t="s">
        <v>15</v>
      </c>
      <c r="B6">
        <f t="shared" si="0"/>
        <v>5</v>
      </c>
      <c r="C6">
        <v>12</v>
      </c>
      <c r="D6">
        <v>2022</v>
      </c>
      <c r="E6" s="192">
        <f>ELEC!M8</f>
        <v>584</v>
      </c>
      <c r="F6" s="192">
        <f>ELEC!K8</f>
        <v>760</v>
      </c>
      <c r="G6" s="192">
        <f>ELEC!I8</f>
        <v>272</v>
      </c>
      <c r="H6" s="192">
        <f>ELEC!E8</f>
        <v>460</v>
      </c>
      <c r="I6" s="192">
        <f>ELEC!G8</f>
        <v>223</v>
      </c>
      <c r="J6" s="192">
        <f>WATER!Y10</f>
        <v>0</v>
      </c>
      <c r="K6" s="192">
        <f>WATER!AJ10</f>
        <v>0</v>
      </c>
      <c r="L6" s="10">
        <f>ELEC!B8</f>
        <v>0</v>
      </c>
      <c r="M6" s="10"/>
    </row>
    <row r="7" spans="1:13">
      <c r="A7" t="s">
        <v>15</v>
      </c>
      <c r="B7">
        <f t="shared" si="0"/>
        <v>6</v>
      </c>
      <c r="C7">
        <v>12</v>
      </c>
      <c r="D7">
        <v>2022</v>
      </c>
      <c r="E7" s="192">
        <f>ELEC!M9</f>
        <v>0</v>
      </c>
      <c r="F7" s="192">
        <f>ELEC!K9</f>
        <v>0</v>
      </c>
      <c r="G7" s="192">
        <f>ELEC!I9</f>
        <v>0</v>
      </c>
      <c r="H7" s="192">
        <f>ELEC!E9</f>
        <v>0</v>
      </c>
      <c r="I7" s="192">
        <f>ELEC!G9</f>
        <v>0</v>
      </c>
      <c r="J7" s="192">
        <f>WATER!Y11</f>
        <v>0</v>
      </c>
      <c r="K7" s="192">
        <f>WATER!AJ11</f>
        <v>0</v>
      </c>
      <c r="L7" s="10">
        <f>ELEC!B9</f>
        <v>0</v>
      </c>
      <c r="M7" s="10"/>
    </row>
    <row r="8" spans="1:13">
      <c r="A8" t="s">
        <v>15</v>
      </c>
      <c r="B8">
        <f t="shared" si="0"/>
        <v>7</v>
      </c>
      <c r="C8">
        <v>12</v>
      </c>
      <c r="D8">
        <v>2022</v>
      </c>
      <c r="E8" s="192">
        <f>ELEC!M10</f>
        <v>0</v>
      </c>
      <c r="F8" s="192">
        <f>ELEC!K10</f>
        <v>0</v>
      </c>
      <c r="G8" s="192">
        <f>ELEC!I10</f>
        <v>0</v>
      </c>
      <c r="H8" s="192">
        <f>ELEC!E10</f>
        <v>0</v>
      </c>
      <c r="I8" s="192">
        <f>ELEC!G10</f>
        <v>0</v>
      </c>
      <c r="J8" s="192">
        <f>WATER!Y12</f>
        <v>0</v>
      </c>
      <c r="K8" s="192">
        <f>WATER!AJ12</f>
        <v>0</v>
      </c>
      <c r="L8" s="10">
        <f>ELEC!B10</f>
        <v>0</v>
      </c>
      <c r="M8" s="10"/>
    </row>
    <row r="9" spans="1:13">
      <c r="A9" t="s">
        <v>15</v>
      </c>
      <c r="B9">
        <f t="shared" si="0"/>
        <v>8</v>
      </c>
      <c r="C9">
        <v>12</v>
      </c>
      <c r="D9">
        <v>2022</v>
      </c>
      <c r="E9" s="192">
        <f>ELEC!M11</f>
        <v>632</v>
      </c>
      <c r="F9" s="192">
        <f>ELEC!K11</f>
        <v>668</v>
      </c>
      <c r="G9" s="192">
        <f>ELEC!I11</f>
        <v>308</v>
      </c>
      <c r="H9" s="192">
        <f>ELEC!E11</f>
        <v>470</v>
      </c>
      <c r="I9" s="192">
        <f>ELEC!G11</f>
        <v>252</v>
      </c>
      <c r="J9" s="192">
        <f>WATER!Y13</f>
        <v>0</v>
      </c>
      <c r="K9" s="192">
        <f>WATER!AJ13</f>
        <v>0</v>
      </c>
      <c r="L9" s="10">
        <f>ELEC!B11</f>
        <v>0</v>
      </c>
      <c r="M9" s="10"/>
    </row>
    <row r="10" spans="1:13">
      <c r="A10" t="s">
        <v>15</v>
      </c>
      <c r="B10">
        <f t="shared" si="0"/>
        <v>9</v>
      </c>
      <c r="C10">
        <v>12</v>
      </c>
      <c r="D10">
        <v>2022</v>
      </c>
      <c r="E10" s="192">
        <f>ELEC!M12</f>
        <v>888</v>
      </c>
      <c r="F10" s="192">
        <f>ELEC!K12</f>
        <v>804</v>
      </c>
      <c r="G10" s="192">
        <f>ELEC!I12</f>
        <v>394</v>
      </c>
      <c r="H10" s="192">
        <f>ELEC!E12</f>
        <v>610</v>
      </c>
      <c r="I10" s="192">
        <f>ELEC!G12</f>
        <v>368</v>
      </c>
      <c r="J10" s="192">
        <f>WATER!Y14</f>
        <v>0</v>
      </c>
      <c r="K10" s="192">
        <f>WATER!AJ14</f>
        <v>0</v>
      </c>
      <c r="L10" s="10">
        <f>ELEC!B12</f>
        <v>0</v>
      </c>
      <c r="M10" s="10"/>
    </row>
    <row r="11" spans="1:13">
      <c r="A11" t="s">
        <v>15</v>
      </c>
      <c r="B11">
        <f t="shared" si="0"/>
        <v>10</v>
      </c>
      <c r="C11">
        <v>12</v>
      </c>
      <c r="D11">
        <v>2022</v>
      </c>
      <c r="E11" s="192">
        <f>ELEC!M13</f>
        <v>816</v>
      </c>
      <c r="F11" s="192">
        <f>ELEC!K13</f>
        <v>752</v>
      </c>
      <c r="G11" s="192">
        <f>ELEC!I13</f>
        <v>364</v>
      </c>
      <c r="H11" s="192">
        <f>ELEC!E13</f>
        <v>620</v>
      </c>
      <c r="I11" s="192">
        <f>ELEC!G13</f>
        <v>356</v>
      </c>
      <c r="J11" s="192">
        <f>WATER!Y15</f>
        <v>0</v>
      </c>
      <c r="K11" s="192">
        <f>WATER!AJ15</f>
        <v>0</v>
      </c>
      <c r="L11" s="10">
        <f>ELEC!B13</f>
        <v>0</v>
      </c>
      <c r="M11" s="10"/>
    </row>
    <row r="12" spans="1:13">
      <c r="A12" t="s">
        <v>15</v>
      </c>
      <c r="B12">
        <f t="shared" si="0"/>
        <v>11</v>
      </c>
      <c r="C12">
        <v>12</v>
      </c>
      <c r="D12">
        <v>2022</v>
      </c>
      <c r="E12" s="192">
        <f>ELEC!M14</f>
        <v>482</v>
      </c>
      <c r="F12" s="192">
        <f>ELEC!K14</f>
        <v>464</v>
      </c>
      <c r="G12" s="192">
        <f>ELEC!I14</f>
        <v>238</v>
      </c>
      <c r="H12" s="192">
        <f>ELEC!E14</f>
        <v>420</v>
      </c>
      <c r="I12" s="192">
        <f>ELEC!G14</f>
        <v>235</v>
      </c>
      <c r="J12" s="192">
        <f>WATER!Y16</f>
        <v>0</v>
      </c>
      <c r="K12" s="192">
        <f>WATER!AJ16</f>
        <v>0</v>
      </c>
      <c r="L12" s="10">
        <f>ELEC!B14</f>
        <v>0</v>
      </c>
      <c r="M12" s="10"/>
    </row>
    <row r="13" spans="1:13">
      <c r="A13" t="s">
        <v>15</v>
      </c>
      <c r="B13">
        <f t="shared" si="0"/>
        <v>12</v>
      </c>
      <c r="C13">
        <v>12</v>
      </c>
      <c r="D13">
        <v>2022</v>
      </c>
      <c r="E13" s="192">
        <f>ELEC!M15</f>
        <v>1220</v>
      </c>
      <c r="F13" s="192">
        <f>ELEC!K15</f>
        <v>1342</v>
      </c>
      <c r="G13" s="192">
        <f>ELEC!I15</f>
        <v>683</v>
      </c>
      <c r="H13" s="192">
        <f>ELEC!E15</f>
        <v>810</v>
      </c>
      <c r="I13" s="192">
        <f>ELEC!G15</f>
        <v>497</v>
      </c>
      <c r="J13" s="192">
        <f>WATER!Y17</f>
        <v>0</v>
      </c>
      <c r="K13" s="192">
        <f>WATER!AJ17</f>
        <v>0</v>
      </c>
      <c r="L13" s="10">
        <f>ELEC!B15</f>
        <v>0</v>
      </c>
      <c r="M13" s="10"/>
    </row>
    <row r="14" spans="1:13">
      <c r="A14" t="s">
        <v>15</v>
      </c>
      <c r="B14">
        <f t="shared" si="0"/>
        <v>13</v>
      </c>
      <c r="C14">
        <v>12</v>
      </c>
      <c r="D14">
        <v>2022</v>
      </c>
      <c r="E14" s="192">
        <f>ELEC!M16</f>
        <v>0</v>
      </c>
      <c r="F14" s="192">
        <f>ELEC!K16</f>
        <v>0</v>
      </c>
      <c r="G14" s="192">
        <f>ELEC!I16</f>
        <v>0</v>
      </c>
      <c r="H14" s="192">
        <f>ELEC!E16</f>
        <v>0</v>
      </c>
      <c r="I14" s="192">
        <f>ELEC!G16</f>
        <v>0</v>
      </c>
      <c r="J14" s="192">
        <f>WATER!Y18</f>
        <v>0</v>
      </c>
      <c r="K14" s="192">
        <f>WATER!AJ18</f>
        <v>0</v>
      </c>
      <c r="L14" s="10">
        <f>ELEC!B16</f>
        <v>0</v>
      </c>
      <c r="M14" s="10"/>
    </row>
    <row r="15" spans="1:13">
      <c r="A15" t="s">
        <v>15</v>
      </c>
      <c r="B15">
        <f t="shared" si="0"/>
        <v>14</v>
      </c>
      <c r="C15">
        <v>12</v>
      </c>
      <c r="D15">
        <v>2022</v>
      </c>
      <c r="E15" s="192">
        <f>ELEC!M17</f>
        <v>0</v>
      </c>
      <c r="F15" s="192">
        <f>ELEC!K17</f>
        <v>0</v>
      </c>
      <c r="G15" s="192">
        <f>ELEC!I17</f>
        <v>0</v>
      </c>
      <c r="H15" s="192">
        <f>ELEC!E17</f>
        <v>0</v>
      </c>
      <c r="I15" s="192">
        <f>ELEC!G17</f>
        <v>0</v>
      </c>
      <c r="J15" s="192">
        <f>WATER!Y19</f>
        <v>0</v>
      </c>
      <c r="K15" s="192">
        <f>WATER!AJ19</f>
        <v>0</v>
      </c>
      <c r="L15" s="10">
        <f>ELEC!B17</f>
        <v>0</v>
      </c>
      <c r="M15" s="10"/>
    </row>
    <row r="16" spans="1:13">
      <c r="A16" t="s">
        <v>15</v>
      </c>
      <c r="B16">
        <f t="shared" si="0"/>
        <v>15</v>
      </c>
      <c r="C16">
        <v>12</v>
      </c>
      <c r="D16">
        <v>2022</v>
      </c>
      <c r="E16" s="192">
        <f>ELEC!M18</f>
        <v>452</v>
      </c>
      <c r="F16" s="192">
        <f>ELEC!K18</f>
        <v>358</v>
      </c>
      <c r="G16" s="192">
        <f>ELEC!I18</f>
        <v>205</v>
      </c>
      <c r="H16" s="192">
        <f>ELEC!E18</f>
        <v>1400</v>
      </c>
      <c r="I16" s="192">
        <f>ELEC!G18</f>
        <v>232</v>
      </c>
      <c r="J16" s="192">
        <f>WATER!Y20</f>
        <v>0</v>
      </c>
      <c r="K16" s="192">
        <f>WATER!AJ20</f>
        <v>0</v>
      </c>
      <c r="L16" s="10">
        <f>ELEC!B18</f>
        <v>0</v>
      </c>
      <c r="M16" s="10"/>
    </row>
    <row r="17" spans="1:13">
      <c r="A17" t="s">
        <v>15</v>
      </c>
      <c r="B17">
        <f t="shared" si="0"/>
        <v>16</v>
      </c>
      <c r="C17">
        <v>12</v>
      </c>
      <c r="D17">
        <v>2022</v>
      </c>
      <c r="E17" s="192">
        <f>ELEC!M19</f>
        <v>686</v>
      </c>
      <c r="F17" s="192">
        <f>ELEC!K19</f>
        <v>758</v>
      </c>
      <c r="G17" s="192">
        <f>ELEC!I19</f>
        <v>424</v>
      </c>
      <c r="H17" s="192">
        <f>ELEC!E19</f>
        <v>1130</v>
      </c>
      <c r="I17" s="192">
        <f>ELEC!G19</f>
        <v>312</v>
      </c>
      <c r="J17" s="192">
        <f>WATER!Y21</f>
        <v>0</v>
      </c>
      <c r="K17" s="192">
        <f>WATER!AJ21</f>
        <v>0</v>
      </c>
      <c r="L17" s="10">
        <f>ELEC!B19</f>
        <v>0</v>
      </c>
      <c r="M17" s="10"/>
    </row>
    <row r="18" spans="1:13">
      <c r="A18" t="s">
        <v>15</v>
      </c>
      <c r="B18">
        <f t="shared" si="0"/>
        <v>17</v>
      </c>
      <c r="C18">
        <v>12</v>
      </c>
      <c r="D18">
        <v>2022</v>
      </c>
      <c r="E18" s="192">
        <f>ELEC!M20</f>
        <v>736</v>
      </c>
      <c r="F18" s="192">
        <f>ELEC!K20</f>
        <v>886</v>
      </c>
      <c r="G18" s="192">
        <f>ELEC!I20</f>
        <v>420</v>
      </c>
      <c r="H18" s="192">
        <f>ELEC!E20</f>
        <v>940</v>
      </c>
      <c r="I18" s="192">
        <f>ELEC!G20</f>
        <v>297</v>
      </c>
      <c r="J18" s="192">
        <f>WATER!Y22</f>
        <v>0</v>
      </c>
      <c r="K18" s="192">
        <f>WATER!AJ22</f>
        <v>0</v>
      </c>
      <c r="L18" s="10">
        <f>ELEC!B20</f>
        <v>0</v>
      </c>
      <c r="M18" s="10"/>
    </row>
    <row r="19" spans="1:13">
      <c r="A19" t="s">
        <v>15</v>
      </c>
      <c r="B19">
        <f t="shared" si="0"/>
        <v>18</v>
      </c>
      <c r="C19">
        <v>12</v>
      </c>
      <c r="D19">
        <v>2022</v>
      </c>
      <c r="E19" s="192">
        <f>ELEC!M21</f>
        <v>876</v>
      </c>
      <c r="F19" s="192">
        <f>ELEC!K21</f>
        <v>820</v>
      </c>
      <c r="G19" s="192">
        <f>ELEC!I21</f>
        <v>458</v>
      </c>
      <c r="H19" s="192">
        <f>ELEC!E21</f>
        <v>1000</v>
      </c>
      <c r="I19" s="192">
        <f>ELEC!G21</f>
        <v>350</v>
      </c>
      <c r="J19" s="192">
        <f>WATER!Y23</f>
        <v>0</v>
      </c>
      <c r="K19" s="192">
        <f>WATER!AJ23</f>
        <v>0</v>
      </c>
      <c r="L19" s="10">
        <f>ELEC!B21</f>
        <v>0</v>
      </c>
      <c r="M19" s="10"/>
    </row>
    <row r="20" spans="1:13">
      <c r="A20" t="s">
        <v>15</v>
      </c>
      <c r="B20">
        <f t="shared" si="0"/>
        <v>19</v>
      </c>
      <c r="C20">
        <v>12</v>
      </c>
      <c r="D20">
        <v>2022</v>
      </c>
      <c r="E20" s="192">
        <f>ELEC!M22</f>
        <v>796</v>
      </c>
      <c r="F20" s="192">
        <f>ELEC!K22</f>
        <v>836</v>
      </c>
      <c r="G20" s="192">
        <f>ELEC!I22</f>
        <v>404</v>
      </c>
      <c r="H20" s="192">
        <f>ELEC!E22</f>
        <v>910</v>
      </c>
      <c r="I20" s="192">
        <f>ELEC!G22</f>
        <v>283</v>
      </c>
      <c r="J20" s="192">
        <f>WATER!Y24</f>
        <v>0</v>
      </c>
      <c r="K20" s="192">
        <f>WATER!AJ24</f>
        <v>0</v>
      </c>
      <c r="L20" s="10">
        <f>ELEC!B22</f>
        <v>0</v>
      </c>
      <c r="M20" s="10"/>
    </row>
    <row r="21" spans="1:13">
      <c r="A21" t="s">
        <v>15</v>
      </c>
      <c r="B21">
        <f t="shared" si="0"/>
        <v>20</v>
      </c>
      <c r="C21">
        <v>12</v>
      </c>
      <c r="D21">
        <v>2022</v>
      </c>
      <c r="E21" s="192">
        <f>ELEC!M23</f>
        <v>0</v>
      </c>
      <c r="F21" s="192">
        <f>ELEC!K23</f>
        <v>0</v>
      </c>
      <c r="G21" s="192">
        <f>ELEC!I23</f>
        <v>0</v>
      </c>
      <c r="H21" s="192">
        <f>ELEC!E23</f>
        <v>0</v>
      </c>
      <c r="I21" s="192">
        <f>ELEC!G23</f>
        <v>0</v>
      </c>
      <c r="J21" s="192">
        <f>WATER!Y25</f>
        <v>0</v>
      </c>
      <c r="K21" s="192">
        <f>WATER!AJ25</f>
        <v>0</v>
      </c>
      <c r="L21" s="10">
        <f>ELEC!B23</f>
        <v>0</v>
      </c>
      <c r="M21" s="10"/>
    </row>
    <row r="22" spans="1:13">
      <c r="A22" t="s">
        <v>15</v>
      </c>
      <c r="B22">
        <f t="shared" si="0"/>
        <v>21</v>
      </c>
      <c r="C22">
        <v>12</v>
      </c>
      <c r="D22">
        <v>2022</v>
      </c>
      <c r="E22" s="192">
        <f>ELEC!M24</f>
        <v>0</v>
      </c>
      <c r="F22" s="192">
        <f>ELEC!K24</f>
        <v>0</v>
      </c>
      <c r="G22" s="192">
        <f>ELEC!I24</f>
        <v>0</v>
      </c>
      <c r="H22" s="192">
        <f>ELEC!E24</f>
        <v>0</v>
      </c>
      <c r="I22" s="192">
        <f>ELEC!G24</f>
        <v>0</v>
      </c>
      <c r="J22" s="192">
        <f>WATER!Y26</f>
        <v>0</v>
      </c>
      <c r="K22" s="192">
        <f>WATER!AJ26</f>
        <v>0</v>
      </c>
      <c r="L22" s="10">
        <f>ELEC!B24</f>
        <v>0</v>
      </c>
      <c r="M22" s="10"/>
    </row>
    <row r="23" spans="1:13">
      <c r="A23" t="s">
        <v>15</v>
      </c>
      <c r="B23">
        <f t="shared" si="0"/>
        <v>22</v>
      </c>
      <c r="C23">
        <v>12</v>
      </c>
      <c r="D23">
        <v>2022</v>
      </c>
      <c r="E23" s="192">
        <f>ELEC!M25</f>
        <v>810</v>
      </c>
      <c r="F23" s="192">
        <f>ELEC!K25</f>
        <v>624</v>
      </c>
      <c r="G23" s="192">
        <f>ELEC!I25</f>
        <v>406</v>
      </c>
      <c r="H23" s="192">
        <f>ELEC!E25</f>
        <v>760</v>
      </c>
      <c r="I23" s="192">
        <f>ELEC!G25</f>
        <v>294</v>
      </c>
      <c r="J23" s="192">
        <f>WATER!Y27</f>
        <v>0</v>
      </c>
      <c r="K23" s="192">
        <f>WATER!AJ27</f>
        <v>0</v>
      </c>
      <c r="L23" s="10">
        <f>ELEC!B25</f>
        <v>0</v>
      </c>
      <c r="M23" s="10"/>
    </row>
    <row r="24" spans="1:13">
      <c r="A24" t="s">
        <v>15</v>
      </c>
      <c r="B24">
        <f t="shared" si="0"/>
        <v>23</v>
      </c>
      <c r="C24">
        <v>12</v>
      </c>
      <c r="D24">
        <v>2022</v>
      </c>
      <c r="E24" s="192">
        <f>ELEC!M26</f>
        <v>0</v>
      </c>
      <c r="F24" s="192">
        <f>ELEC!K26</f>
        <v>0</v>
      </c>
      <c r="G24" s="192">
        <f>ELEC!I26</f>
        <v>0</v>
      </c>
      <c r="H24" s="192">
        <f>ELEC!E26</f>
        <v>0</v>
      </c>
      <c r="I24" s="192">
        <f>ELEC!G26</f>
        <v>0</v>
      </c>
      <c r="J24" s="192">
        <f>WATER!Y28</f>
        <v>0</v>
      </c>
      <c r="K24" s="192">
        <f>WATER!AJ28</f>
        <v>0</v>
      </c>
      <c r="L24" s="10">
        <f>ELEC!B26</f>
        <v>0</v>
      </c>
      <c r="M24" s="10"/>
    </row>
    <row r="25" spans="1:13">
      <c r="A25" t="s">
        <v>15</v>
      </c>
      <c r="B25">
        <f t="shared" si="0"/>
        <v>24</v>
      </c>
      <c r="C25">
        <v>12</v>
      </c>
      <c r="D25">
        <v>2022</v>
      </c>
      <c r="E25" s="192">
        <f>ELEC!M27</f>
        <v>0</v>
      </c>
      <c r="F25" s="192">
        <f>ELEC!K27</f>
        <v>0</v>
      </c>
      <c r="G25" s="192">
        <f>ELEC!I27</f>
        <v>0</v>
      </c>
      <c r="H25" s="192">
        <f>ELEC!E27</f>
        <v>0</v>
      </c>
      <c r="I25" s="192">
        <f>ELEC!G27</f>
        <v>0</v>
      </c>
      <c r="J25" s="192">
        <f>WATER!Y29</f>
        <v>0</v>
      </c>
      <c r="K25" s="192">
        <f>WATER!AJ29</f>
        <v>0</v>
      </c>
      <c r="L25" s="10">
        <f>ELEC!B27</f>
        <v>0</v>
      </c>
      <c r="M25" s="10"/>
    </row>
    <row r="26" spans="1:13">
      <c r="A26" t="s">
        <v>15</v>
      </c>
      <c r="B26">
        <f>B25+1</f>
        <v>25</v>
      </c>
      <c r="C26">
        <v>12</v>
      </c>
      <c r="D26">
        <v>2022</v>
      </c>
      <c r="E26" s="192">
        <f>ELEC!M28</f>
        <v>0</v>
      </c>
      <c r="F26" s="192">
        <f>ELEC!K28</f>
        <v>0</v>
      </c>
      <c r="G26" s="192">
        <f>ELEC!I28</f>
        <v>0</v>
      </c>
      <c r="H26" s="192">
        <f>ELEC!E28</f>
        <v>0</v>
      </c>
      <c r="I26" s="192">
        <f>ELEC!G28</f>
        <v>0</v>
      </c>
      <c r="J26" s="192">
        <f>WATER!Y30</f>
        <v>0</v>
      </c>
      <c r="K26" s="192">
        <f>WATER!AJ30</f>
        <v>0</v>
      </c>
      <c r="L26" s="10">
        <f>ELEC!B28</f>
        <v>0</v>
      </c>
      <c r="M26" s="10"/>
    </row>
    <row r="27" spans="1:13">
      <c r="A27" t="s">
        <v>15</v>
      </c>
      <c r="B27">
        <f t="shared" si="0"/>
        <v>26</v>
      </c>
      <c r="C27">
        <v>12</v>
      </c>
      <c r="D27">
        <v>2022</v>
      </c>
      <c r="E27" s="192">
        <f>ELEC!M29</f>
        <v>0</v>
      </c>
      <c r="F27" s="192">
        <f>ELEC!K29</f>
        <v>0</v>
      </c>
      <c r="G27" s="192">
        <f>ELEC!I29</f>
        <v>0</v>
      </c>
      <c r="H27" s="192">
        <f>ELEC!E29</f>
        <v>0</v>
      </c>
      <c r="I27" s="192">
        <f>ELEC!G29</f>
        <v>0</v>
      </c>
      <c r="J27" s="192">
        <f>WATER!Y31</f>
        <v>0</v>
      </c>
      <c r="K27" s="192">
        <f>WATER!AJ31</f>
        <v>0</v>
      </c>
      <c r="L27" s="10">
        <f>ELEC!B29</f>
        <v>0</v>
      </c>
      <c r="M27" s="10"/>
    </row>
    <row r="28" spans="1:13">
      <c r="A28" t="s">
        <v>15</v>
      </c>
      <c r="B28">
        <f t="shared" si="0"/>
        <v>27</v>
      </c>
      <c r="C28">
        <v>12</v>
      </c>
      <c r="D28">
        <v>2022</v>
      </c>
      <c r="E28" s="192">
        <f>ELEC!M30</f>
        <v>0</v>
      </c>
      <c r="F28" s="192">
        <f>ELEC!K30</f>
        <v>0</v>
      </c>
      <c r="G28" s="192">
        <f>ELEC!I30</f>
        <v>0</v>
      </c>
      <c r="H28" s="192">
        <f>ELEC!E30</f>
        <v>0</v>
      </c>
      <c r="I28" s="192">
        <f>ELEC!G30</f>
        <v>0</v>
      </c>
      <c r="J28" s="192">
        <f>WATER!Y32</f>
        <v>0</v>
      </c>
      <c r="K28" s="192">
        <f>WATER!AJ32</f>
        <v>0</v>
      </c>
      <c r="L28" s="10">
        <f>ELEC!B30</f>
        <v>0</v>
      </c>
      <c r="M28" s="10"/>
    </row>
    <row r="29" spans="1:13">
      <c r="A29" t="s">
        <v>15</v>
      </c>
      <c r="B29">
        <f t="shared" si="0"/>
        <v>28</v>
      </c>
      <c r="C29">
        <v>12</v>
      </c>
      <c r="D29">
        <v>2022</v>
      </c>
      <c r="E29" s="192">
        <f>ELEC!M31</f>
        <v>0</v>
      </c>
      <c r="F29" s="192">
        <f>ELEC!K31</f>
        <v>0</v>
      </c>
      <c r="G29" s="192">
        <f>ELEC!I31</f>
        <v>0</v>
      </c>
      <c r="H29" s="192">
        <f>ELEC!E31</f>
        <v>0</v>
      </c>
      <c r="I29" s="192">
        <f>ELEC!G31</f>
        <v>0</v>
      </c>
      <c r="J29" s="192">
        <f>WATER!Y33</f>
        <v>0</v>
      </c>
      <c r="K29" s="192">
        <f>WATER!AJ33</f>
        <v>0</v>
      </c>
      <c r="L29" s="10">
        <f>ELEC!B31</f>
        <v>0</v>
      </c>
      <c r="M29" s="10"/>
    </row>
    <row r="30" spans="1:13">
      <c r="A30" t="s">
        <v>15</v>
      </c>
      <c r="B30">
        <f t="shared" si="0"/>
        <v>29</v>
      </c>
      <c r="C30">
        <v>12</v>
      </c>
      <c r="D30">
        <v>2022</v>
      </c>
      <c r="E30" s="192">
        <f>ELEC!M32</f>
        <v>0</v>
      </c>
      <c r="F30" s="192">
        <f>ELEC!K32</f>
        <v>0</v>
      </c>
      <c r="G30" s="192">
        <f>ELEC!I32</f>
        <v>0</v>
      </c>
      <c r="H30" s="192">
        <f>ELEC!E32</f>
        <v>0</v>
      </c>
      <c r="I30" s="192">
        <f>ELEC!G32</f>
        <v>0</v>
      </c>
      <c r="J30" s="192">
        <f>WATER!Y34</f>
        <v>0</v>
      </c>
      <c r="K30" s="192">
        <f>WATER!AJ34</f>
        <v>0</v>
      </c>
      <c r="L30" s="10">
        <f>ELEC!B32</f>
        <v>0</v>
      </c>
    </row>
    <row r="31" spans="1:13">
      <c r="A31" t="s">
        <v>15</v>
      </c>
      <c r="B31">
        <f t="shared" si="0"/>
        <v>30</v>
      </c>
      <c r="C31">
        <v>12</v>
      </c>
      <c r="D31">
        <v>2022</v>
      </c>
      <c r="E31" s="192">
        <f>ELEC!M33</f>
        <v>0</v>
      </c>
      <c r="F31" s="192">
        <f>ELEC!K33</f>
        <v>0</v>
      </c>
      <c r="G31" s="192">
        <f>ELEC!I33</f>
        <v>0</v>
      </c>
      <c r="H31" s="192">
        <f>ELEC!E33</f>
        <v>0</v>
      </c>
      <c r="I31" s="192">
        <f>ELEC!G33</f>
        <v>0</v>
      </c>
      <c r="J31" s="192">
        <f>WATER!Y35</f>
        <v>0</v>
      </c>
      <c r="K31" s="192">
        <f>WATER!AJ35</f>
        <v>0</v>
      </c>
      <c r="L31" s="10">
        <f>ELEC!B33</f>
        <v>0</v>
      </c>
    </row>
    <row r="32" spans="1:13">
      <c r="A32" t="s">
        <v>15</v>
      </c>
      <c r="B32">
        <f t="shared" si="0"/>
        <v>31</v>
      </c>
      <c r="C32">
        <v>12</v>
      </c>
      <c r="D32">
        <v>2022</v>
      </c>
      <c r="E32" s="192">
        <f>ELEC!M34</f>
        <v>0</v>
      </c>
      <c r="F32" s="192">
        <f>ELEC!K34</f>
        <v>0</v>
      </c>
      <c r="G32" s="192">
        <f>ELEC!I34</f>
        <v>0</v>
      </c>
      <c r="H32" s="192">
        <f>ELEC!E34</f>
        <v>0</v>
      </c>
      <c r="I32" s="192">
        <f>ELEC!G34</f>
        <v>0</v>
      </c>
      <c r="J32" s="192">
        <f>WATER!Y36</f>
        <v>0</v>
      </c>
      <c r="K32" s="192">
        <f>WATER!AJ36</f>
        <v>0</v>
      </c>
      <c r="L32" s="10">
        <f>ELEC!B34</f>
        <v>0</v>
      </c>
    </row>
    <row r="45" spans="4:4">
      <c r="D45" t="s">
        <v>23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35"/>
  <sheetViews>
    <sheetView zoomScale="60" zoomScaleNormal="60" zoomScaleSheetLayoutView="100" workbookViewId="0">
      <pane ySplit="2" topLeftCell="G22" activePane="bottomLeft" state="frozen"/>
      <selection pane="bottomLeft" activeCell="Q25" sqref="Q25"/>
      <selection activeCell="C1" sqref="C1"/>
    </sheetView>
  </sheetViews>
  <sheetFormatPr defaultColWidth="9.28515625" defaultRowHeight="15"/>
  <cols>
    <col min="1" max="1" width="7.7109375" style="398" bestFit="1" customWidth="1"/>
    <col min="2" max="2" width="10.28515625" style="405" bestFit="1" customWidth="1"/>
    <col min="3" max="3" width="11.5703125" style="398" customWidth="1"/>
    <col min="4" max="4" width="18" style="406" bestFit="1" customWidth="1"/>
    <col min="5" max="5" width="14.85546875" style="406" bestFit="1" customWidth="1"/>
    <col min="6" max="6" width="15.28515625" style="406" bestFit="1" customWidth="1"/>
    <col min="7" max="7" width="24" style="406" customWidth="1"/>
    <col min="8" max="8" width="18" style="406" bestFit="1" customWidth="1"/>
    <col min="9" max="9" width="13.140625" style="406" bestFit="1" customWidth="1"/>
    <col min="10" max="10" width="18" style="406" bestFit="1" customWidth="1"/>
    <col min="11" max="11" width="11.7109375" style="406" customWidth="1"/>
    <col min="12" max="12" width="18" style="406" bestFit="1" customWidth="1"/>
    <col min="13" max="13" width="13.140625" style="406" bestFit="1" customWidth="1"/>
    <col min="14" max="14" width="15.42578125" style="398" bestFit="1" customWidth="1"/>
    <col min="15" max="15" width="13.28515625" style="407" bestFit="1" customWidth="1"/>
    <col min="16" max="16" width="22.140625" style="398" customWidth="1"/>
    <col min="17" max="17" width="13.7109375" style="398" bestFit="1" customWidth="1"/>
    <col min="18" max="18" width="15.5703125" style="398" bestFit="1" customWidth="1"/>
    <col min="19" max="21" width="11.5703125" style="398" bestFit="1" customWidth="1"/>
    <col min="22" max="22" width="13.28515625" style="398" bestFit="1" customWidth="1"/>
    <col min="23" max="25" width="11.5703125" style="398" bestFit="1" customWidth="1"/>
    <col min="26" max="26" width="13.28515625" style="398" bestFit="1" customWidth="1"/>
    <col min="27" max="29" width="11.5703125" style="398" bestFit="1" customWidth="1"/>
    <col min="30" max="30" width="13.28515625" style="398" bestFit="1" customWidth="1"/>
    <col min="31" max="32" width="11.5703125" style="398" bestFit="1" customWidth="1"/>
    <col min="33" max="33" width="15.7109375" style="398" customWidth="1"/>
    <col min="34" max="34" width="9.28515625" style="398"/>
    <col min="35" max="35" width="9.7109375" style="398" bestFit="1" customWidth="1"/>
    <col min="36" max="36" width="11.5703125" style="398" bestFit="1" customWidth="1"/>
    <col min="37" max="37" width="12.42578125" style="398" customWidth="1"/>
    <col min="38" max="38" width="11.42578125" style="398" customWidth="1"/>
    <col min="39" max="39" width="10" style="398" bestFit="1" customWidth="1"/>
    <col min="40" max="40" width="10.7109375" style="398" bestFit="1" customWidth="1"/>
    <col min="41" max="16384" width="9.28515625" style="398"/>
  </cols>
  <sheetData>
    <row r="2" spans="1:36" s="383" customFormat="1" ht="18.75" customHeight="1">
      <c r="A2" s="383" t="s">
        <v>24</v>
      </c>
      <c r="B2" s="384" t="s">
        <v>25</v>
      </c>
      <c r="C2" s="385"/>
      <c r="D2" s="386" t="s">
        <v>26</v>
      </c>
      <c r="E2" s="386" t="s">
        <v>27</v>
      </c>
      <c r="F2" s="386" t="s">
        <v>28</v>
      </c>
      <c r="G2" s="386" t="s">
        <v>29</v>
      </c>
      <c r="H2" s="386" t="s">
        <v>30</v>
      </c>
      <c r="I2" s="386" t="s">
        <v>31</v>
      </c>
      <c r="J2" s="386" t="s">
        <v>32</v>
      </c>
      <c r="K2" s="386" t="s">
        <v>33</v>
      </c>
      <c r="L2" s="386" t="s">
        <v>34</v>
      </c>
      <c r="M2" s="386" t="s">
        <v>35</v>
      </c>
      <c r="N2" s="387" t="s">
        <v>36</v>
      </c>
      <c r="O2" s="388" t="s">
        <v>37</v>
      </c>
      <c r="P2" s="389" t="s">
        <v>38</v>
      </c>
      <c r="Q2" s="387" t="s">
        <v>39</v>
      </c>
      <c r="R2" s="387" t="s">
        <v>40</v>
      </c>
      <c r="S2" s="387" t="s">
        <v>41</v>
      </c>
      <c r="T2" s="387" t="s">
        <v>42</v>
      </c>
      <c r="U2" s="387" t="s">
        <v>43</v>
      </c>
      <c r="V2" s="387" t="s">
        <v>44</v>
      </c>
      <c r="W2" s="387" t="s">
        <v>45</v>
      </c>
      <c r="X2" s="387" t="s">
        <v>42</v>
      </c>
      <c r="Y2" s="387" t="s">
        <v>46</v>
      </c>
      <c r="Z2" s="387" t="s">
        <v>47</v>
      </c>
      <c r="AA2" s="387" t="s">
        <v>48</v>
      </c>
      <c r="AB2" s="387" t="s">
        <v>42</v>
      </c>
      <c r="AC2" s="387" t="s">
        <v>49</v>
      </c>
      <c r="AD2" s="387" t="s">
        <v>50</v>
      </c>
      <c r="AE2" s="387" t="s">
        <v>51</v>
      </c>
      <c r="AF2" s="387" t="s">
        <v>52</v>
      </c>
      <c r="AG2" s="383" t="s">
        <v>53</v>
      </c>
    </row>
    <row r="3" spans="1:36">
      <c r="A3" s="390">
        <f>[1]ELEC!$A$34</f>
        <v>0</v>
      </c>
      <c r="B3" s="384">
        <f>[1]ELEC!$B$34</f>
        <v>0</v>
      </c>
      <c r="C3" s="391">
        <v>44926</v>
      </c>
      <c r="D3" s="380">
        <v>420100</v>
      </c>
      <c r="E3" s="380">
        <v>0</v>
      </c>
      <c r="F3" s="380">
        <v>4189432</v>
      </c>
      <c r="G3" s="380">
        <v>0</v>
      </c>
      <c r="H3" s="380">
        <v>18106834</v>
      </c>
      <c r="I3" s="380">
        <v>0</v>
      </c>
      <c r="J3" s="380">
        <v>29896978</v>
      </c>
      <c r="K3" s="380">
        <v>0</v>
      </c>
      <c r="L3" s="380">
        <v>24716266</v>
      </c>
      <c r="M3" s="380">
        <v>0</v>
      </c>
      <c r="N3" s="380">
        <f>[2]ELEC!N33</f>
        <v>3572</v>
      </c>
      <c r="O3" s="380">
        <f>[2]ELEC!O33</f>
        <v>0</v>
      </c>
      <c r="P3" s="380">
        <v>19706.332999999999</v>
      </c>
      <c r="Q3" s="380">
        <v>0</v>
      </c>
      <c r="R3" s="380">
        <v>0</v>
      </c>
      <c r="S3" s="380">
        <f>[2]ELEC!S33</f>
        <v>10175</v>
      </c>
      <c r="T3" s="380">
        <f>[2]ELEC!T33</f>
        <v>0</v>
      </c>
      <c r="U3" s="380">
        <f>[2]ELEC!U33</f>
        <v>429166</v>
      </c>
      <c r="V3" s="380">
        <f>[2]ELEC!V33</f>
        <v>0</v>
      </c>
      <c r="W3" s="380">
        <v>33500</v>
      </c>
      <c r="X3" s="380">
        <f>[2]ELEC!X33</f>
        <v>0</v>
      </c>
      <c r="Y3" s="380">
        <v>1000643</v>
      </c>
      <c r="Z3" s="380">
        <f>[2]ELEC!Z33</f>
        <v>0</v>
      </c>
      <c r="AA3" s="380">
        <v>36804</v>
      </c>
      <c r="AB3" s="380">
        <f>[2]ELEC!AB33</f>
        <v>0</v>
      </c>
      <c r="AC3" s="380">
        <v>1173391</v>
      </c>
      <c r="AD3" s="380">
        <f>[2]ELEC!AD33</f>
        <v>0</v>
      </c>
      <c r="AE3" s="380">
        <f>[2]ELEC!AE33</f>
        <v>0</v>
      </c>
      <c r="AF3" s="380">
        <f>[2]ELEC!AF33</f>
        <v>0</v>
      </c>
      <c r="AG3" s="380">
        <f>[2]ELEC!AG33</f>
        <v>0</v>
      </c>
      <c r="AJ3" s="473"/>
    </row>
    <row r="4" spans="1:36">
      <c r="A4" s="390">
        <f>'General information '!F5</f>
        <v>0</v>
      </c>
      <c r="B4" s="384">
        <f>SUM(230*A4)</f>
        <v>0</v>
      </c>
      <c r="C4" s="391">
        <f>C3+1</f>
        <v>44927</v>
      </c>
      <c r="D4" s="380">
        <v>420100</v>
      </c>
      <c r="E4" s="497">
        <f>D4-D3</f>
        <v>0</v>
      </c>
      <c r="F4" s="380">
        <v>4189432</v>
      </c>
      <c r="G4" s="498">
        <f>F4-F3</f>
        <v>0</v>
      </c>
      <c r="H4" s="380">
        <v>18106834</v>
      </c>
      <c r="I4" s="498">
        <f>H4-H3</f>
        <v>0</v>
      </c>
      <c r="J4" s="380">
        <v>29896978</v>
      </c>
      <c r="K4" s="498">
        <f>J4-J3</f>
        <v>0</v>
      </c>
      <c r="L4" s="380">
        <v>24716266</v>
      </c>
      <c r="M4" s="498">
        <f>L4-L3</f>
        <v>0</v>
      </c>
      <c r="N4" s="381">
        <f>M4+K4+I4+G4+E4</f>
        <v>0</v>
      </c>
      <c r="O4" s="392">
        <f t="shared" ref="O4:O10" si="0">IF(B4&gt;0,N4/B4,0)</f>
        <v>0</v>
      </c>
      <c r="P4" s="380">
        <v>19706.332999999999</v>
      </c>
      <c r="Q4" s="382">
        <f t="shared" ref="Q4:Q31" si="1">(P4-P3)*1000</f>
        <v>0</v>
      </c>
      <c r="R4" s="474">
        <f>+N4-Q4</f>
        <v>0</v>
      </c>
      <c r="S4" s="380">
        <f>S3</f>
        <v>10175</v>
      </c>
      <c r="T4" s="394">
        <f t="shared" ref="T4:T34" si="2">S4-S3</f>
        <v>0</v>
      </c>
      <c r="U4" s="380">
        <f>U3</f>
        <v>429166</v>
      </c>
      <c r="V4" s="393">
        <f>U4-U3</f>
        <v>0</v>
      </c>
      <c r="W4" s="380">
        <v>33500</v>
      </c>
      <c r="X4" s="393">
        <f t="shared" ref="X4" si="3">W4-W3</f>
        <v>0</v>
      </c>
      <c r="Y4" s="380">
        <v>1000643</v>
      </c>
      <c r="Z4" s="393">
        <f>Y4-Y3</f>
        <v>0</v>
      </c>
      <c r="AA4" s="380">
        <f>AA3</f>
        <v>36804</v>
      </c>
      <c r="AB4" s="393">
        <f>AA4-AA3</f>
        <v>0</v>
      </c>
      <c r="AC4" s="380">
        <f>AC3</f>
        <v>1173391</v>
      </c>
      <c r="AD4" s="395">
        <f>AC4-AC3</f>
        <v>0</v>
      </c>
      <c r="AE4" s="396">
        <f>AB4+X4+T4</f>
        <v>0</v>
      </c>
      <c r="AF4" s="404">
        <f t="shared" ref="AF4:AF31" si="4">V4+Z4+AD4</f>
        <v>0</v>
      </c>
      <c r="AG4" s="397">
        <f t="shared" ref="AG4:AG10" si="5">IF(AE4&gt;0,AF4/AE4,0)</f>
        <v>0</v>
      </c>
      <c r="AJ4" s="473"/>
    </row>
    <row r="5" spans="1:36">
      <c r="A5" s="390">
        <f>'General information '!F6</f>
        <v>0</v>
      </c>
      <c r="B5" s="384">
        <f t="shared" ref="B5:B31" si="6">SUM(230*A5)</f>
        <v>0</v>
      </c>
      <c r="C5" s="391">
        <f t="shared" ref="C5:C34" si="7">C4+1</f>
        <v>44928</v>
      </c>
      <c r="D5" s="380">
        <f t="shared" ref="D5" si="8">D4</f>
        <v>420100</v>
      </c>
      <c r="E5" s="497">
        <f t="shared" ref="E5:E34" si="9">D5-D4</f>
        <v>0</v>
      </c>
      <c r="F5" s="380">
        <v>4189432</v>
      </c>
      <c r="G5" s="402">
        <f>F5-F4</f>
        <v>0</v>
      </c>
      <c r="H5" s="380">
        <f t="shared" ref="H5" si="10">H4</f>
        <v>18106834</v>
      </c>
      <c r="I5" s="402">
        <f>H5-H4</f>
        <v>0</v>
      </c>
      <c r="J5" s="380">
        <f t="shared" ref="J5" si="11">J4</f>
        <v>29896978</v>
      </c>
      <c r="K5" s="402">
        <f>J5-J4</f>
        <v>0</v>
      </c>
      <c r="L5" s="380">
        <f t="shared" ref="L5" si="12">L4</f>
        <v>24716266</v>
      </c>
      <c r="M5" s="402">
        <f>L5-L4</f>
        <v>0</v>
      </c>
      <c r="N5" s="266">
        <f>M5+K5+I5+G5+E5</f>
        <v>0</v>
      </c>
      <c r="O5" s="399">
        <f t="shared" si="0"/>
        <v>0</v>
      </c>
      <c r="P5" s="526">
        <f t="shared" ref="P5" si="13">P4</f>
        <v>19706.332999999999</v>
      </c>
      <c r="Q5" s="382">
        <f t="shared" si="1"/>
        <v>0</v>
      </c>
      <c r="R5" s="474">
        <f t="shared" ref="R5:R10" si="14">+N5-Q5</f>
        <v>0</v>
      </c>
      <c r="S5" s="380">
        <f t="shared" ref="S5:S10" si="15">S4</f>
        <v>10175</v>
      </c>
      <c r="T5" s="394">
        <f t="shared" ref="T5:T10" si="16">S5-S4</f>
        <v>0</v>
      </c>
      <c r="U5" s="380">
        <f t="shared" ref="U5:U10" si="17">U4</f>
        <v>429166</v>
      </c>
      <c r="V5" s="393">
        <f t="shared" ref="V5:V10" si="18">U5-U4</f>
        <v>0</v>
      </c>
      <c r="W5" s="380">
        <v>33500</v>
      </c>
      <c r="X5" s="393">
        <f t="shared" ref="X5:X10" si="19">W5-W4</f>
        <v>0</v>
      </c>
      <c r="Y5" s="380">
        <v>1000644</v>
      </c>
      <c r="Z5" s="393">
        <f t="shared" ref="Z5:Z10" si="20">Y5-Y4</f>
        <v>1</v>
      </c>
      <c r="AA5" s="380">
        <f t="shared" ref="AA5:AA10" si="21">AA4</f>
        <v>36804</v>
      </c>
      <c r="AB5" s="393">
        <f t="shared" ref="AB5:AB10" si="22">AA5-AA4</f>
        <v>0</v>
      </c>
      <c r="AC5" s="380">
        <f t="shared" ref="AC5:AC10" si="23">AC4</f>
        <v>1173391</v>
      </c>
      <c r="AD5" s="402">
        <f>AC5-AC4</f>
        <v>0</v>
      </c>
      <c r="AE5" s="403">
        <f t="shared" ref="AE5:AE31" si="24">AB5+X5+T5</f>
        <v>0</v>
      </c>
      <c r="AF5" s="404">
        <f t="shared" si="4"/>
        <v>1</v>
      </c>
      <c r="AG5" s="397">
        <f t="shared" si="5"/>
        <v>0</v>
      </c>
      <c r="AJ5" s="473"/>
    </row>
    <row r="6" spans="1:36">
      <c r="A6" s="390">
        <f>'General information '!F7</f>
        <v>0</v>
      </c>
      <c r="B6" s="384">
        <f>SUM(230*A6)</f>
        <v>0</v>
      </c>
      <c r="C6" s="391">
        <f t="shared" si="7"/>
        <v>44929</v>
      </c>
      <c r="D6" s="380">
        <v>420600</v>
      </c>
      <c r="E6" s="497">
        <f t="shared" ref="E6:E7" si="25">D6-D5</f>
        <v>500</v>
      </c>
      <c r="F6" s="380">
        <v>4189690</v>
      </c>
      <c r="G6" s="402">
        <f t="shared" ref="G6:G7" si="26">F6-F5</f>
        <v>258</v>
      </c>
      <c r="H6" s="380">
        <v>18107186</v>
      </c>
      <c r="I6" s="402">
        <f t="shared" ref="I6:I7" si="27">H6-H5</f>
        <v>352</v>
      </c>
      <c r="J6" s="380">
        <v>29897734</v>
      </c>
      <c r="K6" s="402">
        <f t="shared" ref="K6:K7" si="28">J6-J5</f>
        <v>756</v>
      </c>
      <c r="L6" s="380">
        <v>24716864</v>
      </c>
      <c r="M6" s="402">
        <f t="shared" ref="M6:M7" si="29">L6-L5</f>
        <v>598</v>
      </c>
      <c r="N6" s="266">
        <f t="shared" ref="N6:N7" si="30">M6+K6+I6+G6+E6</f>
        <v>2464</v>
      </c>
      <c r="O6" s="399">
        <f t="shared" ref="O6:O7" si="31">IF(B6&gt;0,N6/B6,0)</f>
        <v>0</v>
      </c>
      <c r="P6" s="526">
        <v>19709.752</v>
      </c>
      <c r="Q6" s="382">
        <f t="shared" ref="Q6:Q7" si="32">(P6-P5)*1000</f>
        <v>3419.000000001688</v>
      </c>
      <c r="R6" s="474">
        <f t="shared" si="14"/>
        <v>-955.00000000168802</v>
      </c>
      <c r="S6" s="380">
        <f t="shared" si="15"/>
        <v>10175</v>
      </c>
      <c r="T6" s="394">
        <f t="shared" si="16"/>
        <v>0</v>
      </c>
      <c r="U6" s="380">
        <f t="shared" si="17"/>
        <v>429166</v>
      </c>
      <c r="V6" s="393">
        <f t="shared" si="18"/>
        <v>0</v>
      </c>
      <c r="W6" s="380">
        <v>33500</v>
      </c>
      <c r="X6" s="393">
        <f t="shared" si="19"/>
        <v>0</v>
      </c>
      <c r="Y6" s="380">
        <v>1000645</v>
      </c>
      <c r="Z6" s="393">
        <f t="shared" si="20"/>
        <v>1</v>
      </c>
      <c r="AA6" s="380">
        <f t="shared" si="21"/>
        <v>36804</v>
      </c>
      <c r="AB6" s="393">
        <f t="shared" si="22"/>
        <v>0</v>
      </c>
      <c r="AC6" s="380">
        <f t="shared" si="23"/>
        <v>1173391</v>
      </c>
      <c r="AD6" s="382">
        <f t="shared" ref="AD6:AD17" si="33">AC6-AC5</f>
        <v>0</v>
      </c>
      <c r="AE6" s="403">
        <f t="shared" si="24"/>
        <v>0</v>
      </c>
      <c r="AF6" s="404">
        <f t="shared" si="4"/>
        <v>1</v>
      </c>
      <c r="AG6" s="397">
        <f t="shared" si="5"/>
        <v>0</v>
      </c>
      <c r="AJ6" s="473"/>
    </row>
    <row r="7" spans="1:36">
      <c r="A7" s="390">
        <f>'General information '!F8</f>
        <v>0</v>
      </c>
      <c r="B7" s="384">
        <f t="shared" si="6"/>
        <v>0</v>
      </c>
      <c r="C7" s="391">
        <f t="shared" si="7"/>
        <v>44930</v>
      </c>
      <c r="D7" s="380">
        <v>421120</v>
      </c>
      <c r="E7" s="497">
        <f t="shared" si="25"/>
        <v>520</v>
      </c>
      <c r="F7" s="380">
        <v>4189979</v>
      </c>
      <c r="G7" s="402">
        <f t="shared" si="26"/>
        <v>289</v>
      </c>
      <c r="H7" s="380">
        <v>18107546</v>
      </c>
      <c r="I7" s="402">
        <f t="shared" si="27"/>
        <v>360</v>
      </c>
      <c r="J7" s="380">
        <v>29898494</v>
      </c>
      <c r="K7" s="402">
        <f t="shared" si="28"/>
        <v>760</v>
      </c>
      <c r="L7" s="380">
        <v>24717698</v>
      </c>
      <c r="M7" s="402">
        <f t="shared" si="29"/>
        <v>834</v>
      </c>
      <c r="N7" s="266">
        <f t="shared" si="30"/>
        <v>2763</v>
      </c>
      <c r="O7" s="399">
        <f t="shared" si="31"/>
        <v>0</v>
      </c>
      <c r="P7" s="526">
        <v>19712.489000000001</v>
      </c>
      <c r="Q7" s="382">
        <f t="shared" si="32"/>
        <v>2737.0000000009895</v>
      </c>
      <c r="R7" s="474">
        <f>+N7-Q7</f>
        <v>25.99999999901047</v>
      </c>
      <c r="S7" s="380">
        <f t="shared" si="15"/>
        <v>10175</v>
      </c>
      <c r="T7" s="394">
        <f t="shared" si="16"/>
        <v>0</v>
      </c>
      <c r="U7" s="380">
        <f t="shared" si="17"/>
        <v>429166</v>
      </c>
      <c r="V7" s="393">
        <f t="shared" si="18"/>
        <v>0</v>
      </c>
      <c r="W7" s="380">
        <v>33500</v>
      </c>
      <c r="X7" s="393">
        <f t="shared" si="19"/>
        <v>0</v>
      </c>
      <c r="Y7" s="380">
        <v>1000646</v>
      </c>
      <c r="Z7" s="393">
        <f t="shared" si="20"/>
        <v>1</v>
      </c>
      <c r="AA7" s="380">
        <f t="shared" si="21"/>
        <v>36804</v>
      </c>
      <c r="AB7" s="393">
        <f t="shared" si="22"/>
        <v>0</v>
      </c>
      <c r="AC7" s="380">
        <f t="shared" si="23"/>
        <v>1173391</v>
      </c>
      <c r="AD7" s="382">
        <f t="shared" si="33"/>
        <v>0</v>
      </c>
      <c r="AE7" s="403">
        <f t="shared" si="24"/>
        <v>0</v>
      </c>
      <c r="AF7" s="404">
        <f t="shared" si="4"/>
        <v>1</v>
      </c>
      <c r="AG7" s="397">
        <f t="shared" si="5"/>
        <v>0</v>
      </c>
      <c r="AJ7" s="473"/>
    </row>
    <row r="8" spans="1:36">
      <c r="A8" s="390">
        <f>'General information '!F9</f>
        <v>0</v>
      </c>
      <c r="B8" s="384">
        <f t="shared" si="6"/>
        <v>0</v>
      </c>
      <c r="C8" s="391">
        <f t="shared" si="7"/>
        <v>44931</v>
      </c>
      <c r="D8" s="380">
        <v>421580</v>
      </c>
      <c r="E8" s="497">
        <f t="shared" si="9"/>
        <v>460</v>
      </c>
      <c r="F8" s="380">
        <v>4190202</v>
      </c>
      <c r="G8" s="402">
        <f t="shared" ref="G8:G34" si="34">F8-F7</f>
        <v>223</v>
      </c>
      <c r="H8" s="380">
        <v>18107818</v>
      </c>
      <c r="I8" s="402">
        <f t="shared" ref="I8:I34" si="35">H8-H7</f>
        <v>272</v>
      </c>
      <c r="J8" s="380">
        <v>29899254</v>
      </c>
      <c r="K8" s="402">
        <f t="shared" ref="K8:K34" si="36">J8-J7</f>
        <v>760</v>
      </c>
      <c r="L8" s="380">
        <v>24718282</v>
      </c>
      <c r="M8" s="402">
        <f t="shared" ref="M8:M31" si="37">L8-L7</f>
        <v>584</v>
      </c>
      <c r="N8" s="266">
        <f>M8+K8+I8+G8+E8</f>
        <v>2299</v>
      </c>
      <c r="O8" s="399">
        <f t="shared" si="0"/>
        <v>0</v>
      </c>
      <c r="P8" s="526">
        <v>19714.830999999998</v>
      </c>
      <c r="Q8" s="382">
        <f t="shared" si="1"/>
        <v>2341.999999996915</v>
      </c>
      <c r="R8" s="474">
        <f>+N8-Q8</f>
        <v>-42.999999996914994</v>
      </c>
      <c r="S8" s="380">
        <f t="shared" si="15"/>
        <v>10175</v>
      </c>
      <c r="T8" s="394">
        <f t="shared" si="16"/>
        <v>0</v>
      </c>
      <c r="U8" s="380">
        <f t="shared" si="17"/>
        <v>429166</v>
      </c>
      <c r="V8" s="393">
        <f t="shared" si="18"/>
        <v>0</v>
      </c>
      <c r="W8" s="380">
        <v>33500</v>
      </c>
      <c r="X8" s="393">
        <f t="shared" si="19"/>
        <v>0</v>
      </c>
      <c r="Y8" s="380">
        <v>1000647</v>
      </c>
      <c r="Z8" s="393">
        <f t="shared" si="20"/>
        <v>1</v>
      </c>
      <c r="AA8" s="380">
        <f t="shared" si="21"/>
        <v>36804</v>
      </c>
      <c r="AB8" s="393">
        <f t="shared" si="22"/>
        <v>0</v>
      </c>
      <c r="AC8" s="380">
        <f t="shared" si="23"/>
        <v>1173391</v>
      </c>
      <c r="AD8" s="382">
        <f t="shared" si="33"/>
        <v>0</v>
      </c>
      <c r="AE8" s="403">
        <f t="shared" si="24"/>
        <v>0</v>
      </c>
      <c r="AF8" s="404">
        <f t="shared" si="4"/>
        <v>1</v>
      </c>
      <c r="AG8" s="397">
        <f t="shared" si="5"/>
        <v>0</v>
      </c>
      <c r="AJ8" s="473"/>
    </row>
    <row r="9" spans="1:36">
      <c r="A9" s="390">
        <f>'General information '!F10</f>
        <v>0</v>
      </c>
      <c r="B9" s="384">
        <f t="shared" si="6"/>
        <v>0</v>
      </c>
      <c r="C9" s="391">
        <f t="shared" si="7"/>
        <v>44932</v>
      </c>
      <c r="D9" s="380">
        <v>421580</v>
      </c>
      <c r="E9" s="497">
        <f t="shared" si="9"/>
        <v>0</v>
      </c>
      <c r="F9" s="380">
        <f>F8</f>
        <v>4190202</v>
      </c>
      <c r="G9" s="402">
        <f t="shared" si="34"/>
        <v>0</v>
      </c>
      <c r="H9" s="380">
        <f>H8</f>
        <v>18107818</v>
      </c>
      <c r="I9" s="402">
        <f t="shared" si="35"/>
        <v>0</v>
      </c>
      <c r="J9" s="380">
        <f>J8</f>
        <v>29899254</v>
      </c>
      <c r="K9" s="402">
        <f t="shared" si="36"/>
        <v>0</v>
      </c>
      <c r="L9" s="380">
        <f>L8</f>
        <v>24718282</v>
      </c>
      <c r="M9" s="402">
        <f t="shared" si="37"/>
        <v>0</v>
      </c>
      <c r="N9" s="266">
        <f t="shared" ref="N9:N31" si="38">M9+K9+I9+G9+E9</f>
        <v>0</v>
      </c>
      <c r="O9" s="399">
        <f t="shared" si="0"/>
        <v>0</v>
      </c>
      <c r="P9" s="526">
        <f>P8</f>
        <v>19714.830999999998</v>
      </c>
      <c r="Q9" s="382">
        <f t="shared" si="1"/>
        <v>0</v>
      </c>
      <c r="R9" s="474">
        <f t="shared" si="14"/>
        <v>0</v>
      </c>
      <c r="S9" s="380">
        <f t="shared" si="15"/>
        <v>10175</v>
      </c>
      <c r="T9" s="394">
        <f t="shared" si="16"/>
        <v>0</v>
      </c>
      <c r="U9" s="380">
        <f t="shared" si="17"/>
        <v>429166</v>
      </c>
      <c r="V9" s="393">
        <f t="shared" si="18"/>
        <v>0</v>
      </c>
      <c r="W9" s="380">
        <v>33500</v>
      </c>
      <c r="X9" s="393">
        <f t="shared" si="19"/>
        <v>0</v>
      </c>
      <c r="Y9" s="380">
        <v>1000648</v>
      </c>
      <c r="Z9" s="393">
        <f t="shared" si="20"/>
        <v>1</v>
      </c>
      <c r="AA9" s="380">
        <f t="shared" si="21"/>
        <v>36804</v>
      </c>
      <c r="AB9" s="393">
        <f t="shared" si="22"/>
        <v>0</v>
      </c>
      <c r="AC9" s="380">
        <f t="shared" si="23"/>
        <v>1173391</v>
      </c>
      <c r="AD9" s="382">
        <f t="shared" si="33"/>
        <v>0</v>
      </c>
      <c r="AE9" s="403">
        <f t="shared" si="24"/>
        <v>0</v>
      </c>
      <c r="AF9" s="404">
        <f t="shared" si="4"/>
        <v>1</v>
      </c>
      <c r="AG9" s="397">
        <f>IF(AE9&gt;0,AF9/AE9,0)</f>
        <v>0</v>
      </c>
      <c r="AJ9" s="473"/>
    </row>
    <row r="10" spans="1:36">
      <c r="A10" s="390">
        <f>'General information '!F11</f>
        <v>0</v>
      </c>
      <c r="B10" s="384">
        <f t="shared" si="6"/>
        <v>0</v>
      </c>
      <c r="C10" s="391">
        <f t="shared" si="7"/>
        <v>44933</v>
      </c>
      <c r="D10" s="380">
        <f>D9</f>
        <v>421580</v>
      </c>
      <c r="E10" s="497">
        <f t="shared" si="9"/>
        <v>0</v>
      </c>
      <c r="F10" s="380">
        <f t="shared" ref="F10" si="39">F9</f>
        <v>4190202</v>
      </c>
      <c r="G10" s="402">
        <f t="shared" si="34"/>
        <v>0</v>
      </c>
      <c r="H10" s="380">
        <f t="shared" ref="H10:H34" si="40">H9</f>
        <v>18107818</v>
      </c>
      <c r="I10" s="402">
        <f t="shared" si="35"/>
        <v>0</v>
      </c>
      <c r="J10" s="380">
        <f t="shared" ref="J10:J34" si="41">J9</f>
        <v>29899254</v>
      </c>
      <c r="K10" s="402">
        <f t="shared" si="36"/>
        <v>0</v>
      </c>
      <c r="L10" s="380">
        <f t="shared" ref="L10:L34" si="42">L9</f>
        <v>24718282</v>
      </c>
      <c r="M10" s="402">
        <f t="shared" si="37"/>
        <v>0</v>
      </c>
      <c r="N10" s="266">
        <f t="shared" si="38"/>
        <v>0</v>
      </c>
      <c r="O10" s="399">
        <f t="shared" si="0"/>
        <v>0</v>
      </c>
      <c r="P10" s="526">
        <f t="shared" ref="P10:P34" si="43">P9</f>
        <v>19714.830999999998</v>
      </c>
      <c r="Q10" s="382">
        <f t="shared" si="1"/>
        <v>0</v>
      </c>
      <c r="R10" s="474">
        <f t="shared" si="14"/>
        <v>0</v>
      </c>
      <c r="S10" s="380">
        <f t="shared" si="15"/>
        <v>10175</v>
      </c>
      <c r="T10" s="394">
        <f t="shared" si="16"/>
        <v>0</v>
      </c>
      <c r="U10" s="380">
        <f t="shared" si="17"/>
        <v>429166</v>
      </c>
      <c r="V10" s="393">
        <f t="shared" si="18"/>
        <v>0</v>
      </c>
      <c r="W10" s="380">
        <v>33500</v>
      </c>
      <c r="X10" s="393">
        <f t="shared" si="19"/>
        <v>0</v>
      </c>
      <c r="Y10" s="380">
        <v>1000649</v>
      </c>
      <c r="Z10" s="393">
        <f t="shared" si="20"/>
        <v>1</v>
      </c>
      <c r="AA10" s="380">
        <f t="shared" si="21"/>
        <v>36804</v>
      </c>
      <c r="AB10" s="393">
        <f t="shared" si="22"/>
        <v>0</v>
      </c>
      <c r="AC10" s="380">
        <f t="shared" si="23"/>
        <v>1173391</v>
      </c>
      <c r="AD10" s="382">
        <f t="shared" si="33"/>
        <v>0</v>
      </c>
      <c r="AE10" s="403">
        <f t="shared" si="24"/>
        <v>0</v>
      </c>
      <c r="AF10" s="404">
        <f t="shared" si="4"/>
        <v>1</v>
      </c>
      <c r="AG10" s="397">
        <f t="shared" si="5"/>
        <v>0</v>
      </c>
      <c r="AJ10" s="473"/>
    </row>
    <row r="11" spans="1:36">
      <c r="A11" s="390">
        <f>'General information '!F12</f>
        <v>0</v>
      </c>
      <c r="B11" s="384">
        <f t="shared" si="6"/>
        <v>0</v>
      </c>
      <c r="C11" s="391">
        <f t="shared" si="7"/>
        <v>44934</v>
      </c>
      <c r="D11" s="380">
        <v>422050</v>
      </c>
      <c r="E11" s="497">
        <f t="shared" si="9"/>
        <v>470</v>
      </c>
      <c r="F11" s="380">
        <v>4190454</v>
      </c>
      <c r="G11" s="402">
        <f t="shared" si="34"/>
        <v>252</v>
      </c>
      <c r="H11" s="380">
        <v>18108126</v>
      </c>
      <c r="I11" s="402">
        <f t="shared" si="35"/>
        <v>308</v>
      </c>
      <c r="J11" s="380">
        <v>29899922</v>
      </c>
      <c r="K11" s="402">
        <f t="shared" si="36"/>
        <v>668</v>
      </c>
      <c r="L11" s="380">
        <v>24718914</v>
      </c>
      <c r="M11" s="402">
        <f t="shared" si="37"/>
        <v>632</v>
      </c>
      <c r="N11" s="266">
        <f t="shared" si="38"/>
        <v>2330</v>
      </c>
      <c r="O11" s="399">
        <f t="shared" ref="O11:O31" si="44">IF(B11&gt;0,N11/B11,0)</f>
        <v>0</v>
      </c>
      <c r="P11" s="526">
        <v>19717.192999999999</v>
      </c>
      <c r="Q11" s="382">
        <f t="shared" si="1"/>
        <v>2362.0000000009895</v>
      </c>
      <c r="R11" s="382">
        <f t="shared" ref="R11:R18" si="45">N11-Q11</f>
        <v>-32.00000000098953</v>
      </c>
      <c r="S11" s="380">
        <f t="shared" ref="S11:S34" si="46">S10</f>
        <v>10175</v>
      </c>
      <c r="T11" s="400">
        <f t="shared" si="2"/>
        <v>0</v>
      </c>
      <c r="U11" s="380">
        <f t="shared" ref="U11:U34" si="47">U10</f>
        <v>429166</v>
      </c>
      <c r="V11" s="382">
        <f t="shared" ref="V11:V30" si="48">U11-U10</f>
        <v>0</v>
      </c>
      <c r="W11" s="380">
        <v>33501</v>
      </c>
      <c r="X11" s="382">
        <f t="shared" ref="X11:X31" si="49">W11-W10</f>
        <v>1</v>
      </c>
      <c r="Y11" s="380">
        <v>1000894</v>
      </c>
      <c r="Z11" s="382">
        <f t="shared" ref="Z11:Z31" si="50">Y11-Y10</f>
        <v>245</v>
      </c>
      <c r="AA11" s="380">
        <f t="shared" ref="AA11:AA34" si="51">AA10</f>
        <v>36804</v>
      </c>
      <c r="AB11" s="382">
        <f t="shared" ref="AB11:AB31" si="52">AA11-AA10</f>
        <v>0</v>
      </c>
      <c r="AC11" s="380">
        <f t="shared" ref="AC11:AC34" si="53">AC10</f>
        <v>1173391</v>
      </c>
      <c r="AD11" s="382">
        <f t="shared" si="33"/>
        <v>0</v>
      </c>
      <c r="AE11" s="403">
        <f t="shared" si="24"/>
        <v>1</v>
      </c>
      <c r="AF11" s="404">
        <f t="shared" si="4"/>
        <v>245</v>
      </c>
      <c r="AG11" s="397">
        <f t="shared" ref="AG11:AG32" si="54">IF(AE11&gt;0,AF11/AE11,0)</f>
        <v>245</v>
      </c>
      <c r="AJ11" s="473"/>
    </row>
    <row r="12" spans="1:36">
      <c r="A12" s="390">
        <f>'General information '!F13</f>
        <v>0</v>
      </c>
      <c r="B12" s="384">
        <f>SUM(230*A12)</f>
        <v>0</v>
      </c>
      <c r="C12" s="391">
        <f t="shared" si="7"/>
        <v>44935</v>
      </c>
      <c r="D12" s="380">
        <v>422660</v>
      </c>
      <c r="E12" s="497">
        <f>D12-D11</f>
        <v>610</v>
      </c>
      <c r="F12" s="380">
        <v>4190822</v>
      </c>
      <c r="G12" s="402">
        <f t="shared" si="34"/>
        <v>368</v>
      </c>
      <c r="H12" s="380">
        <v>18108520</v>
      </c>
      <c r="I12" s="402">
        <f t="shared" si="35"/>
        <v>394</v>
      </c>
      <c r="J12" s="380">
        <v>29900726</v>
      </c>
      <c r="K12" s="402">
        <f t="shared" si="36"/>
        <v>804</v>
      </c>
      <c r="L12" s="380">
        <v>24719802</v>
      </c>
      <c r="M12" s="402">
        <f t="shared" si="37"/>
        <v>888</v>
      </c>
      <c r="N12" s="266">
        <f>M12+K12+I12+G12+E12</f>
        <v>3064</v>
      </c>
      <c r="O12" s="399">
        <f t="shared" si="44"/>
        <v>0</v>
      </c>
      <c r="P12" s="526">
        <v>19720.326000000001</v>
      </c>
      <c r="Q12" s="382">
        <f t="shared" si="1"/>
        <v>3133.0000000016298</v>
      </c>
      <c r="R12" s="506">
        <f>N12-Q12</f>
        <v>-69.000000001629815</v>
      </c>
      <c r="S12" s="380">
        <f t="shared" si="46"/>
        <v>10175</v>
      </c>
      <c r="T12" s="400">
        <f t="shared" si="2"/>
        <v>0</v>
      </c>
      <c r="U12" s="380">
        <f t="shared" si="47"/>
        <v>429166</v>
      </c>
      <c r="V12" s="382">
        <f t="shared" si="48"/>
        <v>0</v>
      </c>
      <c r="W12" s="380">
        <f>W11</f>
        <v>33501</v>
      </c>
      <c r="X12" s="382">
        <f t="shared" si="49"/>
        <v>0</v>
      </c>
      <c r="Y12" s="380">
        <f>Y11</f>
        <v>1000894</v>
      </c>
      <c r="Z12" s="382">
        <f t="shared" si="50"/>
        <v>0</v>
      </c>
      <c r="AA12" s="380">
        <f t="shared" si="51"/>
        <v>36804</v>
      </c>
      <c r="AB12" s="382">
        <f t="shared" si="52"/>
        <v>0</v>
      </c>
      <c r="AC12" s="380">
        <f t="shared" si="53"/>
        <v>1173391</v>
      </c>
      <c r="AD12" s="382">
        <f t="shared" si="33"/>
        <v>0</v>
      </c>
      <c r="AE12" s="403">
        <f t="shared" si="24"/>
        <v>0</v>
      </c>
      <c r="AF12" s="404">
        <f t="shared" si="4"/>
        <v>0</v>
      </c>
      <c r="AG12" s="397">
        <f t="shared" si="54"/>
        <v>0</v>
      </c>
      <c r="AJ12" s="473"/>
    </row>
    <row r="13" spans="1:36">
      <c r="A13" s="390">
        <f>'General information '!F14</f>
        <v>0</v>
      </c>
      <c r="B13" s="384">
        <f t="shared" si="6"/>
        <v>0</v>
      </c>
      <c r="C13" s="391">
        <f t="shared" si="7"/>
        <v>44936</v>
      </c>
      <c r="D13" s="380">
        <v>423280</v>
      </c>
      <c r="E13" s="497">
        <f t="shared" si="9"/>
        <v>620</v>
      </c>
      <c r="F13" s="380">
        <v>4191178</v>
      </c>
      <c r="G13" s="402">
        <f t="shared" si="34"/>
        <v>356</v>
      </c>
      <c r="H13" s="380">
        <v>18108884</v>
      </c>
      <c r="I13" s="402">
        <f t="shared" si="35"/>
        <v>364</v>
      </c>
      <c r="J13" s="380">
        <v>29901478</v>
      </c>
      <c r="K13" s="402">
        <f t="shared" si="36"/>
        <v>752</v>
      </c>
      <c r="L13" s="380">
        <v>24720618</v>
      </c>
      <c r="M13" s="402">
        <f t="shared" si="37"/>
        <v>816</v>
      </c>
      <c r="N13" s="266">
        <f>M13+K13+I13+G13+E13</f>
        <v>2908</v>
      </c>
      <c r="O13" s="399">
        <f t="shared" si="44"/>
        <v>0</v>
      </c>
      <c r="P13" s="526">
        <v>19723.284</v>
      </c>
      <c r="Q13" s="382">
        <f t="shared" si="1"/>
        <v>2957.9999999987194</v>
      </c>
      <c r="R13" s="382">
        <f t="shared" si="45"/>
        <v>-49.999999998719431</v>
      </c>
      <c r="S13" s="380">
        <f t="shared" si="46"/>
        <v>10175</v>
      </c>
      <c r="T13" s="400">
        <f t="shared" si="2"/>
        <v>0</v>
      </c>
      <c r="U13" s="380">
        <f t="shared" si="47"/>
        <v>429166</v>
      </c>
      <c r="V13" s="382">
        <f t="shared" si="48"/>
        <v>0</v>
      </c>
      <c r="W13" s="380">
        <f t="shared" ref="W13:W34" si="55">W12</f>
        <v>33501</v>
      </c>
      <c r="X13" s="382">
        <f t="shared" si="49"/>
        <v>0</v>
      </c>
      <c r="Y13" s="380">
        <f t="shared" ref="Y13:Y18" si="56">Y12</f>
        <v>1000894</v>
      </c>
      <c r="Z13" s="382">
        <f t="shared" si="50"/>
        <v>0</v>
      </c>
      <c r="AA13" s="380">
        <f t="shared" si="51"/>
        <v>36804</v>
      </c>
      <c r="AB13" s="382">
        <f t="shared" si="52"/>
        <v>0</v>
      </c>
      <c r="AC13" s="380">
        <f t="shared" si="53"/>
        <v>1173391</v>
      </c>
      <c r="AD13" s="382">
        <f t="shared" si="33"/>
        <v>0</v>
      </c>
      <c r="AE13" s="403">
        <f t="shared" si="24"/>
        <v>0</v>
      </c>
      <c r="AF13" s="404">
        <f t="shared" si="4"/>
        <v>0</v>
      </c>
      <c r="AG13" s="397">
        <f t="shared" si="54"/>
        <v>0</v>
      </c>
      <c r="AJ13" s="473"/>
    </row>
    <row r="14" spans="1:36">
      <c r="A14" s="390">
        <f>'General information '!F15</f>
        <v>0</v>
      </c>
      <c r="B14" s="384">
        <f t="shared" si="6"/>
        <v>0</v>
      </c>
      <c r="C14" s="391">
        <f t="shared" si="7"/>
        <v>44937</v>
      </c>
      <c r="D14" s="380">
        <v>423700</v>
      </c>
      <c r="E14" s="497">
        <f t="shared" si="9"/>
        <v>420</v>
      </c>
      <c r="F14" s="380">
        <v>4191413</v>
      </c>
      <c r="G14" s="402">
        <f t="shared" si="34"/>
        <v>235</v>
      </c>
      <c r="H14" s="380">
        <v>18109122</v>
      </c>
      <c r="I14" s="402">
        <f t="shared" si="35"/>
        <v>238</v>
      </c>
      <c r="J14" s="380">
        <v>29901942</v>
      </c>
      <c r="K14" s="402">
        <f t="shared" si="36"/>
        <v>464</v>
      </c>
      <c r="L14" s="380">
        <v>24721100</v>
      </c>
      <c r="M14" s="402">
        <f t="shared" si="37"/>
        <v>482</v>
      </c>
      <c r="N14" s="266">
        <f>M14+K14+I14+G14+E14</f>
        <v>1839</v>
      </c>
      <c r="O14" s="399">
        <f t="shared" si="44"/>
        <v>0</v>
      </c>
      <c r="P14" s="526">
        <v>19724.741000000002</v>
      </c>
      <c r="Q14" s="382">
        <f t="shared" si="1"/>
        <v>1457.0000000021537</v>
      </c>
      <c r="R14" s="382">
        <f t="shared" si="45"/>
        <v>381.99999999784632</v>
      </c>
      <c r="S14" s="380">
        <f t="shared" si="46"/>
        <v>10175</v>
      </c>
      <c r="T14" s="400">
        <f t="shared" si="2"/>
        <v>0</v>
      </c>
      <c r="U14" s="380">
        <f t="shared" si="47"/>
        <v>429166</v>
      </c>
      <c r="V14" s="382">
        <f t="shared" si="48"/>
        <v>0</v>
      </c>
      <c r="W14" s="380">
        <f t="shared" si="55"/>
        <v>33501</v>
      </c>
      <c r="X14" s="382">
        <f t="shared" si="49"/>
        <v>0</v>
      </c>
      <c r="Y14" s="380">
        <f t="shared" si="56"/>
        <v>1000894</v>
      </c>
      <c r="Z14" s="382">
        <f t="shared" si="50"/>
        <v>0</v>
      </c>
      <c r="AA14" s="380">
        <f t="shared" si="51"/>
        <v>36804</v>
      </c>
      <c r="AB14" s="382">
        <f t="shared" si="52"/>
        <v>0</v>
      </c>
      <c r="AC14" s="380">
        <f t="shared" si="53"/>
        <v>1173391</v>
      </c>
      <c r="AD14" s="382">
        <f t="shared" si="33"/>
        <v>0</v>
      </c>
      <c r="AE14" s="403">
        <f t="shared" si="24"/>
        <v>0</v>
      </c>
      <c r="AF14" s="404">
        <f t="shared" si="4"/>
        <v>0</v>
      </c>
      <c r="AG14" s="397">
        <f t="shared" si="54"/>
        <v>0</v>
      </c>
      <c r="AJ14" s="473"/>
    </row>
    <row r="15" spans="1:36">
      <c r="A15" s="390">
        <f>'General information '!F16</f>
        <v>0</v>
      </c>
      <c r="B15" s="384">
        <f t="shared" si="6"/>
        <v>0</v>
      </c>
      <c r="C15" s="391">
        <f t="shared" si="7"/>
        <v>44938</v>
      </c>
      <c r="D15" s="380">
        <v>424510</v>
      </c>
      <c r="E15" s="497">
        <f t="shared" si="9"/>
        <v>810</v>
      </c>
      <c r="F15" s="380">
        <v>4191910</v>
      </c>
      <c r="G15" s="402">
        <f t="shared" si="34"/>
        <v>497</v>
      </c>
      <c r="H15" s="380">
        <v>18109805</v>
      </c>
      <c r="I15" s="402">
        <f t="shared" si="35"/>
        <v>683</v>
      </c>
      <c r="J15" s="380">
        <v>29903284</v>
      </c>
      <c r="K15" s="402">
        <f t="shared" si="36"/>
        <v>1342</v>
      </c>
      <c r="L15" s="380">
        <v>24722320</v>
      </c>
      <c r="M15" s="402">
        <f t="shared" si="37"/>
        <v>1220</v>
      </c>
      <c r="N15" s="266">
        <f t="shared" si="38"/>
        <v>4552</v>
      </c>
      <c r="O15" s="399">
        <f t="shared" si="44"/>
        <v>0</v>
      </c>
      <c r="P15" s="526">
        <v>19727.982</v>
      </c>
      <c r="Q15" s="382">
        <f t="shared" si="1"/>
        <v>3240.9999999981665</v>
      </c>
      <c r="R15" s="506">
        <f>N15-Q15</f>
        <v>1311.0000000018335</v>
      </c>
      <c r="S15" s="380">
        <f t="shared" si="46"/>
        <v>10175</v>
      </c>
      <c r="T15" s="400">
        <f t="shared" si="2"/>
        <v>0</v>
      </c>
      <c r="U15" s="380">
        <f t="shared" si="47"/>
        <v>429166</v>
      </c>
      <c r="V15" s="382">
        <f t="shared" si="48"/>
        <v>0</v>
      </c>
      <c r="W15" s="380">
        <f t="shared" si="55"/>
        <v>33501</v>
      </c>
      <c r="X15" s="382">
        <f t="shared" si="49"/>
        <v>0</v>
      </c>
      <c r="Y15" s="380">
        <f t="shared" si="56"/>
        <v>1000894</v>
      </c>
      <c r="Z15" s="382">
        <f t="shared" si="50"/>
        <v>0</v>
      </c>
      <c r="AA15" s="380">
        <f t="shared" si="51"/>
        <v>36804</v>
      </c>
      <c r="AB15" s="382">
        <f t="shared" si="52"/>
        <v>0</v>
      </c>
      <c r="AC15" s="380">
        <f t="shared" si="53"/>
        <v>1173391</v>
      </c>
      <c r="AD15" s="382">
        <f t="shared" si="33"/>
        <v>0</v>
      </c>
      <c r="AE15" s="403">
        <f t="shared" si="24"/>
        <v>0</v>
      </c>
      <c r="AF15" s="404">
        <f t="shared" si="4"/>
        <v>0</v>
      </c>
      <c r="AG15" s="397">
        <f t="shared" si="54"/>
        <v>0</v>
      </c>
      <c r="AJ15" s="473"/>
    </row>
    <row r="16" spans="1:36">
      <c r="A16" s="390">
        <f>'General information '!F17</f>
        <v>0</v>
      </c>
      <c r="B16" s="384">
        <f t="shared" si="6"/>
        <v>0</v>
      </c>
      <c r="C16" s="391">
        <f t="shared" si="7"/>
        <v>44939</v>
      </c>
      <c r="D16" s="380">
        <f t="shared" ref="D16:D34" si="57">D15</f>
        <v>424510</v>
      </c>
      <c r="E16" s="497">
        <f t="shared" si="9"/>
        <v>0</v>
      </c>
      <c r="F16" s="380">
        <f t="shared" ref="F16:F34" si="58">F15</f>
        <v>4191910</v>
      </c>
      <c r="G16" s="402">
        <f t="shared" si="34"/>
        <v>0</v>
      </c>
      <c r="H16" s="380">
        <f>H15</f>
        <v>18109805</v>
      </c>
      <c r="I16" s="402">
        <f t="shared" si="35"/>
        <v>0</v>
      </c>
      <c r="J16" s="380">
        <f t="shared" si="41"/>
        <v>29903284</v>
      </c>
      <c r="K16" s="402">
        <f t="shared" si="36"/>
        <v>0</v>
      </c>
      <c r="L16" s="380">
        <f t="shared" si="42"/>
        <v>24722320</v>
      </c>
      <c r="M16" s="402">
        <f t="shared" si="37"/>
        <v>0</v>
      </c>
      <c r="N16" s="266">
        <f t="shared" si="38"/>
        <v>0</v>
      </c>
      <c r="O16" s="399">
        <f t="shared" si="44"/>
        <v>0</v>
      </c>
      <c r="P16" s="526">
        <f t="shared" si="43"/>
        <v>19727.982</v>
      </c>
      <c r="Q16" s="382">
        <f t="shared" si="1"/>
        <v>0</v>
      </c>
      <c r="R16" s="382">
        <f t="shared" si="45"/>
        <v>0</v>
      </c>
      <c r="S16" s="380">
        <f t="shared" si="46"/>
        <v>10175</v>
      </c>
      <c r="T16" s="400">
        <f t="shared" si="2"/>
        <v>0</v>
      </c>
      <c r="U16" s="380">
        <f t="shared" si="47"/>
        <v>429166</v>
      </c>
      <c r="V16" s="382">
        <f t="shared" si="48"/>
        <v>0</v>
      </c>
      <c r="W16" s="380">
        <f t="shared" si="55"/>
        <v>33501</v>
      </c>
      <c r="X16" s="382">
        <f t="shared" si="49"/>
        <v>0</v>
      </c>
      <c r="Y16" s="380">
        <f t="shared" si="56"/>
        <v>1000894</v>
      </c>
      <c r="Z16" s="382">
        <f t="shared" si="50"/>
        <v>0</v>
      </c>
      <c r="AA16" s="380">
        <f t="shared" si="51"/>
        <v>36804</v>
      </c>
      <c r="AB16" s="382">
        <f t="shared" si="52"/>
        <v>0</v>
      </c>
      <c r="AC16" s="380">
        <f t="shared" si="53"/>
        <v>1173391</v>
      </c>
      <c r="AD16" s="382">
        <f t="shared" si="33"/>
        <v>0</v>
      </c>
      <c r="AE16" s="403">
        <f t="shared" si="24"/>
        <v>0</v>
      </c>
      <c r="AF16" s="404">
        <f t="shared" si="4"/>
        <v>0</v>
      </c>
      <c r="AG16" s="397">
        <f t="shared" si="54"/>
        <v>0</v>
      </c>
      <c r="AJ16" s="473"/>
    </row>
    <row r="17" spans="1:36">
      <c r="A17" s="390">
        <f>'General information '!F18</f>
        <v>0</v>
      </c>
      <c r="B17" s="384">
        <f t="shared" si="6"/>
        <v>0</v>
      </c>
      <c r="C17" s="391">
        <f t="shared" si="7"/>
        <v>44940</v>
      </c>
      <c r="D17" s="380">
        <f t="shared" si="57"/>
        <v>424510</v>
      </c>
      <c r="E17" s="497">
        <f t="shared" si="9"/>
        <v>0</v>
      </c>
      <c r="F17" s="380">
        <f t="shared" si="58"/>
        <v>4191910</v>
      </c>
      <c r="G17" s="402">
        <f t="shared" si="34"/>
        <v>0</v>
      </c>
      <c r="H17" s="380">
        <f t="shared" si="40"/>
        <v>18109805</v>
      </c>
      <c r="I17" s="402">
        <f t="shared" si="35"/>
        <v>0</v>
      </c>
      <c r="J17" s="380">
        <f t="shared" si="41"/>
        <v>29903284</v>
      </c>
      <c r="K17" s="402">
        <f t="shared" si="36"/>
        <v>0</v>
      </c>
      <c r="L17" s="380">
        <f t="shared" si="42"/>
        <v>24722320</v>
      </c>
      <c r="M17" s="402">
        <f t="shared" si="37"/>
        <v>0</v>
      </c>
      <c r="N17" s="266">
        <f t="shared" si="38"/>
        <v>0</v>
      </c>
      <c r="O17" s="399">
        <f t="shared" si="44"/>
        <v>0</v>
      </c>
      <c r="P17" s="526">
        <f t="shared" si="43"/>
        <v>19727.982</v>
      </c>
      <c r="Q17" s="382">
        <f t="shared" si="1"/>
        <v>0</v>
      </c>
      <c r="R17" s="382">
        <f t="shared" si="45"/>
        <v>0</v>
      </c>
      <c r="S17" s="380">
        <f t="shared" si="46"/>
        <v>10175</v>
      </c>
      <c r="T17" s="400">
        <f t="shared" si="2"/>
        <v>0</v>
      </c>
      <c r="U17" s="380">
        <f t="shared" si="47"/>
        <v>429166</v>
      </c>
      <c r="V17" s="382">
        <f t="shared" si="48"/>
        <v>0</v>
      </c>
      <c r="W17" s="380">
        <f t="shared" si="55"/>
        <v>33501</v>
      </c>
      <c r="X17" s="382">
        <f>W17-W16</f>
        <v>0</v>
      </c>
      <c r="Y17" s="380">
        <f t="shared" si="56"/>
        <v>1000894</v>
      </c>
      <c r="Z17" s="382">
        <f>Y17-Y16</f>
        <v>0</v>
      </c>
      <c r="AA17" s="380">
        <f t="shared" si="51"/>
        <v>36804</v>
      </c>
      <c r="AB17" s="382">
        <f>AA17-AA16</f>
        <v>0</v>
      </c>
      <c r="AC17" s="380">
        <f t="shared" si="53"/>
        <v>1173391</v>
      </c>
      <c r="AD17" s="382">
        <f t="shared" si="33"/>
        <v>0</v>
      </c>
      <c r="AE17" s="403">
        <f t="shared" si="24"/>
        <v>0</v>
      </c>
      <c r="AF17" s="404">
        <f t="shared" si="4"/>
        <v>0</v>
      </c>
      <c r="AG17" s="397">
        <f t="shared" si="54"/>
        <v>0</v>
      </c>
      <c r="AJ17" s="473"/>
    </row>
    <row r="18" spans="1:36">
      <c r="A18" s="390">
        <f>'General information '!F19</f>
        <v>0</v>
      </c>
      <c r="B18" s="384">
        <f t="shared" si="6"/>
        <v>0</v>
      </c>
      <c r="C18" s="391">
        <f t="shared" si="7"/>
        <v>44941</v>
      </c>
      <c r="D18" s="380">
        <v>425910</v>
      </c>
      <c r="E18" s="497">
        <f t="shared" si="9"/>
        <v>1400</v>
      </c>
      <c r="F18" s="380">
        <v>4192142</v>
      </c>
      <c r="G18" s="402">
        <f t="shared" si="34"/>
        <v>232</v>
      </c>
      <c r="H18" s="380">
        <v>18110010</v>
      </c>
      <c r="I18" s="402">
        <f t="shared" si="35"/>
        <v>205</v>
      </c>
      <c r="J18" s="380">
        <v>29903642</v>
      </c>
      <c r="K18" s="402">
        <f t="shared" si="36"/>
        <v>358</v>
      </c>
      <c r="L18" s="380">
        <v>24722772</v>
      </c>
      <c r="M18" s="402">
        <f t="shared" si="37"/>
        <v>452</v>
      </c>
      <c r="N18" s="266">
        <f>M18+K18+I18+G18+E18</f>
        <v>2647</v>
      </c>
      <c r="O18" s="399">
        <f t="shared" si="44"/>
        <v>0</v>
      </c>
      <c r="P18" s="526">
        <v>19732.078000000001</v>
      </c>
      <c r="Q18" s="382">
        <f t="shared" si="1"/>
        <v>4096.0000000013679</v>
      </c>
      <c r="R18" s="382">
        <f t="shared" si="45"/>
        <v>-1449.0000000013679</v>
      </c>
      <c r="S18" s="380">
        <f t="shared" si="46"/>
        <v>10175</v>
      </c>
      <c r="T18" s="400">
        <f t="shared" si="2"/>
        <v>0</v>
      </c>
      <c r="U18" s="380">
        <f t="shared" si="47"/>
        <v>429166</v>
      </c>
      <c r="V18" s="382">
        <f t="shared" si="48"/>
        <v>0</v>
      </c>
      <c r="W18" s="380">
        <f t="shared" si="55"/>
        <v>33501</v>
      </c>
      <c r="X18" s="382">
        <f t="shared" si="49"/>
        <v>0</v>
      </c>
      <c r="Y18" s="380">
        <f t="shared" si="56"/>
        <v>1000894</v>
      </c>
      <c r="Z18" s="382">
        <f t="shared" si="50"/>
        <v>0</v>
      </c>
      <c r="AA18" s="380">
        <f t="shared" si="51"/>
        <v>36804</v>
      </c>
      <c r="AB18" s="382">
        <f t="shared" si="52"/>
        <v>0</v>
      </c>
      <c r="AC18" s="380">
        <f t="shared" si="53"/>
        <v>1173391</v>
      </c>
      <c r="AD18" s="382">
        <f t="shared" ref="AD18:AD31" si="59">AC18-AC17</f>
        <v>0</v>
      </c>
      <c r="AE18" s="403">
        <f t="shared" si="24"/>
        <v>0</v>
      </c>
      <c r="AF18" s="404">
        <f t="shared" si="4"/>
        <v>0</v>
      </c>
      <c r="AG18" s="397">
        <f t="shared" si="54"/>
        <v>0</v>
      </c>
      <c r="AJ18" s="473"/>
    </row>
    <row r="19" spans="1:36">
      <c r="A19" s="390">
        <f>'General information '!F20</f>
        <v>0</v>
      </c>
      <c r="B19" s="384">
        <f t="shared" si="6"/>
        <v>0</v>
      </c>
      <c r="C19" s="391">
        <f t="shared" si="7"/>
        <v>44942</v>
      </c>
      <c r="D19" s="380">
        <v>427040</v>
      </c>
      <c r="E19" s="497">
        <f t="shared" si="9"/>
        <v>1130</v>
      </c>
      <c r="F19" s="380">
        <v>4192454</v>
      </c>
      <c r="G19" s="402">
        <f t="shared" si="34"/>
        <v>312</v>
      </c>
      <c r="H19" s="380">
        <v>18110434</v>
      </c>
      <c r="I19" s="402">
        <f t="shared" si="35"/>
        <v>424</v>
      </c>
      <c r="J19" s="380">
        <v>29904400</v>
      </c>
      <c r="K19" s="402">
        <f t="shared" si="36"/>
        <v>758</v>
      </c>
      <c r="L19" s="380">
        <v>24723458</v>
      </c>
      <c r="M19" s="402">
        <f t="shared" si="37"/>
        <v>686</v>
      </c>
      <c r="N19" s="266">
        <f t="shared" si="38"/>
        <v>3310</v>
      </c>
      <c r="O19" s="399">
        <f t="shared" si="44"/>
        <v>0</v>
      </c>
      <c r="P19" s="526">
        <v>19735.41</v>
      </c>
      <c r="Q19" s="382">
        <f>(P19-P18)*1000</f>
        <v>3331.9999999985157</v>
      </c>
      <c r="R19" s="506">
        <f>N19-Q19</f>
        <v>-21.999999998515705</v>
      </c>
      <c r="S19" s="380">
        <f t="shared" si="46"/>
        <v>10175</v>
      </c>
      <c r="T19" s="400">
        <f t="shared" si="2"/>
        <v>0</v>
      </c>
      <c r="U19" s="380">
        <f t="shared" si="47"/>
        <v>429166</v>
      </c>
      <c r="V19" s="382">
        <f t="shared" si="48"/>
        <v>0</v>
      </c>
      <c r="W19" s="380">
        <v>33502</v>
      </c>
      <c r="X19" s="382">
        <f t="shared" si="49"/>
        <v>1</v>
      </c>
      <c r="Y19" s="380">
        <v>1001172</v>
      </c>
      <c r="Z19" s="382">
        <f t="shared" si="50"/>
        <v>278</v>
      </c>
      <c r="AA19" s="380">
        <f t="shared" si="51"/>
        <v>36804</v>
      </c>
      <c r="AB19" s="382">
        <f t="shared" si="52"/>
        <v>0</v>
      </c>
      <c r="AC19" s="380">
        <f t="shared" si="53"/>
        <v>1173391</v>
      </c>
      <c r="AD19" s="382">
        <f t="shared" si="59"/>
        <v>0</v>
      </c>
      <c r="AE19" s="403">
        <f t="shared" si="24"/>
        <v>1</v>
      </c>
      <c r="AF19" s="404">
        <f t="shared" si="4"/>
        <v>278</v>
      </c>
      <c r="AG19" s="397">
        <f t="shared" si="54"/>
        <v>278</v>
      </c>
      <c r="AJ19" s="473"/>
    </row>
    <row r="20" spans="1:36">
      <c r="A20" s="390">
        <f>'General information '!F21</f>
        <v>0</v>
      </c>
      <c r="B20" s="384">
        <f t="shared" si="6"/>
        <v>0</v>
      </c>
      <c r="C20" s="391">
        <f t="shared" si="7"/>
        <v>44943</v>
      </c>
      <c r="D20" s="380">
        <v>427980</v>
      </c>
      <c r="E20" s="497">
        <f t="shared" si="9"/>
        <v>940</v>
      </c>
      <c r="F20" s="380">
        <v>4192751</v>
      </c>
      <c r="G20" s="402">
        <f t="shared" si="34"/>
        <v>297</v>
      </c>
      <c r="H20" s="380">
        <v>18110854</v>
      </c>
      <c r="I20" s="402">
        <f t="shared" si="35"/>
        <v>420</v>
      </c>
      <c r="J20" s="380">
        <v>29905286</v>
      </c>
      <c r="K20" s="402">
        <f t="shared" si="36"/>
        <v>886</v>
      </c>
      <c r="L20" s="380">
        <v>24724194</v>
      </c>
      <c r="M20" s="402">
        <f t="shared" si="37"/>
        <v>736</v>
      </c>
      <c r="N20" s="266">
        <f t="shared" si="38"/>
        <v>3279</v>
      </c>
      <c r="O20" s="399">
        <f t="shared" si="44"/>
        <v>0</v>
      </c>
      <c r="P20" s="526">
        <v>19738.582999999999</v>
      </c>
      <c r="Q20" s="382">
        <f>(P20-P19)*1000</f>
        <v>3172.999999998865</v>
      </c>
      <c r="R20" s="506">
        <f>N20-Q20</f>
        <v>106.00000000113505</v>
      </c>
      <c r="S20" s="380">
        <f t="shared" si="46"/>
        <v>10175</v>
      </c>
      <c r="T20" s="400">
        <f t="shared" si="2"/>
        <v>0</v>
      </c>
      <c r="U20" s="380">
        <f t="shared" si="47"/>
        <v>429166</v>
      </c>
      <c r="V20" s="382">
        <f t="shared" si="48"/>
        <v>0</v>
      </c>
      <c r="W20" s="380">
        <f t="shared" si="55"/>
        <v>33502</v>
      </c>
      <c r="X20" s="382">
        <f t="shared" si="49"/>
        <v>0</v>
      </c>
      <c r="Y20" s="380">
        <f>Y19</f>
        <v>1001172</v>
      </c>
      <c r="Z20" s="382">
        <f t="shared" si="50"/>
        <v>0</v>
      </c>
      <c r="AA20" s="380">
        <f t="shared" si="51"/>
        <v>36804</v>
      </c>
      <c r="AB20" s="382">
        <f t="shared" si="52"/>
        <v>0</v>
      </c>
      <c r="AC20" s="380">
        <f t="shared" si="53"/>
        <v>1173391</v>
      </c>
      <c r="AD20" s="382">
        <f t="shared" si="59"/>
        <v>0</v>
      </c>
      <c r="AE20" s="403">
        <f t="shared" si="24"/>
        <v>0</v>
      </c>
      <c r="AF20" s="404">
        <f t="shared" si="4"/>
        <v>0</v>
      </c>
      <c r="AG20" s="397">
        <f t="shared" si="54"/>
        <v>0</v>
      </c>
      <c r="AJ20" s="473"/>
    </row>
    <row r="21" spans="1:36">
      <c r="A21" s="390">
        <f>'General information '!F22</f>
        <v>0</v>
      </c>
      <c r="B21" s="384">
        <f t="shared" si="6"/>
        <v>0</v>
      </c>
      <c r="C21" s="391">
        <f t="shared" si="7"/>
        <v>44944</v>
      </c>
      <c r="D21" s="380">
        <v>428980</v>
      </c>
      <c r="E21" s="497">
        <f t="shared" si="9"/>
        <v>1000</v>
      </c>
      <c r="F21" s="380">
        <v>4193101</v>
      </c>
      <c r="G21" s="402">
        <f t="shared" si="34"/>
        <v>350</v>
      </c>
      <c r="H21" s="380">
        <v>18111312</v>
      </c>
      <c r="I21" s="402">
        <f t="shared" si="35"/>
        <v>458</v>
      </c>
      <c r="J21" s="380">
        <v>29906106</v>
      </c>
      <c r="K21" s="402">
        <f t="shared" si="36"/>
        <v>820</v>
      </c>
      <c r="L21" s="380">
        <v>24725070</v>
      </c>
      <c r="M21" s="402">
        <f t="shared" si="37"/>
        <v>876</v>
      </c>
      <c r="N21" s="266">
        <f t="shared" si="38"/>
        <v>3504</v>
      </c>
      <c r="O21" s="399">
        <f t="shared" si="44"/>
        <v>0</v>
      </c>
      <c r="P21" s="526">
        <v>19742.163</v>
      </c>
      <c r="Q21" s="382">
        <f t="shared" si="1"/>
        <v>3580.0000000017462</v>
      </c>
      <c r="R21" s="506">
        <f t="shared" ref="R21:R31" si="60">N21-Q21</f>
        <v>-76.00000000174623</v>
      </c>
      <c r="S21" s="380">
        <f t="shared" si="46"/>
        <v>10175</v>
      </c>
      <c r="T21" s="400">
        <f t="shared" si="2"/>
        <v>0</v>
      </c>
      <c r="U21" s="380">
        <f t="shared" si="47"/>
        <v>429166</v>
      </c>
      <c r="V21" s="382">
        <f t="shared" si="48"/>
        <v>0</v>
      </c>
      <c r="W21" s="380">
        <f t="shared" si="55"/>
        <v>33502</v>
      </c>
      <c r="X21" s="382">
        <f t="shared" si="49"/>
        <v>0</v>
      </c>
      <c r="Y21" s="380">
        <f t="shared" ref="Y21:Y34" si="61">Y20</f>
        <v>1001172</v>
      </c>
      <c r="Z21" s="382">
        <f t="shared" si="50"/>
        <v>0</v>
      </c>
      <c r="AA21" s="380">
        <f t="shared" si="51"/>
        <v>36804</v>
      </c>
      <c r="AB21" s="382">
        <f t="shared" si="52"/>
        <v>0</v>
      </c>
      <c r="AC21" s="380">
        <f t="shared" si="53"/>
        <v>1173391</v>
      </c>
      <c r="AD21" s="382">
        <f t="shared" si="59"/>
        <v>0</v>
      </c>
      <c r="AE21" s="403">
        <f t="shared" si="24"/>
        <v>0</v>
      </c>
      <c r="AF21" s="404">
        <f t="shared" si="4"/>
        <v>0</v>
      </c>
      <c r="AG21" s="397">
        <f t="shared" si="54"/>
        <v>0</v>
      </c>
      <c r="AJ21" s="473"/>
    </row>
    <row r="22" spans="1:36">
      <c r="A22" s="390">
        <f>'General information '!F23</f>
        <v>0</v>
      </c>
      <c r="B22" s="384">
        <f t="shared" si="6"/>
        <v>0</v>
      </c>
      <c r="C22" s="391">
        <f t="shared" si="7"/>
        <v>44945</v>
      </c>
      <c r="D22" s="380">
        <v>429890</v>
      </c>
      <c r="E22" s="497">
        <f t="shared" si="9"/>
        <v>910</v>
      </c>
      <c r="F22" s="380">
        <v>4193384</v>
      </c>
      <c r="G22" s="402">
        <f t="shared" ref="G22" si="62">F22-F21</f>
        <v>283</v>
      </c>
      <c r="H22" s="380">
        <v>18111716</v>
      </c>
      <c r="I22" s="402">
        <f t="shared" si="35"/>
        <v>404</v>
      </c>
      <c r="J22" s="380">
        <v>29906942</v>
      </c>
      <c r="K22" s="402">
        <f t="shared" ref="K22" si="63">J22-J21</f>
        <v>836</v>
      </c>
      <c r="L22" s="380">
        <v>24725866</v>
      </c>
      <c r="M22" s="402">
        <f t="shared" ref="M22" si="64">L22-L21</f>
        <v>796</v>
      </c>
      <c r="N22" s="266">
        <f t="shared" ref="N22" si="65">M22+K22+I22+G22+E22</f>
        <v>3229</v>
      </c>
      <c r="O22" s="399">
        <f t="shared" ref="O22" si="66">IF(B22&gt;0,N22/B22,0)</f>
        <v>0</v>
      </c>
      <c r="P22" s="526">
        <v>19745.453000000001</v>
      </c>
      <c r="Q22" s="382">
        <f t="shared" ref="Q22" si="67">(P22-P21)*1000</f>
        <v>3290.0000000008731</v>
      </c>
      <c r="R22" s="506">
        <f t="shared" ref="R22" si="68">N22-Q22</f>
        <v>-61.000000000873115</v>
      </c>
      <c r="S22" s="380">
        <f t="shared" si="46"/>
        <v>10175</v>
      </c>
      <c r="T22" s="400">
        <f t="shared" si="2"/>
        <v>0</v>
      </c>
      <c r="U22" s="380">
        <f t="shared" si="47"/>
        <v>429166</v>
      </c>
      <c r="V22" s="382">
        <f t="shared" si="48"/>
        <v>0</v>
      </c>
      <c r="W22" s="380">
        <f t="shared" si="55"/>
        <v>33502</v>
      </c>
      <c r="X22" s="382">
        <f t="shared" si="49"/>
        <v>0</v>
      </c>
      <c r="Y22" s="380">
        <v>1001280</v>
      </c>
      <c r="Z22" s="382">
        <f t="shared" si="50"/>
        <v>108</v>
      </c>
      <c r="AA22" s="380">
        <f t="shared" si="51"/>
        <v>36804</v>
      </c>
      <c r="AB22" s="382">
        <f t="shared" si="52"/>
        <v>0</v>
      </c>
      <c r="AC22" s="380">
        <f t="shared" si="53"/>
        <v>1173391</v>
      </c>
      <c r="AD22" s="402">
        <f>AC22-AC21</f>
        <v>0</v>
      </c>
      <c r="AE22" s="403">
        <f t="shared" si="24"/>
        <v>0</v>
      </c>
      <c r="AF22" s="404">
        <f t="shared" si="4"/>
        <v>108</v>
      </c>
      <c r="AG22" s="397">
        <f t="shared" si="54"/>
        <v>0</v>
      </c>
      <c r="AJ22" s="473"/>
    </row>
    <row r="23" spans="1:36">
      <c r="A23" s="390">
        <f>'General information '!F24</f>
        <v>0</v>
      </c>
      <c r="B23" s="384">
        <f t="shared" si="6"/>
        <v>0</v>
      </c>
      <c r="C23" s="391">
        <f t="shared" si="7"/>
        <v>44946</v>
      </c>
      <c r="D23" s="380">
        <f t="shared" si="57"/>
        <v>429890</v>
      </c>
      <c r="E23" s="497">
        <f t="shared" si="9"/>
        <v>0</v>
      </c>
      <c r="F23" s="380">
        <f t="shared" si="58"/>
        <v>4193384</v>
      </c>
      <c r="G23" s="402">
        <f t="shared" si="34"/>
        <v>0</v>
      </c>
      <c r="H23" s="380">
        <f t="shared" si="40"/>
        <v>18111716</v>
      </c>
      <c r="I23" s="402">
        <f t="shared" si="35"/>
        <v>0</v>
      </c>
      <c r="J23" s="380">
        <f t="shared" si="41"/>
        <v>29906942</v>
      </c>
      <c r="K23" s="402">
        <f t="shared" si="36"/>
        <v>0</v>
      </c>
      <c r="L23" s="380">
        <f t="shared" si="42"/>
        <v>24725866</v>
      </c>
      <c r="M23" s="402">
        <f t="shared" si="37"/>
        <v>0</v>
      </c>
      <c r="N23" s="266">
        <f t="shared" si="38"/>
        <v>0</v>
      </c>
      <c r="O23" s="399">
        <f t="shared" si="44"/>
        <v>0</v>
      </c>
      <c r="P23" s="526">
        <f t="shared" si="43"/>
        <v>19745.453000000001</v>
      </c>
      <c r="Q23" s="382">
        <f t="shared" si="1"/>
        <v>0</v>
      </c>
      <c r="R23" s="506">
        <f t="shared" si="60"/>
        <v>0</v>
      </c>
      <c r="S23" s="380">
        <f t="shared" si="46"/>
        <v>10175</v>
      </c>
      <c r="T23" s="400">
        <f t="shared" si="2"/>
        <v>0</v>
      </c>
      <c r="U23" s="380">
        <f t="shared" si="47"/>
        <v>429166</v>
      </c>
      <c r="V23" s="382">
        <f t="shared" si="48"/>
        <v>0</v>
      </c>
      <c r="W23" s="380">
        <f t="shared" si="55"/>
        <v>33502</v>
      </c>
      <c r="X23" s="382">
        <f t="shared" si="49"/>
        <v>0</v>
      </c>
      <c r="Y23" s="380">
        <f t="shared" si="61"/>
        <v>1001280</v>
      </c>
      <c r="Z23" s="382">
        <f t="shared" si="50"/>
        <v>0</v>
      </c>
      <c r="AA23" s="380">
        <f t="shared" si="51"/>
        <v>36804</v>
      </c>
      <c r="AB23" s="382">
        <f t="shared" si="52"/>
        <v>0</v>
      </c>
      <c r="AC23" s="380">
        <f t="shared" si="53"/>
        <v>1173391</v>
      </c>
      <c r="AD23" s="382">
        <f t="shared" si="59"/>
        <v>0</v>
      </c>
      <c r="AE23" s="403">
        <f t="shared" si="24"/>
        <v>0</v>
      </c>
      <c r="AF23" s="404">
        <f t="shared" si="4"/>
        <v>0</v>
      </c>
      <c r="AG23" s="397">
        <f t="shared" si="54"/>
        <v>0</v>
      </c>
      <c r="AJ23" s="473"/>
    </row>
    <row r="24" spans="1:36">
      <c r="A24" s="390">
        <f>'General information '!F25</f>
        <v>0</v>
      </c>
      <c r="B24" s="384">
        <f t="shared" si="6"/>
        <v>0</v>
      </c>
      <c r="C24" s="391">
        <f t="shared" si="7"/>
        <v>44947</v>
      </c>
      <c r="D24" s="380">
        <f t="shared" si="57"/>
        <v>429890</v>
      </c>
      <c r="E24" s="497">
        <f t="shared" si="9"/>
        <v>0</v>
      </c>
      <c r="F24" s="380">
        <f t="shared" si="58"/>
        <v>4193384</v>
      </c>
      <c r="G24" s="402">
        <f t="shared" si="34"/>
        <v>0</v>
      </c>
      <c r="H24" s="380">
        <f t="shared" si="40"/>
        <v>18111716</v>
      </c>
      <c r="I24" s="509">
        <f t="shared" si="35"/>
        <v>0</v>
      </c>
      <c r="J24" s="380">
        <f t="shared" si="41"/>
        <v>29906942</v>
      </c>
      <c r="K24" s="402">
        <f t="shared" si="36"/>
        <v>0</v>
      </c>
      <c r="L24" s="380">
        <f t="shared" si="42"/>
        <v>24725866</v>
      </c>
      <c r="M24" s="402">
        <f t="shared" si="37"/>
        <v>0</v>
      </c>
      <c r="N24" s="266">
        <f t="shared" si="38"/>
        <v>0</v>
      </c>
      <c r="O24" s="399">
        <f t="shared" si="44"/>
        <v>0</v>
      </c>
      <c r="P24" s="526">
        <f t="shared" si="43"/>
        <v>19745.453000000001</v>
      </c>
      <c r="Q24" s="382">
        <f t="shared" si="1"/>
        <v>0</v>
      </c>
      <c r="R24" s="506">
        <f t="shared" si="60"/>
        <v>0</v>
      </c>
      <c r="S24" s="380">
        <f t="shared" si="46"/>
        <v>10175</v>
      </c>
      <c r="T24" s="400">
        <f t="shared" si="2"/>
        <v>0</v>
      </c>
      <c r="U24" s="380">
        <f t="shared" si="47"/>
        <v>429166</v>
      </c>
      <c r="V24" s="382">
        <f t="shared" si="48"/>
        <v>0</v>
      </c>
      <c r="W24" s="380">
        <f t="shared" si="55"/>
        <v>33502</v>
      </c>
      <c r="X24" s="382">
        <f t="shared" si="49"/>
        <v>0</v>
      </c>
      <c r="Y24" s="380">
        <f t="shared" si="61"/>
        <v>1001280</v>
      </c>
      <c r="Z24" s="382">
        <f t="shared" si="50"/>
        <v>0</v>
      </c>
      <c r="AA24" s="380">
        <f t="shared" si="51"/>
        <v>36804</v>
      </c>
      <c r="AB24" s="382">
        <f t="shared" si="52"/>
        <v>0</v>
      </c>
      <c r="AC24" s="380">
        <f t="shared" si="53"/>
        <v>1173391</v>
      </c>
      <c r="AD24" s="382">
        <f t="shared" si="59"/>
        <v>0</v>
      </c>
      <c r="AE24" s="403">
        <f t="shared" si="24"/>
        <v>0</v>
      </c>
      <c r="AF24" s="404">
        <f t="shared" si="4"/>
        <v>0</v>
      </c>
      <c r="AG24" s="397">
        <f t="shared" si="54"/>
        <v>0</v>
      </c>
      <c r="AJ24" s="473"/>
    </row>
    <row r="25" spans="1:36">
      <c r="A25" s="390">
        <f>'General information '!F26</f>
        <v>0</v>
      </c>
      <c r="B25" s="384">
        <f t="shared" si="6"/>
        <v>0</v>
      </c>
      <c r="C25" s="391">
        <f t="shared" si="7"/>
        <v>44948</v>
      </c>
      <c r="D25" s="380">
        <v>430650</v>
      </c>
      <c r="E25" s="497">
        <f t="shared" si="9"/>
        <v>760</v>
      </c>
      <c r="F25" s="380">
        <v>4193678</v>
      </c>
      <c r="G25" s="402">
        <f t="shared" si="34"/>
        <v>294</v>
      </c>
      <c r="H25" s="380">
        <v>18112122</v>
      </c>
      <c r="I25" s="402">
        <f t="shared" si="35"/>
        <v>406</v>
      </c>
      <c r="J25" s="380">
        <v>29907566</v>
      </c>
      <c r="K25" s="402">
        <f t="shared" si="36"/>
        <v>624</v>
      </c>
      <c r="L25" s="380">
        <v>24726676</v>
      </c>
      <c r="M25" s="402">
        <f t="shared" si="37"/>
        <v>810</v>
      </c>
      <c r="N25" s="266">
        <f t="shared" si="38"/>
        <v>2894</v>
      </c>
      <c r="O25" s="399">
        <f t="shared" si="44"/>
        <v>0</v>
      </c>
      <c r="P25" s="526">
        <v>19748.401000000002</v>
      </c>
      <c r="Q25" s="382">
        <f t="shared" si="1"/>
        <v>2948.0000000003201</v>
      </c>
      <c r="R25" s="506">
        <f t="shared" si="60"/>
        <v>-54.000000000320142</v>
      </c>
      <c r="S25" s="380">
        <f t="shared" si="46"/>
        <v>10175</v>
      </c>
      <c r="T25" s="400">
        <f t="shared" si="2"/>
        <v>0</v>
      </c>
      <c r="U25" s="380">
        <f t="shared" si="47"/>
        <v>429166</v>
      </c>
      <c r="V25" s="382">
        <f t="shared" si="48"/>
        <v>0</v>
      </c>
      <c r="W25" s="380">
        <f t="shared" si="55"/>
        <v>33502</v>
      </c>
      <c r="X25" s="382">
        <f t="shared" si="49"/>
        <v>0</v>
      </c>
      <c r="Y25" s="380">
        <f t="shared" si="61"/>
        <v>1001280</v>
      </c>
      <c r="Z25" s="382">
        <f t="shared" si="50"/>
        <v>0</v>
      </c>
      <c r="AA25" s="380">
        <f t="shared" si="51"/>
        <v>36804</v>
      </c>
      <c r="AB25" s="382">
        <f t="shared" si="52"/>
        <v>0</v>
      </c>
      <c r="AC25" s="380">
        <f t="shared" si="53"/>
        <v>1173391</v>
      </c>
      <c r="AD25" s="382">
        <f t="shared" si="59"/>
        <v>0</v>
      </c>
      <c r="AE25" s="403">
        <f t="shared" si="24"/>
        <v>0</v>
      </c>
      <c r="AF25" s="404">
        <f t="shared" si="4"/>
        <v>0</v>
      </c>
      <c r="AG25" s="397">
        <f t="shared" si="54"/>
        <v>0</v>
      </c>
      <c r="AJ25" s="473"/>
    </row>
    <row r="26" spans="1:36">
      <c r="A26" s="390">
        <f>'General information '!F27</f>
        <v>0</v>
      </c>
      <c r="B26" s="384">
        <f t="shared" si="6"/>
        <v>0</v>
      </c>
      <c r="C26" s="391">
        <f t="shared" si="7"/>
        <v>44949</v>
      </c>
      <c r="D26" s="380">
        <f t="shared" si="57"/>
        <v>430650</v>
      </c>
      <c r="E26" s="497">
        <f t="shared" si="9"/>
        <v>0</v>
      </c>
      <c r="F26" s="380">
        <f t="shared" si="58"/>
        <v>4193678</v>
      </c>
      <c r="G26" s="402">
        <f t="shared" si="34"/>
        <v>0</v>
      </c>
      <c r="H26" s="380">
        <f t="shared" si="40"/>
        <v>18112122</v>
      </c>
      <c r="I26" s="402">
        <f t="shared" si="35"/>
        <v>0</v>
      </c>
      <c r="J26" s="380">
        <f t="shared" si="41"/>
        <v>29907566</v>
      </c>
      <c r="K26" s="402">
        <f t="shared" si="36"/>
        <v>0</v>
      </c>
      <c r="L26" s="380">
        <f t="shared" si="42"/>
        <v>24726676</v>
      </c>
      <c r="M26" s="402">
        <f t="shared" si="37"/>
        <v>0</v>
      </c>
      <c r="N26" s="266">
        <f t="shared" si="38"/>
        <v>0</v>
      </c>
      <c r="O26" s="399">
        <f t="shared" si="44"/>
        <v>0</v>
      </c>
      <c r="P26" s="526">
        <f t="shared" si="43"/>
        <v>19748.401000000002</v>
      </c>
      <c r="Q26" s="382">
        <f t="shared" si="1"/>
        <v>0</v>
      </c>
      <c r="R26" s="506">
        <f t="shared" si="60"/>
        <v>0</v>
      </c>
      <c r="S26" s="380">
        <f t="shared" si="46"/>
        <v>10175</v>
      </c>
      <c r="T26" s="400">
        <f t="shared" si="2"/>
        <v>0</v>
      </c>
      <c r="U26" s="380">
        <f t="shared" si="47"/>
        <v>429166</v>
      </c>
      <c r="V26" s="382">
        <f t="shared" si="48"/>
        <v>0</v>
      </c>
      <c r="W26" s="380">
        <f t="shared" si="55"/>
        <v>33502</v>
      </c>
      <c r="X26" s="382">
        <f t="shared" si="49"/>
        <v>0</v>
      </c>
      <c r="Y26" s="380">
        <f t="shared" si="61"/>
        <v>1001280</v>
      </c>
      <c r="Z26" s="382">
        <f t="shared" si="50"/>
        <v>0</v>
      </c>
      <c r="AA26" s="380">
        <f t="shared" si="51"/>
        <v>36804</v>
      </c>
      <c r="AB26" s="382">
        <f t="shared" si="52"/>
        <v>0</v>
      </c>
      <c r="AC26" s="380">
        <f t="shared" si="53"/>
        <v>1173391</v>
      </c>
      <c r="AD26" s="382">
        <f t="shared" si="59"/>
        <v>0</v>
      </c>
      <c r="AE26" s="403">
        <f t="shared" si="24"/>
        <v>0</v>
      </c>
      <c r="AF26" s="404">
        <f t="shared" si="4"/>
        <v>0</v>
      </c>
      <c r="AG26" s="397">
        <f t="shared" si="54"/>
        <v>0</v>
      </c>
      <c r="AJ26" s="473"/>
    </row>
    <row r="27" spans="1:36">
      <c r="A27" s="390">
        <f>'General information '!F28</f>
        <v>0</v>
      </c>
      <c r="B27" s="384">
        <f t="shared" si="6"/>
        <v>0</v>
      </c>
      <c r="C27" s="391">
        <f t="shared" si="7"/>
        <v>44950</v>
      </c>
      <c r="D27" s="380">
        <f t="shared" si="57"/>
        <v>430650</v>
      </c>
      <c r="E27" s="497">
        <f t="shared" si="9"/>
        <v>0</v>
      </c>
      <c r="F27" s="380">
        <f t="shared" si="58"/>
        <v>4193678</v>
      </c>
      <c r="G27" s="402">
        <f t="shared" si="34"/>
        <v>0</v>
      </c>
      <c r="H27" s="380">
        <f t="shared" si="40"/>
        <v>18112122</v>
      </c>
      <c r="I27" s="402">
        <f t="shared" si="35"/>
        <v>0</v>
      </c>
      <c r="J27" s="380">
        <f t="shared" si="41"/>
        <v>29907566</v>
      </c>
      <c r="K27" s="402">
        <f t="shared" si="36"/>
        <v>0</v>
      </c>
      <c r="L27" s="380">
        <f t="shared" si="42"/>
        <v>24726676</v>
      </c>
      <c r="M27" s="402">
        <f t="shared" si="37"/>
        <v>0</v>
      </c>
      <c r="N27" s="266">
        <f t="shared" si="38"/>
        <v>0</v>
      </c>
      <c r="O27" s="399">
        <f t="shared" si="44"/>
        <v>0</v>
      </c>
      <c r="P27" s="526">
        <f t="shared" si="43"/>
        <v>19748.401000000002</v>
      </c>
      <c r="Q27" s="382">
        <f t="shared" si="1"/>
        <v>0</v>
      </c>
      <c r="R27" s="506">
        <f t="shared" si="60"/>
        <v>0</v>
      </c>
      <c r="S27" s="380">
        <f t="shared" si="46"/>
        <v>10175</v>
      </c>
      <c r="T27" s="400">
        <f t="shared" si="2"/>
        <v>0</v>
      </c>
      <c r="U27" s="380">
        <f t="shared" si="47"/>
        <v>429166</v>
      </c>
      <c r="V27" s="382">
        <f t="shared" si="48"/>
        <v>0</v>
      </c>
      <c r="W27" s="380">
        <f t="shared" si="55"/>
        <v>33502</v>
      </c>
      <c r="X27" s="382">
        <f t="shared" si="49"/>
        <v>0</v>
      </c>
      <c r="Y27" s="380">
        <f t="shared" si="61"/>
        <v>1001280</v>
      </c>
      <c r="Z27" s="382">
        <f t="shared" si="50"/>
        <v>0</v>
      </c>
      <c r="AA27" s="380">
        <f t="shared" si="51"/>
        <v>36804</v>
      </c>
      <c r="AB27" s="382">
        <f t="shared" si="52"/>
        <v>0</v>
      </c>
      <c r="AC27" s="380">
        <f t="shared" si="53"/>
        <v>1173391</v>
      </c>
      <c r="AD27" s="382">
        <f t="shared" si="59"/>
        <v>0</v>
      </c>
      <c r="AE27" s="403">
        <f t="shared" si="24"/>
        <v>0</v>
      </c>
      <c r="AF27" s="404">
        <f t="shared" si="4"/>
        <v>0</v>
      </c>
      <c r="AG27" s="397">
        <f t="shared" si="54"/>
        <v>0</v>
      </c>
      <c r="AJ27" s="473"/>
    </row>
    <row r="28" spans="1:36">
      <c r="A28" s="390">
        <f>'General information '!F29</f>
        <v>0</v>
      </c>
      <c r="B28" s="384">
        <f t="shared" si="6"/>
        <v>0</v>
      </c>
      <c r="C28" s="391">
        <f t="shared" si="7"/>
        <v>44951</v>
      </c>
      <c r="D28" s="380">
        <f t="shared" si="57"/>
        <v>430650</v>
      </c>
      <c r="E28" s="497">
        <f t="shared" si="9"/>
        <v>0</v>
      </c>
      <c r="F28" s="380">
        <f t="shared" si="58"/>
        <v>4193678</v>
      </c>
      <c r="G28" s="402">
        <f>F28-F27</f>
        <v>0</v>
      </c>
      <c r="H28" s="380">
        <f t="shared" si="40"/>
        <v>18112122</v>
      </c>
      <c r="I28" s="402">
        <f t="shared" si="35"/>
        <v>0</v>
      </c>
      <c r="J28" s="380">
        <f t="shared" si="41"/>
        <v>29907566</v>
      </c>
      <c r="K28" s="402">
        <f t="shared" si="36"/>
        <v>0</v>
      </c>
      <c r="L28" s="380">
        <f t="shared" si="42"/>
        <v>24726676</v>
      </c>
      <c r="M28" s="402">
        <f t="shared" si="37"/>
        <v>0</v>
      </c>
      <c r="N28" s="266">
        <f t="shared" si="38"/>
        <v>0</v>
      </c>
      <c r="O28" s="399">
        <f t="shared" si="44"/>
        <v>0</v>
      </c>
      <c r="P28" s="526">
        <f t="shared" si="43"/>
        <v>19748.401000000002</v>
      </c>
      <c r="Q28" s="382">
        <f t="shared" si="1"/>
        <v>0</v>
      </c>
      <c r="R28" s="506">
        <f>N28-Q28</f>
        <v>0</v>
      </c>
      <c r="S28" s="380">
        <f t="shared" si="46"/>
        <v>10175</v>
      </c>
      <c r="T28" s="400">
        <f t="shared" si="2"/>
        <v>0</v>
      </c>
      <c r="U28" s="380">
        <f t="shared" si="47"/>
        <v>429166</v>
      </c>
      <c r="V28" s="382">
        <f t="shared" si="48"/>
        <v>0</v>
      </c>
      <c r="W28" s="380">
        <f t="shared" si="55"/>
        <v>33502</v>
      </c>
      <c r="X28" s="382">
        <f t="shared" si="49"/>
        <v>0</v>
      </c>
      <c r="Y28" s="380">
        <f t="shared" si="61"/>
        <v>1001280</v>
      </c>
      <c r="Z28" s="382">
        <f t="shared" si="50"/>
        <v>0</v>
      </c>
      <c r="AA28" s="380">
        <f t="shared" si="51"/>
        <v>36804</v>
      </c>
      <c r="AB28" s="382">
        <f t="shared" si="52"/>
        <v>0</v>
      </c>
      <c r="AC28" s="380">
        <f t="shared" si="53"/>
        <v>1173391</v>
      </c>
      <c r="AD28" s="382">
        <f t="shared" si="59"/>
        <v>0</v>
      </c>
      <c r="AE28" s="403">
        <f t="shared" si="24"/>
        <v>0</v>
      </c>
      <c r="AF28" s="404">
        <f t="shared" si="4"/>
        <v>0</v>
      </c>
      <c r="AG28" s="397">
        <f t="shared" si="54"/>
        <v>0</v>
      </c>
      <c r="AJ28" s="473"/>
    </row>
    <row r="29" spans="1:36">
      <c r="A29" s="390">
        <f>'General information '!F30</f>
        <v>0</v>
      </c>
      <c r="B29" s="384">
        <f t="shared" si="6"/>
        <v>0</v>
      </c>
      <c r="C29" s="391">
        <f t="shared" si="7"/>
        <v>44952</v>
      </c>
      <c r="D29" s="380">
        <f t="shared" si="57"/>
        <v>430650</v>
      </c>
      <c r="E29" s="497">
        <f t="shared" si="9"/>
        <v>0</v>
      </c>
      <c r="F29" s="380">
        <f t="shared" si="58"/>
        <v>4193678</v>
      </c>
      <c r="G29" s="402">
        <f>F29-F28</f>
        <v>0</v>
      </c>
      <c r="H29" s="380">
        <f t="shared" si="40"/>
        <v>18112122</v>
      </c>
      <c r="I29" s="402">
        <f>H29-H28</f>
        <v>0</v>
      </c>
      <c r="J29" s="380">
        <f t="shared" si="41"/>
        <v>29907566</v>
      </c>
      <c r="K29" s="402">
        <f>J29-J28</f>
        <v>0</v>
      </c>
      <c r="L29" s="380">
        <f t="shared" si="42"/>
        <v>24726676</v>
      </c>
      <c r="M29" s="402">
        <f>L29-L28</f>
        <v>0</v>
      </c>
      <c r="N29" s="266">
        <f>M29+K29+I29+G29+E29</f>
        <v>0</v>
      </c>
      <c r="O29" s="399">
        <f>IF(B29&gt;0,N29/B29,0)</f>
        <v>0</v>
      </c>
      <c r="P29" s="526">
        <f t="shared" si="43"/>
        <v>19748.401000000002</v>
      </c>
      <c r="Q29" s="382">
        <f>(P29-P28)*1000</f>
        <v>0</v>
      </c>
      <c r="R29" s="506">
        <f t="shared" si="60"/>
        <v>0</v>
      </c>
      <c r="S29" s="380">
        <f t="shared" si="46"/>
        <v>10175</v>
      </c>
      <c r="T29" s="400">
        <f>S29-S28</f>
        <v>0</v>
      </c>
      <c r="U29" s="380">
        <f t="shared" si="47"/>
        <v>429166</v>
      </c>
      <c r="V29" s="382">
        <f>U29-U28</f>
        <v>0</v>
      </c>
      <c r="W29" s="380">
        <f t="shared" si="55"/>
        <v>33502</v>
      </c>
      <c r="X29" s="382">
        <f>W29-W28</f>
        <v>0</v>
      </c>
      <c r="Y29" s="380">
        <f t="shared" si="61"/>
        <v>1001280</v>
      </c>
      <c r="Z29" s="382">
        <f>Y29-Y28</f>
        <v>0</v>
      </c>
      <c r="AA29" s="380">
        <f t="shared" si="51"/>
        <v>36804</v>
      </c>
      <c r="AB29" s="382">
        <f>AA29-AA28</f>
        <v>0</v>
      </c>
      <c r="AC29" s="380">
        <f t="shared" si="53"/>
        <v>1173391</v>
      </c>
      <c r="AD29" s="382">
        <f>AC29-AC28</f>
        <v>0</v>
      </c>
      <c r="AE29" s="403">
        <f>AB29+X29+T29</f>
        <v>0</v>
      </c>
      <c r="AF29" s="404">
        <f>V29+Z29+AD29</f>
        <v>0</v>
      </c>
      <c r="AG29" s="397">
        <f t="shared" si="54"/>
        <v>0</v>
      </c>
      <c r="AJ29" s="473"/>
    </row>
    <row r="30" spans="1:36">
      <c r="A30" s="390">
        <f>'General information '!F31</f>
        <v>0</v>
      </c>
      <c r="B30" s="384">
        <f>SUM(230*A30)</f>
        <v>0</v>
      </c>
      <c r="C30" s="391">
        <f t="shared" si="7"/>
        <v>44953</v>
      </c>
      <c r="D30" s="380">
        <f t="shared" si="57"/>
        <v>430650</v>
      </c>
      <c r="E30" s="497">
        <f t="shared" si="9"/>
        <v>0</v>
      </c>
      <c r="F30" s="380">
        <f t="shared" si="58"/>
        <v>4193678</v>
      </c>
      <c r="G30" s="402">
        <f t="shared" si="34"/>
        <v>0</v>
      </c>
      <c r="H30" s="380">
        <f t="shared" si="40"/>
        <v>18112122</v>
      </c>
      <c r="I30" s="402">
        <f t="shared" si="35"/>
        <v>0</v>
      </c>
      <c r="J30" s="380">
        <f t="shared" si="41"/>
        <v>29907566</v>
      </c>
      <c r="K30" s="402">
        <f t="shared" si="36"/>
        <v>0</v>
      </c>
      <c r="L30" s="380">
        <f t="shared" si="42"/>
        <v>24726676</v>
      </c>
      <c r="M30" s="402">
        <f t="shared" si="37"/>
        <v>0</v>
      </c>
      <c r="N30" s="266">
        <f>M30+K30+I30+G30+E30</f>
        <v>0</v>
      </c>
      <c r="O30" s="399">
        <f t="shared" si="44"/>
        <v>0</v>
      </c>
      <c r="P30" s="526">
        <f t="shared" si="43"/>
        <v>19748.401000000002</v>
      </c>
      <c r="Q30" s="382">
        <f t="shared" si="1"/>
        <v>0</v>
      </c>
      <c r="R30" s="506">
        <f>N30-Q30</f>
        <v>0</v>
      </c>
      <c r="S30" s="380">
        <f t="shared" si="46"/>
        <v>10175</v>
      </c>
      <c r="T30" s="400">
        <f t="shared" si="2"/>
        <v>0</v>
      </c>
      <c r="U30" s="380">
        <f t="shared" si="47"/>
        <v>429166</v>
      </c>
      <c r="V30" s="382">
        <f t="shared" si="48"/>
        <v>0</v>
      </c>
      <c r="W30" s="380">
        <f t="shared" si="55"/>
        <v>33502</v>
      </c>
      <c r="X30" s="382">
        <f t="shared" si="49"/>
        <v>0</v>
      </c>
      <c r="Y30" s="380">
        <f t="shared" si="61"/>
        <v>1001280</v>
      </c>
      <c r="Z30" s="382">
        <f t="shared" si="50"/>
        <v>0</v>
      </c>
      <c r="AA30" s="380">
        <f t="shared" si="51"/>
        <v>36804</v>
      </c>
      <c r="AB30" s="382">
        <f t="shared" si="52"/>
        <v>0</v>
      </c>
      <c r="AC30" s="380">
        <f t="shared" si="53"/>
        <v>1173391</v>
      </c>
      <c r="AD30" s="382">
        <f t="shared" si="59"/>
        <v>0</v>
      </c>
      <c r="AE30" s="403">
        <f t="shared" si="24"/>
        <v>0</v>
      </c>
      <c r="AF30" s="404">
        <f t="shared" si="4"/>
        <v>0</v>
      </c>
      <c r="AG30" s="397">
        <f t="shared" si="54"/>
        <v>0</v>
      </c>
      <c r="AJ30" s="473"/>
    </row>
    <row r="31" spans="1:36">
      <c r="A31" s="390">
        <f>'General information '!F32</f>
        <v>0</v>
      </c>
      <c r="B31" s="384">
        <f t="shared" si="6"/>
        <v>0</v>
      </c>
      <c r="C31" s="391">
        <f t="shared" si="7"/>
        <v>44954</v>
      </c>
      <c r="D31" s="380">
        <f t="shared" si="57"/>
        <v>430650</v>
      </c>
      <c r="E31" s="497">
        <f t="shared" si="9"/>
        <v>0</v>
      </c>
      <c r="F31" s="380">
        <f t="shared" si="58"/>
        <v>4193678</v>
      </c>
      <c r="G31" s="402">
        <f t="shared" si="34"/>
        <v>0</v>
      </c>
      <c r="H31" s="380">
        <f t="shared" si="40"/>
        <v>18112122</v>
      </c>
      <c r="I31" s="402">
        <f t="shared" si="35"/>
        <v>0</v>
      </c>
      <c r="J31" s="380">
        <f t="shared" si="41"/>
        <v>29907566</v>
      </c>
      <c r="K31" s="402">
        <f t="shared" si="36"/>
        <v>0</v>
      </c>
      <c r="L31" s="380">
        <f t="shared" si="42"/>
        <v>24726676</v>
      </c>
      <c r="M31" s="402">
        <f t="shared" si="37"/>
        <v>0</v>
      </c>
      <c r="N31" s="266">
        <f t="shared" si="38"/>
        <v>0</v>
      </c>
      <c r="O31" s="399">
        <f t="shared" si="44"/>
        <v>0</v>
      </c>
      <c r="P31" s="526">
        <f t="shared" si="43"/>
        <v>19748.401000000002</v>
      </c>
      <c r="Q31" s="382">
        <f t="shared" si="1"/>
        <v>0</v>
      </c>
      <c r="R31" s="506">
        <f t="shared" si="60"/>
        <v>0</v>
      </c>
      <c r="S31" s="380">
        <f t="shared" si="46"/>
        <v>10175</v>
      </c>
      <c r="T31" s="400">
        <f t="shared" si="2"/>
        <v>0</v>
      </c>
      <c r="U31" s="380">
        <f t="shared" si="47"/>
        <v>429166</v>
      </c>
      <c r="V31" s="402">
        <f>U31-U30</f>
        <v>0</v>
      </c>
      <c r="W31" s="380">
        <f t="shared" si="55"/>
        <v>33502</v>
      </c>
      <c r="X31" s="401">
        <f t="shared" si="49"/>
        <v>0</v>
      </c>
      <c r="Y31" s="380">
        <f t="shared" si="61"/>
        <v>1001280</v>
      </c>
      <c r="Z31" s="382">
        <f t="shared" si="50"/>
        <v>0</v>
      </c>
      <c r="AA31" s="380">
        <f t="shared" si="51"/>
        <v>36804</v>
      </c>
      <c r="AB31" s="382">
        <f t="shared" si="52"/>
        <v>0</v>
      </c>
      <c r="AC31" s="380">
        <f t="shared" si="53"/>
        <v>1173391</v>
      </c>
      <c r="AD31" s="382">
        <f t="shared" si="59"/>
        <v>0</v>
      </c>
      <c r="AE31" s="403">
        <f t="shared" si="24"/>
        <v>0</v>
      </c>
      <c r="AF31" s="404">
        <f t="shared" si="4"/>
        <v>0</v>
      </c>
      <c r="AG31" s="397">
        <f t="shared" si="54"/>
        <v>0</v>
      </c>
      <c r="AJ31" s="473"/>
    </row>
    <row r="32" spans="1:36">
      <c r="A32" s="390">
        <f>'General information '!F33</f>
        <v>0</v>
      </c>
      <c r="B32" s="384">
        <f t="shared" ref="B32:B34" si="69">SUM(230*A32)</f>
        <v>0</v>
      </c>
      <c r="C32" s="391">
        <f t="shared" si="7"/>
        <v>44955</v>
      </c>
      <c r="D32" s="380">
        <f t="shared" si="57"/>
        <v>430650</v>
      </c>
      <c r="E32" s="497">
        <f t="shared" si="9"/>
        <v>0</v>
      </c>
      <c r="F32" s="380">
        <f t="shared" si="58"/>
        <v>4193678</v>
      </c>
      <c r="G32" s="402">
        <f t="shared" si="34"/>
        <v>0</v>
      </c>
      <c r="H32" s="380">
        <f t="shared" si="40"/>
        <v>18112122</v>
      </c>
      <c r="I32" s="402">
        <f t="shared" si="35"/>
        <v>0</v>
      </c>
      <c r="J32" s="380">
        <f t="shared" si="41"/>
        <v>29907566</v>
      </c>
      <c r="K32" s="402">
        <f t="shared" si="36"/>
        <v>0</v>
      </c>
      <c r="L32" s="380">
        <f t="shared" si="42"/>
        <v>24726676</v>
      </c>
      <c r="M32" s="402">
        <f t="shared" ref="M32:M34" si="70">L32-L31</f>
        <v>0</v>
      </c>
      <c r="N32" s="266">
        <f t="shared" ref="N32:N34" si="71">M32+K32+I32+G32+E32</f>
        <v>0</v>
      </c>
      <c r="O32" s="399">
        <f t="shared" ref="O32:O34" si="72">IF(B32&gt;0,N32/B32,0)</f>
        <v>0</v>
      </c>
      <c r="P32" s="526">
        <f t="shared" si="43"/>
        <v>19748.401000000002</v>
      </c>
      <c r="Q32" s="382">
        <f t="shared" ref="Q32:Q34" si="73">(P32-P31)*1000</f>
        <v>0</v>
      </c>
      <c r="R32" s="506">
        <f t="shared" ref="R32:R34" si="74">N32-Q32</f>
        <v>0</v>
      </c>
      <c r="S32" s="380">
        <f t="shared" si="46"/>
        <v>10175</v>
      </c>
      <c r="T32" s="400">
        <f t="shared" si="2"/>
        <v>0</v>
      </c>
      <c r="U32" s="380">
        <f t="shared" si="47"/>
        <v>429166</v>
      </c>
      <c r="V32" s="402">
        <f>U32-U31</f>
        <v>0</v>
      </c>
      <c r="W32" s="380">
        <f t="shared" si="55"/>
        <v>33502</v>
      </c>
      <c r="X32" s="401">
        <f t="shared" ref="X32:X34" si="75">W32-W31</f>
        <v>0</v>
      </c>
      <c r="Y32" s="380">
        <f t="shared" si="61"/>
        <v>1001280</v>
      </c>
      <c r="Z32" s="382">
        <f t="shared" ref="Z32:Z34" si="76">Y32-Y31</f>
        <v>0</v>
      </c>
      <c r="AA32" s="380">
        <f t="shared" si="51"/>
        <v>36804</v>
      </c>
      <c r="AB32" s="382">
        <f t="shared" ref="AB32:AB34" si="77">AA32-AA31</f>
        <v>0</v>
      </c>
      <c r="AC32" s="380">
        <f t="shared" si="53"/>
        <v>1173391</v>
      </c>
      <c r="AD32" s="382">
        <f t="shared" ref="AD32:AD34" si="78">AC32-AC31</f>
        <v>0</v>
      </c>
      <c r="AE32" s="403">
        <f t="shared" ref="AE32:AE34" si="79">AB32+X32+T32</f>
        <v>0</v>
      </c>
      <c r="AF32" s="404">
        <f t="shared" ref="AF32:AF34" si="80">V32+Z32+AD32</f>
        <v>0</v>
      </c>
      <c r="AG32" s="397">
        <f t="shared" si="54"/>
        <v>0</v>
      </c>
      <c r="AJ32" s="473"/>
    </row>
    <row r="33" spans="1:36">
      <c r="A33" s="390">
        <f>'General information '!F34</f>
        <v>0</v>
      </c>
      <c r="B33" s="384">
        <f t="shared" si="69"/>
        <v>0</v>
      </c>
      <c r="C33" s="391">
        <f t="shared" si="7"/>
        <v>44956</v>
      </c>
      <c r="D33" s="380">
        <f t="shared" si="57"/>
        <v>430650</v>
      </c>
      <c r="E33" s="497">
        <f t="shared" si="9"/>
        <v>0</v>
      </c>
      <c r="F33" s="380">
        <f t="shared" si="58"/>
        <v>4193678</v>
      </c>
      <c r="G33" s="402">
        <f t="shared" si="34"/>
        <v>0</v>
      </c>
      <c r="H33" s="380">
        <f t="shared" si="40"/>
        <v>18112122</v>
      </c>
      <c r="I33" s="402">
        <f t="shared" si="35"/>
        <v>0</v>
      </c>
      <c r="J33" s="380">
        <f t="shared" si="41"/>
        <v>29907566</v>
      </c>
      <c r="K33" s="402">
        <f t="shared" si="36"/>
        <v>0</v>
      </c>
      <c r="L33" s="380">
        <f t="shared" si="42"/>
        <v>24726676</v>
      </c>
      <c r="M33" s="402">
        <f t="shared" si="70"/>
        <v>0</v>
      </c>
      <c r="N33" s="266">
        <f t="shared" si="71"/>
        <v>0</v>
      </c>
      <c r="O33" s="399">
        <f t="shared" si="72"/>
        <v>0</v>
      </c>
      <c r="P33" s="526">
        <f t="shared" si="43"/>
        <v>19748.401000000002</v>
      </c>
      <c r="Q33" s="382">
        <f t="shared" si="73"/>
        <v>0</v>
      </c>
      <c r="R33" s="506">
        <f>N33-Q33</f>
        <v>0</v>
      </c>
      <c r="S33" s="380">
        <f t="shared" si="46"/>
        <v>10175</v>
      </c>
      <c r="T33" s="400">
        <f t="shared" si="2"/>
        <v>0</v>
      </c>
      <c r="U33" s="380">
        <f t="shared" si="47"/>
        <v>429166</v>
      </c>
      <c r="V33" s="382">
        <f t="shared" ref="V33" si="81">U33-U32</f>
        <v>0</v>
      </c>
      <c r="W33" s="380">
        <f t="shared" si="55"/>
        <v>33502</v>
      </c>
      <c r="X33" s="401">
        <f t="shared" si="75"/>
        <v>0</v>
      </c>
      <c r="Y33" s="380">
        <f t="shared" si="61"/>
        <v>1001280</v>
      </c>
      <c r="Z33" s="382">
        <f t="shared" si="76"/>
        <v>0</v>
      </c>
      <c r="AA33" s="380">
        <f t="shared" si="51"/>
        <v>36804</v>
      </c>
      <c r="AB33" s="382">
        <f t="shared" si="77"/>
        <v>0</v>
      </c>
      <c r="AC33" s="380">
        <f t="shared" si="53"/>
        <v>1173391</v>
      </c>
      <c r="AD33" s="382">
        <f t="shared" si="78"/>
        <v>0</v>
      </c>
      <c r="AE33" s="403">
        <f t="shared" si="79"/>
        <v>0</v>
      </c>
      <c r="AF33" s="404">
        <f t="shared" si="80"/>
        <v>0</v>
      </c>
      <c r="AG33" s="397">
        <f>IF(AE33&gt;0,AF33/AE33,0)</f>
        <v>0</v>
      </c>
      <c r="AJ33" s="473"/>
    </row>
    <row r="34" spans="1:36">
      <c r="A34" s="390">
        <f>'General information '!F35</f>
        <v>0</v>
      </c>
      <c r="B34" s="384">
        <f t="shared" si="69"/>
        <v>0</v>
      </c>
      <c r="C34" s="391">
        <f t="shared" si="7"/>
        <v>44957</v>
      </c>
      <c r="D34" s="380">
        <f t="shared" si="57"/>
        <v>430650</v>
      </c>
      <c r="E34" s="497">
        <f t="shared" si="9"/>
        <v>0</v>
      </c>
      <c r="F34" s="380">
        <f t="shared" si="58"/>
        <v>4193678</v>
      </c>
      <c r="G34" s="402">
        <f t="shared" si="34"/>
        <v>0</v>
      </c>
      <c r="H34" s="380">
        <f t="shared" si="40"/>
        <v>18112122</v>
      </c>
      <c r="I34" s="402">
        <f t="shared" si="35"/>
        <v>0</v>
      </c>
      <c r="J34" s="380">
        <f t="shared" si="41"/>
        <v>29907566</v>
      </c>
      <c r="K34" s="402">
        <f t="shared" si="36"/>
        <v>0</v>
      </c>
      <c r="L34" s="380">
        <f t="shared" si="42"/>
        <v>24726676</v>
      </c>
      <c r="M34" s="402">
        <f t="shared" si="70"/>
        <v>0</v>
      </c>
      <c r="N34" s="266">
        <f t="shared" si="71"/>
        <v>0</v>
      </c>
      <c r="O34" s="399">
        <f t="shared" si="72"/>
        <v>0</v>
      </c>
      <c r="P34" s="526">
        <f t="shared" si="43"/>
        <v>19748.401000000002</v>
      </c>
      <c r="Q34" s="382">
        <f t="shared" si="73"/>
        <v>0</v>
      </c>
      <c r="R34" s="506">
        <f t="shared" si="74"/>
        <v>0</v>
      </c>
      <c r="S34" s="380">
        <f t="shared" si="46"/>
        <v>10175</v>
      </c>
      <c r="T34" s="400">
        <f t="shared" si="2"/>
        <v>0</v>
      </c>
      <c r="U34" s="380">
        <f t="shared" si="47"/>
        <v>429166</v>
      </c>
      <c r="V34" s="402">
        <f>U34-U33</f>
        <v>0</v>
      </c>
      <c r="W34" s="380">
        <f t="shared" si="55"/>
        <v>33502</v>
      </c>
      <c r="X34" s="401">
        <f t="shared" si="75"/>
        <v>0</v>
      </c>
      <c r="Y34" s="380">
        <f t="shared" si="61"/>
        <v>1001280</v>
      </c>
      <c r="Z34" s="382">
        <f t="shared" si="76"/>
        <v>0</v>
      </c>
      <c r="AA34" s="380">
        <f t="shared" si="51"/>
        <v>36804</v>
      </c>
      <c r="AB34" s="382">
        <f t="shared" si="77"/>
        <v>0</v>
      </c>
      <c r="AC34" s="380">
        <f t="shared" si="53"/>
        <v>1173391</v>
      </c>
      <c r="AD34" s="382">
        <f t="shared" si="78"/>
        <v>0</v>
      </c>
      <c r="AE34" s="403">
        <f t="shared" si="79"/>
        <v>0</v>
      </c>
      <c r="AF34" s="404">
        <f t="shared" si="80"/>
        <v>0</v>
      </c>
      <c r="AG34" s="397">
        <f>IF(AE34&gt;0,AF34/AE34,0)</f>
        <v>0</v>
      </c>
      <c r="AJ34" s="473"/>
    </row>
    <row r="35" spans="1:36" s="476" customFormat="1">
      <c r="A35" s="477"/>
      <c r="B35" s="478"/>
      <c r="C35" s="479"/>
      <c r="D35" s="480"/>
      <c r="E35" s="480"/>
      <c r="F35" s="480"/>
      <c r="G35" s="481"/>
      <c r="H35" s="480"/>
      <c r="I35" s="481"/>
      <c r="J35" s="480"/>
      <c r="K35" s="481"/>
      <c r="L35" s="480"/>
      <c r="M35" s="481"/>
      <c r="N35" s="482"/>
      <c r="O35" s="483"/>
      <c r="P35" s="484"/>
      <c r="S35" s="480"/>
      <c r="T35" s="485"/>
      <c r="U35" s="480"/>
      <c r="W35" s="480"/>
      <c r="Y35" s="480"/>
      <c r="AA35" s="480"/>
      <c r="AC35" s="480"/>
      <c r="AG35" s="486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3"/>
  <sheetViews>
    <sheetView zoomScale="60" zoomScaleNormal="60" workbookViewId="0">
      <pane ySplit="1" topLeftCell="A23" activePane="bottomLeft" state="frozen"/>
      <selection pane="bottomLeft" activeCell="Y26" sqref="Y26"/>
      <selection activeCell="K1" sqref="K1"/>
    </sheetView>
  </sheetViews>
  <sheetFormatPr defaultColWidth="9.28515625" defaultRowHeight="15"/>
  <cols>
    <col min="1" max="1" width="12" style="40" bestFit="1" customWidth="1"/>
    <col min="2" max="2" width="14.28515625" style="41" bestFit="1" customWidth="1"/>
    <col min="3" max="3" width="15.7109375" style="41" customWidth="1"/>
    <col min="4" max="4" width="15.28515625" style="41" bestFit="1" customWidth="1"/>
    <col min="5" max="5" width="12.42578125" style="41" bestFit="1" customWidth="1"/>
    <col min="6" max="6" width="8.42578125" style="41" bestFit="1" customWidth="1"/>
    <col min="7" max="7" width="8.7109375" style="41" bestFit="1" customWidth="1"/>
    <col min="8" max="8" width="12.5703125" style="41" bestFit="1" customWidth="1"/>
    <col min="9" max="9" width="18.28515625" style="41" customWidth="1"/>
    <col min="10" max="10" width="5.5703125" style="41" hidden="1" customWidth="1"/>
    <col min="11" max="11" width="11.5703125" style="41" bestFit="1" customWidth="1"/>
    <col min="12" max="12" width="8" style="41" bestFit="1" customWidth="1"/>
    <col min="13" max="13" width="18.42578125" style="41" customWidth="1"/>
    <col min="14" max="14" width="8" style="41" customWidth="1"/>
    <col min="15" max="15" width="0.28515625" style="67" customWidth="1"/>
    <col min="16" max="16" width="8.28515625" style="41" bestFit="1" customWidth="1"/>
    <col min="17" max="17" width="13.85546875" style="41" customWidth="1"/>
    <col min="18" max="18" width="14.140625" style="41" customWidth="1"/>
    <col min="19" max="19" width="6.42578125" style="41" customWidth="1"/>
    <col min="20" max="20" width="13" style="68" hidden="1" customWidth="1"/>
    <col min="21" max="21" width="13" style="68" customWidth="1"/>
    <col min="22" max="22" width="12.7109375" style="68" customWidth="1"/>
    <col min="23" max="23" width="13" style="68" hidden="1" customWidth="1"/>
    <col min="24" max="24" width="8" style="41" bestFit="1" customWidth="1"/>
    <col min="25" max="25" width="10.28515625" style="41" customWidth="1"/>
    <col min="26" max="26" width="15.28515625" style="41" bestFit="1" customWidth="1"/>
    <col min="27" max="27" width="13.28515625" style="41" customWidth="1"/>
    <col min="28" max="28" width="8.5703125" style="41" hidden="1" customWidth="1"/>
    <col min="29" max="29" width="8.28515625" style="41" customWidth="1"/>
    <col min="30" max="30" width="11.42578125" style="41" customWidth="1"/>
    <col min="31" max="31" width="14.7109375" style="69" bestFit="1" customWidth="1"/>
    <col min="32" max="32" width="10" style="41" customWidth="1"/>
    <col min="33" max="33" width="11.7109375" style="67" hidden="1" customWidth="1"/>
    <col min="34" max="34" width="12.5703125" style="68" customWidth="1"/>
    <col min="35" max="37" width="12.7109375" style="69" customWidth="1"/>
    <col min="38" max="38" width="11.28515625" style="69" bestFit="1" customWidth="1"/>
    <col min="39" max="39" width="11.42578125" style="69" bestFit="1" customWidth="1"/>
    <col min="40" max="40" width="8.42578125" style="69" customWidth="1"/>
    <col min="41" max="41" width="8.28515625" style="69" customWidth="1"/>
    <col min="42" max="45" width="9.28515625" style="69"/>
    <col min="46" max="46" width="10.28515625" style="69" customWidth="1"/>
    <col min="47" max="47" width="10.28515625" style="69" bestFit="1" customWidth="1"/>
    <col min="48" max="49" width="9.28515625" style="41"/>
    <col min="50" max="50" width="9.28515625" style="267"/>
    <col min="51" max="16384" width="9.28515625" style="41"/>
  </cols>
  <sheetData>
    <row r="1" spans="1:52" ht="30.75" thickBot="1">
      <c r="F1" s="538" t="s">
        <v>54</v>
      </c>
      <c r="G1" s="539"/>
      <c r="H1" s="539"/>
      <c r="I1" s="540"/>
      <c r="J1" s="244">
        <f>J36</f>
        <v>54.6</v>
      </c>
      <c r="K1" s="541" t="s">
        <v>55</v>
      </c>
      <c r="L1" s="542"/>
      <c r="M1" s="542"/>
      <c r="N1" s="542"/>
      <c r="O1" s="543"/>
      <c r="P1" s="532" t="s">
        <v>56</v>
      </c>
      <c r="Q1" s="533"/>
      <c r="R1" s="533"/>
      <c r="S1" s="533"/>
      <c r="T1" s="534"/>
      <c r="U1" s="339"/>
      <c r="V1" s="26" t="s">
        <v>57</v>
      </c>
      <c r="W1" s="340"/>
      <c r="X1" s="532" t="s">
        <v>58</v>
      </c>
      <c r="Y1" s="533"/>
      <c r="Z1" s="533"/>
      <c r="AA1" s="533"/>
      <c r="AB1" s="533"/>
      <c r="AC1" s="535" t="s">
        <v>59</v>
      </c>
      <c r="AD1" s="536"/>
      <c r="AE1" s="536"/>
      <c r="AF1" s="537"/>
      <c r="AG1" s="194"/>
      <c r="AH1" s="82" t="s">
        <v>60</v>
      </c>
      <c r="AI1" s="268" t="s">
        <v>61</v>
      </c>
      <c r="AJ1" s="268"/>
      <c r="AK1" s="268"/>
      <c r="AL1" s="268" t="s">
        <v>62</v>
      </c>
      <c r="AM1" s="268" t="s">
        <v>63</v>
      </c>
      <c r="AN1" s="269" t="s">
        <v>64</v>
      </c>
      <c r="AO1" s="269" t="s">
        <v>65</v>
      </c>
      <c r="AP1" s="269" t="s">
        <v>66</v>
      </c>
      <c r="AQ1" s="269" t="s">
        <v>67</v>
      </c>
      <c r="AR1" s="269" t="s">
        <v>68</v>
      </c>
      <c r="AS1" s="269" t="s">
        <v>69</v>
      </c>
      <c r="AT1" s="269"/>
      <c r="AU1" s="270" t="s">
        <v>70</v>
      </c>
      <c r="AV1" s="167" t="s">
        <v>71</v>
      </c>
      <c r="AW1" s="167" t="s">
        <v>72</v>
      </c>
    </row>
    <row r="2" spans="1:52">
      <c r="A2" s="42"/>
      <c r="B2" s="43" t="s">
        <v>73</v>
      </c>
      <c r="C2" s="43" t="s">
        <v>74</v>
      </c>
      <c r="D2" s="44" t="s">
        <v>75</v>
      </c>
      <c r="E2" s="44" t="s">
        <v>76</v>
      </c>
      <c r="F2" s="45" t="s">
        <v>54</v>
      </c>
      <c r="G2" s="45" t="s">
        <v>77</v>
      </c>
      <c r="H2" s="45" t="s">
        <v>78</v>
      </c>
      <c r="I2" s="46" t="s">
        <v>79</v>
      </c>
      <c r="J2" s="47" t="s">
        <v>80</v>
      </c>
      <c r="K2" s="48" t="s">
        <v>81</v>
      </c>
      <c r="L2" s="45" t="s">
        <v>82</v>
      </c>
      <c r="M2" s="46" t="s">
        <v>83</v>
      </c>
      <c r="N2" s="46"/>
      <c r="O2" s="49" t="s">
        <v>79</v>
      </c>
      <c r="P2" s="50" t="s">
        <v>56</v>
      </c>
      <c r="Q2" s="530"/>
      <c r="R2" s="531"/>
      <c r="S2" s="51" t="s">
        <v>84</v>
      </c>
      <c r="T2" s="52"/>
      <c r="U2" s="343" t="s">
        <v>85</v>
      </c>
      <c r="V2" s="53" t="s">
        <v>86</v>
      </c>
      <c r="W2" s="341"/>
      <c r="X2" s="54" t="s">
        <v>58</v>
      </c>
      <c r="Y2" s="45" t="s">
        <v>87</v>
      </c>
      <c r="Z2" s="334" t="s">
        <v>88</v>
      </c>
      <c r="AA2" s="335" t="s">
        <v>89</v>
      </c>
      <c r="AB2" s="243"/>
      <c r="AC2" s="48" t="s">
        <v>59</v>
      </c>
      <c r="AD2" s="55" t="s">
        <v>90</v>
      </c>
      <c r="AE2" s="56" t="s">
        <v>91</v>
      </c>
      <c r="AF2" s="57" t="s">
        <v>92</v>
      </c>
      <c r="AG2" s="195" t="s">
        <v>93</v>
      </c>
      <c r="AH2" s="53" t="s">
        <v>86</v>
      </c>
      <c r="AI2" s="69" t="s">
        <v>86</v>
      </c>
      <c r="AJ2" s="273"/>
      <c r="AK2" s="273"/>
      <c r="AL2" s="273"/>
      <c r="AM2" s="273"/>
      <c r="AN2" s="336"/>
      <c r="AO2" s="336"/>
      <c r="AP2" s="336"/>
      <c r="AQ2" s="336"/>
      <c r="AR2" s="336"/>
      <c r="AS2" s="336"/>
      <c r="AT2" s="336"/>
      <c r="AU2" s="336"/>
      <c r="AV2" s="237"/>
      <c r="AW2" s="237"/>
    </row>
    <row r="3" spans="1:52">
      <c r="A3" s="42"/>
      <c r="B3" s="43"/>
      <c r="C3" s="43"/>
      <c r="D3" s="44"/>
      <c r="E3" s="44"/>
      <c r="F3" s="45"/>
      <c r="G3" s="45"/>
      <c r="H3" s="45"/>
      <c r="I3" s="64"/>
      <c r="J3" s="47"/>
      <c r="K3" s="48"/>
      <c r="L3" s="45"/>
      <c r="M3" s="46"/>
      <c r="N3" s="46"/>
      <c r="O3" s="49"/>
      <c r="P3" s="50"/>
      <c r="Q3" s="50"/>
      <c r="R3" s="50"/>
      <c r="S3" s="51">
        <v>0</v>
      </c>
      <c r="T3" s="52"/>
      <c r="U3" s="343"/>
      <c r="V3" s="58"/>
      <c r="W3" s="341"/>
      <c r="X3" s="54"/>
      <c r="Y3" s="51"/>
      <c r="Z3" s="46"/>
      <c r="AA3" s="46"/>
      <c r="AB3" s="46"/>
      <c r="AC3" s="48"/>
      <c r="AD3" s="44"/>
      <c r="AE3" s="59"/>
      <c r="AF3" s="60"/>
      <c r="AG3" s="196"/>
      <c r="AH3" s="61"/>
      <c r="AI3" s="271"/>
      <c r="AJ3" s="272"/>
      <c r="AK3" s="272"/>
      <c r="AL3" s="272"/>
      <c r="AM3" s="272"/>
    </row>
    <row r="4" spans="1:52" s="290" customFormat="1">
      <c r="A4" s="62">
        <v>44926</v>
      </c>
      <c r="B4" s="337">
        <v>218</v>
      </c>
      <c r="C4" s="337">
        <v>224</v>
      </c>
      <c r="D4" s="337">
        <v>0</v>
      </c>
      <c r="E4" s="337">
        <v>0</v>
      </c>
      <c r="F4" s="337">
        <v>2361</v>
      </c>
      <c r="G4" s="337">
        <f>[2]B5!G34</f>
        <v>0</v>
      </c>
      <c r="H4" s="337">
        <v>52474</v>
      </c>
      <c r="I4" s="337">
        <f>[2]B5!I34</f>
        <v>0</v>
      </c>
      <c r="J4" s="337">
        <f>[2]B5!J34</f>
        <v>0</v>
      </c>
      <c r="K4" s="337">
        <v>2482</v>
      </c>
      <c r="L4" s="337">
        <v>0</v>
      </c>
      <c r="M4" s="337">
        <v>185022</v>
      </c>
      <c r="N4" s="337">
        <v>0</v>
      </c>
      <c r="O4" s="337">
        <f>[2]B5!O34</f>
        <v>1869</v>
      </c>
      <c r="P4" s="337">
        <v>2240</v>
      </c>
      <c r="Q4" s="337">
        <v>187109</v>
      </c>
      <c r="R4" s="337">
        <f>[2]B5!R34</f>
        <v>0</v>
      </c>
      <c r="S4" s="337">
        <f>[2]B5!S34</f>
        <v>0</v>
      </c>
      <c r="T4" s="337">
        <f>[2]B5!T34</f>
        <v>0</v>
      </c>
      <c r="U4" s="337">
        <v>0</v>
      </c>
      <c r="V4" s="337">
        <v>0</v>
      </c>
      <c r="W4" s="337">
        <f>[2]B5!W34</f>
        <v>0</v>
      </c>
      <c r="X4" s="337">
        <v>2498</v>
      </c>
      <c r="Y4" s="337">
        <f>[2]B5!Y34</f>
        <v>0</v>
      </c>
      <c r="Z4" s="337">
        <f>[2]B5!Z34</f>
        <v>141419</v>
      </c>
      <c r="AA4" s="337">
        <f>[2]B5!AA34</f>
        <v>0</v>
      </c>
      <c r="AB4" s="337">
        <f>[2]B5!AB34</f>
        <v>0</v>
      </c>
      <c r="AC4" s="337">
        <v>1959</v>
      </c>
      <c r="AD4" s="337">
        <f>[2]B5!AD34</f>
        <v>0</v>
      </c>
      <c r="AE4" s="337">
        <v>367689</v>
      </c>
      <c r="AF4" s="337">
        <f>[2]B5!AF34</f>
        <v>0</v>
      </c>
      <c r="AG4" s="337">
        <f>[2]B5!AG34</f>
        <v>0</v>
      </c>
      <c r="AH4" s="337">
        <f>[2]B5!AH34</f>
        <v>0</v>
      </c>
      <c r="AI4" s="337">
        <v>0</v>
      </c>
      <c r="AJ4" s="337">
        <v>0</v>
      </c>
      <c r="AK4" s="337">
        <f>[2]B5!AK34</f>
        <v>0</v>
      </c>
      <c r="AL4" s="337">
        <v>0</v>
      </c>
      <c r="AM4" s="337">
        <f>[2]B5!AM34</f>
        <v>0</v>
      </c>
      <c r="AN4" s="337">
        <f>[2]B5!AN34</f>
        <v>65</v>
      </c>
      <c r="AO4" s="337">
        <f>[2]B5!AO34</f>
        <v>1950</v>
      </c>
      <c r="AP4" s="337">
        <f>[2]B5!AP34</f>
        <v>35</v>
      </c>
      <c r="AQ4" s="337">
        <f>[2]B5!AQ34</f>
        <v>1050</v>
      </c>
      <c r="AR4" s="337">
        <f>[2]B5!AR34</f>
        <v>73</v>
      </c>
      <c r="AS4" s="337">
        <f>[2]B5!AS34</f>
        <v>2190</v>
      </c>
      <c r="AT4" s="337">
        <f>[2]B5!AT34</f>
        <v>5190</v>
      </c>
      <c r="AU4" s="337">
        <f>[2]B5!AU34</f>
        <v>0</v>
      </c>
      <c r="AV4" s="337">
        <f>[2]B5!AV34</f>
        <v>0</v>
      </c>
      <c r="AW4" s="337">
        <f>[2]B5!AW34</f>
        <v>0</v>
      </c>
      <c r="AX4" s="337">
        <f>[2]B5!AX34</f>
        <v>0.8</v>
      </c>
    </row>
    <row r="5" spans="1:52">
      <c r="A5" s="62">
        <v>44927</v>
      </c>
      <c r="B5" s="63">
        <f>B4</f>
        <v>218</v>
      </c>
      <c r="C5" s="63">
        <v>224</v>
      </c>
      <c r="D5" s="44">
        <f>C4-C5</f>
        <v>0</v>
      </c>
      <c r="E5" s="44">
        <f>D5*8.38</f>
        <v>0</v>
      </c>
      <c r="F5" s="468">
        <f>F4</f>
        <v>2361</v>
      </c>
      <c r="G5" s="51">
        <f t="shared" ref="G5:G32" si="0">F5-F4</f>
        <v>0</v>
      </c>
      <c r="H5" s="468">
        <f>H4</f>
        <v>52474</v>
      </c>
      <c r="I5" s="338">
        <f t="shared" ref="I5:I32" si="1">SUM(H5-H4)</f>
        <v>0</v>
      </c>
      <c r="J5" s="65">
        <v>1</v>
      </c>
      <c r="K5" s="337">
        <v>2482</v>
      </c>
      <c r="L5" s="51">
        <f>K5-K4</f>
        <v>0</v>
      </c>
      <c r="M5" s="337">
        <v>185022</v>
      </c>
      <c r="N5" s="338">
        <f t="shared" ref="N5:N32" si="2">M5-M4</f>
        <v>0</v>
      </c>
      <c r="O5" s="63">
        <f t="shared" ref="O5:Q17" si="3">O4</f>
        <v>1869</v>
      </c>
      <c r="P5" s="468">
        <f>P4</f>
        <v>2240</v>
      </c>
      <c r="Q5" s="468">
        <f>Q4</f>
        <v>187109</v>
      </c>
      <c r="R5" s="337">
        <f t="shared" ref="R5:R10" si="4">Q5-Q4</f>
        <v>0</v>
      </c>
      <c r="S5" s="51">
        <f t="shared" ref="S5:S32" si="5">SUM(P5-P4)</f>
        <v>0</v>
      </c>
      <c r="T5" s="66">
        <f>SUM(S5*$T$2)</f>
        <v>0</v>
      </c>
      <c r="U5" s="344">
        <f>SUM(G5+L5+S5)</f>
        <v>0</v>
      </c>
      <c r="V5" s="61">
        <f>R5+N5+I5:I5</f>
        <v>0</v>
      </c>
      <c r="W5" s="342" t="e">
        <f>SUM(V5/U5)</f>
        <v>#DIV/0!</v>
      </c>
      <c r="X5" s="468">
        <f>X4</f>
        <v>2498</v>
      </c>
      <c r="Y5" s="51">
        <f>X5-X4</f>
        <v>0</v>
      </c>
      <c r="Z5" s="468">
        <f>Z4</f>
        <v>141419</v>
      </c>
      <c r="AA5" s="64">
        <f t="shared" ref="AA5:AA32" si="6">Z5-Z4</f>
        <v>0</v>
      </c>
      <c r="AB5" s="246">
        <f>SUM(Y5*$AB$2)</f>
        <v>0</v>
      </c>
      <c r="AC5" s="337">
        <v>1959</v>
      </c>
      <c r="AD5" s="44">
        <f t="shared" ref="AD5:AD32" si="7">AC5-AC4</f>
        <v>0</v>
      </c>
      <c r="AE5" s="337">
        <v>367689</v>
      </c>
      <c r="AF5" s="263">
        <f>AE5-AE4</f>
        <v>0</v>
      </c>
      <c r="AG5" s="196">
        <f>IF(AD5&gt;0,AF5/AD5,0)</f>
        <v>0</v>
      </c>
      <c r="AH5" s="61">
        <f>AF5+AA5</f>
        <v>0</v>
      </c>
      <c r="AI5" s="271">
        <f>SUM(AH5+V5)</f>
        <v>0</v>
      </c>
      <c r="AJ5" s="271">
        <f>-tanks!AW6</f>
        <v>0</v>
      </c>
      <c r="AK5" s="271">
        <f>SUM(AJ5-AI5)</f>
        <v>0</v>
      </c>
      <c r="AL5" s="271">
        <f t="shared" ref="AL5:AL32" si="8">S5+L5+G5</f>
        <v>0</v>
      </c>
      <c r="AM5" s="271">
        <f>Y5+AD5</f>
        <v>0</v>
      </c>
      <c r="AN5" s="468">
        <f>AN4</f>
        <v>65</v>
      </c>
      <c r="AO5" s="273">
        <f>(AN5/100)*3000</f>
        <v>1950</v>
      </c>
      <c r="AP5" s="468">
        <f>AP4</f>
        <v>35</v>
      </c>
      <c r="AQ5" s="273">
        <f>(AP5/100)*3000</f>
        <v>1050</v>
      </c>
      <c r="AR5" s="468">
        <f>AR4</f>
        <v>73</v>
      </c>
      <c r="AS5" s="273">
        <f>(AR5/100)*3000</f>
        <v>2190</v>
      </c>
      <c r="AT5" s="273">
        <f>SUM(AO5+AQ5+AS5)</f>
        <v>5190</v>
      </c>
      <c r="AU5" s="273">
        <f>AT4-AT5+AV5</f>
        <v>0</v>
      </c>
      <c r="AV5" s="237"/>
      <c r="AW5" s="237"/>
      <c r="AX5" s="267">
        <f>IF(AV5&gt;0,AW5,AX4)</f>
        <v>0.8</v>
      </c>
    </row>
    <row r="6" spans="1:52">
      <c r="A6" s="62">
        <v>44928</v>
      </c>
      <c r="B6" s="63">
        <v>218</v>
      </c>
      <c r="C6" s="63">
        <v>224</v>
      </c>
      <c r="D6" s="44">
        <f>C5-C6</f>
        <v>0</v>
      </c>
      <c r="E6" s="44">
        <f t="shared" ref="E6:E32" si="9">D6*8.38</f>
        <v>0</v>
      </c>
      <c r="F6" s="468">
        <f t="shared" ref="F6:F35" si="10">F5</f>
        <v>2361</v>
      </c>
      <c r="G6" s="51">
        <f t="shared" si="0"/>
        <v>0</v>
      </c>
      <c r="H6" s="468">
        <f>H5</f>
        <v>52474</v>
      </c>
      <c r="I6" s="338">
        <f t="shared" si="1"/>
        <v>0</v>
      </c>
      <c r="J6" s="65">
        <f t="shared" ref="J6:J32" si="11">IF(G6&gt;0,I6/G6,0)</f>
        <v>0</v>
      </c>
      <c r="K6" s="337">
        <v>2482</v>
      </c>
      <c r="L6" s="51">
        <f t="shared" ref="L6:L32" si="12">K6-K5</f>
        <v>0</v>
      </c>
      <c r="M6" s="63">
        <f t="shared" ref="M6:M7" si="13">M5</f>
        <v>185022</v>
      </c>
      <c r="N6" s="338">
        <f t="shared" si="2"/>
        <v>0</v>
      </c>
      <c r="O6" s="63">
        <f t="shared" si="3"/>
        <v>1869</v>
      </c>
      <c r="P6" s="468">
        <f t="shared" si="3"/>
        <v>2240</v>
      </c>
      <c r="Q6" s="468">
        <f t="shared" si="3"/>
        <v>187109</v>
      </c>
      <c r="R6" s="337">
        <f t="shared" si="4"/>
        <v>0</v>
      </c>
      <c r="S6" s="51">
        <f t="shared" si="5"/>
        <v>0</v>
      </c>
      <c r="T6" s="66">
        <f>SUM(S6*$T$2)</f>
        <v>0</v>
      </c>
      <c r="U6" s="344">
        <f t="shared" ref="U6:U32" si="14">SUM(G6+L6+S6)</f>
        <v>0</v>
      </c>
      <c r="V6" s="61">
        <f t="shared" ref="V6:V32" si="15">R6+N6+I6:I6</f>
        <v>0</v>
      </c>
      <c r="W6" s="342" t="e">
        <f t="shared" ref="W6:W16" si="16">SUM(V6/U6)</f>
        <v>#DIV/0!</v>
      </c>
      <c r="X6" s="468">
        <f t="shared" ref="X6:X35" si="17">X5</f>
        <v>2498</v>
      </c>
      <c r="Y6" s="51">
        <f t="shared" ref="Y6:Y32" si="18">X6-X5</f>
        <v>0</v>
      </c>
      <c r="Z6" s="468">
        <f t="shared" ref="Z6:Z35" si="19">Z5</f>
        <v>141419</v>
      </c>
      <c r="AA6" s="64">
        <f t="shared" si="6"/>
        <v>0</v>
      </c>
      <c r="AB6" s="246">
        <f>SUM(Y6*$AB$2)</f>
        <v>0</v>
      </c>
      <c r="AC6" s="337">
        <v>1959</v>
      </c>
      <c r="AD6" s="44">
        <f t="shared" si="7"/>
        <v>0</v>
      </c>
      <c r="AE6" s="468">
        <f t="shared" ref="AE6:AE35" si="20">AE5</f>
        <v>367689</v>
      </c>
      <c r="AF6" s="263">
        <f t="shared" ref="AF6:AF32" si="21">AE6-AE5</f>
        <v>0</v>
      </c>
      <c r="AG6" s="196">
        <f>IF(AD6&gt;0,AF6/AD6,0)</f>
        <v>0</v>
      </c>
      <c r="AH6" s="61">
        <f>AF6+AA6</f>
        <v>0</v>
      </c>
      <c r="AI6" s="271">
        <f t="shared" ref="AI6:AI32" si="22">SUM(AH6+V6)</f>
        <v>0</v>
      </c>
      <c r="AJ6" s="271">
        <f>-tanks!AW7</f>
        <v>0</v>
      </c>
      <c r="AK6" s="271">
        <f t="shared" ref="AK6:AK32" si="23">SUM(AJ6-AI6)</f>
        <v>0</v>
      </c>
      <c r="AL6" s="271">
        <f t="shared" si="8"/>
        <v>0</v>
      </c>
      <c r="AM6" s="271">
        <f t="shared" ref="AM6:AM32" si="24">Y6+AD6</f>
        <v>0</v>
      </c>
      <c r="AN6" s="468">
        <f t="shared" ref="AN6:AN35" si="25">AN5</f>
        <v>65</v>
      </c>
      <c r="AO6" s="273">
        <f t="shared" ref="AO6:AO35" si="26">(AN6/100)*3000</f>
        <v>1950</v>
      </c>
      <c r="AP6" s="468">
        <f t="shared" ref="AP6:AP35" si="27">AP5</f>
        <v>35</v>
      </c>
      <c r="AQ6" s="273">
        <f t="shared" ref="AQ6:AQ24" si="28">(AP6/100)*3000</f>
        <v>1050</v>
      </c>
      <c r="AR6" s="468">
        <f t="shared" ref="AR6:AR35" si="29">AR5</f>
        <v>73</v>
      </c>
      <c r="AS6" s="273">
        <f>(AR6/100)*3000</f>
        <v>2190</v>
      </c>
      <c r="AT6" s="273">
        <f>SUM(AO6+AQ6+AS6)</f>
        <v>5190</v>
      </c>
      <c r="AU6" s="273">
        <f>AT5-AT6+AV6</f>
        <v>0</v>
      </c>
      <c r="AV6" s="237"/>
      <c r="AW6" s="237"/>
      <c r="AX6" s="267">
        <f t="shared" ref="AX6:AX32" si="30">IF(AV6&gt;0,AW6,AX5)</f>
        <v>0.8</v>
      </c>
    </row>
    <row r="7" spans="1:52">
      <c r="A7" s="62">
        <v>44929</v>
      </c>
      <c r="B7" s="63">
        <v>214</v>
      </c>
      <c r="C7" s="63">
        <v>221</v>
      </c>
      <c r="D7" s="44">
        <f t="shared" ref="D7:D19" si="31">C6-C7</f>
        <v>3</v>
      </c>
      <c r="E7" s="44">
        <f t="shared" si="9"/>
        <v>25.14</v>
      </c>
      <c r="F7" s="468">
        <f t="shared" si="10"/>
        <v>2361</v>
      </c>
      <c r="G7" s="51">
        <f t="shared" si="0"/>
        <v>0</v>
      </c>
      <c r="H7" s="468">
        <v>52558</v>
      </c>
      <c r="I7" s="338">
        <f t="shared" si="1"/>
        <v>84</v>
      </c>
      <c r="J7" s="65">
        <f t="shared" si="11"/>
        <v>0</v>
      </c>
      <c r="K7" s="468">
        <v>2482</v>
      </c>
      <c r="L7" s="51">
        <f t="shared" si="12"/>
        <v>0</v>
      </c>
      <c r="M7" s="63">
        <f t="shared" si="13"/>
        <v>185022</v>
      </c>
      <c r="N7" s="338">
        <f t="shared" si="2"/>
        <v>0</v>
      </c>
      <c r="O7" s="63">
        <f t="shared" si="3"/>
        <v>1869</v>
      </c>
      <c r="P7" s="468">
        <f t="shared" si="3"/>
        <v>2240</v>
      </c>
      <c r="Q7" s="468">
        <f t="shared" si="3"/>
        <v>187109</v>
      </c>
      <c r="R7" s="337">
        <f t="shared" si="4"/>
        <v>0</v>
      </c>
      <c r="S7" s="51">
        <f t="shared" si="5"/>
        <v>0</v>
      </c>
      <c r="T7" s="66">
        <f t="shared" ref="T7:T32" si="32">SUM(S7*$T$2)</f>
        <v>0</v>
      </c>
      <c r="U7" s="344">
        <f t="shared" si="14"/>
        <v>0</v>
      </c>
      <c r="V7" s="61">
        <f>R7+N7+I7:I7</f>
        <v>84</v>
      </c>
      <c r="W7" s="342" t="e">
        <f t="shared" si="16"/>
        <v>#DIV/0!</v>
      </c>
      <c r="X7" s="468">
        <f t="shared" si="17"/>
        <v>2498</v>
      </c>
      <c r="Y7" s="51">
        <f t="shared" si="18"/>
        <v>0</v>
      </c>
      <c r="Z7" s="468">
        <f t="shared" si="19"/>
        <v>141419</v>
      </c>
      <c r="AA7" s="64">
        <f t="shared" si="6"/>
        <v>0</v>
      </c>
      <c r="AB7" s="246">
        <f t="shared" ref="AB7:AB17" si="33">SUM(Y7*$AB$2)</f>
        <v>0</v>
      </c>
      <c r="AC7" s="468">
        <f t="shared" ref="AC7:AC35" si="34">AC6</f>
        <v>1959</v>
      </c>
      <c r="AD7" s="44">
        <f t="shared" si="7"/>
        <v>0</v>
      </c>
      <c r="AE7" s="468">
        <f t="shared" si="20"/>
        <v>367689</v>
      </c>
      <c r="AF7" s="263">
        <f t="shared" si="21"/>
        <v>0</v>
      </c>
      <c r="AG7" s="196">
        <f t="shared" ref="AG7:AG32" si="35">IF(AD7&gt;0,AF7/AD7,0)</f>
        <v>0</v>
      </c>
      <c r="AH7" s="61">
        <f t="shared" ref="AH7:AH32" si="36">AF7+AA7</f>
        <v>0</v>
      </c>
      <c r="AI7" s="271">
        <f t="shared" si="22"/>
        <v>84</v>
      </c>
      <c r="AJ7" s="271">
        <f>-tanks!AW8</f>
        <v>84</v>
      </c>
      <c r="AK7" s="271">
        <f t="shared" si="23"/>
        <v>0</v>
      </c>
      <c r="AL7" s="271">
        <f t="shared" si="8"/>
        <v>0</v>
      </c>
      <c r="AM7" s="271">
        <f t="shared" si="24"/>
        <v>0</v>
      </c>
      <c r="AN7" s="468">
        <f t="shared" si="25"/>
        <v>65</v>
      </c>
      <c r="AO7" s="273">
        <f t="shared" si="26"/>
        <v>1950</v>
      </c>
      <c r="AP7" s="468">
        <f t="shared" si="27"/>
        <v>35</v>
      </c>
      <c r="AQ7" s="273">
        <f t="shared" si="28"/>
        <v>1050</v>
      </c>
      <c r="AR7" s="468">
        <f t="shared" si="29"/>
        <v>73</v>
      </c>
      <c r="AS7" s="273">
        <f t="shared" ref="AS7:AS35" si="37">(AR7/100)*3000</f>
        <v>2190</v>
      </c>
      <c r="AT7" s="273">
        <f t="shared" ref="AT7:AT23" si="38">SUM(AO7+AQ7+AS7)</f>
        <v>5190</v>
      </c>
      <c r="AU7" s="273">
        <f t="shared" ref="AU7:AU35" si="39">AT6-AT7+AV7</f>
        <v>0</v>
      </c>
      <c r="AV7" s="237"/>
      <c r="AW7" s="237"/>
      <c r="AX7" s="267">
        <f t="shared" si="30"/>
        <v>0.8</v>
      </c>
      <c r="AZ7" s="41" t="s">
        <v>94</v>
      </c>
    </row>
    <row r="8" spans="1:52">
      <c r="A8" s="62">
        <v>44930</v>
      </c>
      <c r="B8" s="63">
        <v>239</v>
      </c>
      <c r="C8" s="63">
        <v>242</v>
      </c>
      <c r="D8" s="44">
        <f t="shared" si="31"/>
        <v>-21</v>
      </c>
      <c r="E8" s="44">
        <f t="shared" si="9"/>
        <v>-175.98000000000002</v>
      </c>
      <c r="F8" s="468">
        <v>2365</v>
      </c>
      <c r="G8" s="51">
        <f t="shared" si="0"/>
        <v>4</v>
      </c>
      <c r="H8" s="468">
        <v>52754</v>
      </c>
      <c r="I8" s="338">
        <f t="shared" si="1"/>
        <v>196</v>
      </c>
      <c r="J8" s="65">
        <f t="shared" si="11"/>
        <v>49</v>
      </c>
      <c r="K8" s="468">
        <v>2482</v>
      </c>
      <c r="L8" s="51">
        <f t="shared" si="12"/>
        <v>0</v>
      </c>
      <c r="M8" s="63">
        <v>185032</v>
      </c>
      <c r="N8" s="338">
        <f t="shared" si="2"/>
        <v>10</v>
      </c>
      <c r="O8" s="63">
        <f t="shared" si="3"/>
        <v>1869</v>
      </c>
      <c r="P8" s="468">
        <f t="shared" si="3"/>
        <v>2240</v>
      </c>
      <c r="Q8" s="468">
        <f t="shared" si="3"/>
        <v>187109</v>
      </c>
      <c r="R8" s="337">
        <f t="shared" si="4"/>
        <v>0</v>
      </c>
      <c r="S8" s="51">
        <f t="shared" si="5"/>
        <v>0</v>
      </c>
      <c r="T8" s="66">
        <f t="shared" si="32"/>
        <v>0</v>
      </c>
      <c r="U8" s="344">
        <f t="shared" si="14"/>
        <v>4</v>
      </c>
      <c r="V8" s="61">
        <f>R8+N8+I8:I8</f>
        <v>206</v>
      </c>
      <c r="W8" s="342">
        <f t="shared" si="16"/>
        <v>51.5</v>
      </c>
      <c r="X8" s="468">
        <f t="shared" si="17"/>
        <v>2498</v>
      </c>
      <c r="Y8" s="51">
        <f t="shared" si="18"/>
        <v>0</v>
      </c>
      <c r="Z8" s="468">
        <f t="shared" si="19"/>
        <v>141419</v>
      </c>
      <c r="AA8" s="64">
        <f t="shared" si="6"/>
        <v>0</v>
      </c>
      <c r="AB8" s="246">
        <f t="shared" si="33"/>
        <v>0</v>
      </c>
      <c r="AC8" s="468">
        <v>1960</v>
      </c>
      <c r="AD8" s="44">
        <f t="shared" si="7"/>
        <v>1</v>
      </c>
      <c r="AE8" s="468">
        <v>367780</v>
      </c>
      <c r="AF8" s="263">
        <f t="shared" si="21"/>
        <v>91</v>
      </c>
      <c r="AG8" s="196">
        <f t="shared" si="35"/>
        <v>91</v>
      </c>
      <c r="AH8" s="61">
        <f t="shared" si="36"/>
        <v>91</v>
      </c>
      <c r="AI8" s="271">
        <f t="shared" si="22"/>
        <v>297</v>
      </c>
      <c r="AJ8" s="271">
        <f>-tanks!AW9</f>
        <v>297</v>
      </c>
      <c r="AK8" s="271">
        <f t="shared" si="23"/>
        <v>0</v>
      </c>
      <c r="AL8" s="271">
        <f t="shared" si="8"/>
        <v>4</v>
      </c>
      <c r="AM8" s="271">
        <f t="shared" si="24"/>
        <v>1</v>
      </c>
      <c r="AN8" s="468">
        <f t="shared" si="25"/>
        <v>65</v>
      </c>
      <c r="AO8" s="273">
        <f t="shared" si="26"/>
        <v>1950</v>
      </c>
      <c r="AP8" s="468">
        <f t="shared" si="27"/>
        <v>35</v>
      </c>
      <c r="AQ8" s="273">
        <f t="shared" si="28"/>
        <v>1050</v>
      </c>
      <c r="AR8" s="468">
        <f t="shared" si="29"/>
        <v>73</v>
      </c>
      <c r="AS8" s="273">
        <f t="shared" si="37"/>
        <v>2190</v>
      </c>
      <c r="AT8" s="273">
        <f t="shared" si="38"/>
        <v>5190</v>
      </c>
      <c r="AU8" s="273">
        <f t="shared" si="39"/>
        <v>0</v>
      </c>
      <c r="AV8" s="237"/>
      <c r="AW8" s="237"/>
      <c r="AX8" s="267">
        <f t="shared" si="30"/>
        <v>0.8</v>
      </c>
    </row>
    <row r="9" spans="1:52" ht="15.75" customHeight="1">
      <c r="A9" s="62">
        <v>44931</v>
      </c>
      <c r="B9" s="63">
        <v>236</v>
      </c>
      <c r="C9" s="63">
        <v>239</v>
      </c>
      <c r="D9" s="44">
        <f t="shared" si="31"/>
        <v>3</v>
      </c>
      <c r="E9" s="44">
        <f t="shared" si="9"/>
        <v>25.14</v>
      </c>
      <c r="F9" s="468">
        <v>2366</v>
      </c>
      <c r="G9" s="51">
        <f t="shared" si="0"/>
        <v>1</v>
      </c>
      <c r="H9" s="468">
        <v>52811</v>
      </c>
      <c r="I9" s="338">
        <f t="shared" si="1"/>
        <v>57</v>
      </c>
      <c r="J9" s="65">
        <f t="shared" si="11"/>
        <v>57</v>
      </c>
      <c r="K9" s="468">
        <v>2483</v>
      </c>
      <c r="L9" s="51">
        <f t="shared" si="12"/>
        <v>1</v>
      </c>
      <c r="M9" s="63">
        <v>185088</v>
      </c>
      <c r="N9" s="338">
        <f t="shared" si="2"/>
        <v>56</v>
      </c>
      <c r="O9" s="63">
        <f t="shared" si="3"/>
        <v>1869</v>
      </c>
      <c r="P9" s="468">
        <f t="shared" si="3"/>
        <v>2240</v>
      </c>
      <c r="Q9" s="468">
        <f t="shared" si="3"/>
        <v>187109</v>
      </c>
      <c r="R9" s="337">
        <f t="shared" si="4"/>
        <v>0</v>
      </c>
      <c r="S9" s="51">
        <f t="shared" si="5"/>
        <v>0</v>
      </c>
      <c r="T9" s="66">
        <f t="shared" si="32"/>
        <v>0</v>
      </c>
      <c r="U9" s="344">
        <f t="shared" si="14"/>
        <v>2</v>
      </c>
      <c r="V9" s="61">
        <f t="shared" si="15"/>
        <v>113</v>
      </c>
      <c r="W9" s="342">
        <f t="shared" si="16"/>
        <v>56.5</v>
      </c>
      <c r="X9" s="468">
        <f t="shared" si="17"/>
        <v>2498</v>
      </c>
      <c r="Y9" s="51">
        <f t="shared" si="18"/>
        <v>0</v>
      </c>
      <c r="Z9" s="468">
        <f t="shared" si="19"/>
        <v>141419</v>
      </c>
      <c r="AA9" s="64">
        <f t="shared" si="6"/>
        <v>0</v>
      </c>
      <c r="AB9" s="246">
        <f t="shared" si="33"/>
        <v>0</v>
      </c>
      <c r="AC9" s="468">
        <f t="shared" si="34"/>
        <v>1960</v>
      </c>
      <c r="AD9" s="44">
        <f t="shared" si="7"/>
        <v>0</v>
      </c>
      <c r="AE9" s="468">
        <f t="shared" si="20"/>
        <v>367780</v>
      </c>
      <c r="AF9" s="263">
        <f t="shared" si="21"/>
        <v>0</v>
      </c>
      <c r="AG9" s="196">
        <f t="shared" si="35"/>
        <v>0</v>
      </c>
      <c r="AH9" s="61">
        <f t="shared" si="36"/>
        <v>0</v>
      </c>
      <c r="AI9" s="271">
        <f t="shared" si="22"/>
        <v>113</v>
      </c>
      <c r="AJ9" s="271">
        <f>-tanks!AW10</f>
        <v>113</v>
      </c>
      <c r="AK9" s="271">
        <f t="shared" si="23"/>
        <v>0</v>
      </c>
      <c r="AL9" s="271">
        <f t="shared" si="8"/>
        <v>2</v>
      </c>
      <c r="AM9" s="271">
        <f t="shared" si="24"/>
        <v>0</v>
      </c>
      <c r="AN9" s="468">
        <f t="shared" si="25"/>
        <v>65</v>
      </c>
      <c r="AO9" s="273">
        <f t="shared" si="26"/>
        <v>1950</v>
      </c>
      <c r="AP9" s="468">
        <f t="shared" si="27"/>
        <v>35</v>
      </c>
      <c r="AQ9" s="273">
        <f t="shared" si="28"/>
        <v>1050</v>
      </c>
      <c r="AR9" s="468">
        <f t="shared" si="29"/>
        <v>73</v>
      </c>
      <c r="AS9" s="273">
        <f>(AR9/100)*3000</f>
        <v>2190</v>
      </c>
      <c r="AT9" s="273">
        <f t="shared" si="38"/>
        <v>5190</v>
      </c>
      <c r="AU9" s="273">
        <f t="shared" si="39"/>
        <v>0</v>
      </c>
      <c r="AV9" s="237"/>
      <c r="AW9" s="237"/>
      <c r="AX9" s="267">
        <f t="shared" si="30"/>
        <v>0.8</v>
      </c>
    </row>
    <row r="10" spans="1:52">
      <c r="A10" s="62">
        <v>44932</v>
      </c>
      <c r="B10" s="63">
        <v>233</v>
      </c>
      <c r="C10" s="63">
        <v>239</v>
      </c>
      <c r="D10" s="44">
        <f t="shared" si="31"/>
        <v>0</v>
      </c>
      <c r="E10" s="44">
        <f t="shared" si="9"/>
        <v>0</v>
      </c>
      <c r="F10" s="468">
        <v>2366</v>
      </c>
      <c r="G10" s="51">
        <f t="shared" si="0"/>
        <v>0</v>
      </c>
      <c r="H10" s="468">
        <v>52811</v>
      </c>
      <c r="I10" s="338">
        <f t="shared" si="1"/>
        <v>0</v>
      </c>
      <c r="J10" s="65">
        <f t="shared" si="11"/>
        <v>0</v>
      </c>
      <c r="K10" s="468">
        <v>2483</v>
      </c>
      <c r="L10" s="51">
        <f t="shared" si="12"/>
        <v>0</v>
      </c>
      <c r="M10" s="63">
        <v>185088</v>
      </c>
      <c r="N10" s="338">
        <f t="shared" si="2"/>
        <v>0</v>
      </c>
      <c r="O10" s="63">
        <f t="shared" si="3"/>
        <v>1869</v>
      </c>
      <c r="P10" s="468">
        <f t="shared" si="3"/>
        <v>2240</v>
      </c>
      <c r="Q10" s="468">
        <f t="shared" si="3"/>
        <v>187109</v>
      </c>
      <c r="R10" s="337">
        <f t="shared" si="4"/>
        <v>0</v>
      </c>
      <c r="S10" s="51">
        <f t="shared" si="5"/>
        <v>0</v>
      </c>
      <c r="T10" s="66">
        <f t="shared" si="32"/>
        <v>0</v>
      </c>
      <c r="U10" s="344">
        <f t="shared" si="14"/>
        <v>0</v>
      </c>
      <c r="V10" s="61">
        <f t="shared" si="15"/>
        <v>0</v>
      </c>
      <c r="W10" s="342" t="e">
        <f t="shared" si="16"/>
        <v>#DIV/0!</v>
      </c>
      <c r="X10" s="468">
        <f t="shared" si="17"/>
        <v>2498</v>
      </c>
      <c r="Y10" s="51">
        <f t="shared" si="18"/>
        <v>0</v>
      </c>
      <c r="Z10" s="468">
        <f t="shared" si="19"/>
        <v>141419</v>
      </c>
      <c r="AA10" s="64">
        <f t="shared" si="6"/>
        <v>0</v>
      </c>
      <c r="AB10" s="246">
        <f t="shared" si="33"/>
        <v>0</v>
      </c>
      <c r="AC10" s="468">
        <f t="shared" si="34"/>
        <v>1960</v>
      </c>
      <c r="AD10" s="44">
        <f t="shared" si="7"/>
        <v>0</v>
      </c>
      <c r="AE10" s="468">
        <f t="shared" si="20"/>
        <v>367780</v>
      </c>
      <c r="AF10" s="263">
        <f t="shared" si="21"/>
        <v>0</v>
      </c>
      <c r="AG10" s="196">
        <f t="shared" si="35"/>
        <v>0</v>
      </c>
      <c r="AH10" s="61">
        <f t="shared" si="36"/>
        <v>0</v>
      </c>
      <c r="AI10" s="271">
        <f>SUM(AH10+V10)</f>
        <v>0</v>
      </c>
      <c r="AJ10" s="271">
        <f>-tanks!AW11</f>
        <v>0</v>
      </c>
      <c r="AK10" s="271">
        <f t="shared" si="23"/>
        <v>0</v>
      </c>
      <c r="AL10" s="271">
        <f t="shared" si="8"/>
        <v>0</v>
      </c>
      <c r="AM10" s="271">
        <f t="shared" si="24"/>
        <v>0</v>
      </c>
      <c r="AN10" s="468">
        <f t="shared" si="25"/>
        <v>65</v>
      </c>
      <c r="AO10" s="273">
        <f t="shared" si="26"/>
        <v>1950</v>
      </c>
      <c r="AP10" s="468">
        <f t="shared" si="27"/>
        <v>35</v>
      </c>
      <c r="AQ10" s="273">
        <f t="shared" si="28"/>
        <v>1050</v>
      </c>
      <c r="AR10" s="468">
        <f t="shared" si="29"/>
        <v>73</v>
      </c>
      <c r="AS10" s="273">
        <f t="shared" si="37"/>
        <v>2190</v>
      </c>
      <c r="AT10" s="273">
        <f t="shared" si="38"/>
        <v>5190</v>
      </c>
      <c r="AU10" s="273">
        <f t="shared" si="39"/>
        <v>0</v>
      </c>
      <c r="AV10" s="237"/>
      <c r="AW10" s="237"/>
      <c r="AX10" s="267">
        <f t="shared" si="30"/>
        <v>0.8</v>
      </c>
    </row>
    <row r="11" spans="1:52">
      <c r="A11" s="62">
        <v>44933</v>
      </c>
      <c r="B11" s="63">
        <v>233</v>
      </c>
      <c r="C11" s="63">
        <v>239</v>
      </c>
      <c r="D11" s="44">
        <f t="shared" si="31"/>
        <v>0</v>
      </c>
      <c r="E11" s="44">
        <f t="shared" si="9"/>
        <v>0</v>
      </c>
      <c r="F11" s="468">
        <f t="shared" si="10"/>
        <v>2366</v>
      </c>
      <c r="G11" s="51">
        <f t="shared" si="0"/>
        <v>0</v>
      </c>
      <c r="H11" s="468">
        <f t="shared" ref="H11:H35" si="40">H10</f>
        <v>52811</v>
      </c>
      <c r="I11" s="338">
        <f t="shared" si="1"/>
        <v>0</v>
      </c>
      <c r="J11" s="65">
        <f t="shared" si="11"/>
        <v>0</v>
      </c>
      <c r="K11" s="468">
        <f t="shared" ref="K11:K35" si="41">K10</f>
        <v>2483</v>
      </c>
      <c r="L11" s="51">
        <f t="shared" si="12"/>
        <v>0</v>
      </c>
      <c r="M11" s="63">
        <f>M10</f>
        <v>185088</v>
      </c>
      <c r="N11" s="338">
        <f t="shared" si="2"/>
        <v>0</v>
      </c>
      <c r="O11" s="63">
        <f t="shared" si="3"/>
        <v>1869</v>
      </c>
      <c r="P11" s="468">
        <f t="shared" si="3"/>
        <v>2240</v>
      </c>
      <c r="Q11" s="468">
        <f t="shared" si="3"/>
        <v>187109</v>
      </c>
      <c r="R11" s="337">
        <f t="shared" ref="R11:R32" si="42">Q11-Q10</f>
        <v>0</v>
      </c>
      <c r="S11" s="51">
        <f t="shared" si="5"/>
        <v>0</v>
      </c>
      <c r="T11" s="66">
        <f t="shared" si="32"/>
        <v>0</v>
      </c>
      <c r="U11" s="344">
        <f t="shared" si="14"/>
        <v>0</v>
      </c>
      <c r="V11" s="61">
        <f t="shared" si="15"/>
        <v>0</v>
      </c>
      <c r="W11" s="342" t="e">
        <f t="shared" si="16"/>
        <v>#DIV/0!</v>
      </c>
      <c r="X11" s="468">
        <f t="shared" si="17"/>
        <v>2498</v>
      </c>
      <c r="Y11" s="51">
        <f t="shared" si="18"/>
        <v>0</v>
      </c>
      <c r="Z11" s="468">
        <f t="shared" si="19"/>
        <v>141419</v>
      </c>
      <c r="AA11" s="64">
        <f t="shared" si="6"/>
        <v>0</v>
      </c>
      <c r="AB11" s="246">
        <f t="shared" si="33"/>
        <v>0</v>
      </c>
      <c r="AC11" s="468">
        <f t="shared" si="34"/>
        <v>1960</v>
      </c>
      <c r="AD11" s="44">
        <f t="shared" si="7"/>
        <v>0</v>
      </c>
      <c r="AE11" s="468">
        <f t="shared" si="20"/>
        <v>367780</v>
      </c>
      <c r="AF11" s="263">
        <f t="shared" si="21"/>
        <v>0</v>
      </c>
      <c r="AG11" s="196">
        <f t="shared" si="35"/>
        <v>0</v>
      </c>
      <c r="AH11" s="61">
        <f>AF11+AA11</f>
        <v>0</v>
      </c>
      <c r="AI11" s="271">
        <f>SUM(AH11+V11)</f>
        <v>0</v>
      </c>
      <c r="AJ11" s="271">
        <f>-tanks!AW12</f>
        <v>0</v>
      </c>
      <c r="AK11" s="271">
        <f t="shared" si="23"/>
        <v>0</v>
      </c>
      <c r="AL11" s="271">
        <f t="shared" si="8"/>
        <v>0</v>
      </c>
      <c r="AM11" s="271">
        <f t="shared" si="24"/>
        <v>0</v>
      </c>
      <c r="AN11" s="468">
        <v>65</v>
      </c>
      <c r="AO11" s="273">
        <f t="shared" si="26"/>
        <v>1950</v>
      </c>
      <c r="AP11" s="468">
        <v>35</v>
      </c>
      <c r="AQ11" s="273">
        <f t="shared" si="28"/>
        <v>1050</v>
      </c>
      <c r="AR11" s="468">
        <f t="shared" si="29"/>
        <v>73</v>
      </c>
      <c r="AS11" s="273">
        <f t="shared" si="37"/>
        <v>2190</v>
      </c>
      <c r="AT11" s="273">
        <f t="shared" si="38"/>
        <v>5190</v>
      </c>
      <c r="AU11" s="273">
        <f t="shared" si="39"/>
        <v>0</v>
      </c>
      <c r="AV11" s="237"/>
      <c r="AW11" s="237"/>
      <c r="AX11" s="267">
        <f t="shared" si="30"/>
        <v>0.8</v>
      </c>
    </row>
    <row r="12" spans="1:52">
      <c r="A12" s="62">
        <v>44934</v>
      </c>
      <c r="B12" s="63">
        <v>230</v>
      </c>
      <c r="C12" s="63">
        <v>236</v>
      </c>
      <c r="D12" s="44">
        <f t="shared" si="31"/>
        <v>3</v>
      </c>
      <c r="E12" s="44">
        <f t="shared" si="9"/>
        <v>25.14</v>
      </c>
      <c r="F12" s="468">
        <v>2368</v>
      </c>
      <c r="G12" s="51">
        <f t="shared" si="0"/>
        <v>2</v>
      </c>
      <c r="H12" s="468">
        <v>52991</v>
      </c>
      <c r="I12" s="338">
        <f t="shared" si="1"/>
        <v>180</v>
      </c>
      <c r="J12" s="65">
        <f t="shared" si="11"/>
        <v>90</v>
      </c>
      <c r="K12" s="468">
        <f t="shared" si="41"/>
        <v>2483</v>
      </c>
      <c r="L12" s="51">
        <f t="shared" si="12"/>
        <v>0</v>
      </c>
      <c r="M12" s="63">
        <f t="shared" ref="M12:M35" si="43">M11</f>
        <v>185088</v>
      </c>
      <c r="N12" s="338">
        <f t="shared" si="2"/>
        <v>0</v>
      </c>
      <c r="O12" s="63">
        <f t="shared" si="3"/>
        <v>1869</v>
      </c>
      <c r="P12" s="468">
        <f t="shared" si="3"/>
        <v>2240</v>
      </c>
      <c r="Q12" s="468">
        <f t="shared" si="3"/>
        <v>187109</v>
      </c>
      <c r="R12" s="337">
        <f t="shared" si="42"/>
        <v>0</v>
      </c>
      <c r="S12" s="51">
        <f t="shared" si="5"/>
        <v>0</v>
      </c>
      <c r="T12" s="66">
        <f t="shared" si="32"/>
        <v>0</v>
      </c>
      <c r="U12" s="344">
        <f t="shared" si="14"/>
        <v>2</v>
      </c>
      <c r="V12" s="61">
        <f t="shared" si="15"/>
        <v>180</v>
      </c>
      <c r="W12" s="342">
        <f t="shared" si="16"/>
        <v>90</v>
      </c>
      <c r="X12" s="468">
        <f t="shared" si="17"/>
        <v>2498</v>
      </c>
      <c r="Y12" s="51">
        <f t="shared" si="18"/>
        <v>0</v>
      </c>
      <c r="Z12" s="468">
        <f t="shared" si="19"/>
        <v>141419</v>
      </c>
      <c r="AA12" s="64">
        <f t="shared" si="6"/>
        <v>0</v>
      </c>
      <c r="AB12" s="246">
        <f t="shared" si="33"/>
        <v>0</v>
      </c>
      <c r="AC12" s="468">
        <f t="shared" si="34"/>
        <v>1960</v>
      </c>
      <c r="AD12" s="44">
        <f t="shared" si="7"/>
        <v>0</v>
      </c>
      <c r="AE12" s="468">
        <f t="shared" si="20"/>
        <v>367780</v>
      </c>
      <c r="AF12" s="263">
        <f t="shared" si="21"/>
        <v>0</v>
      </c>
      <c r="AG12" s="196">
        <f t="shared" si="35"/>
        <v>0</v>
      </c>
      <c r="AH12" s="61">
        <f t="shared" si="36"/>
        <v>0</v>
      </c>
      <c r="AI12" s="271">
        <f t="shared" si="22"/>
        <v>180</v>
      </c>
      <c r="AJ12" s="271">
        <f>-tanks!AW13</f>
        <v>180</v>
      </c>
      <c r="AK12" s="271">
        <f t="shared" si="23"/>
        <v>0</v>
      </c>
      <c r="AL12" s="271">
        <f t="shared" si="8"/>
        <v>2</v>
      </c>
      <c r="AM12" s="271">
        <f t="shared" si="24"/>
        <v>0</v>
      </c>
      <c r="AN12" s="468">
        <f t="shared" si="25"/>
        <v>65</v>
      </c>
      <c r="AO12" s="273">
        <f t="shared" si="26"/>
        <v>1950</v>
      </c>
      <c r="AP12" s="468">
        <f t="shared" si="27"/>
        <v>35</v>
      </c>
      <c r="AQ12" s="273">
        <f t="shared" si="28"/>
        <v>1050</v>
      </c>
      <c r="AR12" s="468">
        <f t="shared" si="29"/>
        <v>73</v>
      </c>
      <c r="AS12" s="273">
        <f t="shared" si="37"/>
        <v>2190</v>
      </c>
      <c r="AT12" s="273">
        <f t="shared" si="38"/>
        <v>5190</v>
      </c>
      <c r="AU12" s="273">
        <f t="shared" si="39"/>
        <v>0</v>
      </c>
      <c r="AV12" s="237"/>
      <c r="AW12" s="237"/>
      <c r="AX12" s="267">
        <f t="shared" si="30"/>
        <v>0.8</v>
      </c>
    </row>
    <row r="13" spans="1:52">
      <c r="A13" s="62">
        <v>44935</v>
      </c>
      <c r="B13" s="63">
        <v>228</v>
      </c>
      <c r="C13" s="63">
        <v>234</v>
      </c>
      <c r="D13" s="44">
        <f t="shared" si="31"/>
        <v>2</v>
      </c>
      <c r="E13" s="44">
        <f t="shared" si="9"/>
        <v>16.760000000000002</v>
      </c>
      <c r="F13" s="468">
        <f t="shared" si="10"/>
        <v>2368</v>
      </c>
      <c r="G13" s="51">
        <f t="shared" si="0"/>
        <v>0</v>
      </c>
      <c r="H13" s="468">
        <f t="shared" si="40"/>
        <v>52991</v>
      </c>
      <c r="I13" s="338">
        <f t="shared" si="1"/>
        <v>0</v>
      </c>
      <c r="J13" s="65">
        <f t="shared" si="11"/>
        <v>0</v>
      </c>
      <c r="K13" s="468">
        <f t="shared" si="41"/>
        <v>2483</v>
      </c>
      <c r="L13" s="51">
        <f t="shared" si="12"/>
        <v>0</v>
      </c>
      <c r="M13" s="63">
        <f t="shared" si="43"/>
        <v>185088</v>
      </c>
      <c r="N13" s="338">
        <f t="shared" si="2"/>
        <v>0</v>
      </c>
      <c r="O13" s="63">
        <f t="shared" si="3"/>
        <v>1869</v>
      </c>
      <c r="P13" s="468">
        <v>2242</v>
      </c>
      <c r="Q13" s="468">
        <v>187316</v>
      </c>
      <c r="R13" s="337">
        <f t="shared" si="42"/>
        <v>207</v>
      </c>
      <c r="S13" s="51">
        <f t="shared" si="5"/>
        <v>2</v>
      </c>
      <c r="T13" s="66">
        <f t="shared" si="32"/>
        <v>0</v>
      </c>
      <c r="U13" s="344">
        <f t="shared" si="14"/>
        <v>2</v>
      </c>
      <c r="V13" s="61">
        <f t="shared" si="15"/>
        <v>207</v>
      </c>
      <c r="W13" s="342">
        <f t="shared" si="16"/>
        <v>103.5</v>
      </c>
      <c r="X13" s="468">
        <f t="shared" si="17"/>
        <v>2498</v>
      </c>
      <c r="Y13" s="51">
        <f t="shared" si="18"/>
        <v>0</v>
      </c>
      <c r="Z13" s="468">
        <f t="shared" si="19"/>
        <v>141419</v>
      </c>
      <c r="AA13" s="246">
        <f t="shared" si="6"/>
        <v>0</v>
      </c>
      <c r="AB13" s="246">
        <f t="shared" si="33"/>
        <v>0</v>
      </c>
      <c r="AC13" s="468">
        <v>1961</v>
      </c>
      <c r="AD13" s="44">
        <f t="shared" si="7"/>
        <v>1</v>
      </c>
      <c r="AE13" s="468">
        <v>367849.5</v>
      </c>
      <c r="AF13" s="263">
        <f t="shared" si="21"/>
        <v>69.5</v>
      </c>
      <c r="AG13" s="196">
        <f t="shared" si="35"/>
        <v>69.5</v>
      </c>
      <c r="AH13" s="61">
        <f t="shared" si="36"/>
        <v>69.5</v>
      </c>
      <c r="AI13" s="271">
        <f t="shared" si="22"/>
        <v>276.5</v>
      </c>
      <c r="AJ13" s="271">
        <f>-tanks!AW14</f>
        <v>276.5</v>
      </c>
      <c r="AK13" s="271">
        <f t="shared" si="23"/>
        <v>0</v>
      </c>
      <c r="AL13" s="271">
        <f t="shared" si="8"/>
        <v>2</v>
      </c>
      <c r="AM13" s="271">
        <f t="shared" si="24"/>
        <v>1</v>
      </c>
      <c r="AN13" s="468">
        <f t="shared" si="25"/>
        <v>65</v>
      </c>
      <c r="AO13" s="273">
        <f t="shared" si="26"/>
        <v>1950</v>
      </c>
      <c r="AP13" s="468">
        <f t="shared" si="27"/>
        <v>35</v>
      </c>
      <c r="AQ13" s="273">
        <f t="shared" si="28"/>
        <v>1050</v>
      </c>
      <c r="AR13" s="468">
        <f t="shared" si="29"/>
        <v>73</v>
      </c>
      <c r="AS13" s="273">
        <f t="shared" si="37"/>
        <v>2190</v>
      </c>
      <c r="AT13" s="273">
        <f t="shared" si="38"/>
        <v>5190</v>
      </c>
      <c r="AU13" s="273">
        <f t="shared" si="39"/>
        <v>0</v>
      </c>
      <c r="AV13" s="237"/>
      <c r="AW13" s="237"/>
      <c r="AX13" s="267">
        <f t="shared" si="30"/>
        <v>0.8</v>
      </c>
    </row>
    <row r="14" spans="1:52">
      <c r="A14" s="62">
        <v>44936</v>
      </c>
      <c r="B14" s="63">
        <v>225</v>
      </c>
      <c r="C14" s="63">
        <v>231</v>
      </c>
      <c r="D14" s="44">
        <f t="shared" si="31"/>
        <v>3</v>
      </c>
      <c r="E14" s="44">
        <f t="shared" si="9"/>
        <v>25.14</v>
      </c>
      <c r="F14" s="468">
        <f t="shared" si="10"/>
        <v>2368</v>
      </c>
      <c r="G14" s="51">
        <f t="shared" si="0"/>
        <v>0</v>
      </c>
      <c r="H14" s="468">
        <f t="shared" si="40"/>
        <v>52991</v>
      </c>
      <c r="I14" s="338">
        <f t="shared" si="1"/>
        <v>0</v>
      </c>
      <c r="J14" s="65">
        <f t="shared" si="11"/>
        <v>0</v>
      </c>
      <c r="K14" s="468">
        <f t="shared" si="41"/>
        <v>2483</v>
      </c>
      <c r="L14" s="51">
        <f t="shared" si="12"/>
        <v>0</v>
      </c>
      <c r="M14" s="63">
        <f t="shared" si="43"/>
        <v>185088</v>
      </c>
      <c r="N14" s="338">
        <f t="shared" si="2"/>
        <v>0</v>
      </c>
      <c r="O14" s="63">
        <f t="shared" si="3"/>
        <v>1869</v>
      </c>
      <c r="P14" s="468">
        <v>2243</v>
      </c>
      <c r="Q14" s="468">
        <v>187383</v>
      </c>
      <c r="R14" s="337">
        <f t="shared" si="42"/>
        <v>67</v>
      </c>
      <c r="S14" s="51">
        <f t="shared" si="5"/>
        <v>1</v>
      </c>
      <c r="T14" s="66">
        <f t="shared" si="32"/>
        <v>0</v>
      </c>
      <c r="U14" s="344">
        <f t="shared" si="14"/>
        <v>1</v>
      </c>
      <c r="V14" s="61">
        <f t="shared" si="15"/>
        <v>67</v>
      </c>
      <c r="W14" s="342">
        <f t="shared" si="16"/>
        <v>67</v>
      </c>
      <c r="X14" s="468">
        <f t="shared" si="17"/>
        <v>2498</v>
      </c>
      <c r="Y14" s="51">
        <f t="shared" si="18"/>
        <v>0</v>
      </c>
      <c r="Z14" s="468">
        <f t="shared" si="19"/>
        <v>141419</v>
      </c>
      <c r="AA14" s="64">
        <f t="shared" si="6"/>
        <v>0</v>
      </c>
      <c r="AB14" s="246">
        <f t="shared" si="33"/>
        <v>0</v>
      </c>
      <c r="AC14" s="468">
        <f t="shared" si="34"/>
        <v>1961</v>
      </c>
      <c r="AD14" s="44">
        <f t="shared" si="7"/>
        <v>0</v>
      </c>
      <c r="AE14" s="468">
        <f t="shared" si="20"/>
        <v>367849.5</v>
      </c>
      <c r="AF14" s="263">
        <f t="shared" si="21"/>
        <v>0</v>
      </c>
      <c r="AG14" s="196">
        <f t="shared" si="35"/>
        <v>0</v>
      </c>
      <c r="AH14" s="61">
        <f>AF14+AA14</f>
        <v>0</v>
      </c>
      <c r="AI14" s="271">
        <f>SUM(AH14+V14)</f>
        <v>67</v>
      </c>
      <c r="AJ14" s="271">
        <f>-tanks!AW15</f>
        <v>67</v>
      </c>
      <c r="AK14" s="271">
        <f t="shared" si="23"/>
        <v>0</v>
      </c>
      <c r="AL14" s="271">
        <f t="shared" si="8"/>
        <v>1</v>
      </c>
      <c r="AM14" s="271">
        <f t="shared" si="24"/>
        <v>0</v>
      </c>
      <c r="AN14" s="468">
        <f t="shared" si="25"/>
        <v>65</v>
      </c>
      <c r="AO14" s="273">
        <f t="shared" si="26"/>
        <v>1950</v>
      </c>
      <c r="AP14" s="468">
        <f t="shared" si="27"/>
        <v>35</v>
      </c>
      <c r="AQ14" s="273">
        <f t="shared" si="28"/>
        <v>1050</v>
      </c>
      <c r="AR14" s="468">
        <f t="shared" si="29"/>
        <v>73</v>
      </c>
      <c r="AS14" s="273">
        <f t="shared" si="37"/>
        <v>2190</v>
      </c>
      <c r="AT14" s="273">
        <f t="shared" si="38"/>
        <v>5190</v>
      </c>
      <c r="AU14" s="273">
        <f t="shared" si="39"/>
        <v>0</v>
      </c>
      <c r="AV14" s="237"/>
      <c r="AW14" s="237"/>
      <c r="AX14" s="267">
        <f t="shared" si="30"/>
        <v>0.8</v>
      </c>
    </row>
    <row r="15" spans="1:52" ht="15" customHeight="1">
      <c r="A15" s="62">
        <v>44937</v>
      </c>
      <c r="B15" s="63">
        <v>222</v>
      </c>
      <c r="C15" s="63">
        <v>228</v>
      </c>
      <c r="D15" s="44">
        <f t="shared" si="31"/>
        <v>3</v>
      </c>
      <c r="E15" s="44">
        <f t="shared" si="9"/>
        <v>25.14</v>
      </c>
      <c r="F15" s="468">
        <f t="shared" si="10"/>
        <v>2368</v>
      </c>
      <c r="G15" s="51">
        <f t="shared" si="0"/>
        <v>0</v>
      </c>
      <c r="H15" s="468">
        <f t="shared" si="40"/>
        <v>52991</v>
      </c>
      <c r="I15" s="338">
        <f t="shared" si="1"/>
        <v>0</v>
      </c>
      <c r="J15" s="65">
        <f t="shared" si="11"/>
        <v>0</v>
      </c>
      <c r="K15" s="468">
        <f t="shared" si="41"/>
        <v>2483</v>
      </c>
      <c r="L15" s="51">
        <f t="shared" si="12"/>
        <v>0</v>
      </c>
      <c r="M15" s="63">
        <f t="shared" si="43"/>
        <v>185088</v>
      </c>
      <c r="N15" s="338">
        <f t="shared" si="2"/>
        <v>0</v>
      </c>
      <c r="O15" s="63">
        <f t="shared" si="3"/>
        <v>1869</v>
      </c>
      <c r="P15" s="468">
        <v>2246</v>
      </c>
      <c r="Q15" s="468">
        <v>187588</v>
      </c>
      <c r="R15" s="337">
        <f t="shared" si="42"/>
        <v>205</v>
      </c>
      <c r="S15" s="51">
        <f t="shared" si="5"/>
        <v>3</v>
      </c>
      <c r="T15" s="66">
        <f t="shared" si="32"/>
        <v>0</v>
      </c>
      <c r="U15" s="344">
        <f t="shared" si="14"/>
        <v>3</v>
      </c>
      <c r="V15" s="61">
        <f t="shared" si="15"/>
        <v>205</v>
      </c>
      <c r="W15" s="342">
        <f t="shared" si="16"/>
        <v>68.333333333333329</v>
      </c>
      <c r="X15" s="468">
        <f t="shared" si="17"/>
        <v>2498</v>
      </c>
      <c r="Y15" s="51">
        <f t="shared" si="18"/>
        <v>0</v>
      </c>
      <c r="Z15" s="468">
        <f t="shared" si="19"/>
        <v>141419</v>
      </c>
      <c r="AA15" s="64">
        <f t="shared" si="6"/>
        <v>0</v>
      </c>
      <c r="AB15" s="246">
        <f t="shared" si="33"/>
        <v>0</v>
      </c>
      <c r="AC15" s="468">
        <f t="shared" si="34"/>
        <v>1961</v>
      </c>
      <c r="AD15" s="44">
        <f t="shared" si="7"/>
        <v>0</v>
      </c>
      <c r="AE15" s="468">
        <f t="shared" si="20"/>
        <v>367849.5</v>
      </c>
      <c r="AF15" s="263">
        <f t="shared" si="21"/>
        <v>0</v>
      </c>
      <c r="AG15" s="196">
        <f t="shared" si="35"/>
        <v>0</v>
      </c>
      <c r="AH15" s="61">
        <f t="shared" si="36"/>
        <v>0</v>
      </c>
      <c r="AI15" s="271">
        <f t="shared" si="22"/>
        <v>205</v>
      </c>
      <c r="AJ15" s="271">
        <f>-tanks!AW16</f>
        <v>205</v>
      </c>
      <c r="AK15" s="271">
        <f t="shared" si="23"/>
        <v>0</v>
      </c>
      <c r="AL15" s="271">
        <f t="shared" si="8"/>
        <v>3</v>
      </c>
      <c r="AM15" s="271">
        <f t="shared" si="24"/>
        <v>0</v>
      </c>
      <c r="AN15" s="468">
        <f t="shared" si="25"/>
        <v>65</v>
      </c>
      <c r="AO15" s="273">
        <f t="shared" si="26"/>
        <v>1950</v>
      </c>
      <c r="AP15" s="468">
        <f t="shared" si="27"/>
        <v>35</v>
      </c>
      <c r="AQ15" s="273">
        <f t="shared" si="28"/>
        <v>1050</v>
      </c>
      <c r="AR15" s="468">
        <f t="shared" si="29"/>
        <v>73</v>
      </c>
      <c r="AS15" s="273">
        <f t="shared" si="37"/>
        <v>2190</v>
      </c>
      <c r="AT15" s="273">
        <f t="shared" si="38"/>
        <v>5190</v>
      </c>
      <c r="AU15" s="273">
        <f t="shared" si="39"/>
        <v>0</v>
      </c>
      <c r="AV15" s="237"/>
      <c r="AW15" s="237"/>
      <c r="AX15" s="267">
        <f t="shared" si="30"/>
        <v>0.8</v>
      </c>
    </row>
    <row r="16" spans="1:52">
      <c r="A16" s="62">
        <v>44938</v>
      </c>
      <c r="B16" s="63">
        <v>217.5</v>
      </c>
      <c r="C16" s="63">
        <v>223.5</v>
      </c>
      <c r="D16" s="44">
        <f t="shared" si="31"/>
        <v>4.5</v>
      </c>
      <c r="E16" s="44">
        <f t="shared" si="9"/>
        <v>37.71</v>
      </c>
      <c r="F16" s="468">
        <f t="shared" si="10"/>
        <v>2368</v>
      </c>
      <c r="G16" s="51">
        <f t="shared" si="0"/>
        <v>0</v>
      </c>
      <c r="H16" s="468">
        <f t="shared" si="40"/>
        <v>52991</v>
      </c>
      <c r="I16" s="338">
        <f t="shared" si="1"/>
        <v>0</v>
      </c>
      <c r="J16" s="65">
        <f t="shared" si="11"/>
        <v>0</v>
      </c>
      <c r="K16" s="468">
        <f t="shared" si="41"/>
        <v>2483</v>
      </c>
      <c r="L16" s="51">
        <f t="shared" si="12"/>
        <v>0</v>
      </c>
      <c r="M16" s="63">
        <f t="shared" si="43"/>
        <v>185088</v>
      </c>
      <c r="N16" s="338">
        <f t="shared" si="2"/>
        <v>0</v>
      </c>
      <c r="O16" s="63">
        <f t="shared" si="3"/>
        <v>1869</v>
      </c>
      <c r="P16" s="468">
        <v>2247</v>
      </c>
      <c r="Q16" s="468">
        <v>187674</v>
      </c>
      <c r="R16" s="337">
        <f t="shared" si="42"/>
        <v>86</v>
      </c>
      <c r="S16" s="51">
        <f t="shared" si="5"/>
        <v>1</v>
      </c>
      <c r="T16" s="66">
        <f t="shared" si="32"/>
        <v>0</v>
      </c>
      <c r="U16" s="344">
        <f t="shared" si="14"/>
        <v>1</v>
      </c>
      <c r="V16" s="61">
        <f t="shared" si="15"/>
        <v>86</v>
      </c>
      <c r="W16" s="342">
        <f t="shared" si="16"/>
        <v>86</v>
      </c>
      <c r="X16" s="468">
        <f t="shared" si="17"/>
        <v>2498</v>
      </c>
      <c r="Y16" s="51">
        <f t="shared" si="18"/>
        <v>0</v>
      </c>
      <c r="Z16" s="468">
        <f t="shared" si="19"/>
        <v>141419</v>
      </c>
      <c r="AA16" s="64">
        <f t="shared" si="6"/>
        <v>0</v>
      </c>
      <c r="AB16" s="246">
        <f t="shared" si="33"/>
        <v>0</v>
      </c>
      <c r="AC16" s="468">
        <v>1962</v>
      </c>
      <c r="AD16" s="44">
        <f t="shared" si="7"/>
        <v>1</v>
      </c>
      <c r="AE16" s="468">
        <v>367905</v>
      </c>
      <c r="AF16" s="263">
        <f t="shared" si="21"/>
        <v>55.5</v>
      </c>
      <c r="AG16" s="196">
        <f t="shared" si="35"/>
        <v>55.5</v>
      </c>
      <c r="AH16" s="61">
        <f t="shared" si="36"/>
        <v>55.5</v>
      </c>
      <c r="AI16" s="271">
        <f t="shared" si="22"/>
        <v>141.5</v>
      </c>
      <c r="AJ16" s="271">
        <f>-tanks!AW17</f>
        <v>141.5</v>
      </c>
      <c r="AK16" s="271">
        <f t="shared" si="23"/>
        <v>0</v>
      </c>
      <c r="AL16" s="271">
        <f t="shared" si="8"/>
        <v>1</v>
      </c>
      <c r="AM16" s="271">
        <f t="shared" si="24"/>
        <v>1</v>
      </c>
      <c r="AN16" s="468">
        <f t="shared" si="25"/>
        <v>65</v>
      </c>
      <c r="AO16" s="273">
        <f t="shared" si="26"/>
        <v>1950</v>
      </c>
      <c r="AP16" s="468">
        <f t="shared" si="27"/>
        <v>35</v>
      </c>
      <c r="AQ16" s="273">
        <f t="shared" si="28"/>
        <v>1050</v>
      </c>
      <c r="AR16" s="468">
        <f t="shared" si="29"/>
        <v>73</v>
      </c>
      <c r="AS16" s="273">
        <f t="shared" si="37"/>
        <v>2190</v>
      </c>
      <c r="AT16" s="273">
        <f t="shared" si="38"/>
        <v>5190</v>
      </c>
      <c r="AU16" s="273">
        <f t="shared" si="39"/>
        <v>0</v>
      </c>
      <c r="AV16" s="237"/>
      <c r="AW16" s="237"/>
      <c r="AX16" s="267">
        <f t="shared" si="30"/>
        <v>0.8</v>
      </c>
    </row>
    <row r="17" spans="1:50">
      <c r="A17" s="62">
        <v>44939</v>
      </c>
      <c r="B17" s="63">
        <f t="shared" ref="B17:B35" si="44">B16</f>
        <v>217.5</v>
      </c>
      <c r="C17" s="63">
        <f t="shared" ref="C17:C35" si="45">C16</f>
        <v>223.5</v>
      </c>
      <c r="D17" s="44">
        <f t="shared" si="31"/>
        <v>0</v>
      </c>
      <c r="E17" s="44">
        <f t="shared" si="9"/>
        <v>0</v>
      </c>
      <c r="F17" s="468">
        <f t="shared" si="10"/>
        <v>2368</v>
      </c>
      <c r="G17" s="51">
        <f t="shared" si="0"/>
        <v>0</v>
      </c>
      <c r="H17" s="468">
        <f t="shared" si="40"/>
        <v>52991</v>
      </c>
      <c r="I17" s="338">
        <f t="shared" si="1"/>
        <v>0</v>
      </c>
      <c r="J17" s="65">
        <f t="shared" si="11"/>
        <v>0</v>
      </c>
      <c r="K17" s="468">
        <f t="shared" si="41"/>
        <v>2483</v>
      </c>
      <c r="L17" s="51">
        <f t="shared" si="12"/>
        <v>0</v>
      </c>
      <c r="M17" s="63">
        <f t="shared" si="43"/>
        <v>185088</v>
      </c>
      <c r="N17" s="338">
        <f t="shared" si="2"/>
        <v>0</v>
      </c>
      <c r="O17" s="63">
        <f t="shared" si="3"/>
        <v>1869</v>
      </c>
      <c r="P17" s="468">
        <f t="shared" si="3"/>
        <v>2247</v>
      </c>
      <c r="Q17" s="468">
        <f t="shared" ref="Q17:Q35" si="46">Q16</f>
        <v>187674</v>
      </c>
      <c r="R17" s="337">
        <f t="shared" si="42"/>
        <v>0</v>
      </c>
      <c r="S17" s="51">
        <f t="shared" si="5"/>
        <v>0</v>
      </c>
      <c r="T17" s="66">
        <f t="shared" si="32"/>
        <v>0</v>
      </c>
      <c r="U17" s="344">
        <f t="shared" si="14"/>
        <v>0</v>
      </c>
      <c r="V17" s="61">
        <f t="shared" si="15"/>
        <v>0</v>
      </c>
      <c r="W17" s="342"/>
      <c r="X17" s="468">
        <f t="shared" si="17"/>
        <v>2498</v>
      </c>
      <c r="Y17" s="51">
        <f t="shared" si="18"/>
        <v>0</v>
      </c>
      <c r="Z17" s="468">
        <f t="shared" si="19"/>
        <v>141419</v>
      </c>
      <c r="AA17" s="64">
        <f t="shared" si="6"/>
        <v>0</v>
      </c>
      <c r="AB17" s="246">
        <f t="shared" si="33"/>
        <v>0</v>
      </c>
      <c r="AC17" s="468">
        <f t="shared" si="34"/>
        <v>1962</v>
      </c>
      <c r="AD17" s="44">
        <f t="shared" si="7"/>
        <v>0</v>
      </c>
      <c r="AE17" s="468">
        <f t="shared" si="20"/>
        <v>367905</v>
      </c>
      <c r="AF17" s="263">
        <f t="shared" si="21"/>
        <v>0</v>
      </c>
      <c r="AG17" s="196">
        <f t="shared" si="35"/>
        <v>0</v>
      </c>
      <c r="AH17" s="61">
        <f t="shared" si="36"/>
        <v>0</v>
      </c>
      <c r="AI17" s="271">
        <f t="shared" si="22"/>
        <v>0</v>
      </c>
      <c r="AJ17" s="271">
        <f>-tanks!AW18</f>
        <v>0</v>
      </c>
      <c r="AK17" s="271">
        <f t="shared" si="23"/>
        <v>0</v>
      </c>
      <c r="AL17" s="271">
        <f t="shared" si="8"/>
        <v>0</v>
      </c>
      <c r="AM17" s="271">
        <f t="shared" si="24"/>
        <v>0</v>
      </c>
      <c r="AN17" s="468">
        <f t="shared" si="25"/>
        <v>65</v>
      </c>
      <c r="AO17" s="273">
        <f t="shared" si="26"/>
        <v>1950</v>
      </c>
      <c r="AP17" s="468">
        <f t="shared" si="27"/>
        <v>35</v>
      </c>
      <c r="AQ17" s="273">
        <f t="shared" si="28"/>
        <v>1050</v>
      </c>
      <c r="AR17" s="468">
        <f t="shared" si="29"/>
        <v>73</v>
      </c>
      <c r="AS17" s="273">
        <f t="shared" si="37"/>
        <v>2190</v>
      </c>
      <c r="AT17" s="273">
        <f t="shared" si="38"/>
        <v>5190</v>
      </c>
      <c r="AU17" s="273">
        <f t="shared" si="39"/>
        <v>0</v>
      </c>
      <c r="AV17" s="237"/>
      <c r="AW17" s="237"/>
      <c r="AX17" s="267">
        <f t="shared" si="30"/>
        <v>0.8</v>
      </c>
    </row>
    <row r="18" spans="1:50">
      <c r="A18" s="62">
        <v>44940</v>
      </c>
      <c r="B18" s="63">
        <f t="shared" si="44"/>
        <v>217.5</v>
      </c>
      <c r="C18" s="63">
        <f t="shared" si="45"/>
        <v>223.5</v>
      </c>
      <c r="D18" s="44">
        <f t="shared" si="31"/>
        <v>0</v>
      </c>
      <c r="E18" s="44">
        <f t="shared" si="9"/>
        <v>0</v>
      </c>
      <c r="F18" s="468">
        <f t="shared" si="10"/>
        <v>2368</v>
      </c>
      <c r="G18" s="51">
        <f>F18-F17</f>
        <v>0</v>
      </c>
      <c r="H18" s="468">
        <f t="shared" si="40"/>
        <v>52991</v>
      </c>
      <c r="I18" s="338">
        <f t="shared" si="1"/>
        <v>0</v>
      </c>
      <c r="J18" s="65">
        <f t="shared" si="11"/>
        <v>0</v>
      </c>
      <c r="K18" s="468">
        <f t="shared" si="41"/>
        <v>2483</v>
      </c>
      <c r="L18" s="51">
        <f t="shared" si="12"/>
        <v>0</v>
      </c>
      <c r="M18" s="63">
        <f t="shared" si="43"/>
        <v>185088</v>
      </c>
      <c r="N18" s="338">
        <f t="shared" si="2"/>
        <v>0</v>
      </c>
      <c r="O18" s="63">
        <v>1869</v>
      </c>
      <c r="P18" s="468">
        <f t="shared" ref="P18:P35" si="47">P17</f>
        <v>2247</v>
      </c>
      <c r="Q18" s="468">
        <f t="shared" si="46"/>
        <v>187674</v>
      </c>
      <c r="R18" s="337">
        <f t="shared" si="42"/>
        <v>0</v>
      </c>
      <c r="S18" s="51">
        <f t="shared" si="5"/>
        <v>0</v>
      </c>
      <c r="T18" s="66">
        <f t="shared" si="32"/>
        <v>0</v>
      </c>
      <c r="U18" s="344">
        <f t="shared" si="14"/>
        <v>0</v>
      </c>
      <c r="V18" s="61">
        <f t="shared" si="15"/>
        <v>0</v>
      </c>
      <c r="W18" s="342"/>
      <c r="X18" s="468">
        <f t="shared" si="17"/>
        <v>2498</v>
      </c>
      <c r="Y18" s="51">
        <f t="shared" si="18"/>
        <v>0</v>
      </c>
      <c r="Z18" s="468">
        <f t="shared" si="19"/>
        <v>141419</v>
      </c>
      <c r="AA18" s="64">
        <f t="shared" si="6"/>
        <v>0</v>
      </c>
      <c r="AB18" s="246">
        <f t="shared" ref="AB18:AB23" si="48">SUM(Y18*$AB$2)</f>
        <v>0</v>
      </c>
      <c r="AC18" s="468">
        <f t="shared" si="34"/>
        <v>1962</v>
      </c>
      <c r="AD18" s="44">
        <f t="shared" si="7"/>
        <v>0</v>
      </c>
      <c r="AE18" s="468">
        <f t="shared" si="20"/>
        <v>367905</v>
      </c>
      <c r="AF18" s="263">
        <f t="shared" si="21"/>
        <v>0</v>
      </c>
      <c r="AG18" s="196">
        <f t="shared" si="35"/>
        <v>0</v>
      </c>
      <c r="AH18" s="61">
        <f t="shared" si="36"/>
        <v>0</v>
      </c>
      <c r="AI18" s="271">
        <f t="shared" si="22"/>
        <v>0</v>
      </c>
      <c r="AJ18" s="271">
        <f>-tanks!AW19</f>
        <v>0</v>
      </c>
      <c r="AK18" s="271">
        <f t="shared" si="23"/>
        <v>0</v>
      </c>
      <c r="AL18" s="271">
        <f t="shared" si="8"/>
        <v>0</v>
      </c>
      <c r="AM18" s="271">
        <f t="shared" si="24"/>
        <v>0</v>
      </c>
      <c r="AN18" s="468">
        <f t="shared" si="25"/>
        <v>65</v>
      </c>
      <c r="AO18" s="273">
        <f t="shared" si="26"/>
        <v>1950</v>
      </c>
      <c r="AP18" s="468">
        <f t="shared" si="27"/>
        <v>35</v>
      </c>
      <c r="AQ18" s="273">
        <f t="shared" si="28"/>
        <v>1050</v>
      </c>
      <c r="AR18" s="468">
        <f t="shared" si="29"/>
        <v>73</v>
      </c>
      <c r="AS18" s="273">
        <f t="shared" si="37"/>
        <v>2190</v>
      </c>
      <c r="AT18" s="273">
        <f t="shared" si="38"/>
        <v>5190</v>
      </c>
      <c r="AU18" s="273">
        <f t="shared" si="39"/>
        <v>0</v>
      </c>
      <c r="AV18" s="237"/>
      <c r="AW18" s="237"/>
      <c r="AX18" s="267">
        <f t="shared" si="30"/>
        <v>0.8</v>
      </c>
    </row>
    <row r="19" spans="1:50">
      <c r="A19" s="62">
        <v>44941</v>
      </c>
      <c r="B19" s="63">
        <v>232</v>
      </c>
      <c r="C19" s="63">
        <v>239</v>
      </c>
      <c r="D19" s="44">
        <f t="shared" si="31"/>
        <v>-15.5</v>
      </c>
      <c r="E19" s="44">
        <f t="shared" si="9"/>
        <v>-129.89000000000001</v>
      </c>
      <c r="F19" s="468">
        <f t="shared" si="10"/>
        <v>2368</v>
      </c>
      <c r="G19" s="51">
        <f t="shared" si="0"/>
        <v>0</v>
      </c>
      <c r="H19" s="468">
        <v>53005</v>
      </c>
      <c r="I19" s="338">
        <f t="shared" si="1"/>
        <v>14</v>
      </c>
      <c r="J19" s="65">
        <f t="shared" si="11"/>
        <v>0</v>
      </c>
      <c r="K19" s="468">
        <f t="shared" si="41"/>
        <v>2483</v>
      </c>
      <c r="L19" s="51">
        <f t="shared" si="12"/>
        <v>0</v>
      </c>
      <c r="M19" s="63">
        <v>185088</v>
      </c>
      <c r="N19" s="338">
        <f t="shared" si="2"/>
        <v>0</v>
      </c>
      <c r="O19" s="63">
        <f t="shared" ref="O19:O35" si="49">O18</f>
        <v>1869</v>
      </c>
      <c r="P19" s="468">
        <v>2250</v>
      </c>
      <c r="Q19" s="468">
        <v>187918</v>
      </c>
      <c r="R19" s="337">
        <f t="shared" si="42"/>
        <v>244</v>
      </c>
      <c r="S19" s="51">
        <f t="shared" si="5"/>
        <v>3</v>
      </c>
      <c r="T19" s="66">
        <f t="shared" si="32"/>
        <v>0</v>
      </c>
      <c r="U19" s="344">
        <f t="shared" si="14"/>
        <v>3</v>
      </c>
      <c r="V19" s="61">
        <f t="shared" si="15"/>
        <v>258</v>
      </c>
      <c r="W19" s="342"/>
      <c r="X19" s="468">
        <f t="shared" si="17"/>
        <v>2498</v>
      </c>
      <c r="Y19" s="51">
        <f t="shared" si="18"/>
        <v>0</v>
      </c>
      <c r="Z19" s="468">
        <f t="shared" si="19"/>
        <v>141419</v>
      </c>
      <c r="AA19" s="64">
        <f t="shared" si="6"/>
        <v>0</v>
      </c>
      <c r="AB19" s="246">
        <f t="shared" si="48"/>
        <v>0</v>
      </c>
      <c r="AC19" s="468">
        <f t="shared" si="34"/>
        <v>1962</v>
      </c>
      <c r="AD19" s="44">
        <f t="shared" si="7"/>
        <v>0</v>
      </c>
      <c r="AE19" s="468">
        <f t="shared" si="20"/>
        <v>367905</v>
      </c>
      <c r="AF19" s="263">
        <f t="shared" si="21"/>
        <v>0</v>
      </c>
      <c r="AG19" s="196">
        <f t="shared" si="35"/>
        <v>0</v>
      </c>
      <c r="AH19" s="61">
        <f t="shared" si="36"/>
        <v>0</v>
      </c>
      <c r="AI19" s="271">
        <f t="shared" si="22"/>
        <v>258</v>
      </c>
      <c r="AJ19" s="271">
        <f>-tanks!AW20</f>
        <v>258</v>
      </c>
      <c r="AK19" s="271">
        <f t="shared" si="23"/>
        <v>0</v>
      </c>
      <c r="AL19" s="271">
        <f t="shared" si="8"/>
        <v>3</v>
      </c>
      <c r="AM19" s="271">
        <f t="shared" si="24"/>
        <v>0</v>
      </c>
      <c r="AN19" s="468">
        <f t="shared" si="25"/>
        <v>65</v>
      </c>
      <c r="AO19" s="273">
        <f t="shared" si="26"/>
        <v>1950</v>
      </c>
      <c r="AP19" s="468">
        <f t="shared" si="27"/>
        <v>35</v>
      </c>
      <c r="AQ19" s="273">
        <f t="shared" si="28"/>
        <v>1050</v>
      </c>
      <c r="AR19" s="468">
        <f t="shared" si="29"/>
        <v>73</v>
      </c>
      <c r="AS19" s="273">
        <f t="shared" si="37"/>
        <v>2190</v>
      </c>
      <c r="AT19" s="273">
        <f t="shared" si="38"/>
        <v>5190</v>
      </c>
      <c r="AU19" s="273">
        <f t="shared" si="39"/>
        <v>0</v>
      </c>
      <c r="AV19" s="237"/>
      <c r="AW19" s="237"/>
      <c r="AX19" s="267">
        <f t="shared" si="30"/>
        <v>0.8</v>
      </c>
    </row>
    <row r="20" spans="1:50">
      <c r="A20" s="62">
        <v>44942</v>
      </c>
      <c r="B20" s="63">
        <v>229</v>
      </c>
      <c r="C20" s="63">
        <v>235</v>
      </c>
      <c r="D20" s="44">
        <f>C19-C20</f>
        <v>4</v>
      </c>
      <c r="E20" s="44">
        <f t="shared" si="9"/>
        <v>33.520000000000003</v>
      </c>
      <c r="F20" s="468">
        <f t="shared" si="10"/>
        <v>2368</v>
      </c>
      <c r="G20" s="51">
        <f t="shared" si="0"/>
        <v>0</v>
      </c>
      <c r="H20" s="468">
        <f t="shared" si="40"/>
        <v>53005</v>
      </c>
      <c r="I20" s="338">
        <f t="shared" si="1"/>
        <v>0</v>
      </c>
      <c r="J20" s="65">
        <f t="shared" si="11"/>
        <v>0</v>
      </c>
      <c r="K20" s="468">
        <v>2484</v>
      </c>
      <c r="L20" s="51">
        <f t="shared" si="12"/>
        <v>1</v>
      </c>
      <c r="M20" s="63">
        <v>185203</v>
      </c>
      <c r="N20" s="338">
        <f t="shared" si="2"/>
        <v>115</v>
      </c>
      <c r="O20" s="63">
        <f t="shared" si="49"/>
        <v>1869</v>
      </c>
      <c r="P20" s="468">
        <f t="shared" si="47"/>
        <v>2250</v>
      </c>
      <c r="Q20" s="468">
        <f t="shared" si="46"/>
        <v>187918</v>
      </c>
      <c r="R20" s="337">
        <f t="shared" si="42"/>
        <v>0</v>
      </c>
      <c r="S20" s="51">
        <f t="shared" si="5"/>
        <v>0</v>
      </c>
      <c r="T20" s="66">
        <f t="shared" si="32"/>
        <v>0</v>
      </c>
      <c r="U20" s="344">
        <f t="shared" si="14"/>
        <v>1</v>
      </c>
      <c r="V20" s="61">
        <f t="shared" si="15"/>
        <v>115</v>
      </c>
      <c r="W20" s="342"/>
      <c r="X20" s="468">
        <f t="shared" si="17"/>
        <v>2498</v>
      </c>
      <c r="Y20" s="51">
        <f t="shared" si="18"/>
        <v>0</v>
      </c>
      <c r="Z20" s="468">
        <f t="shared" si="19"/>
        <v>141419</v>
      </c>
      <c r="AA20" s="64">
        <f t="shared" si="6"/>
        <v>0</v>
      </c>
      <c r="AB20" s="246">
        <f t="shared" si="48"/>
        <v>0</v>
      </c>
      <c r="AC20" s="468">
        <v>1963</v>
      </c>
      <c r="AD20" s="44">
        <f t="shared" si="7"/>
        <v>1</v>
      </c>
      <c r="AE20" s="468">
        <v>367972</v>
      </c>
      <c r="AF20" s="263">
        <f t="shared" si="21"/>
        <v>67</v>
      </c>
      <c r="AG20" s="196">
        <f t="shared" si="35"/>
        <v>67</v>
      </c>
      <c r="AH20" s="61">
        <f t="shared" si="36"/>
        <v>67</v>
      </c>
      <c r="AI20" s="271">
        <f t="shared" si="22"/>
        <v>182</v>
      </c>
      <c r="AJ20" s="271">
        <f>-tanks!AW21</f>
        <v>182</v>
      </c>
      <c r="AK20" s="271">
        <f t="shared" si="23"/>
        <v>0</v>
      </c>
      <c r="AL20" s="271">
        <f t="shared" si="8"/>
        <v>1</v>
      </c>
      <c r="AM20" s="271">
        <f t="shared" si="24"/>
        <v>1</v>
      </c>
      <c r="AN20" s="468">
        <f t="shared" si="25"/>
        <v>65</v>
      </c>
      <c r="AO20" s="273">
        <f t="shared" si="26"/>
        <v>1950</v>
      </c>
      <c r="AP20" s="468">
        <f t="shared" si="27"/>
        <v>35</v>
      </c>
      <c r="AQ20" s="273">
        <f t="shared" si="28"/>
        <v>1050</v>
      </c>
      <c r="AR20" s="468">
        <f t="shared" si="29"/>
        <v>73</v>
      </c>
      <c r="AS20" s="273">
        <f t="shared" si="37"/>
        <v>2190</v>
      </c>
      <c r="AT20" s="273">
        <f t="shared" si="38"/>
        <v>5190</v>
      </c>
      <c r="AU20" s="273">
        <f t="shared" si="39"/>
        <v>0</v>
      </c>
      <c r="AV20" s="237"/>
      <c r="AW20" s="237"/>
      <c r="AX20" s="267">
        <f t="shared" si="30"/>
        <v>0.8</v>
      </c>
    </row>
    <row r="21" spans="1:50">
      <c r="A21" s="62">
        <v>44943</v>
      </c>
      <c r="B21" s="63">
        <v>224</v>
      </c>
      <c r="C21" s="63">
        <v>230</v>
      </c>
      <c r="D21" s="44">
        <f t="shared" ref="D21:D32" si="50">C20-C21</f>
        <v>5</v>
      </c>
      <c r="E21" s="44">
        <f t="shared" si="9"/>
        <v>41.900000000000006</v>
      </c>
      <c r="F21" s="468">
        <f t="shared" si="10"/>
        <v>2368</v>
      </c>
      <c r="G21" s="51">
        <f t="shared" si="0"/>
        <v>0</v>
      </c>
      <c r="H21" s="468">
        <f t="shared" si="40"/>
        <v>53005</v>
      </c>
      <c r="I21" s="338">
        <f t="shared" si="1"/>
        <v>0</v>
      </c>
      <c r="J21" s="65">
        <f t="shared" si="11"/>
        <v>0</v>
      </c>
      <c r="K21" s="468">
        <v>2486</v>
      </c>
      <c r="L21" s="51">
        <f t="shared" si="12"/>
        <v>2</v>
      </c>
      <c r="M21" s="63">
        <v>185388</v>
      </c>
      <c r="N21" s="338">
        <f t="shared" si="2"/>
        <v>185</v>
      </c>
      <c r="O21" s="63">
        <f t="shared" si="49"/>
        <v>1869</v>
      </c>
      <c r="P21" s="468">
        <f t="shared" si="47"/>
        <v>2250</v>
      </c>
      <c r="Q21" s="468">
        <f t="shared" si="46"/>
        <v>187918</v>
      </c>
      <c r="R21" s="337">
        <f t="shared" si="42"/>
        <v>0</v>
      </c>
      <c r="S21" s="51">
        <f t="shared" si="5"/>
        <v>0</v>
      </c>
      <c r="T21" s="66">
        <f t="shared" si="32"/>
        <v>0</v>
      </c>
      <c r="U21" s="344">
        <f t="shared" si="14"/>
        <v>2</v>
      </c>
      <c r="V21" s="61">
        <f t="shared" si="15"/>
        <v>185</v>
      </c>
      <c r="W21" s="342"/>
      <c r="X21" s="468">
        <f t="shared" si="17"/>
        <v>2498</v>
      </c>
      <c r="Y21" s="51">
        <f t="shared" si="18"/>
        <v>0</v>
      </c>
      <c r="Z21" s="468">
        <f t="shared" si="19"/>
        <v>141419</v>
      </c>
      <c r="AA21" s="64">
        <f t="shared" si="6"/>
        <v>0</v>
      </c>
      <c r="AB21" s="246">
        <f t="shared" si="48"/>
        <v>0</v>
      </c>
      <c r="AC21" s="468">
        <f t="shared" si="34"/>
        <v>1963</v>
      </c>
      <c r="AD21" s="44">
        <f t="shared" si="7"/>
        <v>0</v>
      </c>
      <c r="AE21" s="468">
        <f t="shared" si="20"/>
        <v>367972</v>
      </c>
      <c r="AF21" s="263">
        <f t="shared" si="21"/>
        <v>0</v>
      </c>
      <c r="AG21" s="196">
        <f t="shared" si="35"/>
        <v>0</v>
      </c>
      <c r="AH21" s="61">
        <f t="shared" si="36"/>
        <v>0</v>
      </c>
      <c r="AI21" s="271">
        <f t="shared" si="22"/>
        <v>185</v>
      </c>
      <c r="AJ21" s="271">
        <f>-tanks!AW22</f>
        <v>185</v>
      </c>
      <c r="AK21" s="271">
        <f t="shared" si="23"/>
        <v>0</v>
      </c>
      <c r="AL21" s="271">
        <f t="shared" si="8"/>
        <v>2</v>
      </c>
      <c r="AM21" s="271">
        <f t="shared" si="24"/>
        <v>0</v>
      </c>
      <c r="AN21" s="468">
        <f t="shared" si="25"/>
        <v>65</v>
      </c>
      <c r="AO21" s="273">
        <f t="shared" si="26"/>
        <v>1950</v>
      </c>
      <c r="AP21" s="468">
        <f t="shared" si="27"/>
        <v>35</v>
      </c>
      <c r="AQ21" s="273">
        <f t="shared" si="28"/>
        <v>1050</v>
      </c>
      <c r="AR21" s="468">
        <f t="shared" si="29"/>
        <v>73</v>
      </c>
      <c r="AS21" s="273">
        <f t="shared" si="37"/>
        <v>2190</v>
      </c>
      <c r="AT21" s="273">
        <f t="shared" si="38"/>
        <v>5190</v>
      </c>
      <c r="AU21" s="273">
        <f t="shared" si="39"/>
        <v>0</v>
      </c>
      <c r="AV21" s="237"/>
      <c r="AW21" s="237"/>
      <c r="AX21" s="267">
        <f t="shared" si="30"/>
        <v>0.8</v>
      </c>
    </row>
    <row r="22" spans="1:50" ht="16.5" customHeight="1">
      <c r="A22" s="62">
        <v>44944</v>
      </c>
      <c r="B22" s="63">
        <v>240</v>
      </c>
      <c r="C22" s="63">
        <v>246</v>
      </c>
      <c r="D22" s="44">
        <f t="shared" si="50"/>
        <v>-16</v>
      </c>
      <c r="E22" s="44">
        <f t="shared" si="9"/>
        <v>-134.08000000000001</v>
      </c>
      <c r="F22" s="468">
        <f t="shared" si="10"/>
        <v>2368</v>
      </c>
      <c r="G22" s="51">
        <f t="shared" si="0"/>
        <v>0</v>
      </c>
      <c r="H22" s="468">
        <f t="shared" si="40"/>
        <v>53005</v>
      </c>
      <c r="I22" s="338">
        <f t="shared" si="1"/>
        <v>0</v>
      </c>
      <c r="J22" s="65">
        <f t="shared" si="11"/>
        <v>0</v>
      </c>
      <c r="K22" s="468">
        <v>2488</v>
      </c>
      <c r="L22" s="51">
        <f t="shared" si="12"/>
        <v>2</v>
      </c>
      <c r="M22" s="63">
        <v>185531</v>
      </c>
      <c r="N22" s="338">
        <f t="shared" si="2"/>
        <v>143</v>
      </c>
      <c r="O22" s="63">
        <f t="shared" si="49"/>
        <v>1869</v>
      </c>
      <c r="P22" s="468">
        <f t="shared" si="47"/>
        <v>2250</v>
      </c>
      <c r="Q22" s="468">
        <f t="shared" si="46"/>
        <v>187918</v>
      </c>
      <c r="R22" s="337">
        <f t="shared" si="42"/>
        <v>0</v>
      </c>
      <c r="S22" s="51">
        <f t="shared" si="5"/>
        <v>0</v>
      </c>
      <c r="T22" s="66">
        <f t="shared" si="32"/>
        <v>0</v>
      </c>
      <c r="U22" s="344">
        <f t="shared" si="14"/>
        <v>2</v>
      </c>
      <c r="V22" s="61">
        <f t="shared" si="15"/>
        <v>143</v>
      </c>
      <c r="W22" s="342"/>
      <c r="X22" s="468">
        <f t="shared" si="17"/>
        <v>2498</v>
      </c>
      <c r="Y22" s="51">
        <f t="shared" si="18"/>
        <v>0</v>
      </c>
      <c r="Z22" s="468">
        <f t="shared" si="19"/>
        <v>141419</v>
      </c>
      <c r="AA22" s="64">
        <f t="shared" si="6"/>
        <v>0</v>
      </c>
      <c r="AB22" s="246">
        <f t="shared" si="48"/>
        <v>0</v>
      </c>
      <c r="AC22" s="468">
        <f t="shared" si="34"/>
        <v>1963</v>
      </c>
      <c r="AD22" s="44">
        <f t="shared" si="7"/>
        <v>0</v>
      </c>
      <c r="AE22" s="468">
        <f t="shared" si="20"/>
        <v>367972</v>
      </c>
      <c r="AF22" s="263">
        <f t="shared" si="21"/>
        <v>0</v>
      </c>
      <c r="AG22" s="196">
        <f t="shared" si="35"/>
        <v>0</v>
      </c>
      <c r="AH22" s="61">
        <f t="shared" si="36"/>
        <v>0</v>
      </c>
      <c r="AI22" s="271">
        <f t="shared" si="22"/>
        <v>143</v>
      </c>
      <c r="AJ22" s="271">
        <f>-tanks!AW23</f>
        <v>143</v>
      </c>
      <c r="AK22" s="271">
        <f t="shared" si="23"/>
        <v>0</v>
      </c>
      <c r="AL22" s="271">
        <f t="shared" si="8"/>
        <v>2</v>
      </c>
      <c r="AM22" s="271">
        <f t="shared" si="24"/>
        <v>0</v>
      </c>
      <c r="AN22" s="468">
        <f t="shared" si="25"/>
        <v>65</v>
      </c>
      <c r="AO22" s="273">
        <f t="shared" si="26"/>
        <v>1950</v>
      </c>
      <c r="AP22" s="468">
        <f t="shared" si="27"/>
        <v>35</v>
      </c>
      <c r="AQ22" s="273">
        <f t="shared" si="28"/>
        <v>1050</v>
      </c>
      <c r="AR22" s="468">
        <f t="shared" si="29"/>
        <v>73</v>
      </c>
      <c r="AS22" s="273">
        <f t="shared" si="37"/>
        <v>2190</v>
      </c>
      <c r="AT22" s="273">
        <f t="shared" si="38"/>
        <v>5190</v>
      </c>
      <c r="AU22" s="273">
        <f t="shared" si="39"/>
        <v>0</v>
      </c>
      <c r="AV22" s="237"/>
      <c r="AW22" s="237"/>
      <c r="AX22" s="267">
        <f t="shared" si="30"/>
        <v>0.8</v>
      </c>
    </row>
    <row r="23" spans="1:50">
      <c r="A23" s="62">
        <v>44945</v>
      </c>
      <c r="B23" s="63">
        <v>236</v>
      </c>
      <c r="C23" s="63">
        <v>242</v>
      </c>
      <c r="D23" s="44">
        <f t="shared" si="50"/>
        <v>4</v>
      </c>
      <c r="E23" s="44">
        <f t="shared" si="9"/>
        <v>33.520000000000003</v>
      </c>
      <c r="F23" s="468">
        <f t="shared" si="10"/>
        <v>2368</v>
      </c>
      <c r="G23" s="51">
        <f t="shared" si="0"/>
        <v>0</v>
      </c>
      <c r="H23" s="468">
        <f t="shared" si="40"/>
        <v>53005</v>
      </c>
      <c r="I23" s="338">
        <f t="shared" si="1"/>
        <v>0</v>
      </c>
      <c r="J23" s="65">
        <f t="shared" si="11"/>
        <v>0</v>
      </c>
      <c r="K23" s="468">
        <v>2489</v>
      </c>
      <c r="L23" s="51">
        <f t="shared" si="12"/>
        <v>1</v>
      </c>
      <c r="M23" s="63">
        <v>185614</v>
      </c>
      <c r="N23" s="338">
        <f t="shared" si="2"/>
        <v>83</v>
      </c>
      <c r="O23" s="63">
        <f t="shared" si="49"/>
        <v>1869</v>
      </c>
      <c r="P23" s="468">
        <f t="shared" si="47"/>
        <v>2250</v>
      </c>
      <c r="Q23" s="468">
        <f t="shared" si="46"/>
        <v>187918</v>
      </c>
      <c r="R23" s="337">
        <f t="shared" si="42"/>
        <v>0</v>
      </c>
      <c r="S23" s="51">
        <f t="shared" si="5"/>
        <v>0</v>
      </c>
      <c r="T23" s="66">
        <f t="shared" si="32"/>
        <v>0</v>
      </c>
      <c r="U23" s="344">
        <f t="shared" si="14"/>
        <v>1</v>
      </c>
      <c r="V23" s="61">
        <f t="shared" si="15"/>
        <v>83</v>
      </c>
      <c r="W23" s="342"/>
      <c r="X23" s="468">
        <f t="shared" si="17"/>
        <v>2498</v>
      </c>
      <c r="Y23" s="51">
        <f t="shared" si="18"/>
        <v>0</v>
      </c>
      <c r="Z23" s="468">
        <f t="shared" si="19"/>
        <v>141419</v>
      </c>
      <c r="AA23" s="64">
        <f t="shared" si="6"/>
        <v>0</v>
      </c>
      <c r="AB23" s="246">
        <f t="shared" si="48"/>
        <v>0</v>
      </c>
      <c r="AC23" s="468">
        <v>1964</v>
      </c>
      <c r="AD23" s="44">
        <f t="shared" si="7"/>
        <v>1</v>
      </c>
      <c r="AE23" s="468">
        <v>368039</v>
      </c>
      <c r="AF23" s="263">
        <f t="shared" si="21"/>
        <v>67</v>
      </c>
      <c r="AG23" s="196">
        <f t="shared" si="35"/>
        <v>67</v>
      </c>
      <c r="AH23" s="61">
        <f t="shared" si="36"/>
        <v>67</v>
      </c>
      <c r="AI23" s="271">
        <f>SUM(AH23+V23)</f>
        <v>150</v>
      </c>
      <c r="AJ23" s="271">
        <f>-tanks!AW24</f>
        <v>150</v>
      </c>
      <c r="AK23" s="271">
        <f>SUM(AJ23-AI23)</f>
        <v>0</v>
      </c>
      <c r="AL23" s="271">
        <f>S23+L23+G23</f>
        <v>1</v>
      </c>
      <c r="AM23" s="271">
        <f>Y23+AD23</f>
        <v>1</v>
      </c>
      <c r="AN23" s="468">
        <f t="shared" si="25"/>
        <v>65</v>
      </c>
      <c r="AO23" s="273">
        <f t="shared" si="26"/>
        <v>1950</v>
      </c>
      <c r="AP23" s="468">
        <f t="shared" si="27"/>
        <v>35</v>
      </c>
      <c r="AQ23" s="273">
        <f t="shared" si="28"/>
        <v>1050</v>
      </c>
      <c r="AR23" s="468">
        <f t="shared" si="29"/>
        <v>73</v>
      </c>
      <c r="AS23" s="273">
        <f t="shared" si="37"/>
        <v>2190</v>
      </c>
      <c r="AT23" s="273">
        <f t="shared" si="38"/>
        <v>5190</v>
      </c>
      <c r="AU23" s="273">
        <f t="shared" si="39"/>
        <v>0</v>
      </c>
      <c r="AV23" s="237"/>
      <c r="AW23" s="237"/>
      <c r="AX23" s="267">
        <f t="shared" si="30"/>
        <v>0.8</v>
      </c>
    </row>
    <row r="24" spans="1:50">
      <c r="A24" s="62">
        <v>44946</v>
      </c>
      <c r="B24" s="63">
        <f t="shared" si="44"/>
        <v>236</v>
      </c>
      <c r="C24" s="63">
        <f t="shared" si="45"/>
        <v>242</v>
      </c>
      <c r="D24" s="44">
        <f t="shared" si="50"/>
        <v>0</v>
      </c>
      <c r="E24" s="44">
        <f t="shared" si="9"/>
        <v>0</v>
      </c>
      <c r="F24" s="468">
        <f t="shared" si="10"/>
        <v>2368</v>
      </c>
      <c r="G24" s="51">
        <f t="shared" si="0"/>
        <v>0</v>
      </c>
      <c r="H24" s="468">
        <f t="shared" si="40"/>
        <v>53005</v>
      </c>
      <c r="I24" s="338">
        <f t="shared" si="1"/>
        <v>0</v>
      </c>
      <c r="J24" s="65">
        <f t="shared" si="11"/>
        <v>0</v>
      </c>
      <c r="K24" s="468">
        <f t="shared" si="41"/>
        <v>2489</v>
      </c>
      <c r="L24" s="51">
        <f t="shared" si="12"/>
        <v>0</v>
      </c>
      <c r="M24" s="63">
        <f t="shared" si="43"/>
        <v>185614</v>
      </c>
      <c r="N24" s="338">
        <f t="shared" si="2"/>
        <v>0</v>
      </c>
      <c r="O24" s="63">
        <f t="shared" si="49"/>
        <v>1869</v>
      </c>
      <c r="P24" s="468">
        <f t="shared" si="47"/>
        <v>2250</v>
      </c>
      <c r="Q24" s="468">
        <f t="shared" si="46"/>
        <v>187918</v>
      </c>
      <c r="R24" s="337">
        <f t="shared" si="42"/>
        <v>0</v>
      </c>
      <c r="S24" s="51">
        <f t="shared" si="5"/>
        <v>0</v>
      </c>
      <c r="T24" s="66">
        <f t="shared" si="32"/>
        <v>0</v>
      </c>
      <c r="U24" s="344">
        <f t="shared" si="14"/>
        <v>0</v>
      </c>
      <c r="V24" s="61">
        <f t="shared" si="15"/>
        <v>0</v>
      </c>
      <c r="W24" s="342"/>
      <c r="X24" s="468">
        <f t="shared" si="17"/>
        <v>2498</v>
      </c>
      <c r="Y24" s="51">
        <f t="shared" si="18"/>
        <v>0</v>
      </c>
      <c r="Z24" s="468">
        <f t="shared" si="19"/>
        <v>141419</v>
      </c>
      <c r="AA24" s="64">
        <f t="shared" si="6"/>
        <v>0</v>
      </c>
      <c r="AB24" s="246">
        <f t="shared" ref="AB24:AB32" si="51">SUM(Y24*$AB$2)</f>
        <v>0</v>
      </c>
      <c r="AC24" s="468">
        <f t="shared" si="34"/>
        <v>1964</v>
      </c>
      <c r="AD24" s="44">
        <f t="shared" si="7"/>
        <v>0</v>
      </c>
      <c r="AE24" s="468">
        <f t="shared" si="20"/>
        <v>368039</v>
      </c>
      <c r="AF24" s="263">
        <f t="shared" si="21"/>
        <v>0</v>
      </c>
      <c r="AG24" s="196">
        <f t="shared" si="35"/>
        <v>0</v>
      </c>
      <c r="AH24" s="61">
        <f t="shared" si="36"/>
        <v>0</v>
      </c>
      <c r="AI24" s="271">
        <f t="shared" si="22"/>
        <v>0</v>
      </c>
      <c r="AJ24" s="271">
        <f>-tanks!AW25</f>
        <v>0</v>
      </c>
      <c r="AK24" s="271">
        <f t="shared" si="23"/>
        <v>0</v>
      </c>
      <c r="AL24" s="271">
        <f t="shared" si="8"/>
        <v>0</v>
      </c>
      <c r="AM24" s="271">
        <f t="shared" si="24"/>
        <v>0</v>
      </c>
      <c r="AN24" s="468">
        <f t="shared" si="25"/>
        <v>65</v>
      </c>
      <c r="AO24" s="273">
        <f t="shared" si="26"/>
        <v>1950</v>
      </c>
      <c r="AP24" s="468">
        <f t="shared" si="27"/>
        <v>35</v>
      </c>
      <c r="AQ24" s="273">
        <f t="shared" si="28"/>
        <v>1050</v>
      </c>
      <c r="AR24" s="468">
        <f t="shared" si="29"/>
        <v>73</v>
      </c>
      <c r="AS24" s="273">
        <f t="shared" si="37"/>
        <v>2190</v>
      </c>
      <c r="AT24" s="273">
        <f t="shared" ref="AT24:AT35" si="52">SUM(AO24+AQ24+AS24)</f>
        <v>5190</v>
      </c>
      <c r="AU24" s="273">
        <f t="shared" si="39"/>
        <v>0</v>
      </c>
      <c r="AV24" s="237"/>
      <c r="AW24" s="237"/>
      <c r="AX24" s="267">
        <f t="shared" si="30"/>
        <v>0.8</v>
      </c>
    </row>
    <row r="25" spans="1:50" ht="13.5" customHeight="1">
      <c r="A25" s="62">
        <v>44947</v>
      </c>
      <c r="B25" s="63">
        <f t="shared" si="44"/>
        <v>236</v>
      </c>
      <c r="C25" s="63">
        <f t="shared" si="45"/>
        <v>242</v>
      </c>
      <c r="D25" s="44">
        <f t="shared" si="50"/>
        <v>0</v>
      </c>
      <c r="E25" s="44">
        <f t="shared" si="9"/>
        <v>0</v>
      </c>
      <c r="F25" s="468">
        <f t="shared" si="10"/>
        <v>2368</v>
      </c>
      <c r="G25" s="51">
        <f t="shared" si="0"/>
        <v>0</v>
      </c>
      <c r="H25" s="468">
        <f t="shared" si="40"/>
        <v>53005</v>
      </c>
      <c r="I25" s="338">
        <f t="shared" si="1"/>
        <v>0</v>
      </c>
      <c r="J25" s="65">
        <f t="shared" si="11"/>
        <v>0</v>
      </c>
      <c r="K25" s="468">
        <f t="shared" si="41"/>
        <v>2489</v>
      </c>
      <c r="L25" s="51">
        <f t="shared" si="12"/>
        <v>0</v>
      </c>
      <c r="M25" s="63">
        <f t="shared" si="43"/>
        <v>185614</v>
      </c>
      <c r="N25" s="338">
        <f t="shared" si="2"/>
        <v>0</v>
      </c>
      <c r="O25" s="63">
        <f t="shared" si="49"/>
        <v>1869</v>
      </c>
      <c r="P25" s="468">
        <f t="shared" si="47"/>
        <v>2250</v>
      </c>
      <c r="Q25" s="468">
        <f t="shared" si="46"/>
        <v>187918</v>
      </c>
      <c r="R25" s="337">
        <f t="shared" si="42"/>
        <v>0</v>
      </c>
      <c r="S25" s="51">
        <f t="shared" si="5"/>
        <v>0</v>
      </c>
      <c r="T25" s="66">
        <f t="shared" si="32"/>
        <v>0</v>
      </c>
      <c r="U25" s="344">
        <f t="shared" si="14"/>
        <v>0</v>
      </c>
      <c r="V25" s="61">
        <f t="shared" si="15"/>
        <v>0</v>
      </c>
      <c r="W25" s="342"/>
      <c r="X25" s="468">
        <f t="shared" si="17"/>
        <v>2498</v>
      </c>
      <c r="Y25" s="51">
        <f t="shared" si="18"/>
        <v>0</v>
      </c>
      <c r="Z25" s="468">
        <f t="shared" si="19"/>
        <v>141419</v>
      </c>
      <c r="AA25" s="64">
        <f t="shared" si="6"/>
        <v>0</v>
      </c>
      <c r="AB25" s="246">
        <f t="shared" si="51"/>
        <v>0</v>
      </c>
      <c r="AC25" s="468">
        <f t="shared" si="34"/>
        <v>1964</v>
      </c>
      <c r="AD25" s="44">
        <f t="shared" si="7"/>
        <v>0</v>
      </c>
      <c r="AE25" s="468">
        <f t="shared" si="20"/>
        <v>368039</v>
      </c>
      <c r="AF25" s="263">
        <f t="shared" si="21"/>
        <v>0</v>
      </c>
      <c r="AG25" s="196">
        <f t="shared" si="35"/>
        <v>0</v>
      </c>
      <c r="AH25" s="61">
        <f t="shared" si="36"/>
        <v>0</v>
      </c>
      <c r="AI25" s="271">
        <f t="shared" si="22"/>
        <v>0</v>
      </c>
      <c r="AJ25" s="271">
        <f>-tanks!AW26</f>
        <v>0</v>
      </c>
      <c r="AK25" s="271">
        <f t="shared" si="23"/>
        <v>0</v>
      </c>
      <c r="AL25" s="271">
        <f t="shared" si="8"/>
        <v>0</v>
      </c>
      <c r="AM25" s="271">
        <f>Y25+AD25</f>
        <v>0</v>
      </c>
      <c r="AN25" s="468">
        <f t="shared" si="25"/>
        <v>65</v>
      </c>
      <c r="AO25" s="273">
        <f t="shared" si="26"/>
        <v>1950</v>
      </c>
      <c r="AP25" s="468">
        <f t="shared" si="27"/>
        <v>35</v>
      </c>
      <c r="AQ25" s="273">
        <f t="shared" ref="AQ25:AQ32" si="53">(AP25/100)*3000</f>
        <v>1050</v>
      </c>
      <c r="AR25" s="468">
        <f t="shared" si="29"/>
        <v>73</v>
      </c>
      <c r="AS25" s="273">
        <f t="shared" si="37"/>
        <v>2190</v>
      </c>
      <c r="AT25" s="273">
        <f t="shared" si="52"/>
        <v>5190</v>
      </c>
      <c r="AU25" s="273">
        <f t="shared" si="39"/>
        <v>0</v>
      </c>
      <c r="AV25" s="237"/>
      <c r="AW25" s="237"/>
      <c r="AX25" s="267">
        <f t="shared" si="30"/>
        <v>0.8</v>
      </c>
    </row>
    <row r="26" spans="1:50" ht="14.25" customHeight="1">
      <c r="A26" s="62">
        <v>44948</v>
      </c>
      <c r="B26" s="63">
        <v>232</v>
      </c>
      <c r="C26" s="63">
        <v>239</v>
      </c>
      <c r="D26" s="44">
        <f t="shared" si="50"/>
        <v>3</v>
      </c>
      <c r="E26" s="44">
        <f t="shared" si="9"/>
        <v>25.14</v>
      </c>
      <c r="F26" s="468">
        <v>2370</v>
      </c>
      <c r="G26" s="51">
        <f t="shared" si="0"/>
        <v>2</v>
      </c>
      <c r="H26" s="468">
        <v>53157</v>
      </c>
      <c r="I26" s="338">
        <f t="shared" si="1"/>
        <v>152</v>
      </c>
      <c r="J26" s="65">
        <f t="shared" si="11"/>
        <v>76</v>
      </c>
      <c r="K26" s="468">
        <v>2490</v>
      </c>
      <c r="L26" s="51">
        <f t="shared" si="12"/>
        <v>1</v>
      </c>
      <c r="M26" s="63">
        <v>185690</v>
      </c>
      <c r="N26" s="338">
        <f t="shared" si="2"/>
        <v>76</v>
      </c>
      <c r="O26" s="63">
        <v>2251</v>
      </c>
      <c r="P26" s="468">
        <v>2251</v>
      </c>
      <c r="Q26" s="468">
        <v>187951</v>
      </c>
      <c r="R26" s="337">
        <f t="shared" si="42"/>
        <v>33</v>
      </c>
      <c r="S26" s="51">
        <f t="shared" si="5"/>
        <v>1</v>
      </c>
      <c r="T26" s="66">
        <f t="shared" si="32"/>
        <v>0</v>
      </c>
      <c r="U26" s="344">
        <f t="shared" si="14"/>
        <v>4</v>
      </c>
      <c r="V26" s="61">
        <f t="shared" si="15"/>
        <v>261</v>
      </c>
      <c r="W26" s="342"/>
      <c r="X26" s="468">
        <f t="shared" si="17"/>
        <v>2498</v>
      </c>
      <c r="Y26" s="51">
        <f t="shared" si="18"/>
        <v>0</v>
      </c>
      <c r="Z26" s="468">
        <f t="shared" si="19"/>
        <v>141419</v>
      </c>
      <c r="AA26" s="64">
        <f t="shared" si="6"/>
        <v>0</v>
      </c>
      <c r="AB26" s="246">
        <f t="shared" si="51"/>
        <v>0</v>
      </c>
      <c r="AC26" s="468">
        <f t="shared" si="34"/>
        <v>1964</v>
      </c>
      <c r="AD26" s="44">
        <f t="shared" si="7"/>
        <v>0</v>
      </c>
      <c r="AE26" s="468">
        <f t="shared" si="20"/>
        <v>368039</v>
      </c>
      <c r="AF26" s="263">
        <f t="shared" si="21"/>
        <v>0</v>
      </c>
      <c r="AG26" s="196">
        <f t="shared" si="35"/>
        <v>0</v>
      </c>
      <c r="AH26" s="61">
        <f t="shared" si="36"/>
        <v>0</v>
      </c>
      <c r="AI26" s="271">
        <f t="shared" si="22"/>
        <v>261</v>
      </c>
      <c r="AJ26" s="271">
        <f>-tanks!AW27</f>
        <v>261</v>
      </c>
      <c r="AK26" s="271">
        <f t="shared" si="23"/>
        <v>0</v>
      </c>
      <c r="AL26" s="271">
        <f t="shared" si="8"/>
        <v>4</v>
      </c>
      <c r="AM26" s="271">
        <f t="shared" si="24"/>
        <v>0</v>
      </c>
      <c r="AN26" s="468">
        <f t="shared" si="25"/>
        <v>65</v>
      </c>
      <c r="AO26" s="273">
        <f>(AN26/100)*3000</f>
        <v>1950</v>
      </c>
      <c r="AP26" s="468">
        <f t="shared" si="27"/>
        <v>35</v>
      </c>
      <c r="AQ26" s="273">
        <f t="shared" si="53"/>
        <v>1050</v>
      </c>
      <c r="AR26" s="468">
        <f t="shared" si="29"/>
        <v>73</v>
      </c>
      <c r="AS26" s="273">
        <f t="shared" si="37"/>
        <v>2190</v>
      </c>
      <c r="AT26" s="273">
        <f>SUM(AO26+AQ26+AS26)</f>
        <v>5190</v>
      </c>
      <c r="AU26" s="273">
        <f>AT25-AT26+AV26</f>
        <v>0</v>
      </c>
      <c r="AV26" s="237"/>
      <c r="AW26" s="237"/>
      <c r="AX26" s="267">
        <f t="shared" si="30"/>
        <v>0.8</v>
      </c>
    </row>
    <row r="27" spans="1:50">
      <c r="A27" s="62">
        <v>44949</v>
      </c>
      <c r="B27" s="63">
        <f t="shared" si="44"/>
        <v>232</v>
      </c>
      <c r="C27" s="63">
        <f t="shared" si="45"/>
        <v>239</v>
      </c>
      <c r="D27" s="44">
        <f t="shared" si="50"/>
        <v>0</v>
      </c>
      <c r="E27" s="44">
        <f t="shared" si="9"/>
        <v>0</v>
      </c>
      <c r="F27" s="468">
        <f t="shared" si="10"/>
        <v>2370</v>
      </c>
      <c r="G27" s="51">
        <f t="shared" si="0"/>
        <v>0</v>
      </c>
      <c r="H27" s="468">
        <f t="shared" si="40"/>
        <v>53157</v>
      </c>
      <c r="I27" s="338">
        <f t="shared" si="1"/>
        <v>0</v>
      </c>
      <c r="J27" s="65">
        <f t="shared" si="11"/>
        <v>0</v>
      </c>
      <c r="K27" s="468">
        <f t="shared" si="41"/>
        <v>2490</v>
      </c>
      <c r="L27" s="51">
        <f t="shared" si="12"/>
        <v>0</v>
      </c>
      <c r="M27" s="63">
        <f t="shared" si="43"/>
        <v>185690</v>
      </c>
      <c r="N27" s="338">
        <f t="shared" si="2"/>
        <v>0</v>
      </c>
      <c r="O27" s="63">
        <f t="shared" si="49"/>
        <v>2251</v>
      </c>
      <c r="P27" s="468">
        <f t="shared" si="47"/>
        <v>2251</v>
      </c>
      <c r="Q27" s="468">
        <f t="shared" si="46"/>
        <v>187951</v>
      </c>
      <c r="R27" s="337">
        <f t="shared" si="42"/>
        <v>0</v>
      </c>
      <c r="S27" s="51">
        <f t="shared" si="5"/>
        <v>0</v>
      </c>
      <c r="T27" s="66">
        <f t="shared" si="32"/>
        <v>0</v>
      </c>
      <c r="U27" s="344">
        <f t="shared" si="14"/>
        <v>0</v>
      </c>
      <c r="V27" s="61">
        <f t="shared" si="15"/>
        <v>0</v>
      </c>
      <c r="W27" s="342"/>
      <c r="X27" s="468">
        <f t="shared" si="17"/>
        <v>2498</v>
      </c>
      <c r="Y27" s="51">
        <f t="shared" si="18"/>
        <v>0</v>
      </c>
      <c r="Z27" s="468">
        <f t="shared" si="19"/>
        <v>141419</v>
      </c>
      <c r="AA27" s="64">
        <f t="shared" si="6"/>
        <v>0</v>
      </c>
      <c r="AB27" s="246">
        <f t="shared" si="51"/>
        <v>0</v>
      </c>
      <c r="AC27" s="468">
        <f t="shared" si="34"/>
        <v>1964</v>
      </c>
      <c r="AD27" s="44">
        <f t="shared" si="7"/>
        <v>0</v>
      </c>
      <c r="AE27" s="468">
        <f t="shared" si="20"/>
        <v>368039</v>
      </c>
      <c r="AF27" s="263">
        <f t="shared" si="21"/>
        <v>0</v>
      </c>
      <c r="AG27" s="196">
        <f t="shared" si="35"/>
        <v>0</v>
      </c>
      <c r="AH27" s="61">
        <f t="shared" si="36"/>
        <v>0</v>
      </c>
      <c r="AI27" s="271">
        <f t="shared" si="22"/>
        <v>0</v>
      </c>
      <c r="AJ27" s="271">
        <f>-tanks!AW28</f>
        <v>0</v>
      </c>
      <c r="AK27" s="271">
        <f t="shared" si="23"/>
        <v>0</v>
      </c>
      <c r="AL27" s="271">
        <f t="shared" si="8"/>
        <v>0</v>
      </c>
      <c r="AM27" s="271">
        <f t="shared" si="24"/>
        <v>0</v>
      </c>
      <c r="AN27" s="468">
        <f t="shared" si="25"/>
        <v>65</v>
      </c>
      <c r="AO27" s="273">
        <f t="shared" si="26"/>
        <v>1950</v>
      </c>
      <c r="AP27" s="468">
        <f t="shared" si="27"/>
        <v>35</v>
      </c>
      <c r="AQ27" s="273">
        <f t="shared" si="53"/>
        <v>1050</v>
      </c>
      <c r="AR27" s="468">
        <f t="shared" si="29"/>
        <v>73</v>
      </c>
      <c r="AS27" s="273">
        <f t="shared" si="37"/>
        <v>2190</v>
      </c>
      <c r="AT27" s="273">
        <f t="shared" si="52"/>
        <v>5190</v>
      </c>
      <c r="AU27" s="273">
        <f t="shared" si="39"/>
        <v>0</v>
      </c>
      <c r="AV27" s="237"/>
      <c r="AW27" s="422"/>
      <c r="AX27" s="267">
        <f t="shared" si="30"/>
        <v>0.8</v>
      </c>
    </row>
    <row r="28" spans="1:50">
      <c r="A28" s="62">
        <v>44950</v>
      </c>
      <c r="B28" s="63">
        <f t="shared" si="44"/>
        <v>232</v>
      </c>
      <c r="C28" s="63">
        <f t="shared" si="45"/>
        <v>239</v>
      </c>
      <c r="D28" s="44">
        <f t="shared" si="50"/>
        <v>0</v>
      </c>
      <c r="E28" s="44">
        <f t="shared" si="9"/>
        <v>0</v>
      </c>
      <c r="F28" s="468">
        <f t="shared" si="10"/>
        <v>2370</v>
      </c>
      <c r="G28" s="51">
        <f t="shared" si="0"/>
        <v>0</v>
      </c>
      <c r="H28" s="468">
        <f t="shared" si="40"/>
        <v>53157</v>
      </c>
      <c r="I28" s="338">
        <f t="shared" si="1"/>
        <v>0</v>
      </c>
      <c r="J28" s="65">
        <f t="shared" si="11"/>
        <v>0</v>
      </c>
      <c r="K28" s="468">
        <f t="shared" si="41"/>
        <v>2490</v>
      </c>
      <c r="L28" s="51">
        <f t="shared" si="12"/>
        <v>0</v>
      </c>
      <c r="M28" s="63">
        <f t="shared" si="43"/>
        <v>185690</v>
      </c>
      <c r="N28" s="338">
        <f t="shared" si="2"/>
        <v>0</v>
      </c>
      <c r="O28" s="63">
        <f t="shared" si="49"/>
        <v>2251</v>
      </c>
      <c r="P28" s="468">
        <f t="shared" si="47"/>
        <v>2251</v>
      </c>
      <c r="Q28" s="468">
        <f t="shared" si="46"/>
        <v>187951</v>
      </c>
      <c r="R28" s="337">
        <f t="shared" si="42"/>
        <v>0</v>
      </c>
      <c r="S28" s="51">
        <f t="shared" si="5"/>
        <v>0</v>
      </c>
      <c r="T28" s="66">
        <f t="shared" si="32"/>
        <v>0</v>
      </c>
      <c r="U28" s="344">
        <f t="shared" si="14"/>
        <v>0</v>
      </c>
      <c r="V28" s="61">
        <f t="shared" si="15"/>
        <v>0</v>
      </c>
      <c r="W28" s="342"/>
      <c r="X28" s="468">
        <f t="shared" si="17"/>
        <v>2498</v>
      </c>
      <c r="Y28" s="51">
        <f t="shared" si="18"/>
        <v>0</v>
      </c>
      <c r="Z28" s="468">
        <f t="shared" si="19"/>
        <v>141419</v>
      </c>
      <c r="AA28" s="64">
        <f t="shared" si="6"/>
        <v>0</v>
      </c>
      <c r="AB28" s="246">
        <f t="shared" si="51"/>
        <v>0</v>
      </c>
      <c r="AC28" s="468">
        <f t="shared" si="34"/>
        <v>1964</v>
      </c>
      <c r="AD28" s="44">
        <f t="shared" si="7"/>
        <v>0</v>
      </c>
      <c r="AE28" s="468">
        <f t="shared" si="20"/>
        <v>368039</v>
      </c>
      <c r="AF28" s="263">
        <f t="shared" si="21"/>
        <v>0</v>
      </c>
      <c r="AG28" s="196">
        <f t="shared" si="35"/>
        <v>0</v>
      </c>
      <c r="AH28" s="61">
        <f t="shared" si="36"/>
        <v>0</v>
      </c>
      <c r="AI28" s="271">
        <f t="shared" si="22"/>
        <v>0</v>
      </c>
      <c r="AJ28" s="271">
        <f>-tanks!AW29</f>
        <v>0</v>
      </c>
      <c r="AK28" s="271">
        <f t="shared" si="23"/>
        <v>0</v>
      </c>
      <c r="AL28" s="271">
        <f t="shared" si="8"/>
        <v>0</v>
      </c>
      <c r="AM28" s="271">
        <f t="shared" si="24"/>
        <v>0</v>
      </c>
      <c r="AN28" s="468">
        <f t="shared" si="25"/>
        <v>65</v>
      </c>
      <c r="AO28" s="273">
        <f t="shared" si="26"/>
        <v>1950</v>
      </c>
      <c r="AP28" s="468">
        <f t="shared" si="27"/>
        <v>35</v>
      </c>
      <c r="AQ28" s="273">
        <f t="shared" si="53"/>
        <v>1050</v>
      </c>
      <c r="AR28" s="468">
        <f t="shared" si="29"/>
        <v>73</v>
      </c>
      <c r="AS28" s="273">
        <f t="shared" si="37"/>
        <v>2190</v>
      </c>
      <c r="AT28" s="273">
        <f t="shared" si="52"/>
        <v>5190</v>
      </c>
      <c r="AU28" s="273">
        <f t="shared" si="39"/>
        <v>0</v>
      </c>
      <c r="AV28" s="237"/>
      <c r="AW28" s="237"/>
      <c r="AX28" s="267">
        <f t="shared" si="30"/>
        <v>0.8</v>
      </c>
    </row>
    <row r="29" spans="1:50">
      <c r="A29" s="62">
        <v>44951</v>
      </c>
      <c r="B29" s="63">
        <f t="shared" si="44"/>
        <v>232</v>
      </c>
      <c r="C29" s="63">
        <f t="shared" si="45"/>
        <v>239</v>
      </c>
      <c r="D29" s="44">
        <f t="shared" si="50"/>
        <v>0</v>
      </c>
      <c r="E29" s="44">
        <f t="shared" si="9"/>
        <v>0</v>
      </c>
      <c r="F29" s="468">
        <f t="shared" si="10"/>
        <v>2370</v>
      </c>
      <c r="G29" s="51">
        <f t="shared" si="0"/>
        <v>0</v>
      </c>
      <c r="H29" s="468">
        <f t="shared" si="40"/>
        <v>53157</v>
      </c>
      <c r="I29" s="338">
        <f t="shared" si="1"/>
        <v>0</v>
      </c>
      <c r="J29" s="65">
        <f t="shared" si="11"/>
        <v>0</v>
      </c>
      <c r="K29" s="468">
        <f t="shared" si="41"/>
        <v>2490</v>
      </c>
      <c r="L29" s="51">
        <f t="shared" si="12"/>
        <v>0</v>
      </c>
      <c r="M29" s="63">
        <f t="shared" si="43"/>
        <v>185690</v>
      </c>
      <c r="N29" s="338">
        <f t="shared" si="2"/>
        <v>0</v>
      </c>
      <c r="O29" s="63">
        <f t="shared" si="49"/>
        <v>2251</v>
      </c>
      <c r="P29" s="468">
        <f t="shared" si="47"/>
        <v>2251</v>
      </c>
      <c r="Q29" s="468">
        <f t="shared" si="46"/>
        <v>187951</v>
      </c>
      <c r="R29" s="337">
        <f t="shared" si="42"/>
        <v>0</v>
      </c>
      <c r="S29" s="51">
        <f t="shared" si="5"/>
        <v>0</v>
      </c>
      <c r="T29" s="66">
        <f t="shared" si="32"/>
        <v>0</v>
      </c>
      <c r="U29" s="344">
        <f t="shared" si="14"/>
        <v>0</v>
      </c>
      <c r="V29" s="61">
        <f t="shared" si="15"/>
        <v>0</v>
      </c>
      <c r="W29" s="342"/>
      <c r="X29" s="468">
        <f t="shared" si="17"/>
        <v>2498</v>
      </c>
      <c r="Y29" s="51">
        <f t="shared" si="18"/>
        <v>0</v>
      </c>
      <c r="Z29" s="468">
        <f t="shared" si="19"/>
        <v>141419</v>
      </c>
      <c r="AA29" s="64">
        <f t="shared" si="6"/>
        <v>0</v>
      </c>
      <c r="AB29" s="246">
        <f t="shared" si="51"/>
        <v>0</v>
      </c>
      <c r="AC29" s="468">
        <f t="shared" si="34"/>
        <v>1964</v>
      </c>
      <c r="AD29" s="44">
        <f t="shared" si="7"/>
        <v>0</v>
      </c>
      <c r="AE29" s="468">
        <f t="shared" si="20"/>
        <v>368039</v>
      </c>
      <c r="AF29" s="263">
        <f t="shared" si="21"/>
        <v>0</v>
      </c>
      <c r="AG29" s="196">
        <f t="shared" si="35"/>
        <v>0</v>
      </c>
      <c r="AH29" s="61">
        <f t="shared" si="36"/>
        <v>0</v>
      </c>
      <c r="AI29" s="271">
        <f t="shared" si="22"/>
        <v>0</v>
      </c>
      <c r="AJ29" s="271">
        <f>-tanks!AW30</f>
        <v>0</v>
      </c>
      <c r="AK29" s="271">
        <f t="shared" si="23"/>
        <v>0</v>
      </c>
      <c r="AL29" s="271">
        <f t="shared" si="8"/>
        <v>0</v>
      </c>
      <c r="AM29" s="271">
        <f t="shared" si="24"/>
        <v>0</v>
      </c>
      <c r="AN29" s="468">
        <f t="shared" si="25"/>
        <v>65</v>
      </c>
      <c r="AO29" s="273">
        <f t="shared" si="26"/>
        <v>1950</v>
      </c>
      <c r="AP29" s="468">
        <f t="shared" si="27"/>
        <v>35</v>
      </c>
      <c r="AQ29" s="273">
        <f t="shared" si="53"/>
        <v>1050</v>
      </c>
      <c r="AR29" s="468">
        <f t="shared" si="29"/>
        <v>73</v>
      </c>
      <c r="AS29" s="273">
        <f t="shared" si="37"/>
        <v>2190</v>
      </c>
      <c r="AT29" s="273">
        <f t="shared" si="52"/>
        <v>5190</v>
      </c>
      <c r="AU29" s="273">
        <f t="shared" si="39"/>
        <v>0</v>
      </c>
      <c r="AV29" s="237"/>
      <c r="AW29" s="237"/>
      <c r="AX29" s="267">
        <f t="shared" si="30"/>
        <v>0.8</v>
      </c>
    </row>
    <row r="30" spans="1:50">
      <c r="A30" s="62">
        <v>44952</v>
      </c>
      <c r="B30" s="63">
        <f t="shared" si="44"/>
        <v>232</v>
      </c>
      <c r="C30" s="63">
        <f t="shared" si="45"/>
        <v>239</v>
      </c>
      <c r="D30" s="44">
        <f>C29-C30</f>
        <v>0</v>
      </c>
      <c r="E30" s="44">
        <f>D30*8.38</f>
        <v>0</v>
      </c>
      <c r="F30" s="468">
        <f t="shared" si="10"/>
        <v>2370</v>
      </c>
      <c r="G30" s="51">
        <f>F30-F29</f>
        <v>0</v>
      </c>
      <c r="H30" s="468">
        <f t="shared" si="40"/>
        <v>53157</v>
      </c>
      <c r="I30" s="338">
        <f t="shared" si="1"/>
        <v>0</v>
      </c>
      <c r="J30" s="65">
        <f>IF(G30&gt;0,I30/G30,0)</f>
        <v>0</v>
      </c>
      <c r="K30" s="468">
        <f t="shared" si="41"/>
        <v>2490</v>
      </c>
      <c r="L30" s="51">
        <f>K30-K29</f>
        <v>0</v>
      </c>
      <c r="M30" s="63">
        <f t="shared" si="43"/>
        <v>185690</v>
      </c>
      <c r="N30" s="338">
        <f>M30-M29</f>
        <v>0</v>
      </c>
      <c r="O30" s="63">
        <f t="shared" si="49"/>
        <v>2251</v>
      </c>
      <c r="P30" s="468">
        <f t="shared" si="47"/>
        <v>2251</v>
      </c>
      <c r="Q30" s="468">
        <f t="shared" si="46"/>
        <v>187951</v>
      </c>
      <c r="R30" s="337">
        <f>Q30-Q29</f>
        <v>0</v>
      </c>
      <c r="S30" s="51">
        <f>SUM(P30-P29)</f>
        <v>0</v>
      </c>
      <c r="T30" s="66">
        <f>SUM(S30*$T$2)</f>
        <v>0</v>
      </c>
      <c r="U30" s="344">
        <f>SUM(G30+L30+S30)</f>
        <v>0</v>
      </c>
      <c r="V30" s="61">
        <f t="shared" si="15"/>
        <v>0</v>
      </c>
      <c r="W30" s="342"/>
      <c r="X30" s="468">
        <f t="shared" si="17"/>
        <v>2498</v>
      </c>
      <c r="Y30" s="51">
        <f>X30-X29</f>
        <v>0</v>
      </c>
      <c r="Z30" s="468">
        <f t="shared" si="19"/>
        <v>141419</v>
      </c>
      <c r="AA30" s="64">
        <f>Z30-Z29</f>
        <v>0</v>
      </c>
      <c r="AB30" s="246">
        <f>SUM(Y30*$AB$2)</f>
        <v>0</v>
      </c>
      <c r="AC30" s="468">
        <f t="shared" si="34"/>
        <v>1964</v>
      </c>
      <c r="AD30" s="237">
        <f>AC30-AC29</f>
        <v>0</v>
      </c>
      <c r="AE30" s="468">
        <f t="shared" si="20"/>
        <v>368039</v>
      </c>
      <c r="AF30" s="263">
        <f>AE30-AE29</f>
        <v>0</v>
      </c>
      <c r="AG30" s="196">
        <f t="shared" si="35"/>
        <v>0</v>
      </c>
      <c r="AH30" s="61">
        <f t="shared" si="36"/>
        <v>0</v>
      </c>
      <c r="AI30" s="271">
        <f t="shared" si="22"/>
        <v>0</v>
      </c>
      <c r="AJ30" s="271">
        <f>-tanks!AW31</f>
        <v>0</v>
      </c>
      <c r="AK30" s="271">
        <f t="shared" si="23"/>
        <v>0</v>
      </c>
      <c r="AL30" s="271">
        <f t="shared" si="8"/>
        <v>0</v>
      </c>
      <c r="AM30" s="271">
        <f t="shared" si="24"/>
        <v>0</v>
      </c>
      <c r="AN30" s="468">
        <f t="shared" si="25"/>
        <v>65</v>
      </c>
      <c r="AO30" s="273">
        <f t="shared" si="26"/>
        <v>1950</v>
      </c>
      <c r="AP30" s="468">
        <f t="shared" si="27"/>
        <v>35</v>
      </c>
      <c r="AQ30" s="273">
        <f t="shared" si="53"/>
        <v>1050</v>
      </c>
      <c r="AR30" s="468">
        <f t="shared" si="29"/>
        <v>73</v>
      </c>
      <c r="AS30" s="273">
        <f t="shared" si="37"/>
        <v>2190</v>
      </c>
      <c r="AT30" s="273">
        <f t="shared" si="52"/>
        <v>5190</v>
      </c>
      <c r="AU30" s="273">
        <f t="shared" si="39"/>
        <v>0</v>
      </c>
      <c r="AV30" s="237"/>
      <c r="AW30" s="237"/>
      <c r="AX30" s="267">
        <f t="shared" si="30"/>
        <v>0.8</v>
      </c>
    </row>
    <row r="31" spans="1:50">
      <c r="A31" s="62">
        <v>44953</v>
      </c>
      <c r="B31" s="63">
        <f t="shared" si="44"/>
        <v>232</v>
      </c>
      <c r="C31" s="63">
        <f t="shared" si="45"/>
        <v>239</v>
      </c>
      <c r="D31" s="44">
        <f t="shared" si="50"/>
        <v>0</v>
      </c>
      <c r="E31" s="44">
        <f t="shared" si="9"/>
        <v>0</v>
      </c>
      <c r="F31" s="468">
        <f t="shared" si="10"/>
        <v>2370</v>
      </c>
      <c r="G31" s="51">
        <f t="shared" si="0"/>
        <v>0</v>
      </c>
      <c r="H31" s="468">
        <f t="shared" si="40"/>
        <v>53157</v>
      </c>
      <c r="I31" s="338">
        <f t="shared" si="1"/>
        <v>0</v>
      </c>
      <c r="J31" s="65">
        <f t="shared" si="11"/>
        <v>0</v>
      </c>
      <c r="K31" s="468">
        <f t="shared" si="41"/>
        <v>2490</v>
      </c>
      <c r="L31" s="51">
        <f t="shared" si="12"/>
        <v>0</v>
      </c>
      <c r="M31" s="63">
        <f t="shared" si="43"/>
        <v>185690</v>
      </c>
      <c r="N31" s="338">
        <f t="shared" si="2"/>
        <v>0</v>
      </c>
      <c r="O31" s="63">
        <f t="shared" si="49"/>
        <v>2251</v>
      </c>
      <c r="P31" s="468">
        <f t="shared" si="47"/>
        <v>2251</v>
      </c>
      <c r="Q31" s="468">
        <f t="shared" si="46"/>
        <v>187951</v>
      </c>
      <c r="R31" s="337">
        <f t="shared" si="42"/>
        <v>0</v>
      </c>
      <c r="S31" s="51">
        <f t="shared" si="5"/>
        <v>0</v>
      </c>
      <c r="T31" s="66">
        <f t="shared" si="32"/>
        <v>0</v>
      </c>
      <c r="U31" s="344">
        <f t="shared" si="14"/>
        <v>0</v>
      </c>
      <c r="V31" s="61">
        <f t="shared" si="15"/>
        <v>0</v>
      </c>
      <c r="W31" s="342"/>
      <c r="X31" s="468">
        <f t="shared" si="17"/>
        <v>2498</v>
      </c>
      <c r="Y31" s="51">
        <f t="shared" si="18"/>
        <v>0</v>
      </c>
      <c r="Z31" s="468">
        <f t="shared" si="19"/>
        <v>141419</v>
      </c>
      <c r="AA31" s="64">
        <f t="shared" si="6"/>
        <v>0</v>
      </c>
      <c r="AB31" s="246">
        <f t="shared" si="51"/>
        <v>0</v>
      </c>
      <c r="AC31" s="468">
        <f t="shared" si="34"/>
        <v>1964</v>
      </c>
      <c r="AD31" s="237">
        <f t="shared" si="7"/>
        <v>0</v>
      </c>
      <c r="AE31" s="468">
        <f t="shared" si="20"/>
        <v>368039</v>
      </c>
      <c r="AF31" s="263">
        <f t="shared" si="21"/>
        <v>0</v>
      </c>
      <c r="AG31" s="196">
        <f t="shared" si="35"/>
        <v>0</v>
      </c>
      <c r="AH31" s="61">
        <f t="shared" si="36"/>
        <v>0</v>
      </c>
      <c r="AI31" s="271">
        <f t="shared" si="22"/>
        <v>0</v>
      </c>
      <c r="AJ31" s="271">
        <f>-tanks!AW32</f>
        <v>0</v>
      </c>
      <c r="AK31" s="271">
        <f t="shared" si="23"/>
        <v>0</v>
      </c>
      <c r="AL31" s="271">
        <f t="shared" si="8"/>
        <v>0</v>
      </c>
      <c r="AM31" s="271">
        <f t="shared" si="24"/>
        <v>0</v>
      </c>
      <c r="AN31" s="468">
        <f t="shared" si="25"/>
        <v>65</v>
      </c>
      <c r="AO31" s="273">
        <f t="shared" si="26"/>
        <v>1950</v>
      </c>
      <c r="AP31" s="468">
        <f t="shared" si="27"/>
        <v>35</v>
      </c>
      <c r="AQ31" s="273">
        <f t="shared" si="53"/>
        <v>1050</v>
      </c>
      <c r="AR31" s="468">
        <f t="shared" si="29"/>
        <v>73</v>
      </c>
      <c r="AS31" s="273">
        <f t="shared" si="37"/>
        <v>2190</v>
      </c>
      <c r="AT31" s="273">
        <f t="shared" si="52"/>
        <v>5190</v>
      </c>
      <c r="AU31" s="273">
        <f t="shared" si="39"/>
        <v>0</v>
      </c>
      <c r="AV31" s="237"/>
      <c r="AW31" s="237"/>
      <c r="AX31" s="267">
        <f t="shared" si="30"/>
        <v>0.8</v>
      </c>
    </row>
    <row r="32" spans="1:50">
      <c r="A32" s="62">
        <v>44954</v>
      </c>
      <c r="B32" s="63">
        <f t="shared" si="44"/>
        <v>232</v>
      </c>
      <c r="C32" s="63">
        <f t="shared" si="45"/>
        <v>239</v>
      </c>
      <c r="D32" s="44">
        <f t="shared" si="50"/>
        <v>0</v>
      </c>
      <c r="E32" s="44">
        <f t="shared" si="9"/>
        <v>0</v>
      </c>
      <c r="F32" s="468">
        <f t="shared" si="10"/>
        <v>2370</v>
      </c>
      <c r="G32" s="51">
        <f t="shared" si="0"/>
        <v>0</v>
      </c>
      <c r="H32" s="468">
        <f t="shared" si="40"/>
        <v>53157</v>
      </c>
      <c r="I32" s="338">
        <f t="shared" si="1"/>
        <v>0</v>
      </c>
      <c r="J32" s="65">
        <f t="shared" si="11"/>
        <v>0</v>
      </c>
      <c r="K32" s="468">
        <f t="shared" si="41"/>
        <v>2490</v>
      </c>
      <c r="L32" s="51">
        <f t="shared" si="12"/>
        <v>0</v>
      </c>
      <c r="M32" s="63">
        <f t="shared" si="43"/>
        <v>185690</v>
      </c>
      <c r="N32" s="338">
        <f t="shared" si="2"/>
        <v>0</v>
      </c>
      <c r="O32" s="63">
        <f t="shared" si="49"/>
        <v>2251</v>
      </c>
      <c r="P32" s="468">
        <f t="shared" si="47"/>
        <v>2251</v>
      </c>
      <c r="Q32" s="468">
        <f t="shared" si="46"/>
        <v>187951</v>
      </c>
      <c r="R32" s="337">
        <f t="shared" si="42"/>
        <v>0</v>
      </c>
      <c r="S32" s="51">
        <f t="shared" si="5"/>
        <v>0</v>
      </c>
      <c r="T32" s="66">
        <f t="shared" si="32"/>
        <v>0</v>
      </c>
      <c r="U32" s="344">
        <f t="shared" si="14"/>
        <v>0</v>
      </c>
      <c r="V32" s="61">
        <f t="shared" si="15"/>
        <v>0</v>
      </c>
      <c r="W32" s="342"/>
      <c r="X32" s="468">
        <f t="shared" si="17"/>
        <v>2498</v>
      </c>
      <c r="Y32" s="51">
        <f t="shared" si="18"/>
        <v>0</v>
      </c>
      <c r="Z32" s="468">
        <f t="shared" si="19"/>
        <v>141419</v>
      </c>
      <c r="AA32" s="64">
        <f t="shared" si="6"/>
        <v>0</v>
      </c>
      <c r="AB32" s="246">
        <f t="shared" si="51"/>
        <v>0</v>
      </c>
      <c r="AC32" s="468">
        <f t="shared" si="34"/>
        <v>1964</v>
      </c>
      <c r="AD32" s="237">
        <f t="shared" si="7"/>
        <v>0</v>
      </c>
      <c r="AE32" s="468">
        <f t="shared" si="20"/>
        <v>368039</v>
      </c>
      <c r="AF32" s="263">
        <f t="shared" si="21"/>
        <v>0</v>
      </c>
      <c r="AG32" s="196">
        <f t="shared" si="35"/>
        <v>0</v>
      </c>
      <c r="AH32" s="61">
        <f t="shared" si="36"/>
        <v>0</v>
      </c>
      <c r="AI32" s="271">
        <f t="shared" si="22"/>
        <v>0</v>
      </c>
      <c r="AJ32" s="271">
        <f>-tanks!AW33</f>
        <v>0</v>
      </c>
      <c r="AK32" s="271">
        <f t="shared" si="23"/>
        <v>0</v>
      </c>
      <c r="AL32" s="271">
        <f t="shared" si="8"/>
        <v>0</v>
      </c>
      <c r="AM32" s="271">
        <f t="shared" si="24"/>
        <v>0</v>
      </c>
      <c r="AN32" s="468">
        <f t="shared" si="25"/>
        <v>65</v>
      </c>
      <c r="AO32" s="273">
        <f t="shared" si="26"/>
        <v>1950</v>
      </c>
      <c r="AP32" s="468">
        <f t="shared" si="27"/>
        <v>35</v>
      </c>
      <c r="AQ32" s="273">
        <f t="shared" si="53"/>
        <v>1050</v>
      </c>
      <c r="AR32" s="468">
        <f t="shared" si="29"/>
        <v>73</v>
      </c>
      <c r="AS32" s="273">
        <f t="shared" si="37"/>
        <v>2190</v>
      </c>
      <c r="AT32" s="273">
        <f t="shared" si="52"/>
        <v>5190</v>
      </c>
      <c r="AU32" s="273">
        <f t="shared" si="39"/>
        <v>0</v>
      </c>
      <c r="AV32" s="237"/>
      <c r="AW32" s="237"/>
      <c r="AX32" s="267">
        <f t="shared" si="30"/>
        <v>0.8</v>
      </c>
    </row>
    <row r="33" spans="1:50">
      <c r="A33" s="62">
        <v>44955</v>
      </c>
      <c r="B33" s="63">
        <f t="shared" si="44"/>
        <v>232</v>
      </c>
      <c r="C33" s="63">
        <f t="shared" si="45"/>
        <v>239</v>
      </c>
      <c r="D33" s="44">
        <f t="shared" ref="D33:D35" si="54">C32-C33</f>
        <v>0</v>
      </c>
      <c r="E33" s="44">
        <f t="shared" ref="E33:E35" si="55">D33*8.38</f>
        <v>0</v>
      </c>
      <c r="F33" s="468">
        <f t="shared" si="10"/>
        <v>2370</v>
      </c>
      <c r="G33" s="51">
        <f t="shared" ref="G33:G35" si="56">F33-F32</f>
        <v>0</v>
      </c>
      <c r="H33" s="468">
        <f t="shared" si="40"/>
        <v>53157</v>
      </c>
      <c r="I33" s="338">
        <f t="shared" ref="I33:I35" si="57">SUM(H33-H32)</f>
        <v>0</v>
      </c>
      <c r="J33" s="65">
        <f t="shared" ref="J33:J35" si="58">IF(G33&gt;0,I33/G33,0)</f>
        <v>0</v>
      </c>
      <c r="K33" s="468">
        <f t="shared" si="41"/>
        <v>2490</v>
      </c>
      <c r="L33" s="51">
        <f t="shared" ref="L33:L35" si="59">K33-K32</f>
        <v>0</v>
      </c>
      <c r="M33" s="63">
        <f t="shared" si="43"/>
        <v>185690</v>
      </c>
      <c r="N33" s="338">
        <f t="shared" ref="N33:N35" si="60">M33-M32</f>
        <v>0</v>
      </c>
      <c r="O33" s="63">
        <f t="shared" si="49"/>
        <v>2251</v>
      </c>
      <c r="P33" s="468">
        <f t="shared" si="47"/>
        <v>2251</v>
      </c>
      <c r="Q33" s="468">
        <f t="shared" si="46"/>
        <v>187951</v>
      </c>
      <c r="R33" s="337">
        <f t="shared" ref="R33:R35" si="61">Q33-Q32</f>
        <v>0</v>
      </c>
      <c r="S33" s="51">
        <f t="shared" ref="S33:S35" si="62">SUM(P33-P32)</f>
        <v>0</v>
      </c>
      <c r="T33" s="66">
        <f t="shared" ref="T33:T35" si="63">SUM(S33*$T$2)</f>
        <v>0</v>
      </c>
      <c r="U33" s="344">
        <f t="shared" ref="U33:U35" si="64">SUM(G33+L33+S33)</f>
        <v>0</v>
      </c>
      <c r="V33" s="61">
        <f t="shared" ref="V33:V35" si="65">R33+N33+I33:I33</f>
        <v>0</v>
      </c>
      <c r="W33" s="342"/>
      <c r="X33" s="468">
        <f t="shared" si="17"/>
        <v>2498</v>
      </c>
      <c r="Y33" s="51">
        <f t="shared" ref="Y33:Y35" si="66">X33-X32</f>
        <v>0</v>
      </c>
      <c r="Z33" s="468">
        <f t="shared" si="19"/>
        <v>141419</v>
      </c>
      <c r="AA33" s="64">
        <f t="shared" ref="AA33:AA35" si="67">Z33-Z32</f>
        <v>0</v>
      </c>
      <c r="AB33" s="246">
        <f t="shared" ref="AB33:AB35" si="68">SUM(Y33*$AB$2)</f>
        <v>0</v>
      </c>
      <c r="AC33" s="468">
        <f t="shared" si="34"/>
        <v>1964</v>
      </c>
      <c r="AD33" s="237">
        <f t="shared" ref="AD33:AD35" si="69">AC33-AC32</f>
        <v>0</v>
      </c>
      <c r="AE33" s="468">
        <f t="shared" si="20"/>
        <v>368039</v>
      </c>
      <c r="AF33" s="263">
        <f t="shared" ref="AF33:AF35" si="70">AE33-AE32</f>
        <v>0</v>
      </c>
      <c r="AG33" s="196">
        <f t="shared" ref="AG33:AG35" si="71">IF(AD33&gt;0,AF33/AD33,0)</f>
        <v>0</v>
      </c>
      <c r="AH33" s="61">
        <f t="shared" ref="AH33:AH35" si="72">AF33+AA33</f>
        <v>0</v>
      </c>
      <c r="AI33" s="271">
        <f t="shared" ref="AI33:AI35" si="73">SUM(AH33+V33)</f>
        <v>0</v>
      </c>
      <c r="AJ33" s="271">
        <f>-tanks!AW34</f>
        <v>0</v>
      </c>
      <c r="AK33" s="271">
        <f t="shared" ref="AK33:AK35" si="74">SUM(AJ33-AI33)</f>
        <v>0</v>
      </c>
      <c r="AL33" s="271">
        <f t="shared" ref="AL33:AL35" si="75">S33+L33+G33</f>
        <v>0</v>
      </c>
      <c r="AM33" s="271">
        <f t="shared" ref="AM33:AM35" si="76">Y33+AD33</f>
        <v>0</v>
      </c>
      <c r="AN33" s="468">
        <f t="shared" si="25"/>
        <v>65</v>
      </c>
      <c r="AO33" s="273">
        <f t="shared" si="26"/>
        <v>1950</v>
      </c>
      <c r="AP33" s="468">
        <f t="shared" si="27"/>
        <v>35</v>
      </c>
      <c r="AQ33" s="273">
        <f t="shared" ref="AQ33:AQ35" si="77">(AP33/100)*3000</f>
        <v>1050</v>
      </c>
      <c r="AR33" s="468">
        <f t="shared" si="29"/>
        <v>73</v>
      </c>
      <c r="AS33" s="273">
        <f t="shared" si="37"/>
        <v>2190</v>
      </c>
      <c r="AT33" s="273">
        <f t="shared" si="52"/>
        <v>5190</v>
      </c>
      <c r="AU33" s="273">
        <f t="shared" si="39"/>
        <v>0</v>
      </c>
      <c r="AV33" s="237"/>
      <c r="AW33" s="237"/>
      <c r="AX33" s="267">
        <f t="shared" ref="AX33:AX35" si="78">IF(AV33&gt;0,AW33,AX32)</f>
        <v>0.8</v>
      </c>
    </row>
    <row r="34" spans="1:50">
      <c r="A34" s="62">
        <v>44956</v>
      </c>
      <c r="B34" s="63">
        <f t="shared" si="44"/>
        <v>232</v>
      </c>
      <c r="C34" s="63">
        <f t="shared" si="45"/>
        <v>239</v>
      </c>
      <c r="D34" s="44">
        <f t="shared" si="54"/>
        <v>0</v>
      </c>
      <c r="E34" s="44">
        <f t="shared" si="55"/>
        <v>0</v>
      </c>
      <c r="F34" s="468">
        <f t="shared" si="10"/>
        <v>2370</v>
      </c>
      <c r="G34" s="51">
        <f t="shared" si="56"/>
        <v>0</v>
      </c>
      <c r="H34" s="468">
        <f t="shared" si="40"/>
        <v>53157</v>
      </c>
      <c r="I34" s="338">
        <f t="shared" si="57"/>
        <v>0</v>
      </c>
      <c r="J34" s="65">
        <f t="shared" si="58"/>
        <v>0</v>
      </c>
      <c r="K34" s="468">
        <f t="shared" si="41"/>
        <v>2490</v>
      </c>
      <c r="L34" s="51">
        <f t="shared" si="59"/>
        <v>0</v>
      </c>
      <c r="M34" s="63">
        <f t="shared" si="43"/>
        <v>185690</v>
      </c>
      <c r="N34" s="338">
        <f t="shared" si="60"/>
        <v>0</v>
      </c>
      <c r="O34" s="63">
        <f t="shared" si="49"/>
        <v>2251</v>
      </c>
      <c r="P34" s="468">
        <f t="shared" si="47"/>
        <v>2251</v>
      </c>
      <c r="Q34" s="468">
        <f t="shared" si="46"/>
        <v>187951</v>
      </c>
      <c r="R34" s="337">
        <f t="shared" si="61"/>
        <v>0</v>
      </c>
      <c r="S34" s="51">
        <f t="shared" si="62"/>
        <v>0</v>
      </c>
      <c r="T34" s="66">
        <f t="shared" si="63"/>
        <v>0</v>
      </c>
      <c r="U34" s="344">
        <f t="shared" si="64"/>
        <v>0</v>
      </c>
      <c r="V34" s="61">
        <f t="shared" si="65"/>
        <v>0</v>
      </c>
      <c r="W34" s="342"/>
      <c r="X34" s="468">
        <f t="shared" si="17"/>
        <v>2498</v>
      </c>
      <c r="Y34" s="51">
        <f t="shared" si="66"/>
        <v>0</v>
      </c>
      <c r="Z34" s="468">
        <f t="shared" si="19"/>
        <v>141419</v>
      </c>
      <c r="AA34" s="64">
        <f t="shared" si="67"/>
        <v>0</v>
      </c>
      <c r="AB34" s="246">
        <f t="shared" si="68"/>
        <v>0</v>
      </c>
      <c r="AC34" s="468">
        <f t="shared" si="34"/>
        <v>1964</v>
      </c>
      <c r="AD34" s="237">
        <f t="shared" si="69"/>
        <v>0</v>
      </c>
      <c r="AE34" s="468">
        <f t="shared" si="20"/>
        <v>368039</v>
      </c>
      <c r="AF34" s="263">
        <f t="shared" si="70"/>
        <v>0</v>
      </c>
      <c r="AG34" s="196">
        <f t="shared" si="71"/>
        <v>0</v>
      </c>
      <c r="AH34" s="61">
        <f t="shared" si="72"/>
        <v>0</v>
      </c>
      <c r="AI34" s="271">
        <f t="shared" si="73"/>
        <v>0</v>
      </c>
      <c r="AJ34" s="271">
        <f>-tanks!AW35</f>
        <v>0</v>
      </c>
      <c r="AK34" s="271">
        <f t="shared" si="74"/>
        <v>0</v>
      </c>
      <c r="AL34" s="271">
        <f t="shared" si="75"/>
        <v>0</v>
      </c>
      <c r="AM34" s="271">
        <f t="shared" si="76"/>
        <v>0</v>
      </c>
      <c r="AN34" s="468">
        <f t="shared" si="25"/>
        <v>65</v>
      </c>
      <c r="AO34" s="273">
        <f t="shared" si="26"/>
        <v>1950</v>
      </c>
      <c r="AP34" s="468">
        <f t="shared" si="27"/>
        <v>35</v>
      </c>
      <c r="AQ34" s="273">
        <f t="shared" si="77"/>
        <v>1050</v>
      </c>
      <c r="AR34" s="468">
        <f t="shared" si="29"/>
        <v>73</v>
      </c>
      <c r="AS34" s="273">
        <f t="shared" si="37"/>
        <v>2190</v>
      </c>
      <c r="AT34" s="273">
        <f t="shared" si="52"/>
        <v>5190</v>
      </c>
      <c r="AU34" s="273">
        <f t="shared" si="39"/>
        <v>0</v>
      </c>
      <c r="AV34" s="237"/>
      <c r="AW34" s="237"/>
      <c r="AX34" s="267">
        <f t="shared" si="78"/>
        <v>0.8</v>
      </c>
    </row>
    <row r="35" spans="1:50">
      <c r="A35" s="62">
        <v>44957</v>
      </c>
      <c r="B35" s="63">
        <f t="shared" si="44"/>
        <v>232</v>
      </c>
      <c r="C35" s="63">
        <f t="shared" si="45"/>
        <v>239</v>
      </c>
      <c r="D35" s="44">
        <f t="shared" si="54"/>
        <v>0</v>
      </c>
      <c r="E35" s="44">
        <f t="shared" si="55"/>
        <v>0</v>
      </c>
      <c r="F35" s="468">
        <f t="shared" si="10"/>
        <v>2370</v>
      </c>
      <c r="G35" s="51">
        <f t="shared" si="56"/>
        <v>0</v>
      </c>
      <c r="H35" s="468">
        <f t="shared" si="40"/>
        <v>53157</v>
      </c>
      <c r="I35" s="338">
        <f t="shared" si="57"/>
        <v>0</v>
      </c>
      <c r="J35" s="65">
        <f t="shared" si="58"/>
        <v>0</v>
      </c>
      <c r="K35" s="468">
        <f t="shared" si="41"/>
        <v>2490</v>
      </c>
      <c r="L35" s="51">
        <f t="shared" si="59"/>
        <v>0</v>
      </c>
      <c r="M35" s="63">
        <f t="shared" si="43"/>
        <v>185690</v>
      </c>
      <c r="N35" s="338">
        <f t="shared" si="60"/>
        <v>0</v>
      </c>
      <c r="O35" s="63">
        <f t="shared" si="49"/>
        <v>2251</v>
      </c>
      <c r="P35" s="468">
        <f t="shared" si="47"/>
        <v>2251</v>
      </c>
      <c r="Q35" s="468">
        <f t="shared" si="46"/>
        <v>187951</v>
      </c>
      <c r="R35" s="337">
        <f t="shared" si="61"/>
        <v>0</v>
      </c>
      <c r="S35" s="51">
        <f t="shared" si="62"/>
        <v>0</v>
      </c>
      <c r="T35" s="66">
        <f t="shared" si="63"/>
        <v>0</v>
      </c>
      <c r="U35" s="344">
        <f t="shared" si="64"/>
        <v>0</v>
      </c>
      <c r="V35" s="61">
        <f t="shared" si="65"/>
        <v>0</v>
      </c>
      <c r="W35" s="342"/>
      <c r="X35" s="468">
        <f t="shared" si="17"/>
        <v>2498</v>
      </c>
      <c r="Y35" s="51">
        <f t="shared" si="66"/>
        <v>0</v>
      </c>
      <c r="Z35" s="468">
        <f t="shared" si="19"/>
        <v>141419</v>
      </c>
      <c r="AA35" s="64">
        <f t="shared" si="67"/>
        <v>0</v>
      </c>
      <c r="AB35" s="246">
        <f t="shared" si="68"/>
        <v>0</v>
      </c>
      <c r="AC35" s="468">
        <f t="shared" si="34"/>
        <v>1964</v>
      </c>
      <c r="AD35" s="237">
        <f t="shared" si="69"/>
        <v>0</v>
      </c>
      <c r="AE35" s="468">
        <f t="shared" si="20"/>
        <v>368039</v>
      </c>
      <c r="AF35" s="263">
        <f t="shared" si="70"/>
        <v>0</v>
      </c>
      <c r="AG35" s="196">
        <f t="shared" si="71"/>
        <v>0</v>
      </c>
      <c r="AH35" s="61">
        <f t="shared" si="72"/>
        <v>0</v>
      </c>
      <c r="AI35" s="271">
        <f t="shared" si="73"/>
        <v>0</v>
      </c>
      <c r="AJ35" s="271">
        <f>-tanks!AW36</f>
        <v>0</v>
      </c>
      <c r="AK35" s="271">
        <f t="shared" si="74"/>
        <v>0</v>
      </c>
      <c r="AL35" s="271">
        <f t="shared" si="75"/>
        <v>0</v>
      </c>
      <c r="AM35" s="271">
        <f t="shared" si="76"/>
        <v>0</v>
      </c>
      <c r="AN35" s="468">
        <f t="shared" si="25"/>
        <v>65</v>
      </c>
      <c r="AO35" s="273">
        <f t="shared" si="26"/>
        <v>1950</v>
      </c>
      <c r="AP35" s="468">
        <f t="shared" si="27"/>
        <v>35</v>
      </c>
      <c r="AQ35" s="273">
        <f t="shared" si="77"/>
        <v>1050</v>
      </c>
      <c r="AR35" s="468">
        <f t="shared" si="29"/>
        <v>73</v>
      </c>
      <c r="AS35" s="273">
        <f t="shared" si="37"/>
        <v>2190</v>
      </c>
      <c r="AT35" s="273">
        <f t="shared" si="52"/>
        <v>5190</v>
      </c>
      <c r="AU35" s="273">
        <f t="shared" si="39"/>
        <v>0</v>
      </c>
      <c r="AV35" s="237"/>
      <c r="AW35" s="237"/>
      <c r="AX35" s="267">
        <f t="shared" si="78"/>
        <v>0.8</v>
      </c>
    </row>
    <row r="36" spans="1:50">
      <c r="J36" s="245">
        <f>SUM(J5:J32)/(COUNT(J5:J32)-COUNTIF(J5:J32,0))</f>
        <v>54.6</v>
      </c>
      <c r="U36" s="68">
        <f>SUM(U5:U35)</f>
        <v>28</v>
      </c>
      <c r="V36" s="61">
        <f>SUM(V5:V35)</f>
        <v>2193</v>
      </c>
      <c r="AE36" s="69" t="s">
        <v>23</v>
      </c>
      <c r="AG36" s="293"/>
      <c r="AH36" s="61">
        <f>SUM(AH5:AH35)</f>
        <v>350</v>
      </c>
      <c r="AL36" s="61">
        <f>SUM(AL5:AL35)</f>
        <v>28</v>
      </c>
      <c r="AM36" s="61">
        <f>SUM(AM5:AM35)</f>
        <v>5</v>
      </c>
      <c r="AP36" s="267"/>
      <c r="AQ36" s="267"/>
      <c r="AR36" s="267" t="s">
        <v>95</v>
      </c>
      <c r="AS36" s="267">
        <f>COUNT(AW5:AW35)</f>
        <v>0</v>
      </c>
      <c r="AT36" s="267"/>
      <c r="AU36" s="267">
        <f>SUM(AU5:AU35)</f>
        <v>0</v>
      </c>
      <c r="AV36" s="69">
        <f>SUM(AV5:AV35)</f>
        <v>0</v>
      </c>
      <c r="AW36" s="267" t="e">
        <f>SUM(AW5:AW35)/AS36</f>
        <v>#DIV/0!</v>
      </c>
    </row>
    <row r="37" spans="1:50">
      <c r="V37" s="68">
        <f>V36/U36</f>
        <v>78.321428571428569</v>
      </c>
      <c r="AH37" s="61">
        <f>AF37+AA37</f>
        <v>0</v>
      </c>
      <c r="AI37" s="69">
        <f>SUM(AI5:AI35)</f>
        <v>2543</v>
      </c>
      <c r="AP37" s="267"/>
      <c r="AQ37" s="267"/>
      <c r="AR37" s="267"/>
      <c r="AS37" s="267"/>
      <c r="AT37" s="267"/>
      <c r="AU37" s="267"/>
      <c r="AV37" s="267"/>
      <c r="AW37" s="267"/>
    </row>
    <row r="38" spans="1:50">
      <c r="AH38" s="61">
        <f>AF38+AA38</f>
        <v>0</v>
      </c>
      <c r="AP38" s="267"/>
      <c r="AQ38" s="267"/>
      <c r="AR38" s="267"/>
      <c r="AS38" s="267"/>
      <c r="AT38" s="267"/>
      <c r="AU38" s="267">
        <f>AU36*0.51</f>
        <v>0</v>
      </c>
      <c r="AV38" s="267">
        <f>AV36/0.51</f>
        <v>0</v>
      </c>
      <c r="AW38" s="267" t="e">
        <f>SUM(AW5:AW32)/AS36</f>
        <v>#DIV/0!</v>
      </c>
    </row>
    <row r="39" spans="1:50">
      <c r="AP39" s="267"/>
      <c r="AQ39" s="267"/>
      <c r="AR39" s="267"/>
      <c r="AS39" s="267"/>
      <c r="AT39" s="267"/>
      <c r="AU39" s="267"/>
      <c r="AV39" s="267">
        <f>AV36*0.51</f>
        <v>0</v>
      </c>
      <c r="AW39" s="267"/>
    </row>
    <row r="40" spans="1:50">
      <c r="AP40" s="267"/>
      <c r="AQ40" s="267"/>
      <c r="AR40" s="267"/>
      <c r="AS40" s="267"/>
      <c r="AT40" s="267"/>
      <c r="AU40" s="267"/>
      <c r="AV40" s="267"/>
      <c r="AW40" s="267"/>
    </row>
    <row r="41" spans="1:50">
      <c r="AP41" s="267"/>
      <c r="AQ41" s="267"/>
      <c r="AR41" s="267"/>
      <c r="AS41" s="267"/>
      <c r="AT41" s="267"/>
      <c r="AU41" s="267"/>
      <c r="AV41" s="267"/>
      <c r="AW41" s="267"/>
    </row>
    <row r="43" spans="1:50">
      <c r="AG43" s="67" t="s">
        <v>96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46"/>
  <sheetViews>
    <sheetView zoomScale="60" zoomScaleNormal="60" workbookViewId="0">
      <pane xSplit="1" topLeftCell="AE22" activePane="topRight" state="frozen"/>
      <selection pane="topRight" activeCell="A27" sqref="A27:XFD27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6.85546875" style="19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8" bestFit="1" customWidth="1"/>
    <col min="38" max="38" width="7" bestFit="1" customWidth="1"/>
    <col min="39" max="39" width="8.7109375" customWidth="1"/>
    <col min="40" max="40" width="8.5703125" style="198" customWidth="1"/>
    <col min="41" max="41" width="11.42578125" customWidth="1"/>
    <col min="42" max="42" width="7" style="21" customWidth="1"/>
    <col min="43" max="43" width="10.7109375" bestFit="1" customWidth="1"/>
    <col min="44" max="44" width="11.5703125" bestFit="1" customWidth="1"/>
    <col min="45" max="45" width="12.42578125" style="1" customWidth="1"/>
    <col min="46" max="46" width="12.28515625" bestFit="1" customWidth="1"/>
    <col min="47" max="47" width="11.28515625" bestFit="1" customWidth="1"/>
    <col min="48" max="48" width="9.28515625" style="26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09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21"/>
      <c r="AO1" s="8"/>
      <c r="AP1" s="28"/>
    </row>
    <row r="2" spans="1:63">
      <c r="B2" s="7" t="s">
        <v>97</v>
      </c>
      <c r="C2" s="7"/>
      <c r="D2" s="7" t="s">
        <v>98</v>
      </c>
      <c r="E2" s="7"/>
      <c r="F2" s="7" t="s">
        <v>99</v>
      </c>
      <c r="G2" s="7"/>
      <c r="H2" s="7" t="s">
        <v>100</v>
      </c>
      <c r="I2" s="7"/>
      <c r="J2" s="7" t="s">
        <v>101</v>
      </c>
      <c r="K2" s="7"/>
      <c r="L2" s="7" t="s">
        <v>102</v>
      </c>
      <c r="M2" s="7"/>
      <c r="N2" s="7" t="s">
        <v>103</v>
      </c>
      <c r="O2" s="7"/>
      <c r="P2" s="7" t="s">
        <v>104</v>
      </c>
      <c r="Q2" s="7"/>
      <c r="R2" s="7" t="s">
        <v>105</v>
      </c>
      <c r="T2" s="7" t="s">
        <v>106</v>
      </c>
      <c r="V2" s="7" t="s">
        <v>107</v>
      </c>
      <c r="W2" s="7"/>
      <c r="X2" s="209"/>
      <c r="Y2" s="7"/>
      <c r="Z2" s="8" t="s">
        <v>97</v>
      </c>
      <c r="AA2" s="8"/>
      <c r="AB2" s="8" t="s">
        <v>98</v>
      </c>
      <c r="AC2" s="8"/>
      <c r="AD2" s="8" t="s">
        <v>99</v>
      </c>
      <c r="AE2" s="8"/>
      <c r="AF2" s="8" t="s">
        <v>100</v>
      </c>
      <c r="AG2" s="8"/>
      <c r="AH2" s="8" t="s">
        <v>101</v>
      </c>
      <c r="AI2" s="8"/>
      <c r="AJ2" s="8" t="s">
        <v>102</v>
      </c>
      <c r="AK2" s="8"/>
      <c r="AL2" s="8" t="s">
        <v>103</v>
      </c>
      <c r="AM2" s="8"/>
      <c r="AN2" s="421"/>
      <c r="AO2" s="8"/>
      <c r="AP2" s="29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2">
        <f>SUM(B3:V3)</f>
        <v>73370</v>
      </c>
      <c r="X3" s="33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0">
        <f>SUM(Z3:AL3)</f>
        <v>19600</v>
      </c>
      <c r="AN3" s="31"/>
      <c r="AO3" s="8">
        <f>SUM(AM3+W3)</f>
        <v>92970</v>
      </c>
      <c r="AP3" s="29"/>
      <c r="AQ3" s="27"/>
      <c r="AR3" s="546" t="s">
        <v>108</v>
      </c>
      <c r="AS3" s="546" t="s">
        <v>109</v>
      </c>
      <c r="AT3" s="544" t="s">
        <v>110</v>
      </c>
      <c r="AU3" s="545"/>
      <c r="AV3" s="261"/>
      <c r="AW3" s="3"/>
      <c r="AX3" s="3"/>
      <c r="AY3" s="3"/>
      <c r="AZ3" s="3"/>
      <c r="BA3" s="3"/>
      <c r="BB3" s="3"/>
      <c r="BC3" s="3"/>
      <c r="BD3" s="3"/>
      <c r="BE3" s="13" t="s">
        <v>111</v>
      </c>
      <c r="BF3" s="13" t="s">
        <v>112</v>
      </c>
      <c r="BG3" s="13" t="s">
        <v>113</v>
      </c>
      <c r="BH3" s="12" t="s">
        <v>114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3"/>
      <c r="X4" s="33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1"/>
      <c r="AN4" s="31"/>
      <c r="AO4" s="8"/>
      <c r="AP4" s="29"/>
      <c r="AQ4" s="27"/>
      <c r="AR4" s="547"/>
      <c r="AS4" s="547"/>
      <c r="AT4" s="3" t="s">
        <v>71</v>
      </c>
      <c r="AU4" s="3" t="s">
        <v>115</v>
      </c>
      <c r="AV4" s="262"/>
      <c r="AW4" s="3" t="s">
        <v>116</v>
      </c>
      <c r="AX4" s="3" t="s">
        <v>117</v>
      </c>
      <c r="AY4" s="3"/>
      <c r="AZ4" s="93" t="s">
        <v>118</v>
      </c>
      <c r="BA4" s="93" t="s">
        <v>119</v>
      </c>
      <c r="BB4" s="93" t="s">
        <v>120</v>
      </c>
      <c r="BC4" s="3"/>
      <c r="BD4" s="3"/>
      <c r="BE4" s="13"/>
      <c r="BF4" s="13"/>
      <c r="BG4" s="13"/>
      <c r="BH4" s="11"/>
    </row>
    <row r="5" spans="1:63">
      <c r="A5" s="379">
        <v>44926</v>
      </c>
      <c r="B5" s="440">
        <f>'B5'!B4</f>
        <v>218</v>
      </c>
      <c r="C5" s="192">
        <f>B5*$B$4</f>
        <v>4690.5161290322576</v>
      </c>
      <c r="D5">
        <f>SUM(B5)</f>
        <v>218</v>
      </c>
      <c r="E5" s="192">
        <f>D5*$B$4</f>
        <v>4690.5161290322576</v>
      </c>
      <c r="F5">
        <f>SUM(D5)</f>
        <v>218</v>
      </c>
      <c r="G5" s="192">
        <f t="shared" ref="G5" si="1">F5*$B$4</f>
        <v>4690.5161290322576</v>
      </c>
      <c r="H5" s="192">
        <f>SUM(F5)</f>
        <v>218</v>
      </c>
      <c r="I5" s="192">
        <f t="shared" ref="I5" si="2">H5*$B$4</f>
        <v>4690.5161290322576</v>
      </c>
      <c r="J5" s="192">
        <f>SUM(H5)</f>
        <v>218</v>
      </c>
      <c r="K5" s="192">
        <f t="shared" ref="K5" si="3">J5*$B$4</f>
        <v>4690.5161290322576</v>
      </c>
      <c r="L5" s="192">
        <f>SUM(J5)</f>
        <v>218</v>
      </c>
      <c r="M5" s="192">
        <f t="shared" ref="M5" si="4">L5*$B$4</f>
        <v>4690.5161290322576</v>
      </c>
      <c r="N5" s="192">
        <f>SUM(L5)</f>
        <v>218</v>
      </c>
      <c r="O5" s="192">
        <f t="shared" ref="O5" si="5">N5*$B$4</f>
        <v>4690.5161290322576</v>
      </c>
      <c r="P5" s="192">
        <f>SUM(N5)</f>
        <v>218</v>
      </c>
      <c r="Q5" s="192">
        <f t="shared" ref="Q5" si="6">P5*$B$4</f>
        <v>4690.5161290322576</v>
      </c>
      <c r="R5" s="192">
        <f>SUM(P5)</f>
        <v>218</v>
      </c>
      <c r="S5" s="192">
        <f t="shared" ref="S5" si="7">R5*$B$4</f>
        <v>4690.5161290322576</v>
      </c>
      <c r="T5" s="192">
        <f>SUM(R5)</f>
        <v>218</v>
      </c>
      <c r="U5" s="192">
        <f t="shared" ref="U5" si="8">T5*$B$4</f>
        <v>4690.5161290322576</v>
      </c>
      <c r="V5" s="192">
        <f>SUM(T5)</f>
        <v>218</v>
      </c>
      <c r="W5" s="192">
        <f t="shared" ref="W5" si="9">V5*$B$4</f>
        <v>4690.5161290322576</v>
      </c>
      <c r="X5" s="34">
        <f>SUM(Y5/73370)</f>
        <v>0.70322580645161281</v>
      </c>
      <c r="Y5" s="35">
        <f>SUM(C5+E5+G5+I5+K5+M5+O5+Q5+S5+U5+W5)</f>
        <v>51595.677419354834</v>
      </c>
      <c r="Z5" s="440">
        <f>'B5'!C4</f>
        <v>224</v>
      </c>
      <c r="AA5" s="192">
        <f>SUM(Z5*$Z$4)</f>
        <v>2240</v>
      </c>
      <c r="AB5" s="192">
        <f>SUM(Z5)</f>
        <v>224</v>
      </c>
      <c r="AC5" s="192">
        <f>SUM(AB5*$Z$4)</f>
        <v>2240</v>
      </c>
      <c r="AD5" s="192">
        <f>SUM(AB5)</f>
        <v>224</v>
      </c>
      <c r="AE5" s="192">
        <f t="shared" ref="AE5" si="10">SUM(AD5*$Z$4)</f>
        <v>2240</v>
      </c>
      <c r="AF5" s="192">
        <f>SUM(AD5)</f>
        <v>224</v>
      </c>
      <c r="AG5" s="192">
        <f t="shared" ref="AG5" si="11">SUM(AF5*$Z$4)</f>
        <v>2240</v>
      </c>
      <c r="AH5" s="192">
        <f>SUM(AF5)</f>
        <v>224</v>
      </c>
      <c r="AI5" s="192">
        <f t="shared" ref="AI5" si="12">SUM(AH5*$Z$4)</f>
        <v>2240</v>
      </c>
      <c r="AJ5" s="192">
        <f>SUM(AH5)</f>
        <v>224</v>
      </c>
      <c r="AK5" s="192">
        <f t="shared" ref="AK5" si="13">SUM(AJ5*$Z$4)</f>
        <v>2240</v>
      </c>
      <c r="AL5" s="192">
        <f>SUM(AJ5)</f>
        <v>224</v>
      </c>
      <c r="AM5" s="192">
        <f t="shared" ref="AM5" si="14">SUM(AL5*$Z$4)</f>
        <v>2240</v>
      </c>
      <c r="AN5" s="34">
        <f t="shared" ref="AN5" si="15">SUM(AO5/19600)</f>
        <v>0.8</v>
      </c>
      <c r="AO5" s="35">
        <f>SUM(AA5+AC5+AE5+AG5+AI5+AK5+AM5)</f>
        <v>15680</v>
      </c>
      <c r="AP5" s="440"/>
      <c r="AQ5" s="208">
        <f>SUM(AR5/92970)</f>
        <v>0.7236278091788193</v>
      </c>
      <c r="AR5" s="525">
        <f>AO5+Y5</f>
        <v>67275.677419354834</v>
      </c>
      <c r="AS5" s="525">
        <v>0</v>
      </c>
      <c r="AT5" s="525">
        <v>0</v>
      </c>
      <c r="AU5" s="525">
        <v>0</v>
      </c>
      <c r="AV5" s="525">
        <v>0</v>
      </c>
      <c r="AW5" s="525">
        <v>0</v>
      </c>
      <c r="AX5" s="525">
        <v>0</v>
      </c>
      <c r="AY5" s="525">
        <v>0</v>
      </c>
      <c r="AZ5" s="424">
        <f>[2]tanks!AZ35</f>
        <v>0</v>
      </c>
      <c r="BA5" s="525">
        <f>[2]tanks!BA35</f>
        <v>19.5</v>
      </c>
      <c r="BB5" s="424">
        <f>[2]tanks!BB35</f>
        <v>0.76</v>
      </c>
      <c r="BC5" s="525">
        <f>[2]tanks!BC35</f>
        <v>1</v>
      </c>
      <c r="BD5" s="525">
        <f>[2]tanks!BD35</f>
        <v>19224</v>
      </c>
      <c r="BE5" s="525" t="e">
        <f>[2]tanks!BE35</f>
        <v>#REF!</v>
      </c>
      <c r="BF5" s="525">
        <f>[2]tanks!BF35</f>
        <v>0</v>
      </c>
      <c r="BG5" s="525" t="e">
        <f>[2]tanks!BG35</f>
        <v>#REF!</v>
      </c>
      <c r="BH5" s="525">
        <f>[2]tanks!BH35</f>
        <v>0</v>
      </c>
      <c r="BI5" s="525">
        <f>[2]tanks!BI35</f>
        <v>22</v>
      </c>
      <c r="BJ5" s="525">
        <f>[2]tanks!BJ35</f>
        <v>8.714076246335356</v>
      </c>
      <c r="BK5" s="525">
        <f>[2]tanks!BK35</f>
        <v>0.16013392857140779</v>
      </c>
    </row>
    <row r="6" spans="1:63">
      <c r="A6" s="379">
        <f>ELEC!C4</f>
        <v>44927</v>
      </c>
      <c r="B6" s="440">
        <f>'B5'!B5</f>
        <v>218</v>
      </c>
      <c r="C6" s="192">
        <f>B6*$B$4</f>
        <v>4690.5161290322576</v>
      </c>
      <c r="D6">
        <f>SUM(B6)</f>
        <v>218</v>
      </c>
      <c r="E6" s="192">
        <f>D6*$B$4</f>
        <v>4690.5161290322576</v>
      </c>
      <c r="F6">
        <f>SUM(D6)</f>
        <v>218</v>
      </c>
      <c r="G6" s="192">
        <f t="shared" ref="G6:G33" si="16">F6*$B$4</f>
        <v>4690.5161290322576</v>
      </c>
      <c r="H6" s="192">
        <f>SUM(F6)</f>
        <v>218</v>
      </c>
      <c r="I6" s="192">
        <f t="shared" ref="I6:I33" si="17">H6*$B$4</f>
        <v>4690.5161290322576</v>
      </c>
      <c r="J6" s="192">
        <f>SUM(H6)</f>
        <v>218</v>
      </c>
      <c r="K6" s="192">
        <f t="shared" ref="K6:K33" si="18">J6*$B$4</f>
        <v>4690.5161290322576</v>
      </c>
      <c r="L6" s="192">
        <f>SUM(J6)</f>
        <v>218</v>
      </c>
      <c r="M6" s="192">
        <f t="shared" ref="M6:M33" si="19">L6*$B$4</f>
        <v>4690.5161290322576</v>
      </c>
      <c r="N6" s="192">
        <f>SUM(L6)</f>
        <v>218</v>
      </c>
      <c r="O6" s="192">
        <f t="shared" ref="O6:O33" si="20">N6*$B$4</f>
        <v>4690.5161290322576</v>
      </c>
      <c r="P6" s="192">
        <f>SUM(N6)</f>
        <v>218</v>
      </c>
      <c r="Q6" s="192">
        <f t="shared" ref="Q6:Q33" si="21">P6*$B$4</f>
        <v>4690.5161290322576</v>
      </c>
      <c r="R6" s="192">
        <f>SUM(P6)</f>
        <v>218</v>
      </c>
      <c r="S6" s="192">
        <f t="shared" ref="S6:S33" si="22">R6*$B$4</f>
        <v>4690.5161290322576</v>
      </c>
      <c r="T6" s="192">
        <f>SUM(R6)</f>
        <v>218</v>
      </c>
      <c r="U6" s="192">
        <f t="shared" ref="U6:U33" si="23">T6*$B$4</f>
        <v>4690.5161290322576</v>
      </c>
      <c r="V6" s="192">
        <f>SUM(T6)</f>
        <v>218</v>
      </c>
      <c r="W6" s="192">
        <f t="shared" ref="W6:W33" si="24">V6*$B$4</f>
        <v>4690.5161290322576</v>
      </c>
      <c r="X6" s="34">
        <f>SUM(Y6/73370)</f>
        <v>0.70322580645161281</v>
      </c>
      <c r="Y6" s="35">
        <f>SUM(C6+E6+G6+I6+K6+M6+O6+Q6+S6+U6+W6)</f>
        <v>51595.677419354834</v>
      </c>
      <c r="Z6" s="440">
        <f>'B5'!C5</f>
        <v>224</v>
      </c>
      <c r="AA6" s="192">
        <f>SUM(Z6*$Z$4)</f>
        <v>2240</v>
      </c>
      <c r="AB6" s="192">
        <f>SUM(Z6)</f>
        <v>224</v>
      </c>
      <c r="AC6" s="192">
        <f>SUM(AB6*$Z$4)</f>
        <v>2240</v>
      </c>
      <c r="AD6" s="192">
        <f>SUM(AB6)</f>
        <v>224</v>
      </c>
      <c r="AE6" s="192">
        <f t="shared" ref="AE6:AE33" si="25">SUM(AD6*$Z$4)</f>
        <v>2240</v>
      </c>
      <c r="AF6" s="192">
        <f>SUM(AD6)</f>
        <v>224</v>
      </c>
      <c r="AG6" s="192">
        <f t="shared" ref="AG6:AG33" si="26">SUM(AF6*$Z$4)</f>
        <v>2240</v>
      </c>
      <c r="AH6" s="192">
        <f>SUM(AF6)</f>
        <v>224</v>
      </c>
      <c r="AI6" s="192">
        <f t="shared" ref="AI6:AI33" si="27">SUM(AH6*$Z$4)</f>
        <v>2240</v>
      </c>
      <c r="AJ6" s="192">
        <f>SUM(AH6)</f>
        <v>224</v>
      </c>
      <c r="AK6" s="192">
        <f t="shared" ref="AK6:AK33" si="28">SUM(AJ6*$Z$4)</f>
        <v>2240</v>
      </c>
      <c r="AL6" s="192">
        <f>SUM(AJ6)</f>
        <v>224</v>
      </c>
      <c r="AM6" s="192">
        <f t="shared" ref="AM6:AM33" si="29">SUM(AL6*$Z$4)</f>
        <v>2240</v>
      </c>
      <c r="AN6" s="34">
        <f t="shared" ref="AN6:AN29" si="30">SUM(AO6/19600)</f>
        <v>0.8</v>
      </c>
      <c r="AO6" s="35">
        <f>SUM(AA6+AC6+AE6+AG6+AI6+AK6+AM6)</f>
        <v>15680</v>
      </c>
      <c r="AQ6" s="208">
        <f>SUM(AR6/92970)</f>
        <v>0.7236278091788193</v>
      </c>
      <c r="AR6" s="37">
        <f>Y6+AO6</f>
        <v>67275.677419354834</v>
      </c>
      <c r="AS6" s="186">
        <f>SUM(AR6-AR5-AT6)</f>
        <v>0</v>
      </c>
      <c r="AT6" s="303"/>
      <c r="AU6" s="475"/>
      <c r="AV6" s="432">
        <f>IF(AT6&gt;0,AU6,AV5)</f>
        <v>0</v>
      </c>
      <c r="AW6" s="251">
        <f>-SUM('B5'!AI5)</f>
        <v>0</v>
      </c>
      <c r="AX6" s="251">
        <f t="shared" ref="AX6:AX33" si="31">-SUM(AW6-AS6)</f>
        <v>0</v>
      </c>
      <c r="AY6" s="36">
        <f>SUM(AX6+AW6)</f>
        <v>0</v>
      </c>
      <c r="AZ6" s="96">
        <f>ELEC!A4</f>
        <v>0</v>
      </c>
      <c r="BA6" s="114">
        <f>'General information '!D5</f>
        <v>16</v>
      </c>
      <c r="BB6" s="193">
        <f>SUM('General information '!E5)</f>
        <v>0.69</v>
      </c>
      <c r="BC6" s="3">
        <f>IF(AR3&gt;=AR6,0,1)</f>
        <v>0</v>
      </c>
      <c r="BD6" s="98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469"/>
    </row>
    <row r="7" spans="1:63">
      <c r="A7" s="379">
        <f>ELEC!C5</f>
        <v>44928</v>
      </c>
      <c r="B7" s="440">
        <f>'B5'!B6</f>
        <v>218</v>
      </c>
      <c r="C7" s="192">
        <f t="shared" ref="C7:E33" si="32">B7*$B$4</f>
        <v>4690.5161290322576</v>
      </c>
      <c r="D7">
        <f t="shared" ref="D7:D29" si="33">SUM(B7)</f>
        <v>218</v>
      </c>
      <c r="E7" s="192">
        <f t="shared" si="32"/>
        <v>4690.5161290322576</v>
      </c>
      <c r="F7">
        <f t="shared" ref="F7:F29" si="34">SUM(D7)</f>
        <v>218</v>
      </c>
      <c r="G7" s="192">
        <f t="shared" si="16"/>
        <v>4690.5161290322576</v>
      </c>
      <c r="H7" s="192">
        <f t="shared" ref="H7:H29" si="35">SUM(F7)</f>
        <v>218</v>
      </c>
      <c r="I7" s="192">
        <f t="shared" si="17"/>
        <v>4690.5161290322576</v>
      </c>
      <c r="J7" s="192">
        <f t="shared" ref="J7:J29" si="36">SUM(H7)</f>
        <v>218</v>
      </c>
      <c r="K7" s="192">
        <f t="shared" si="18"/>
        <v>4690.5161290322576</v>
      </c>
      <c r="L7" s="192">
        <f t="shared" ref="L7:L29" si="37">SUM(J7)</f>
        <v>218</v>
      </c>
      <c r="M7" s="192">
        <f t="shared" si="19"/>
        <v>4690.5161290322576</v>
      </c>
      <c r="N7" s="192">
        <f t="shared" ref="N7:N29" si="38">SUM(L7)</f>
        <v>218</v>
      </c>
      <c r="O7" s="192">
        <f t="shared" si="20"/>
        <v>4690.5161290322576</v>
      </c>
      <c r="P7" s="192">
        <f t="shared" ref="P7:P29" si="39">SUM(N7)</f>
        <v>218</v>
      </c>
      <c r="Q7" s="192">
        <f t="shared" si="21"/>
        <v>4690.5161290322576</v>
      </c>
      <c r="R7" s="192">
        <f t="shared" ref="R7:R29" si="40">SUM(P7)</f>
        <v>218</v>
      </c>
      <c r="S7" s="192">
        <f t="shared" si="22"/>
        <v>4690.5161290322576</v>
      </c>
      <c r="T7" s="192">
        <f t="shared" ref="T7:T29" si="41">SUM(R7)</f>
        <v>218</v>
      </c>
      <c r="U7" s="192">
        <f t="shared" si="23"/>
        <v>4690.5161290322576</v>
      </c>
      <c r="V7" s="192">
        <f t="shared" ref="V7:V29" si="42">SUM(T7)</f>
        <v>218</v>
      </c>
      <c r="W7" s="192">
        <f t="shared" si="24"/>
        <v>4690.5161290322576</v>
      </c>
      <c r="X7" s="34">
        <f t="shared" ref="X7:X29" si="43">SUM(Y7/73370)</f>
        <v>0.70322580645161281</v>
      </c>
      <c r="Y7" s="35">
        <f t="shared" ref="Y7:Y29" si="44">SUM(C7+E7+G7+I7+K7+M7+O7+Q7+S7+U7+W7)</f>
        <v>51595.677419354834</v>
      </c>
      <c r="Z7" s="440">
        <f>'B5'!C6</f>
        <v>224</v>
      </c>
      <c r="AA7" s="192">
        <f t="shared" ref="AA7:AC33" si="45">SUM(Z7*$Z$4)</f>
        <v>2240</v>
      </c>
      <c r="AB7" s="192">
        <f t="shared" ref="AB7:AB29" si="46">SUM(Z7)</f>
        <v>224</v>
      </c>
      <c r="AC7" s="192">
        <f t="shared" si="45"/>
        <v>2240</v>
      </c>
      <c r="AD7" s="192">
        <f t="shared" ref="AD7:AD29" si="47">SUM(AB7)</f>
        <v>224</v>
      </c>
      <c r="AE7" s="192">
        <f t="shared" si="25"/>
        <v>2240</v>
      </c>
      <c r="AF7" s="192">
        <f t="shared" ref="AF7:AF29" si="48">SUM(AD7)</f>
        <v>224</v>
      </c>
      <c r="AG7" s="192">
        <f t="shared" si="26"/>
        <v>2240</v>
      </c>
      <c r="AH7" s="192">
        <f t="shared" ref="AH7:AH29" si="49">SUM(AF7)</f>
        <v>224</v>
      </c>
      <c r="AI7" s="192">
        <f t="shared" si="27"/>
        <v>2240</v>
      </c>
      <c r="AJ7" s="192">
        <f t="shared" ref="AJ7:AJ29" si="50">SUM(AH7)</f>
        <v>224</v>
      </c>
      <c r="AK7" s="192">
        <f t="shared" si="28"/>
        <v>2240</v>
      </c>
      <c r="AL7" s="192">
        <f t="shared" ref="AL7:AL29" si="51">SUM(AJ7)</f>
        <v>224</v>
      </c>
      <c r="AM7" s="192">
        <f t="shared" si="29"/>
        <v>2240</v>
      </c>
      <c r="AN7" s="34">
        <f>SUM(AO7/19600)</f>
        <v>0.8</v>
      </c>
      <c r="AO7" s="35">
        <f>SUM(AA7+AC7+AE7+AG7+AI7+AK7+AM7)</f>
        <v>15680</v>
      </c>
      <c r="AQ7" s="208">
        <f>SUM(AR7/92970)</f>
        <v>0.7236278091788193</v>
      </c>
      <c r="AR7" s="37">
        <f>Y7+AO7</f>
        <v>67275.677419354834</v>
      </c>
      <c r="AS7" s="186">
        <f>SUM(AR7-AR6-AT7)</f>
        <v>0</v>
      </c>
      <c r="AT7" s="303"/>
      <c r="AU7" s="475"/>
      <c r="AV7" s="432">
        <f>IF(AT7&gt;0,AU7,AV6)</f>
        <v>0</v>
      </c>
      <c r="AW7" s="251">
        <f>-SUM('B5'!AI6)</f>
        <v>0</v>
      </c>
      <c r="AX7" s="251">
        <f t="shared" si="31"/>
        <v>0</v>
      </c>
      <c r="AY7" s="36">
        <f t="shared" ref="AY7:AY33" si="52">SUM(AX7+AW7)</f>
        <v>0</v>
      </c>
      <c r="AZ7" s="96">
        <f>ELEC!A5</f>
        <v>0</v>
      </c>
      <c r="BA7" s="114">
        <f>'General information '!D6</f>
        <v>17</v>
      </c>
      <c r="BB7" s="193">
        <f>SUM('General information '!E6)</f>
        <v>0.69</v>
      </c>
      <c r="BC7" s="3">
        <v>0</v>
      </c>
      <c r="BD7" s="98">
        <v>19222</v>
      </c>
      <c r="BE7" s="14">
        <f>(305/1185)*ELEC!Q6</f>
        <v>879.99578059115186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53">AX7/BI7</f>
        <v>0</v>
      </c>
      <c r="BK7" s="469"/>
    </row>
    <row r="8" spans="1:63">
      <c r="A8" s="379">
        <f>ELEC!C6</f>
        <v>44929</v>
      </c>
      <c r="B8" s="440">
        <f>'B5'!B7</f>
        <v>214</v>
      </c>
      <c r="C8" s="192">
        <f t="shared" si="32"/>
        <v>4604.4516129032254</v>
      </c>
      <c r="D8">
        <f t="shared" si="33"/>
        <v>214</v>
      </c>
      <c r="E8" s="192">
        <f t="shared" si="32"/>
        <v>4604.4516129032254</v>
      </c>
      <c r="F8">
        <f t="shared" si="34"/>
        <v>214</v>
      </c>
      <c r="G8" s="192">
        <f t="shared" si="16"/>
        <v>4604.4516129032254</v>
      </c>
      <c r="H8" s="192">
        <f t="shared" si="35"/>
        <v>214</v>
      </c>
      <c r="I8" s="192">
        <f t="shared" si="17"/>
        <v>4604.4516129032254</v>
      </c>
      <c r="J8" s="192">
        <f t="shared" si="36"/>
        <v>214</v>
      </c>
      <c r="K8" s="192">
        <f t="shared" si="18"/>
        <v>4604.4516129032254</v>
      </c>
      <c r="L8" s="192">
        <f t="shared" si="37"/>
        <v>214</v>
      </c>
      <c r="M8" s="192">
        <f t="shared" si="19"/>
        <v>4604.4516129032254</v>
      </c>
      <c r="N8" s="192">
        <f t="shared" si="38"/>
        <v>214</v>
      </c>
      <c r="O8" s="192">
        <f t="shared" si="20"/>
        <v>4604.4516129032254</v>
      </c>
      <c r="P8" s="192">
        <f t="shared" si="39"/>
        <v>214</v>
      </c>
      <c r="Q8" s="192">
        <f t="shared" si="21"/>
        <v>4604.4516129032254</v>
      </c>
      <c r="R8" s="192">
        <f t="shared" si="40"/>
        <v>214</v>
      </c>
      <c r="S8" s="192">
        <f t="shared" si="22"/>
        <v>4604.4516129032254</v>
      </c>
      <c r="T8" s="192">
        <f t="shared" si="41"/>
        <v>214</v>
      </c>
      <c r="U8" s="192">
        <f t="shared" si="23"/>
        <v>4604.4516129032254</v>
      </c>
      <c r="V8" s="192">
        <f t="shared" si="42"/>
        <v>214</v>
      </c>
      <c r="W8" s="192">
        <f t="shared" si="24"/>
        <v>4604.4516129032254</v>
      </c>
      <c r="X8" s="34">
        <f t="shared" si="43"/>
        <v>0.69032258064516139</v>
      </c>
      <c r="Y8" s="35">
        <f t="shared" si="44"/>
        <v>50648.967741935492</v>
      </c>
      <c r="Z8" s="440">
        <f>'B5'!C7</f>
        <v>221</v>
      </c>
      <c r="AA8" s="192">
        <f t="shared" si="45"/>
        <v>2210</v>
      </c>
      <c r="AB8" s="192">
        <f t="shared" si="46"/>
        <v>221</v>
      </c>
      <c r="AC8" s="192">
        <f t="shared" si="45"/>
        <v>2210</v>
      </c>
      <c r="AD8" s="192">
        <f t="shared" si="47"/>
        <v>221</v>
      </c>
      <c r="AE8" s="192">
        <f t="shared" si="25"/>
        <v>2210</v>
      </c>
      <c r="AF8" s="192">
        <f t="shared" si="48"/>
        <v>221</v>
      </c>
      <c r="AG8" s="192">
        <f t="shared" si="26"/>
        <v>2210</v>
      </c>
      <c r="AH8" s="192">
        <f t="shared" si="49"/>
        <v>221</v>
      </c>
      <c r="AI8" s="192">
        <f t="shared" si="27"/>
        <v>2210</v>
      </c>
      <c r="AJ8" s="192">
        <f t="shared" si="50"/>
        <v>221</v>
      </c>
      <c r="AK8" s="192">
        <f t="shared" si="28"/>
        <v>2210</v>
      </c>
      <c r="AL8" s="192">
        <f t="shared" si="51"/>
        <v>221</v>
      </c>
      <c r="AM8" s="192">
        <f t="shared" si="29"/>
        <v>2210</v>
      </c>
      <c r="AN8" s="34">
        <f t="shared" si="30"/>
        <v>0.78928571428571426</v>
      </c>
      <c r="AO8" s="35">
        <f t="shared" ref="AO8:AO29" si="54">SUM(AA8+AC8+AE8+AG8+AI8+AK8+AM8)</f>
        <v>15470</v>
      </c>
      <c r="AQ8" s="208">
        <f t="shared" ref="AQ8:AQ33" si="55">SUM(AR8/92970)</f>
        <v>0.71118605724357842</v>
      </c>
      <c r="AR8" s="37">
        <f t="shared" ref="AR8:AR36" si="56">Y8+AO8</f>
        <v>66118.967741935485</v>
      </c>
      <c r="AS8" s="186">
        <f t="shared" ref="AS8:AS20" si="57">SUM(AR8-AR7-AT8)</f>
        <v>-1156.7096774193487</v>
      </c>
      <c r="AT8" s="303"/>
      <c r="AU8" s="475"/>
      <c r="AV8" s="432">
        <f t="shared" ref="AV8:AV14" si="58">IF(AT8&gt;0,AU8,AV7)</f>
        <v>0</v>
      </c>
      <c r="AW8" s="251">
        <f>-SUM('B5'!AI7)</f>
        <v>-84</v>
      </c>
      <c r="AX8" s="251">
        <f t="shared" si="31"/>
        <v>-1072.7096774193487</v>
      </c>
      <c r="AY8" s="36">
        <f t="shared" si="52"/>
        <v>-1156.7096774193487</v>
      </c>
      <c r="AZ8" s="96">
        <f>ELEC!A6</f>
        <v>0</v>
      </c>
      <c r="BA8" s="114">
        <f>'General information '!D7</f>
        <v>19</v>
      </c>
      <c r="BB8" s="193">
        <f>SUM('General information '!E7)</f>
        <v>0.69</v>
      </c>
      <c r="BC8" s="3">
        <f t="shared" ref="BC8:BC33" si="59">IF(AR7&gt;=AR8,0,1)</f>
        <v>0</v>
      </c>
      <c r="BD8" s="98">
        <v>19222</v>
      </c>
      <c r="BE8" s="14">
        <f>(305/1185)*ELEC!Q7</f>
        <v>704.45991561206904</v>
      </c>
      <c r="BF8" s="14"/>
      <c r="BG8" s="14" t="e">
        <f>#REF!-BE8</f>
        <v>#REF!</v>
      </c>
      <c r="BH8" s="11">
        <v>16</v>
      </c>
      <c r="BI8">
        <v>9</v>
      </c>
      <c r="BJ8">
        <f t="shared" si="53"/>
        <v>-119.18996415770542</v>
      </c>
      <c r="BK8" s="469">
        <f>GEN!AF5</f>
        <v>0.2136875000001055</v>
      </c>
    </row>
    <row r="9" spans="1:63">
      <c r="A9" s="379">
        <f>ELEC!C7</f>
        <v>44930</v>
      </c>
      <c r="B9" s="440">
        <f>'B5'!B8</f>
        <v>239</v>
      </c>
      <c r="C9" s="192">
        <f t="shared" si="32"/>
        <v>5142.3548387096771</v>
      </c>
      <c r="D9">
        <f t="shared" si="33"/>
        <v>239</v>
      </c>
      <c r="E9" s="192">
        <f t="shared" si="32"/>
        <v>5142.3548387096771</v>
      </c>
      <c r="F9">
        <f t="shared" si="34"/>
        <v>239</v>
      </c>
      <c r="G9" s="192">
        <f t="shared" si="16"/>
        <v>5142.3548387096771</v>
      </c>
      <c r="H9" s="192">
        <f t="shared" si="35"/>
        <v>239</v>
      </c>
      <c r="I9" s="192">
        <f t="shared" si="17"/>
        <v>5142.3548387096771</v>
      </c>
      <c r="J9" s="192">
        <f t="shared" si="36"/>
        <v>239</v>
      </c>
      <c r="K9" s="192">
        <f t="shared" si="18"/>
        <v>5142.3548387096771</v>
      </c>
      <c r="L9" s="192">
        <f t="shared" si="37"/>
        <v>239</v>
      </c>
      <c r="M9" s="192">
        <f t="shared" si="19"/>
        <v>5142.3548387096771</v>
      </c>
      <c r="N9" s="192">
        <f t="shared" si="38"/>
        <v>239</v>
      </c>
      <c r="O9" s="192">
        <f t="shared" si="20"/>
        <v>5142.3548387096771</v>
      </c>
      <c r="P9" s="192">
        <f t="shared" si="39"/>
        <v>239</v>
      </c>
      <c r="Q9" s="192">
        <f t="shared" si="21"/>
        <v>5142.3548387096771</v>
      </c>
      <c r="R9" s="192">
        <f t="shared" si="40"/>
        <v>239</v>
      </c>
      <c r="S9" s="192">
        <f t="shared" si="22"/>
        <v>5142.3548387096771</v>
      </c>
      <c r="T9" s="192">
        <f t="shared" si="41"/>
        <v>239</v>
      </c>
      <c r="U9" s="192">
        <f t="shared" si="23"/>
        <v>5142.3548387096771</v>
      </c>
      <c r="V9" s="192">
        <f t="shared" si="42"/>
        <v>239</v>
      </c>
      <c r="W9" s="192">
        <f t="shared" si="24"/>
        <v>5142.3548387096771</v>
      </c>
      <c r="X9" s="34">
        <f t="shared" si="43"/>
        <v>0.77096774193548367</v>
      </c>
      <c r="Y9" s="35">
        <f t="shared" si="44"/>
        <v>56565.90322580644</v>
      </c>
      <c r="Z9" s="440">
        <f>'B5'!C8</f>
        <v>242</v>
      </c>
      <c r="AA9" s="192">
        <f t="shared" si="45"/>
        <v>2420</v>
      </c>
      <c r="AB9" s="192">
        <f t="shared" si="46"/>
        <v>242</v>
      </c>
      <c r="AC9" s="192">
        <f t="shared" si="45"/>
        <v>2420</v>
      </c>
      <c r="AD9" s="192">
        <f t="shared" si="47"/>
        <v>242</v>
      </c>
      <c r="AE9" s="192">
        <f t="shared" si="25"/>
        <v>2420</v>
      </c>
      <c r="AF9" s="192">
        <f t="shared" si="48"/>
        <v>242</v>
      </c>
      <c r="AG9" s="192">
        <f t="shared" si="26"/>
        <v>2420</v>
      </c>
      <c r="AH9" s="192">
        <f t="shared" si="49"/>
        <v>242</v>
      </c>
      <c r="AI9" s="192">
        <f t="shared" si="27"/>
        <v>2420</v>
      </c>
      <c r="AJ9" s="192">
        <f t="shared" si="50"/>
        <v>242</v>
      </c>
      <c r="AK9" s="192">
        <f t="shared" si="28"/>
        <v>2420</v>
      </c>
      <c r="AL9" s="192">
        <f t="shared" si="51"/>
        <v>242</v>
      </c>
      <c r="AM9" s="192">
        <f t="shared" si="29"/>
        <v>2420</v>
      </c>
      <c r="AN9" s="34">
        <f t="shared" si="30"/>
        <v>0.86428571428571432</v>
      </c>
      <c r="AO9" s="35">
        <f>SUM(AA9+AC9+AE9+AG9+AI9+AK9+AM9)</f>
        <v>16940</v>
      </c>
      <c r="AQ9" s="208">
        <f t="shared" si="55"/>
        <v>0.79064110170814716</v>
      </c>
      <c r="AR9" s="37">
        <f t="shared" si="56"/>
        <v>73505.90322580644</v>
      </c>
      <c r="AS9" s="186">
        <f>SUM(AR9-AR8-AT9)</f>
        <v>-408.06451612904493</v>
      </c>
      <c r="AT9" s="303">
        <v>7795</v>
      </c>
      <c r="AU9" s="475">
        <v>0.89</v>
      </c>
      <c r="AV9" s="432">
        <f t="shared" si="58"/>
        <v>0.89</v>
      </c>
      <c r="AW9" s="251">
        <f>-SUM('B5'!AI8)</f>
        <v>-297</v>
      </c>
      <c r="AX9" s="251">
        <f t="shared" si="31"/>
        <v>-111.06451612904493</v>
      </c>
      <c r="AY9" s="36">
        <f t="shared" si="52"/>
        <v>-408.06451612904493</v>
      </c>
      <c r="AZ9" s="96">
        <f>ELEC!A7</f>
        <v>0</v>
      </c>
      <c r="BA9" s="114">
        <f>'General information '!D8</f>
        <v>17</v>
      </c>
      <c r="BB9" s="193">
        <f>SUM('General information '!E8)</f>
        <v>0.55000000000000004</v>
      </c>
      <c r="BC9" s="3">
        <f t="shared" si="59"/>
        <v>1</v>
      </c>
      <c r="BD9" s="98">
        <v>19222</v>
      </c>
      <c r="BE9" s="14">
        <f>(305/1185)*ELEC!Q8</f>
        <v>602.79324894435365</v>
      </c>
      <c r="BF9" s="14"/>
      <c r="BG9" s="14" t="e">
        <f>#REF!-BE9</f>
        <v>#REF!</v>
      </c>
      <c r="BH9" s="11">
        <v>18</v>
      </c>
      <c r="BI9">
        <v>6</v>
      </c>
      <c r="BJ9">
        <f t="shared" si="53"/>
        <v>-18.510752688174154</v>
      </c>
      <c r="BK9" s="469">
        <f>GEN!AF6</f>
        <v>0.10062500000003638</v>
      </c>
    </row>
    <row r="10" spans="1:63">
      <c r="A10" s="379">
        <f>ELEC!C8</f>
        <v>44931</v>
      </c>
      <c r="B10" s="440">
        <f>'B5'!B9</f>
        <v>236</v>
      </c>
      <c r="C10" s="192">
        <f t="shared" si="32"/>
        <v>5077.8064516129034</v>
      </c>
      <c r="D10">
        <f t="shared" si="33"/>
        <v>236</v>
      </c>
      <c r="E10" s="192">
        <f t="shared" si="32"/>
        <v>5077.8064516129034</v>
      </c>
      <c r="F10">
        <f t="shared" si="34"/>
        <v>236</v>
      </c>
      <c r="G10" s="192">
        <f t="shared" si="16"/>
        <v>5077.8064516129034</v>
      </c>
      <c r="H10" s="192">
        <f t="shared" si="35"/>
        <v>236</v>
      </c>
      <c r="I10" s="192">
        <f t="shared" si="17"/>
        <v>5077.8064516129034</v>
      </c>
      <c r="J10" s="192">
        <f t="shared" si="36"/>
        <v>236</v>
      </c>
      <c r="K10" s="192">
        <f t="shared" si="18"/>
        <v>5077.8064516129034</v>
      </c>
      <c r="L10" s="192">
        <f t="shared" si="37"/>
        <v>236</v>
      </c>
      <c r="M10" s="192">
        <f t="shared" si="19"/>
        <v>5077.8064516129034</v>
      </c>
      <c r="N10" s="192">
        <f t="shared" si="38"/>
        <v>236</v>
      </c>
      <c r="O10" s="192">
        <f t="shared" si="20"/>
        <v>5077.8064516129034</v>
      </c>
      <c r="P10" s="192">
        <f t="shared" si="39"/>
        <v>236</v>
      </c>
      <c r="Q10" s="192">
        <f t="shared" si="21"/>
        <v>5077.8064516129034</v>
      </c>
      <c r="R10" s="192">
        <f t="shared" si="40"/>
        <v>236</v>
      </c>
      <c r="S10" s="192">
        <f t="shared" si="22"/>
        <v>5077.8064516129034</v>
      </c>
      <c r="T10" s="192">
        <f t="shared" si="41"/>
        <v>236</v>
      </c>
      <c r="U10" s="192">
        <f t="shared" si="23"/>
        <v>5077.8064516129034</v>
      </c>
      <c r="V10" s="192">
        <f t="shared" si="42"/>
        <v>236</v>
      </c>
      <c r="W10" s="192">
        <f t="shared" si="24"/>
        <v>5077.8064516129034</v>
      </c>
      <c r="X10" s="34">
        <f t="shared" si="43"/>
        <v>0.761290322580645</v>
      </c>
      <c r="Y10" s="35">
        <f t="shared" si="44"/>
        <v>55855.870967741925</v>
      </c>
      <c r="Z10" s="440">
        <f>'B5'!C9</f>
        <v>239</v>
      </c>
      <c r="AA10" s="192">
        <f t="shared" si="45"/>
        <v>2390</v>
      </c>
      <c r="AB10" s="192">
        <f t="shared" si="46"/>
        <v>239</v>
      </c>
      <c r="AC10" s="192">
        <f t="shared" si="45"/>
        <v>2390</v>
      </c>
      <c r="AD10" s="192">
        <f t="shared" si="47"/>
        <v>239</v>
      </c>
      <c r="AE10" s="192">
        <f t="shared" si="25"/>
        <v>2390</v>
      </c>
      <c r="AF10" s="192">
        <f t="shared" si="48"/>
        <v>239</v>
      </c>
      <c r="AG10" s="192">
        <f t="shared" si="26"/>
        <v>2390</v>
      </c>
      <c r="AH10" s="192">
        <f t="shared" si="49"/>
        <v>239</v>
      </c>
      <c r="AI10" s="192">
        <f t="shared" si="27"/>
        <v>2390</v>
      </c>
      <c r="AJ10" s="192">
        <f t="shared" si="50"/>
        <v>239</v>
      </c>
      <c r="AK10" s="192">
        <f t="shared" si="28"/>
        <v>2390</v>
      </c>
      <c r="AL10" s="192">
        <f t="shared" si="51"/>
        <v>239</v>
      </c>
      <c r="AM10" s="192">
        <f t="shared" si="29"/>
        <v>2390</v>
      </c>
      <c r="AN10" s="34">
        <f t="shared" si="30"/>
        <v>0.85357142857142854</v>
      </c>
      <c r="AO10" s="35">
        <f t="shared" si="54"/>
        <v>16730</v>
      </c>
      <c r="AQ10" s="208">
        <f t="shared" si="55"/>
        <v>0.78074508946694554</v>
      </c>
      <c r="AR10" s="37">
        <f t="shared" si="56"/>
        <v>72585.870967741925</v>
      </c>
      <c r="AS10" s="186">
        <f>SUM(AR10-AR9-AT10)</f>
        <v>-920.03225806451519</v>
      </c>
      <c r="AT10" s="303"/>
      <c r="AU10" s="475"/>
      <c r="AV10" s="432">
        <f>IF(AT10&gt;0,AU10,AV9)</f>
        <v>0.89</v>
      </c>
      <c r="AW10" s="251">
        <f>-SUM('B5'!AI9)</f>
        <v>-113</v>
      </c>
      <c r="AX10" s="251">
        <f t="shared" si="31"/>
        <v>-807.03225806451519</v>
      </c>
      <c r="AY10" s="36">
        <f t="shared" si="52"/>
        <v>-920.03225806451519</v>
      </c>
      <c r="AZ10" s="96">
        <f>ELEC!A8</f>
        <v>0</v>
      </c>
      <c r="BA10" s="114">
        <f>'General information '!D9</f>
        <v>17</v>
      </c>
      <c r="BB10" s="193">
        <f>SUM('General information '!E9)</f>
        <v>0.64</v>
      </c>
      <c r="BC10" s="3">
        <f t="shared" si="59"/>
        <v>0</v>
      </c>
      <c r="BD10" s="98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53"/>
        <v>-115.29032258064503</v>
      </c>
      <c r="BK10" s="469">
        <f>GEN!AF7</f>
        <v>0.14637499999980719</v>
      </c>
    </row>
    <row r="11" spans="1:63">
      <c r="A11" s="379">
        <f>ELEC!C9</f>
        <v>44932</v>
      </c>
      <c r="B11" s="440">
        <f>'B5'!B10</f>
        <v>233</v>
      </c>
      <c r="C11" s="192">
        <f t="shared" si="32"/>
        <v>5013.2580645161288</v>
      </c>
      <c r="D11">
        <f>SUM(B11)</f>
        <v>233</v>
      </c>
      <c r="E11" s="192">
        <f t="shared" si="32"/>
        <v>5013.2580645161288</v>
      </c>
      <c r="F11">
        <f>SUM(D11)</f>
        <v>233</v>
      </c>
      <c r="G11" s="192">
        <f t="shared" si="16"/>
        <v>5013.2580645161288</v>
      </c>
      <c r="H11" s="192">
        <f>SUM(F11)</f>
        <v>233</v>
      </c>
      <c r="I11" s="192">
        <f t="shared" si="17"/>
        <v>5013.2580645161288</v>
      </c>
      <c r="J11" s="192">
        <f>SUM(H11)</f>
        <v>233</v>
      </c>
      <c r="K11" s="192">
        <f t="shared" si="18"/>
        <v>5013.2580645161288</v>
      </c>
      <c r="L11" s="192">
        <f>SUM(J11)</f>
        <v>233</v>
      </c>
      <c r="M11" s="192">
        <f t="shared" si="19"/>
        <v>5013.2580645161288</v>
      </c>
      <c r="N11" s="192">
        <f>SUM(L11)</f>
        <v>233</v>
      </c>
      <c r="O11" s="192">
        <f t="shared" si="20"/>
        <v>5013.2580645161288</v>
      </c>
      <c r="P11" s="192">
        <f>SUM(N11)</f>
        <v>233</v>
      </c>
      <c r="Q11" s="192">
        <f t="shared" si="21"/>
        <v>5013.2580645161288</v>
      </c>
      <c r="R11" s="192">
        <f>SUM(P11)</f>
        <v>233</v>
      </c>
      <c r="S11" s="192">
        <f t="shared" si="22"/>
        <v>5013.2580645161288</v>
      </c>
      <c r="T11" s="192">
        <f>SUM(R11)</f>
        <v>233</v>
      </c>
      <c r="U11" s="192">
        <f t="shared" si="23"/>
        <v>5013.2580645161288</v>
      </c>
      <c r="V11" s="192">
        <f>SUM(T11)</f>
        <v>233</v>
      </c>
      <c r="W11" s="192">
        <f t="shared" si="24"/>
        <v>5013.2580645161288</v>
      </c>
      <c r="X11" s="34">
        <f>SUM(Y11/73370)</f>
        <v>0.75161290322580643</v>
      </c>
      <c r="Y11" s="35">
        <f>SUM(C11+E11+G11+I11+K11+M11+O11+Q11+S11+U11+W11)</f>
        <v>55145.838709677417</v>
      </c>
      <c r="Z11" s="440">
        <f>'B5'!C10</f>
        <v>239</v>
      </c>
      <c r="AA11" s="192">
        <f t="shared" si="45"/>
        <v>2390</v>
      </c>
      <c r="AB11" s="192">
        <f>SUM(Z11)</f>
        <v>239</v>
      </c>
      <c r="AC11" s="192">
        <f t="shared" si="45"/>
        <v>2390</v>
      </c>
      <c r="AD11" s="192">
        <f>SUM(AB11)</f>
        <v>239</v>
      </c>
      <c r="AE11" s="192">
        <f t="shared" si="25"/>
        <v>2390</v>
      </c>
      <c r="AF11" s="192">
        <f>SUM(AD11)</f>
        <v>239</v>
      </c>
      <c r="AG11" s="192">
        <f t="shared" si="26"/>
        <v>2390</v>
      </c>
      <c r="AH11" s="192">
        <f>SUM(AF11)</f>
        <v>239</v>
      </c>
      <c r="AI11" s="192">
        <f t="shared" si="27"/>
        <v>2390</v>
      </c>
      <c r="AJ11" s="192">
        <f>SUM(AH11)</f>
        <v>239</v>
      </c>
      <c r="AK11" s="192">
        <f t="shared" si="28"/>
        <v>2390</v>
      </c>
      <c r="AL11" s="192">
        <f>SUM(AJ11)</f>
        <v>239</v>
      </c>
      <c r="AM11" s="192">
        <f t="shared" si="29"/>
        <v>2390</v>
      </c>
      <c r="AN11" s="34">
        <f>SUM(AO11/19600)</f>
        <v>0.85357142857142854</v>
      </c>
      <c r="AO11" s="35">
        <f t="shared" si="54"/>
        <v>16730</v>
      </c>
      <c r="AP11" s="458"/>
      <c r="AQ11" s="208">
        <f t="shared" si="55"/>
        <v>0.77310787038482764</v>
      </c>
      <c r="AR11" s="37">
        <f>Y11+AO11</f>
        <v>71875.838709677424</v>
      </c>
      <c r="AS11" s="186">
        <f t="shared" si="57"/>
        <v>-710.03225806450064</v>
      </c>
      <c r="AT11" s="303"/>
      <c r="AU11" s="475"/>
      <c r="AV11" s="432">
        <f>IF(AT11&gt;0,AU11,AV10)</f>
        <v>0.89</v>
      </c>
      <c r="AW11" s="251">
        <f>-SUM('B5'!AI10)</f>
        <v>0</v>
      </c>
      <c r="AX11" s="251">
        <f t="shared" si="31"/>
        <v>-710.03225806450064</v>
      </c>
      <c r="AY11" s="36">
        <f t="shared" si="52"/>
        <v>-710.03225806450064</v>
      </c>
      <c r="AZ11" s="96">
        <f>ELEC!A9</f>
        <v>0</v>
      </c>
      <c r="BA11" s="114">
        <f>'General information '!D10</f>
        <v>0</v>
      </c>
      <c r="BB11" s="193">
        <f>SUM('General information '!E10)</f>
        <v>0</v>
      </c>
      <c r="BC11" s="3">
        <f t="shared" si="59"/>
        <v>0</v>
      </c>
      <c r="BD11" s="98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53"/>
        <v>-76.347554630597443</v>
      </c>
      <c r="BK11" s="469"/>
    </row>
    <row r="12" spans="1:63">
      <c r="A12" s="379">
        <f>ELEC!C10</f>
        <v>44933</v>
      </c>
      <c r="B12" s="440">
        <f>'B5'!B11</f>
        <v>233</v>
      </c>
      <c r="C12" s="192">
        <f t="shared" si="32"/>
        <v>5013.2580645161288</v>
      </c>
      <c r="D12">
        <f t="shared" si="33"/>
        <v>233</v>
      </c>
      <c r="E12" s="192">
        <f t="shared" si="32"/>
        <v>5013.2580645161288</v>
      </c>
      <c r="F12">
        <f t="shared" si="34"/>
        <v>233</v>
      </c>
      <c r="G12" s="192">
        <f t="shared" si="16"/>
        <v>5013.2580645161288</v>
      </c>
      <c r="H12" s="192">
        <f t="shared" si="35"/>
        <v>233</v>
      </c>
      <c r="I12" s="192">
        <f t="shared" si="17"/>
        <v>5013.2580645161288</v>
      </c>
      <c r="J12" s="192">
        <f t="shared" si="36"/>
        <v>233</v>
      </c>
      <c r="K12" s="192">
        <f t="shared" si="18"/>
        <v>5013.2580645161288</v>
      </c>
      <c r="L12" s="192">
        <f t="shared" si="37"/>
        <v>233</v>
      </c>
      <c r="M12" s="192">
        <f t="shared" si="19"/>
        <v>5013.2580645161288</v>
      </c>
      <c r="N12" s="192">
        <f t="shared" si="38"/>
        <v>233</v>
      </c>
      <c r="O12" s="192">
        <f t="shared" si="20"/>
        <v>5013.2580645161288</v>
      </c>
      <c r="P12" s="192">
        <f t="shared" si="39"/>
        <v>233</v>
      </c>
      <c r="Q12" s="192">
        <f t="shared" si="21"/>
        <v>5013.2580645161288</v>
      </c>
      <c r="R12" s="192">
        <f t="shared" si="40"/>
        <v>233</v>
      </c>
      <c r="S12" s="192">
        <f t="shared" si="22"/>
        <v>5013.2580645161288</v>
      </c>
      <c r="T12" s="192">
        <f t="shared" si="41"/>
        <v>233</v>
      </c>
      <c r="U12" s="192">
        <f t="shared" si="23"/>
        <v>5013.2580645161288</v>
      </c>
      <c r="V12" s="192">
        <f t="shared" si="42"/>
        <v>233</v>
      </c>
      <c r="W12" s="192">
        <f t="shared" si="24"/>
        <v>5013.2580645161288</v>
      </c>
      <c r="X12" s="34">
        <f t="shared" si="43"/>
        <v>0.75161290322580643</v>
      </c>
      <c r="Y12" s="35">
        <f t="shared" si="44"/>
        <v>55145.838709677417</v>
      </c>
      <c r="Z12" s="440">
        <f>'B5'!C11</f>
        <v>239</v>
      </c>
      <c r="AA12" s="192">
        <f t="shared" si="45"/>
        <v>2390</v>
      </c>
      <c r="AB12" s="192">
        <f t="shared" si="46"/>
        <v>239</v>
      </c>
      <c r="AC12" s="192">
        <f t="shared" si="45"/>
        <v>2390</v>
      </c>
      <c r="AD12" s="192">
        <f t="shared" si="47"/>
        <v>239</v>
      </c>
      <c r="AE12" s="192">
        <f t="shared" si="25"/>
        <v>2390</v>
      </c>
      <c r="AF12" s="192">
        <f t="shared" si="48"/>
        <v>239</v>
      </c>
      <c r="AG12" s="192">
        <f t="shared" si="26"/>
        <v>2390</v>
      </c>
      <c r="AH12" s="192">
        <f t="shared" si="49"/>
        <v>239</v>
      </c>
      <c r="AI12" s="192">
        <f t="shared" si="27"/>
        <v>2390</v>
      </c>
      <c r="AJ12" s="192">
        <f t="shared" si="50"/>
        <v>239</v>
      </c>
      <c r="AK12" s="192">
        <f t="shared" si="28"/>
        <v>2390</v>
      </c>
      <c r="AL12" s="192">
        <f t="shared" si="51"/>
        <v>239</v>
      </c>
      <c r="AM12" s="192">
        <f t="shared" si="29"/>
        <v>2390</v>
      </c>
      <c r="AN12" s="34">
        <f t="shared" si="30"/>
        <v>0.85357142857142854</v>
      </c>
      <c r="AO12" s="35">
        <f t="shared" si="54"/>
        <v>16730</v>
      </c>
      <c r="AP12" s="458"/>
      <c r="AQ12" s="208">
        <f t="shared" si="55"/>
        <v>0.77310787038482764</v>
      </c>
      <c r="AR12" s="37">
        <f t="shared" si="56"/>
        <v>71875.838709677424</v>
      </c>
      <c r="AS12" s="186">
        <f>SUM(AR12-AR11-AT12)</f>
        <v>0</v>
      </c>
      <c r="AT12" s="303"/>
      <c r="AU12" s="475"/>
      <c r="AV12" s="432">
        <f t="shared" si="58"/>
        <v>0.89</v>
      </c>
      <c r="AW12" s="251">
        <f>-SUM('B5'!AI11)</f>
        <v>0</v>
      </c>
      <c r="AX12" s="251">
        <f t="shared" si="31"/>
        <v>0</v>
      </c>
      <c r="AY12" s="36">
        <f t="shared" si="52"/>
        <v>0</v>
      </c>
      <c r="AZ12" s="96">
        <f>ELEC!A10</f>
        <v>0</v>
      </c>
      <c r="BA12" s="114">
        <f>'General information '!D11</f>
        <v>0</v>
      </c>
      <c r="BB12" s="193">
        <f>SUM('General information '!E11)</f>
        <v>0</v>
      </c>
      <c r="BC12" s="3">
        <f t="shared" si="59"/>
        <v>0</v>
      </c>
      <c r="BD12" s="98">
        <v>19222</v>
      </c>
      <c r="BE12" s="14">
        <f>(305/1185)*ELEC!Q11</f>
        <v>607.94092827029692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53"/>
        <v>0</v>
      </c>
      <c r="BK12" s="469"/>
    </row>
    <row r="13" spans="1:63">
      <c r="A13" s="379">
        <f>ELEC!C11</f>
        <v>44934</v>
      </c>
      <c r="B13" s="440">
        <f>'B5'!B12</f>
        <v>230</v>
      </c>
      <c r="C13" s="192">
        <f t="shared" si="32"/>
        <v>4948.7096774193551</v>
      </c>
      <c r="D13">
        <f t="shared" si="33"/>
        <v>230</v>
      </c>
      <c r="E13" s="192">
        <f t="shared" si="32"/>
        <v>4948.7096774193551</v>
      </c>
      <c r="F13">
        <f t="shared" si="34"/>
        <v>230</v>
      </c>
      <c r="G13" s="192">
        <f t="shared" si="16"/>
        <v>4948.7096774193551</v>
      </c>
      <c r="H13" s="192">
        <f t="shared" si="35"/>
        <v>230</v>
      </c>
      <c r="I13" s="192">
        <f t="shared" si="17"/>
        <v>4948.7096774193551</v>
      </c>
      <c r="J13" s="192">
        <f t="shared" si="36"/>
        <v>230</v>
      </c>
      <c r="K13" s="192">
        <f t="shared" si="18"/>
        <v>4948.7096774193551</v>
      </c>
      <c r="L13" s="192">
        <f t="shared" si="37"/>
        <v>230</v>
      </c>
      <c r="M13" s="192">
        <f t="shared" si="19"/>
        <v>4948.7096774193551</v>
      </c>
      <c r="N13" s="192">
        <f t="shared" si="38"/>
        <v>230</v>
      </c>
      <c r="O13" s="192">
        <f t="shared" si="20"/>
        <v>4948.7096774193551</v>
      </c>
      <c r="P13" s="192">
        <f t="shared" si="39"/>
        <v>230</v>
      </c>
      <c r="Q13" s="192">
        <f t="shared" si="21"/>
        <v>4948.7096774193551</v>
      </c>
      <c r="R13" s="192">
        <f t="shared" si="40"/>
        <v>230</v>
      </c>
      <c r="S13" s="192">
        <f t="shared" si="22"/>
        <v>4948.7096774193551</v>
      </c>
      <c r="T13" s="192">
        <f t="shared" si="41"/>
        <v>230</v>
      </c>
      <c r="U13" s="192">
        <f t="shared" si="23"/>
        <v>4948.7096774193551</v>
      </c>
      <c r="V13" s="192">
        <f t="shared" si="42"/>
        <v>230</v>
      </c>
      <c r="W13" s="192">
        <f t="shared" si="24"/>
        <v>4948.7096774193551</v>
      </c>
      <c r="X13" s="34">
        <f t="shared" si="43"/>
        <v>0.74193548387096786</v>
      </c>
      <c r="Y13" s="35">
        <f t="shared" si="44"/>
        <v>54435.806451612909</v>
      </c>
      <c r="Z13" s="440">
        <f>'B5'!C12</f>
        <v>236</v>
      </c>
      <c r="AA13" s="192">
        <f t="shared" si="45"/>
        <v>2360</v>
      </c>
      <c r="AB13" s="192">
        <f t="shared" si="46"/>
        <v>236</v>
      </c>
      <c r="AC13" s="192">
        <f t="shared" si="45"/>
        <v>2360</v>
      </c>
      <c r="AD13" s="192">
        <f t="shared" si="47"/>
        <v>236</v>
      </c>
      <c r="AE13" s="192">
        <f t="shared" si="25"/>
        <v>2360</v>
      </c>
      <c r="AF13" s="192">
        <f t="shared" si="48"/>
        <v>236</v>
      </c>
      <c r="AG13" s="192">
        <f t="shared" si="26"/>
        <v>2360</v>
      </c>
      <c r="AH13" s="192">
        <f t="shared" si="49"/>
        <v>236</v>
      </c>
      <c r="AI13" s="192">
        <f t="shared" si="27"/>
        <v>2360</v>
      </c>
      <c r="AJ13" s="192">
        <f t="shared" si="50"/>
        <v>236</v>
      </c>
      <c r="AK13" s="192">
        <f t="shared" si="28"/>
        <v>2360</v>
      </c>
      <c r="AL13" s="192">
        <f t="shared" si="51"/>
        <v>236</v>
      </c>
      <c r="AM13" s="192">
        <f t="shared" si="29"/>
        <v>2360</v>
      </c>
      <c r="AN13" s="34">
        <f t="shared" si="30"/>
        <v>0.84285714285714286</v>
      </c>
      <c r="AO13" s="35">
        <f t="shared" si="54"/>
        <v>16520</v>
      </c>
      <c r="AP13" s="458"/>
      <c r="AQ13" s="208">
        <f t="shared" si="55"/>
        <v>0.76321185814362602</v>
      </c>
      <c r="AR13" s="37">
        <f>Y13+AO13</f>
        <v>70955.806451612909</v>
      </c>
      <c r="AS13" s="186">
        <f>SUM(AR13-AR12-AT13)</f>
        <v>-920.03225806451519</v>
      </c>
      <c r="AT13" s="303"/>
      <c r="AU13" s="475"/>
      <c r="AV13" s="432">
        <f t="shared" si="58"/>
        <v>0.89</v>
      </c>
      <c r="AW13" s="251">
        <f>-SUM('B5'!AI12)</f>
        <v>-180</v>
      </c>
      <c r="AX13" s="251">
        <f t="shared" si="31"/>
        <v>-740.03225806451519</v>
      </c>
      <c r="AY13" s="36">
        <f t="shared" si="52"/>
        <v>-920.03225806451519</v>
      </c>
      <c r="AZ13" s="96">
        <f>ELEC!A11</f>
        <v>0</v>
      </c>
      <c r="BA13" s="114">
        <f>'General information '!D12</f>
        <v>17</v>
      </c>
      <c r="BB13" s="193">
        <f>SUM('General information '!E12)</f>
        <v>0.62</v>
      </c>
      <c r="BC13" s="3">
        <f t="shared" si="59"/>
        <v>0</v>
      </c>
      <c r="BD13" s="98">
        <v>19222</v>
      </c>
      <c r="BE13" s="14">
        <f>(305/1185)*ELEC!Q12</f>
        <v>806.3839662451453</v>
      </c>
      <c r="BF13" s="14"/>
      <c r="BG13" s="14" t="e">
        <f>#REF!-BE13</f>
        <v>#REF!</v>
      </c>
      <c r="BH13" s="11"/>
      <c r="BI13">
        <v>5</v>
      </c>
      <c r="BJ13">
        <f t="shared" si="53"/>
        <v>-148.00645161290305</v>
      </c>
      <c r="BK13" s="469">
        <f>GEN!AF10</f>
        <v>0.12302083333338487</v>
      </c>
    </row>
    <row r="14" spans="1:63">
      <c r="A14" s="379">
        <f>ELEC!C12</f>
        <v>44935</v>
      </c>
      <c r="B14" s="440">
        <f>'B5'!B13</f>
        <v>228</v>
      </c>
      <c r="C14" s="192">
        <f t="shared" si="32"/>
        <v>4905.677419354839</v>
      </c>
      <c r="D14">
        <f t="shared" si="33"/>
        <v>228</v>
      </c>
      <c r="E14" s="192">
        <f t="shared" si="32"/>
        <v>4905.677419354839</v>
      </c>
      <c r="F14">
        <f t="shared" si="34"/>
        <v>228</v>
      </c>
      <c r="G14" s="192">
        <f t="shared" si="16"/>
        <v>4905.677419354839</v>
      </c>
      <c r="H14" s="192">
        <f t="shared" si="35"/>
        <v>228</v>
      </c>
      <c r="I14" s="192">
        <f t="shared" si="17"/>
        <v>4905.677419354839</v>
      </c>
      <c r="J14" s="192">
        <f t="shared" si="36"/>
        <v>228</v>
      </c>
      <c r="K14" s="192">
        <f t="shared" si="18"/>
        <v>4905.677419354839</v>
      </c>
      <c r="L14" s="192">
        <f t="shared" si="37"/>
        <v>228</v>
      </c>
      <c r="M14" s="192">
        <f t="shared" si="19"/>
        <v>4905.677419354839</v>
      </c>
      <c r="N14" s="192">
        <f t="shared" si="38"/>
        <v>228</v>
      </c>
      <c r="O14" s="192">
        <f t="shared" si="20"/>
        <v>4905.677419354839</v>
      </c>
      <c r="P14" s="192">
        <f t="shared" si="39"/>
        <v>228</v>
      </c>
      <c r="Q14" s="192">
        <f t="shared" si="21"/>
        <v>4905.677419354839</v>
      </c>
      <c r="R14" s="192">
        <f t="shared" si="40"/>
        <v>228</v>
      </c>
      <c r="S14" s="192">
        <f t="shared" si="22"/>
        <v>4905.677419354839</v>
      </c>
      <c r="T14" s="192">
        <f t="shared" si="41"/>
        <v>228</v>
      </c>
      <c r="U14" s="192">
        <f t="shared" si="23"/>
        <v>4905.677419354839</v>
      </c>
      <c r="V14" s="192">
        <f t="shared" si="42"/>
        <v>228</v>
      </c>
      <c r="W14" s="192">
        <f t="shared" si="24"/>
        <v>4905.677419354839</v>
      </c>
      <c r="X14" s="34">
        <f t="shared" si="43"/>
        <v>0.73548387096774215</v>
      </c>
      <c r="Y14" s="35">
        <f t="shared" si="44"/>
        <v>53962.451612903242</v>
      </c>
      <c r="Z14" s="440">
        <f>'B5'!C13</f>
        <v>234</v>
      </c>
      <c r="AA14" s="192">
        <f t="shared" si="45"/>
        <v>2340</v>
      </c>
      <c r="AB14" s="192">
        <f t="shared" si="46"/>
        <v>234</v>
      </c>
      <c r="AC14" s="192">
        <f t="shared" si="45"/>
        <v>2340</v>
      </c>
      <c r="AD14" s="192">
        <f t="shared" si="47"/>
        <v>234</v>
      </c>
      <c r="AE14" s="192">
        <f t="shared" si="25"/>
        <v>2340</v>
      </c>
      <c r="AF14" s="192">
        <f t="shared" si="48"/>
        <v>234</v>
      </c>
      <c r="AG14" s="192">
        <f t="shared" si="26"/>
        <v>2340</v>
      </c>
      <c r="AH14" s="192">
        <f t="shared" si="49"/>
        <v>234</v>
      </c>
      <c r="AI14" s="192">
        <f t="shared" si="27"/>
        <v>2340</v>
      </c>
      <c r="AJ14" s="192">
        <f t="shared" si="50"/>
        <v>234</v>
      </c>
      <c r="AK14" s="192">
        <f t="shared" si="28"/>
        <v>2340</v>
      </c>
      <c r="AL14" s="192">
        <f t="shared" si="51"/>
        <v>234</v>
      </c>
      <c r="AM14" s="192">
        <f t="shared" si="29"/>
        <v>2340</v>
      </c>
      <c r="AN14" s="34">
        <f t="shared" si="30"/>
        <v>0.83571428571428574</v>
      </c>
      <c r="AO14" s="35">
        <f t="shared" si="54"/>
        <v>16380</v>
      </c>
      <c r="AQ14" s="208">
        <f t="shared" si="55"/>
        <v>0.75661451664949164</v>
      </c>
      <c r="AR14" s="37">
        <f t="shared" si="56"/>
        <v>70342.451612903242</v>
      </c>
      <c r="AS14" s="186">
        <f>SUM(AR14-AR13-AT14)</f>
        <v>-613.35483870966709</v>
      </c>
      <c r="AT14" s="303"/>
      <c r="AU14" s="475"/>
      <c r="AV14" s="432">
        <f t="shared" si="58"/>
        <v>0.89</v>
      </c>
      <c r="AW14" s="251">
        <f>-SUM('B5'!AI13)</f>
        <v>-276.5</v>
      </c>
      <c r="AX14" s="251">
        <f t="shared" si="31"/>
        <v>-336.85483870966709</v>
      </c>
      <c r="AY14" s="36">
        <f t="shared" si="52"/>
        <v>-613.35483870966709</v>
      </c>
      <c r="AZ14" s="96">
        <f>ELEC!A12</f>
        <v>0</v>
      </c>
      <c r="BA14" s="114">
        <f>'General information '!D13</f>
        <v>16</v>
      </c>
      <c r="BB14" s="193">
        <f>SUM('General information '!E13)</f>
        <v>0.6</v>
      </c>
      <c r="BC14" s="3">
        <f t="shared" si="59"/>
        <v>0</v>
      </c>
      <c r="BD14" s="98">
        <v>19222</v>
      </c>
      <c r="BE14" s="14">
        <f>(305/1185)*ELEC!Q13</f>
        <v>761.34177215156922</v>
      </c>
      <c r="BF14" s="14"/>
      <c r="BG14" s="14" t="e">
        <f>#REF!-BE14</f>
        <v>#REF!</v>
      </c>
      <c r="BH14" s="11"/>
      <c r="BI14">
        <v>3</v>
      </c>
      <c r="BJ14">
        <f t="shared" si="53"/>
        <v>-112.2849462365557</v>
      </c>
      <c r="BK14" s="469">
        <f>GEN!AF11</f>
        <v>0.13054166666673458</v>
      </c>
    </row>
    <row r="15" spans="1:63" ht="13.5" customHeight="1">
      <c r="A15" s="379">
        <f>ELEC!C13</f>
        <v>44936</v>
      </c>
      <c r="B15" s="440">
        <f>'B5'!B14</f>
        <v>225</v>
      </c>
      <c r="C15" s="192">
        <f>B15*$B$4</f>
        <v>4841.1290322580644</v>
      </c>
      <c r="D15">
        <f t="shared" si="33"/>
        <v>225</v>
      </c>
      <c r="E15" s="192">
        <f t="shared" si="32"/>
        <v>4841.1290322580644</v>
      </c>
      <c r="F15">
        <f t="shared" si="34"/>
        <v>225</v>
      </c>
      <c r="G15" s="192">
        <f t="shared" si="16"/>
        <v>4841.1290322580644</v>
      </c>
      <c r="H15" s="192">
        <f t="shared" si="35"/>
        <v>225</v>
      </c>
      <c r="I15" s="192">
        <f t="shared" si="17"/>
        <v>4841.1290322580644</v>
      </c>
      <c r="J15" s="192">
        <f t="shared" si="36"/>
        <v>225</v>
      </c>
      <c r="K15" s="192">
        <f t="shared" si="18"/>
        <v>4841.1290322580644</v>
      </c>
      <c r="L15" s="192">
        <f t="shared" si="37"/>
        <v>225</v>
      </c>
      <c r="M15" s="192">
        <f t="shared" si="19"/>
        <v>4841.1290322580644</v>
      </c>
      <c r="N15" s="192">
        <f t="shared" si="38"/>
        <v>225</v>
      </c>
      <c r="O15" s="192">
        <f t="shared" si="20"/>
        <v>4841.1290322580644</v>
      </c>
      <c r="P15" s="192">
        <f t="shared" si="39"/>
        <v>225</v>
      </c>
      <c r="Q15" s="192">
        <f t="shared" si="21"/>
        <v>4841.1290322580644</v>
      </c>
      <c r="R15" s="192">
        <f t="shared" si="40"/>
        <v>225</v>
      </c>
      <c r="S15" s="192">
        <f t="shared" si="22"/>
        <v>4841.1290322580644</v>
      </c>
      <c r="T15" s="192">
        <f t="shared" si="41"/>
        <v>225</v>
      </c>
      <c r="U15" s="192">
        <f t="shared" si="23"/>
        <v>4841.1290322580644</v>
      </c>
      <c r="V15" s="192">
        <f t="shared" si="42"/>
        <v>225</v>
      </c>
      <c r="W15" s="192">
        <f t="shared" si="24"/>
        <v>4841.1290322580644</v>
      </c>
      <c r="X15" s="34">
        <f t="shared" si="43"/>
        <v>0.72580645161290303</v>
      </c>
      <c r="Y15" s="35">
        <f t="shared" si="44"/>
        <v>53252.419354838697</v>
      </c>
      <c r="Z15" s="440">
        <f>'B5'!C14</f>
        <v>231</v>
      </c>
      <c r="AA15" s="192">
        <f t="shared" si="45"/>
        <v>2310</v>
      </c>
      <c r="AB15" s="192">
        <f t="shared" si="46"/>
        <v>231</v>
      </c>
      <c r="AC15" s="192">
        <f t="shared" si="45"/>
        <v>2310</v>
      </c>
      <c r="AD15" s="192">
        <f t="shared" si="47"/>
        <v>231</v>
      </c>
      <c r="AE15" s="192">
        <f t="shared" si="25"/>
        <v>2310</v>
      </c>
      <c r="AF15" s="192">
        <f t="shared" si="48"/>
        <v>231</v>
      </c>
      <c r="AG15" s="192">
        <f t="shared" si="26"/>
        <v>2310</v>
      </c>
      <c r="AH15" s="192">
        <f t="shared" si="49"/>
        <v>231</v>
      </c>
      <c r="AI15" s="192">
        <f t="shared" si="27"/>
        <v>2310</v>
      </c>
      <c r="AJ15" s="192">
        <f t="shared" si="50"/>
        <v>231</v>
      </c>
      <c r="AK15" s="192">
        <f t="shared" si="28"/>
        <v>2310</v>
      </c>
      <c r="AL15" s="192">
        <f t="shared" si="51"/>
        <v>231</v>
      </c>
      <c r="AM15" s="192">
        <f t="shared" si="29"/>
        <v>2310</v>
      </c>
      <c r="AN15" s="34">
        <f t="shared" si="30"/>
        <v>0.82499999999999996</v>
      </c>
      <c r="AO15" s="35">
        <f t="shared" si="54"/>
        <v>16170</v>
      </c>
      <c r="AQ15" s="208">
        <f t="shared" si="55"/>
        <v>0.7467185044082898</v>
      </c>
      <c r="AR15" s="37">
        <f t="shared" si="56"/>
        <v>69422.419354838697</v>
      </c>
      <c r="AS15" s="186">
        <f t="shared" si="57"/>
        <v>-920.03225806454429</v>
      </c>
      <c r="AT15" s="303"/>
      <c r="AU15" s="475"/>
      <c r="AV15" s="432">
        <f>IF(AT15&gt;0,AU15,AV14)</f>
        <v>0.89</v>
      </c>
      <c r="AW15" s="251">
        <f>-SUM('B5'!AI14)</f>
        <v>-67</v>
      </c>
      <c r="AX15" s="251">
        <f t="shared" si="31"/>
        <v>-853.03225806454429</v>
      </c>
      <c r="AY15" s="36">
        <f t="shared" si="52"/>
        <v>-920.03225806454429</v>
      </c>
      <c r="AZ15" s="96">
        <f>ELEC!A13</f>
        <v>0</v>
      </c>
      <c r="BA15" s="114">
        <f>'General information '!D14</f>
        <v>16</v>
      </c>
      <c r="BB15" s="193">
        <f>SUM('General information '!E14)</f>
        <v>0.44</v>
      </c>
      <c r="BC15" s="3">
        <f t="shared" si="59"/>
        <v>0</v>
      </c>
      <c r="BD15" s="98">
        <v>19222</v>
      </c>
      <c r="BE15" s="14">
        <f>(305/1185)*ELEC!Q14</f>
        <v>375.00843881911976</v>
      </c>
      <c r="BF15" s="14"/>
      <c r="BG15" s="14" t="e">
        <f>#REF!-BE15</f>
        <v>#REF!</v>
      </c>
      <c r="BH15" s="11"/>
      <c r="BI15">
        <v>4</v>
      </c>
      <c r="BJ15">
        <f t="shared" si="53"/>
        <v>-213.25806451613607</v>
      </c>
      <c r="BK15" s="469">
        <f>GEN!AF12</f>
        <v>0.14221153846147691</v>
      </c>
    </row>
    <row r="16" spans="1:63">
      <c r="A16" s="379">
        <f>ELEC!C14</f>
        <v>44937</v>
      </c>
      <c r="B16" s="440">
        <f>'B5'!B15</f>
        <v>222</v>
      </c>
      <c r="C16" s="192">
        <f t="shared" si="32"/>
        <v>4776.5806451612898</v>
      </c>
      <c r="D16">
        <f t="shared" si="33"/>
        <v>222</v>
      </c>
      <c r="E16" s="192">
        <f t="shared" si="32"/>
        <v>4776.5806451612898</v>
      </c>
      <c r="F16">
        <f t="shared" si="34"/>
        <v>222</v>
      </c>
      <c r="G16" s="192">
        <f t="shared" si="16"/>
        <v>4776.5806451612898</v>
      </c>
      <c r="H16" s="192">
        <f t="shared" si="35"/>
        <v>222</v>
      </c>
      <c r="I16" s="192">
        <f t="shared" si="17"/>
        <v>4776.5806451612898</v>
      </c>
      <c r="J16" s="192">
        <f t="shared" si="36"/>
        <v>222</v>
      </c>
      <c r="K16" s="192">
        <f t="shared" si="18"/>
        <v>4776.5806451612898</v>
      </c>
      <c r="L16" s="192">
        <f t="shared" si="37"/>
        <v>222</v>
      </c>
      <c r="M16" s="192">
        <f t="shared" si="19"/>
        <v>4776.5806451612898</v>
      </c>
      <c r="N16" s="192">
        <f t="shared" si="38"/>
        <v>222</v>
      </c>
      <c r="O16" s="192">
        <f t="shared" si="20"/>
        <v>4776.5806451612898</v>
      </c>
      <c r="P16" s="192">
        <f t="shared" si="39"/>
        <v>222</v>
      </c>
      <c r="Q16" s="192">
        <f t="shared" si="21"/>
        <v>4776.5806451612898</v>
      </c>
      <c r="R16" s="192">
        <f t="shared" si="40"/>
        <v>222</v>
      </c>
      <c r="S16" s="192">
        <f t="shared" si="22"/>
        <v>4776.5806451612898</v>
      </c>
      <c r="T16" s="192">
        <f t="shared" si="41"/>
        <v>222</v>
      </c>
      <c r="U16" s="192">
        <f t="shared" si="23"/>
        <v>4776.5806451612898</v>
      </c>
      <c r="V16" s="192">
        <f t="shared" si="42"/>
        <v>222</v>
      </c>
      <c r="W16" s="192">
        <f t="shared" si="24"/>
        <v>4776.5806451612898</v>
      </c>
      <c r="X16" s="34">
        <f t="shared" si="43"/>
        <v>0.71612903225806424</v>
      </c>
      <c r="Y16" s="35">
        <f t="shared" si="44"/>
        <v>52542.387096774175</v>
      </c>
      <c r="Z16" s="440">
        <f>'B5'!C15</f>
        <v>228</v>
      </c>
      <c r="AA16" s="192">
        <f t="shared" si="45"/>
        <v>2280</v>
      </c>
      <c r="AB16" s="192">
        <f t="shared" si="46"/>
        <v>228</v>
      </c>
      <c r="AC16" s="192">
        <f t="shared" si="45"/>
        <v>2280</v>
      </c>
      <c r="AD16" s="192">
        <f t="shared" si="47"/>
        <v>228</v>
      </c>
      <c r="AE16" s="192">
        <f t="shared" si="25"/>
        <v>2280</v>
      </c>
      <c r="AF16" s="192">
        <f t="shared" si="48"/>
        <v>228</v>
      </c>
      <c r="AG16" s="192">
        <f t="shared" si="26"/>
        <v>2280</v>
      </c>
      <c r="AH16" s="192">
        <f t="shared" si="49"/>
        <v>228</v>
      </c>
      <c r="AI16" s="192">
        <f t="shared" si="27"/>
        <v>2280</v>
      </c>
      <c r="AJ16" s="192">
        <f t="shared" si="50"/>
        <v>228</v>
      </c>
      <c r="AK16" s="192">
        <f t="shared" si="28"/>
        <v>2280</v>
      </c>
      <c r="AL16" s="192">
        <f t="shared" si="51"/>
        <v>228</v>
      </c>
      <c r="AM16" s="192">
        <f t="shared" si="29"/>
        <v>2280</v>
      </c>
      <c r="AN16" s="34">
        <f t="shared" si="30"/>
        <v>0.81428571428571428</v>
      </c>
      <c r="AO16" s="35">
        <f t="shared" si="54"/>
        <v>15960</v>
      </c>
      <c r="AQ16" s="208">
        <f t="shared" si="55"/>
        <v>0.73682249216708817</v>
      </c>
      <c r="AR16" s="37">
        <f>Y16+AO16</f>
        <v>68502.387096774182</v>
      </c>
      <c r="AS16" s="186">
        <f>SUM(AR16-AR15-AT16)</f>
        <v>-920.03225806451519</v>
      </c>
      <c r="AT16" s="303"/>
      <c r="AU16" s="475"/>
      <c r="AV16" s="432">
        <f t="shared" ref="AV16" si="60">IF(AT16&gt;0,AU16,AV15)</f>
        <v>0.89</v>
      </c>
      <c r="AW16" s="251">
        <f>-SUM('B5'!AI15)</f>
        <v>-205</v>
      </c>
      <c r="AX16" s="251">
        <f t="shared" si="31"/>
        <v>-715.03225806451519</v>
      </c>
      <c r="AY16" s="36">
        <f t="shared" si="52"/>
        <v>-920.03225806451519</v>
      </c>
      <c r="AZ16" s="96">
        <f>ELEC!A14</f>
        <v>0</v>
      </c>
      <c r="BA16" s="114">
        <f>'General information '!D15</f>
        <v>16</v>
      </c>
      <c r="BB16" s="193">
        <f>SUM('General information '!E15)</f>
        <v>0.49</v>
      </c>
      <c r="BC16" s="3">
        <f t="shared" si="59"/>
        <v>0</v>
      </c>
      <c r="BD16" s="98">
        <v>19222</v>
      </c>
      <c r="BE16" s="14">
        <f>(305/1185)*ELEC!Q15</f>
        <v>834.18143459868429</v>
      </c>
      <c r="BF16" s="14"/>
      <c r="BG16" s="14" t="e">
        <f>#REF!-BE16</f>
        <v>#REF!</v>
      </c>
      <c r="BH16" s="11"/>
      <c r="BI16">
        <v>3</v>
      </c>
      <c r="BJ16">
        <f t="shared" si="53"/>
        <v>-238.34408602150506</v>
      </c>
      <c r="BK16" s="469">
        <f>GEN!AF13</f>
        <v>0.10118055555570513</v>
      </c>
    </row>
    <row r="17" spans="1:64">
      <c r="A17" s="379">
        <f>ELEC!C15</f>
        <v>44938</v>
      </c>
      <c r="B17" s="440">
        <f>'B5'!B16</f>
        <v>217.5</v>
      </c>
      <c r="C17" s="192">
        <f t="shared" si="32"/>
        <v>4679.7580645161288</v>
      </c>
      <c r="D17">
        <f t="shared" si="33"/>
        <v>217.5</v>
      </c>
      <c r="E17" s="192">
        <f t="shared" si="32"/>
        <v>4679.7580645161288</v>
      </c>
      <c r="F17">
        <f t="shared" si="34"/>
        <v>217.5</v>
      </c>
      <c r="G17" s="192">
        <f t="shared" si="16"/>
        <v>4679.7580645161288</v>
      </c>
      <c r="H17" s="192">
        <f t="shared" si="35"/>
        <v>217.5</v>
      </c>
      <c r="I17" s="192">
        <f t="shared" si="17"/>
        <v>4679.7580645161288</v>
      </c>
      <c r="J17" s="192">
        <f t="shared" si="36"/>
        <v>217.5</v>
      </c>
      <c r="K17" s="192">
        <f t="shared" si="18"/>
        <v>4679.7580645161288</v>
      </c>
      <c r="L17" s="192">
        <f t="shared" si="37"/>
        <v>217.5</v>
      </c>
      <c r="M17" s="192">
        <f t="shared" si="19"/>
        <v>4679.7580645161288</v>
      </c>
      <c r="N17" s="192">
        <f t="shared" si="38"/>
        <v>217.5</v>
      </c>
      <c r="O17" s="192">
        <f t="shared" si="20"/>
        <v>4679.7580645161288</v>
      </c>
      <c r="P17" s="192">
        <f t="shared" si="39"/>
        <v>217.5</v>
      </c>
      <c r="Q17" s="192">
        <f t="shared" si="21"/>
        <v>4679.7580645161288</v>
      </c>
      <c r="R17" s="192">
        <f t="shared" si="40"/>
        <v>217.5</v>
      </c>
      <c r="S17" s="192">
        <f t="shared" si="22"/>
        <v>4679.7580645161288</v>
      </c>
      <c r="T17" s="192">
        <f t="shared" si="41"/>
        <v>217.5</v>
      </c>
      <c r="U17" s="192">
        <f t="shared" si="23"/>
        <v>4679.7580645161288</v>
      </c>
      <c r="V17" s="192">
        <f t="shared" si="42"/>
        <v>217.5</v>
      </c>
      <c r="W17" s="192">
        <f t="shared" si="24"/>
        <v>4679.7580645161288</v>
      </c>
      <c r="X17" s="34">
        <f t="shared" si="43"/>
        <v>0.70161290322580638</v>
      </c>
      <c r="Y17" s="35">
        <f t="shared" si="44"/>
        <v>51477.338709677417</v>
      </c>
      <c r="Z17" s="440">
        <f>'B5'!C16</f>
        <v>223.5</v>
      </c>
      <c r="AA17" s="192">
        <f t="shared" si="45"/>
        <v>2235</v>
      </c>
      <c r="AB17" s="192">
        <f t="shared" si="46"/>
        <v>223.5</v>
      </c>
      <c r="AC17" s="192">
        <f t="shared" si="45"/>
        <v>2235</v>
      </c>
      <c r="AD17" s="192">
        <f t="shared" si="47"/>
        <v>223.5</v>
      </c>
      <c r="AE17" s="192">
        <f t="shared" si="25"/>
        <v>2235</v>
      </c>
      <c r="AF17" s="192">
        <f t="shared" si="48"/>
        <v>223.5</v>
      </c>
      <c r="AG17" s="192">
        <f t="shared" si="26"/>
        <v>2235</v>
      </c>
      <c r="AH17" s="192">
        <f t="shared" si="49"/>
        <v>223.5</v>
      </c>
      <c r="AI17" s="192">
        <f t="shared" si="27"/>
        <v>2235</v>
      </c>
      <c r="AJ17" s="192">
        <f t="shared" si="50"/>
        <v>223.5</v>
      </c>
      <c r="AK17" s="192">
        <f t="shared" si="28"/>
        <v>2235</v>
      </c>
      <c r="AL17" s="192">
        <f t="shared" si="51"/>
        <v>223.5</v>
      </c>
      <c r="AM17" s="192">
        <f t="shared" si="29"/>
        <v>2235</v>
      </c>
      <c r="AN17" s="34">
        <f t="shared" si="30"/>
        <v>0.79821428571428577</v>
      </c>
      <c r="AO17" s="35">
        <f>SUM(AA17+AC17+AE17+AG17+AI17+AK17+AM17)</f>
        <v>15645</v>
      </c>
      <c r="AQ17" s="208">
        <f t="shared" si="55"/>
        <v>0.72197847380528579</v>
      </c>
      <c r="AR17" s="37">
        <f t="shared" si="56"/>
        <v>67122.338709677424</v>
      </c>
      <c r="AS17" s="186">
        <f t="shared" si="57"/>
        <v>-1380.0483870967582</v>
      </c>
      <c r="AT17" s="303"/>
      <c r="AU17" s="475"/>
      <c r="AV17" s="432">
        <f>IF(AT17&gt;0,AU17,AV16)</f>
        <v>0.89</v>
      </c>
      <c r="AW17" s="251">
        <f>-SUM('B5'!AI16)</f>
        <v>-141.5</v>
      </c>
      <c r="AX17" s="251">
        <f t="shared" si="31"/>
        <v>-1238.5483870967582</v>
      </c>
      <c r="AY17" s="36">
        <f t="shared" si="52"/>
        <v>-1380.0483870967582</v>
      </c>
      <c r="AZ17" s="96">
        <f>ELEC!A15</f>
        <v>0</v>
      </c>
      <c r="BA17" s="114">
        <f>'General information '!D16</f>
        <v>0</v>
      </c>
      <c r="BB17" s="193">
        <f>SUM('General information '!E16)</f>
        <v>0</v>
      </c>
      <c r="BC17" s="3">
        <f t="shared" si="59"/>
        <v>0</v>
      </c>
      <c r="BD17" s="98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61">AX17/BI17</f>
        <v>-309.63709677418956</v>
      </c>
      <c r="BK17" s="469">
        <f>GEN!AF14</f>
        <v>0.14468749999991815</v>
      </c>
    </row>
    <row r="18" spans="1:64">
      <c r="A18" s="379">
        <f>ELEC!C16</f>
        <v>44939</v>
      </c>
      <c r="B18" s="440">
        <f>'B5'!B17</f>
        <v>217.5</v>
      </c>
      <c r="C18" s="192">
        <f t="shared" si="32"/>
        <v>4679.7580645161288</v>
      </c>
      <c r="D18">
        <f t="shared" si="33"/>
        <v>217.5</v>
      </c>
      <c r="E18" s="192">
        <f t="shared" si="32"/>
        <v>4679.7580645161288</v>
      </c>
      <c r="F18">
        <f t="shared" si="34"/>
        <v>217.5</v>
      </c>
      <c r="G18" s="192">
        <f t="shared" si="16"/>
        <v>4679.7580645161288</v>
      </c>
      <c r="H18" s="192">
        <f t="shared" si="35"/>
        <v>217.5</v>
      </c>
      <c r="I18" s="192">
        <f t="shared" si="17"/>
        <v>4679.7580645161288</v>
      </c>
      <c r="J18" s="192">
        <f t="shared" si="36"/>
        <v>217.5</v>
      </c>
      <c r="K18" s="192">
        <f t="shared" si="18"/>
        <v>4679.7580645161288</v>
      </c>
      <c r="L18" s="192">
        <f t="shared" si="37"/>
        <v>217.5</v>
      </c>
      <c r="M18" s="192">
        <f t="shared" si="19"/>
        <v>4679.7580645161288</v>
      </c>
      <c r="N18" s="192">
        <f t="shared" si="38"/>
        <v>217.5</v>
      </c>
      <c r="O18" s="192">
        <f t="shared" si="20"/>
        <v>4679.7580645161288</v>
      </c>
      <c r="P18" s="192">
        <f t="shared" si="39"/>
        <v>217.5</v>
      </c>
      <c r="Q18" s="192">
        <f t="shared" si="21"/>
        <v>4679.7580645161288</v>
      </c>
      <c r="R18" s="192">
        <f t="shared" si="40"/>
        <v>217.5</v>
      </c>
      <c r="S18" s="192">
        <f t="shared" si="22"/>
        <v>4679.7580645161288</v>
      </c>
      <c r="T18" s="192">
        <f t="shared" si="41"/>
        <v>217.5</v>
      </c>
      <c r="U18" s="192">
        <f t="shared" si="23"/>
        <v>4679.7580645161288</v>
      </c>
      <c r="V18" s="192">
        <f t="shared" si="42"/>
        <v>217.5</v>
      </c>
      <c r="W18" s="192">
        <f t="shared" si="24"/>
        <v>4679.7580645161288</v>
      </c>
      <c r="X18" s="34">
        <f t="shared" si="43"/>
        <v>0.70161290322580638</v>
      </c>
      <c r="Y18" s="35">
        <f t="shared" si="44"/>
        <v>51477.338709677417</v>
      </c>
      <c r="Z18" s="440">
        <f>'B5'!C17</f>
        <v>223.5</v>
      </c>
      <c r="AA18" s="192">
        <f t="shared" si="45"/>
        <v>2235</v>
      </c>
      <c r="AB18" s="192">
        <f t="shared" si="46"/>
        <v>223.5</v>
      </c>
      <c r="AC18" s="192">
        <f t="shared" si="45"/>
        <v>2235</v>
      </c>
      <c r="AD18" s="192">
        <f t="shared" si="47"/>
        <v>223.5</v>
      </c>
      <c r="AE18" s="192">
        <f t="shared" si="25"/>
        <v>2235</v>
      </c>
      <c r="AF18" s="192">
        <f t="shared" si="48"/>
        <v>223.5</v>
      </c>
      <c r="AG18" s="192">
        <f t="shared" si="26"/>
        <v>2235</v>
      </c>
      <c r="AH18" s="192">
        <f t="shared" si="49"/>
        <v>223.5</v>
      </c>
      <c r="AI18" s="192">
        <f t="shared" si="27"/>
        <v>2235</v>
      </c>
      <c r="AJ18" s="192">
        <f t="shared" si="50"/>
        <v>223.5</v>
      </c>
      <c r="AK18" s="192">
        <f t="shared" si="28"/>
        <v>2235</v>
      </c>
      <c r="AL18" s="192">
        <f t="shared" si="51"/>
        <v>223.5</v>
      </c>
      <c r="AM18" s="192">
        <f t="shared" si="29"/>
        <v>2235</v>
      </c>
      <c r="AN18" s="34">
        <f t="shared" si="30"/>
        <v>0.79821428571428577</v>
      </c>
      <c r="AO18" s="35">
        <f t="shared" si="54"/>
        <v>15645</v>
      </c>
      <c r="AQ18" s="208">
        <f t="shared" si="55"/>
        <v>0.72197847380528579</v>
      </c>
      <c r="AR18" s="37">
        <f t="shared" si="56"/>
        <v>67122.338709677424</v>
      </c>
      <c r="AS18" s="186">
        <f>SUM(AR18-AR17-AT18)</f>
        <v>0</v>
      </c>
      <c r="AT18" s="303"/>
      <c r="AU18" s="475"/>
      <c r="AV18" s="432">
        <f t="shared" ref="AV18:AV36" si="62">IF(AT18&gt;0,AU18,AV17)</f>
        <v>0.89</v>
      </c>
      <c r="AW18" s="251">
        <f>-SUM('B5'!AI17)</f>
        <v>0</v>
      </c>
      <c r="AX18" s="251">
        <f t="shared" si="31"/>
        <v>0</v>
      </c>
      <c r="AY18" s="36">
        <f t="shared" si="52"/>
        <v>0</v>
      </c>
      <c r="AZ18" s="96">
        <f>ELEC!A16</f>
        <v>0</v>
      </c>
      <c r="BA18" s="114">
        <f>'General information '!D17</f>
        <v>0</v>
      </c>
      <c r="BB18" s="193">
        <f>SUM('General information '!E17)</f>
        <v>0</v>
      </c>
      <c r="BC18" s="3">
        <f t="shared" si="59"/>
        <v>0</v>
      </c>
      <c r="BD18" s="98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61"/>
        <v>0</v>
      </c>
      <c r="BK18" s="469"/>
    </row>
    <row r="19" spans="1:64">
      <c r="A19" s="379">
        <f>ELEC!C17</f>
        <v>44940</v>
      </c>
      <c r="B19" s="440">
        <f>'B5'!B18</f>
        <v>217.5</v>
      </c>
      <c r="C19" s="192">
        <f t="shared" si="32"/>
        <v>4679.7580645161288</v>
      </c>
      <c r="D19">
        <f t="shared" si="33"/>
        <v>217.5</v>
      </c>
      <c r="E19" s="192">
        <f t="shared" si="32"/>
        <v>4679.7580645161288</v>
      </c>
      <c r="F19">
        <f t="shared" si="34"/>
        <v>217.5</v>
      </c>
      <c r="G19" s="192">
        <f t="shared" si="16"/>
        <v>4679.7580645161288</v>
      </c>
      <c r="H19" s="192">
        <f t="shared" si="35"/>
        <v>217.5</v>
      </c>
      <c r="I19" s="192">
        <f t="shared" si="17"/>
        <v>4679.7580645161288</v>
      </c>
      <c r="J19" s="192">
        <f t="shared" si="36"/>
        <v>217.5</v>
      </c>
      <c r="K19" s="192">
        <f t="shared" si="18"/>
        <v>4679.7580645161288</v>
      </c>
      <c r="L19" s="192">
        <f t="shared" si="37"/>
        <v>217.5</v>
      </c>
      <c r="M19" s="192">
        <f t="shared" si="19"/>
        <v>4679.7580645161288</v>
      </c>
      <c r="N19" s="192">
        <f t="shared" si="38"/>
        <v>217.5</v>
      </c>
      <c r="O19" s="192">
        <f t="shared" si="20"/>
        <v>4679.7580645161288</v>
      </c>
      <c r="P19" s="192">
        <f t="shared" si="39"/>
        <v>217.5</v>
      </c>
      <c r="Q19" s="192">
        <f t="shared" si="21"/>
        <v>4679.7580645161288</v>
      </c>
      <c r="R19" s="192">
        <f t="shared" si="40"/>
        <v>217.5</v>
      </c>
      <c r="S19" s="192">
        <f t="shared" si="22"/>
        <v>4679.7580645161288</v>
      </c>
      <c r="T19" s="192">
        <f t="shared" si="41"/>
        <v>217.5</v>
      </c>
      <c r="U19" s="192">
        <f t="shared" si="23"/>
        <v>4679.7580645161288</v>
      </c>
      <c r="V19" s="192">
        <f t="shared" si="42"/>
        <v>217.5</v>
      </c>
      <c r="W19" s="192">
        <f t="shared" si="24"/>
        <v>4679.7580645161288</v>
      </c>
      <c r="X19" s="34">
        <f t="shared" si="43"/>
        <v>0.70161290322580638</v>
      </c>
      <c r="Y19" s="35">
        <f t="shared" si="44"/>
        <v>51477.338709677417</v>
      </c>
      <c r="Z19" s="440">
        <f>'B5'!C18</f>
        <v>223.5</v>
      </c>
      <c r="AA19" s="192">
        <f t="shared" si="45"/>
        <v>2235</v>
      </c>
      <c r="AB19" s="192">
        <f t="shared" si="46"/>
        <v>223.5</v>
      </c>
      <c r="AC19" s="192">
        <f t="shared" si="45"/>
        <v>2235</v>
      </c>
      <c r="AD19" s="192">
        <f t="shared" si="47"/>
        <v>223.5</v>
      </c>
      <c r="AE19" s="192">
        <f t="shared" si="25"/>
        <v>2235</v>
      </c>
      <c r="AF19" s="192">
        <f t="shared" si="48"/>
        <v>223.5</v>
      </c>
      <c r="AG19" s="192">
        <f t="shared" si="26"/>
        <v>2235</v>
      </c>
      <c r="AH19" s="192">
        <f t="shared" si="49"/>
        <v>223.5</v>
      </c>
      <c r="AI19" s="192">
        <f t="shared" si="27"/>
        <v>2235</v>
      </c>
      <c r="AJ19" s="192">
        <f t="shared" si="50"/>
        <v>223.5</v>
      </c>
      <c r="AK19" s="192">
        <f t="shared" si="28"/>
        <v>2235</v>
      </c>
      <c r="AL19" s="192">
        <f t="shared" si="51"/>
        <v>223.5</v>
      </c>
      <c r="AM19" s="192">
        <f t="shared" si="29"/>
        <v>2235</v>
      </c>
      <c r="AN19" s="34">
        <f t="shared" si="30"/>
        <v>0.79821428571428577</v>
      </c>
      <c r="AO19" s="35">
        <f t="shared" si="54"/>
        <v>15645</v>
      </c>
      <c r="AQ19" s="208">
        <f t="shared" si="55"/>
        <v>0.72197847380528579</v>
      </c>
      <c r="AR19" s="37">
        <f t="shared" si="56"/>
        <v>67122.338709677424</v>
      </c>
      <c r="AS19" s="186">
        <f t="shared" si="57"/>
        <v>0</v>
      </c>
      <c r="AT19" s="303"/>
      <c r="AU19" s="475"/>
      <c r="AV19" s="432">
        <f t="shared" si="62"/>
        <v>0.89</v>
      </c>
      <c r="AW19" s="251">
        <f>-SUM('B5'!AI18)</f>
        <v>0</v>
      </c>
      <c r="AX19" s="251">
        <f t="shared" si="31"/>
        <v>0</v>
      </c>
      <c r="AY19" s="36">
        <f t="shared" si="52"/>
        <v>0</v>
      </c>
      <c r="AZ19" s="96">
        <f>ELEC!A17</f>
        <v>0</v>
      </c>
      <c r="BA19" s="114">
        <f>'General information '!D18</f>
        <v>15.5</v>
      </c>
      <c r="BB19" s="193">
        <f>SUM('General information '!E18)</f>
        <v>0.63</v>
      </c>
      <c r="BC19" s="3">
        <f t="shared" si="59"/>
        <v>0</v>
      </c>
      <c r="BD19" s="98">
        <v>19222</v>
      </c>
      <c r="BE19" s="14">
        <f>(305/1185)*ELEC!Q18</f>
        <v>1054.2447257387487</v>
      </c>
      <c r="BF19" s="14"/>
      <c r="BG19" s="14" t="e">
        <f>#REF!-BE19</f>
        <v>#REF!</v>
      </c>
      <c r="BH19" s="11"/>
      <c r="BI19">
        <v>6</v>
      </c>
      <c r="BJ19">
        <f t="shared" si="61"/>
        <v>0</v>
      </c>
      <c r="BK19" s="469"/>
    </row>
    <row r="20" spans="1:64">
      <c r="A20" s="379">
        <f>ELEC!C18</f>
        <v>44941</v>
      </c>
      <c r="B20" s="440">
        <f>'B5'!B19</f>
        <v>232</v>
      </c>
      <c r="C20" s="192">
        <f t="shared" si="32"/>
        <v>4991.7419354838712</v>
      </c>
      <c r="D20">
        <f t="shared" si="33"/>
        <v>232</v>
      </c>
      <c r="E20" s="192">
        <f t="shared" si="32"/>
        <v>4991.7419354838712</v>
      </c>
      <c r="F20">
        <f t="shared" si="34"/>
        <v>232</v>
      </c>
      <c r="G20" s="192">
        <f t="shared" si="16"/>
        <v>4991.7419354838712</v>
      </c>
      <c r="H20" s="192">
        <f t="shared" si="35"/>
        <v>232</v>
      </c>
      <c r="I20" s="192">
        <f t="shared" si="17"/>
        <v>4991.7419354838712</v>
      </c>
      <c r="J20" s="192">
        <f t="shared" si="36"/>
        <v>232</v>
      </c>
      <c r="K20" s="192">
        <f t="shared" si="18"/>
        <v>4991.7419354838712</v>
      </c>
      <c r="L20" s="192">
        <f t="shared" si="37"/>
        <v>232</v>
      </c>
      <c r="M20" s="192">
        <f t="shared" si="19"/>
        <v>4991.7419354838712</v>
      </c>
      <c r="N20" s="192">
        <f t="shared" si="38"/>
        <v>232</v>
      </c>
      <c r="O20" s="192">
        <f t="shared" si="20"/>
        <v>4991.7419354838712</v>
      </c>
      <c r="P20" s="192">
        <f t="shared" si="39"/>
        <v>232</v>
      </c>
      <c r="Q20" s="192">
        <f t="shared" si="21"/>
        <v>4991.7419354838712</v>
      </c>
      <c r="R20" s="192">
        <f t="shared" si="40"/>
        <v>232</v>
      </c>
      <c r="S20" s="192">
        <f t="shared" si="22"/>
        <v>4991.7419354838712</v>
      </c>
      <c r="T20" s="192">
        <f t="shared" si="41"/>
        <v>232</v>
      </c>
      <c r="U20" s="192">
        <f t="shared" si="23"/>
        <v>4991.7419354838712</v>
      </c>
      <c r="V20" s="192">
        <f t="shared" si="42"/>
        <v>232</v>
      </c>
      <c r="W20" s="192">
        <f t="shared" si="24"/>
        <v>4991.7419354838712</v>
      </c>
      <c r="X20" s="34">
        <f t="shared" si="43"/>
        <v>0.74838709677419357</v>
      </c>
      <c r="Y20" s="35">
        <f t="shared" si="44"/>
        <v>54909.161290322583</v>
      </c>
      <c r="Z20" s="440">
        <f>'B5'!C19</f>
        <v>239</v>
      </c>
      <c r="AA20" s="192">
        <f t="shared" si="45"/>
        <v>2390</v>
      </c>
      <c r="AB20" s="192">
        <f t="shared" si="46"/>
        <v>239</v>
      </c>
      <c r="AC20" s="192">
        <f t="shared" si="45"/>
        <v>2390</v>
      </c>
      <c r="AD20" s="192">
        <f t="shared" si="47"/>
        <v>239</v>
      </c>
      <c r="AE20" s="192">
        <f t="shared" si="25"/>
        <v>2390</v>
      </c>
      <c r="AF20" s="192">
        <f t="shared" si="48"/>
        <v>239</v>
      </c>
      <c r="AG20" s="192">
        <f t="shared" si="26"/>
        <v>2390</v>
      </c>
      <c r="AH20" s="192">
        <f t="shared" si="49"/>
        <v>239</v>
      </c>
      <c r="AI20" s="192">
        <f t="shared" si="27"/>
        <v>2390</v>
      </c>
      <c r="AJ20" s="192">
        <f t="shared" si="50"/>
        <v>239</v>
      </c>
      <c r="AK20" s="192">
        <f t="shared" si="28"/>
        <v>2390</v>
      </c>
      <c r="AL20" s="192">
        <f t="shared" si="51"/>
        <v>239</v>
      </c>
      <c r="AM20" s="192">
        <f t="shared" si="29"/>
        <v>2390</v>
      </c>
      <c r="AN20" s="34">
        <f t="shared" si="30"/>
        <v>0.85357142857142854</v>
      </c>
      <c r="AO20" s="35">
        <f t="shared" si="54"/>
        <v>16730</v>
      </c>
      <c r="AQ20" s="208">
        <f t="shared" si="55"/>
        <v>0.77056213069078816</v>
      </c>
      <c r="AR20" s="37">
        <f t="shared" si="56"/>
        <v>71639.161290322576</v>
      </c>
      <c r="AS20" s="186">
        <f t="shared" si="57"/>
        <v>-1013.1774193548481</v>
      </c>
      <c r="AT20" s="303">
        <v>5530</v>
      </c>
      <c r="AU20" s="475">
        <v>0.86799999999999999</v>
      </c>
      <c r="AV20" s="432">
        <f t="shared" si="62"/>
        <v>0.86799999999999999</v>
      </c>
      <c r="AW20" s="251">
        <f>-SUM('B5'!AI19)</f>
        <v>-258</v>
      </c>
      <c r="AX20" s="251">
        <f>-SUM(AW20-AS20)</f>
        <v>-755.1774193548481</v>
      </c>
      <c r="AY20" s="36">
        <f t="shared" si="52"/>
        <v>-1013.1774193548481</v>
      </c>
      <c r="AZ20" s="96">
        <f>ELEC!A18</f>
        <v>0</v>
      </c>
      <c r="BA20" s="114">
        <f>'General information '!D19</f>
        <v>15.5</v>
      </c>
      <c r="BB20" s="193">
        <f>SUM('General information '!E19)</f>
        <v>0.7</v>
      </c>
      <c r="BC20" s="3">
        <f t="shared" si="59"/>
        <v>1</v>
      </c>
      <c r="BD20" s="98">
        <v>19222</v>
      </c>
      <c r="BE20" s="14">
        <f>(305/1185)*ELEC!Q19</f>
        <v>857.60337552704425</v>
      </c>
      <c r="BF20" s="14"/>
      <c r="BG20" s="14" t="e">
        <f>#REF!-BE20</f>
        <v>#REF!</v>
      </c>
      <c r="BH20" s="11"/>
      <c r="BI20">
        <v>7</v>
      </c>
      <c r="BJ20">
        <f t="shared" si="61"/>
        <v>-107.88248847926401</v>
      </c>
      <c r="BK20" s="469">
        <f>GEN!AF17</f>
        <v>0.18285714285720392</v>
      </c>
      <c r="BL20" s="192"/>
    </row>
    <row r="21" spans="1:64">
      <c r="A21" s="379">
        <f>ELEC!C19</f>
        <v>44942</v>
      </c>
      <c r="B21" s="440">
        <f>'B5'!B20</f>
        <v>229</v>
      </c>
      <c r="C21" s="192">
        <f t="shared" si="32"/>
        <v>4927.1935483870966</v>
      </c>
      <c r="D21">
        <f t="shared" si="33"/>
        <v>229</v>
      </c>
      <c r="E21" s="192">
        <f t="shared" si="32"/>
        <v>4927.1935483870966</v>
      </c>
      <c r="F21">
        <f t="shared" si="34"/>
        <v>229</v>
      </c>
      <c r="G21" s="192">
        <f t="shared" si="16"/>
        <v>4927.1935483870966</v>
      </c>
      <c r="H21" s="192">
        <f t="shared" si="35"/>
        <v>229</v>
      </c>
      <c r="I21" s="192">
        <f t="shared" si="17"/>
        <v>4927.1935483870966</v>
      </c>
      <c r="J21" s="192">
        <f t="shared" si="36"/>
        <v>229</v>
      </c>
      <c r="K21" s="192">
        <f t="shared" si="18"/>
        <v>4927.1935483870966</v>
      </c>
      <c r="L21" s="192">
        <f t="shared" si="37"/>
        <v>229</v>
      </c>
      <c r="M21" s="192">
        <f t="shared" si="19"/>
        <v>4927.1935483870966</v>
      </c>
      <c r="N21" s="192">
        <f t="shared" si="38"/>
        <v>229</v>
      </c>
      <c r="O21" s="192">
        <f t="shared" si="20"/>
        <v>4927.1935483870966</v>
      </c>
      <c r="P21" s="192">
        <f t="shared" si="39"/>
        <v>229</v>
      </c>
      <c r="Q21" s="192">
        <f t="shared" si="21"/>
        <v>4927.1935483870966</v>
      </c>
      <c r="R21" s="192">
        <f t="shared" si="40"/>
        <v>229</v>
      </c>
      <c r="S21" s="192">
        <f t="shared" si="22"/>
        <v>4927.1935483870966</v>
      </c>
      <c r="T21" s="192">
        <f t="shared" si="41"/>
        <v>229</v>
      </c>
      <c r="U21" s="192">
        <f t="shared" si="23"/>
        <v>4927.1935483870966</v>
      </c>
      <c r="V21" s="192">
        <f t="shared" si="42"/>
        <v>229</v>
      </c>
      <c r="W21" s="192">
        <f t="shared" si="24"/>
        <v>4927.1935483870966</v>
      </c>
      <c r="X21" s="34">
        <f t="shared" si="43"/>
        <v>0.738709677419355</v>
      </c>
      <c r="Y21" s="35">
        <f t="shared" si="44"/>
        <v>54199.129032258075</v>
      </c>
      <c r="Z21" s="440">
        <f>'B5'!C20</f>
        <v>235</v>
      </c>
      <c r="AA21" s="192">
        <f t="shared" si="45"/>
        <v>2350</v>
      </c>
      <c r="AB21" s="192">
        <f t="shared" si="46"/>
        <v>235</v>
      </c>
      <c r="AC21" s="192">
        <f t="shared" si="45"/>
        <v>2350</v>
      </c>
      <c r="AD21" s="192">
        <f t="shared" si="47"/>
        <v>235</v>
      </c>
      <c r="AE21" s="192">
        <f t="shared" si="25"/>
        <v>2350</v>
      </c>
      <c r="AF21" s="192">
        <f t="shared" si="48"/>
        <v>235</v>
      </c>
      <c r="AG21" s="192">
        <f t="shared" si="26"/>
        <v>2350</v>
      </c>
      <c r="AH21" s="192">
        <f t="shared" si="49"/>
        <v>235</v>
      </c>
      <c r="AI21" s="192">
        <f t="shared" si="27"/>
        <v>2350</v>
      </c>
      <c r="AJ21" s="192">
        <f t="shared" si="50"/>
        <v>235</v>
      </c>
      <c r="AK21" s="192">
        <f t="shared" si="28"/>
        <v>2350</v>
      </c>
      <c r="AL21" s="192">
        <f t="shared" si="51"/>
        <v>235</v>
      </c>
      <c r="AM21" s="192">
        <f t="shared" si="29"/>
        <v>2350</v>
      </c>
      <c r="AN21" s="34">
        <f t="shared" si="30"/>
        <v>0.8392857142857143</v>
      </c>
      <c r="AO21" s="35">
        <f t="shared" si="54"/>
        <v>16450</v>
      </c>
      <c r="AQ21" s="208">
        <f t="shared" si="55"/>
        <v>0.75991318739655889</v>
      </c>
      <c r="AR21" s="37">
        <f t="shared" si="56"/>
        <v>70649.129032258075</v>
      </c>
      <c r="AS21" s="186">
        <f>SUM(AR21-AR20-AT21)</f>
        <v>-990.03225806450064</v>
      </c>
      <c r="AT21" s="303"/>
      <c r="AU21" s="475"/>
      <c r="AV21" s="432">
        <f t="shared" si="62"/>
        <v>0.86799999999999999</v>
      </c>
      <c r="AW21" s="251">
        <f>-SUM('B5'!AI20)</f>
        <v>-182</v>
      </c>
      <c r="AX21" s="251">
        <f t="shared" si="31"/>
        <v>-808.03225806450064</v>
      </c>
      <c r="AY21" s="36">
        <f t="shared" si="52"/>
        <v>-990.03225806450064</v>
      </c>
      <c r="AZ21" s="96">
        <f>ELEC!A19</f>
        <v>0</v>
      </c>
      <c r="BA21" s="114">
        <f>'General information '!D20</f>
        <v>16</v>
      </c>
      <c r="BB21" s="193">
        <f>SUM('General information '!E20)</f>
        <v>0.7</v>
      </c>
      <c r="BC21" s="3">
        <f t="shared" si="59"/>
        <v>0</v>
      </c>
      <c r="BD21" s="98">
        <v>19222</v>
      </c>
      <c r="BE21" s="14">
        <f>(305/1185)*ELEC!Q20</f>
        <v>816.67932489422265</v>
      </c>
      <c r="BF21" s="14"/>
      <c r="BG21" s="14" t="e">
        <f>#REF!-BE21</f>
        <v>#REF!</v>
      </c>
      <c r="BH21" s="11"/>
      <c r="BI21">
        <v>8</v>
      </c>
      <c r="BJ21">
        <f t="shared" si="61"/>
        <v>-101.00403225806258</v>
      </c>
      <c r="BK21" s="469">
        <f>GEN!AF18</f>
        <v>0.16019230769223633</v>
      </c>
    </row>
    <row r="22" spans="1:64">
      <c r="A22" s="379">
        <f>ELEC!C20</f>
        <v>44943</v>
      </c>
      <c r="B22" s="440">
        <f>'B5'!B21</f>
        <v>224</v>
      </c>
      <c r="C22" s="192">
        <f t="shared" si="32"/>
        <v>4819.6129032258068</v>
      </c>
      <c r="D22">
        <f t="shared" si="33"/>
        <v>224</v>
      </c>
      <c r="E22" s="192">
        <f t="shared" si="32"/>
        <v>4819.6129032258068</v>
      </c>
      <c r="F22">
        <f t="shared" si="34"/>
        <v>224</v>
      </c>
      <c r="G22" s="192">
        <f t="shared" si="16"/>
        <v>4819.6129032258068</v>
      </c>
      <c r="H22" s="192">
        <f t="shared" si="35"/>
        <v>224</v>
      </c>
      <c r="I22" s="192">
        <f t="shared" si="17"/>
        <v>4819.6129032258068</v>
      </c>
      <c r="J22" s="192">
        <f t="shared" si="36"/>
        <v>224</v>
      </c>
      <c r="K22" s="192">
        <f t="shared" si="18"/>
        <v>4819.6129032258068</v>
      </c>
      <c r="L22" s="192">
        <f t="shared" si="37"/>
        <v>224</v>
      </c>
      <c r="M22" s="192">
        <f t="shared" si="19"/>
        <v>4819.6129032258068</v>
      </c>
      <c r="N22" s="192">
        <f t="shared" si="38"/>
        <v>224</v>
      </c>
      <c r="O22" s="192">
        <f t="shared" si="20"/>
        <v>4819.6129032258068</v>
      </c>
      <c r="P22" s="192">
        <f t="shared" si="39"/>
        <v>224</v>
      </c>
      <c r="Q22" s="192">
        <f t="shared" si="21"/>
        <v>4819.6129032258068</v>
      </c>
      <c r="R22" s="192">
        <f t="shared" si="40"/>
        <v>224</v>
      </c>
      <c r="S22" s="192">
        <f t="shared" si="22"/>
        <v>4819.6129032258068</v>
      </c>
      <c r="T22" s="192">
        <f t="shared" si="41"/>
        <v>224</v>
      </c>
      <c r="U22" s="192">
        <f t="shared" si="23"/>
        <v>4819.6129032258068</v>
      </c>
      <c r="V22" s="192">
        <f t="shared" si="42"/>
        <v>224</v>
      </c>
      <c r="W22" s="192">
        <f t="shared" si="24"/>
        <v>4819.6129032258068</v>
      </c>
      <c r="X22" s="34">
        <f t="shared" si="43"/>
        <v>0.72258064516129028</v>
      </c>
      <c r="Y22" s="35">
        <f t="shared" si="44"/>
        <v>53015.741935483864</v>
      </c>
      <c r="Z22" s="440">
        <f>'B5'!C21</f>
        <v>230</v>
      </c>
      <c r="AA22" s="192">
        <f t="shared" si="45"/>
        <v>2300</v>
      </c>
      <c r="AB22" s="192">
        <f t="shared" si="46"/>
        <v>230</v>
      </c>
      <c r="AC22" s="192">
        <f t="shared" si="45"/>
        <v>2300</v>
      </c>
      <c r="AD22" s="192">
        <f t="shared" si="47"/>
        <v>230</v>
      </c>
      <c r="AE22" s="192">
        <f t="shared" si="25"/>
        <v>2300</v>
      </c>
      <c r="AF22" s="192">
        <f t="shared" si="48"/>
        <v>230</v>
      </c>
      <c r="AG22" s="192">
        <f t="shared" si="26"/>
        <v>2300</v>
      </c>
      <c r="AH22" s="192">
        <f t="shared" si="49"/>
        <v>230</v>
      </c>
      <c r="AI22" s="192">
        <f t="shared" si="27"/>
        <v>2300</v>
      </c>
      <c r="AJ22" s="192">
        <f t="shared" si="50"/>
        <v>230</v>
      </c>
      <c r="AK22" s="192">
        <f t="shared" si="28"/>
        <v>2300</v>
      </c>
      <c r="AL22" s="192">
        <f t="shared" si="51"/>
        <v>230</v>
      </c>
      <c r="AM22" s="192">
        <f t="shared" si="29"/>
        <v>2300</v>
      </c>
      <c r="AN22" s="34">
        <f t="shared" si="30"/>
        <v>0.8214285714285714</v>
      </c>
      <c r="AO22" s="35">
        <f t="shared" si="54"/>
        <v>16100</v>
      </c>
      <c r="AQ22" s="208">
        <f t="shared" si="55"/>
        <v>0.74341983366122255</v>
      </c>
      <c r="AR22" s="37">
        <f t="shared" si="56"/>
        <v>69115.741935483864</v>
      </c>
      <c r="AS22" s="186">
        <f t="shared" ref="AS22:AS32" si="63">SUM(AR22-AR21-AT22)</f>
        <v>-1533.3870967742114</v>
      </c>
      <c r="AT22" s="303"/>
      <c r="AU22" s="475"/>
      <c r="AV22" s="432">
        <f t="shared" si="62"/>
        <v>0.86799999999999999</v>
      </c>
      <c r="AW22" s="251">
        <f>-SUM('B5'!AI21)</f>
        <v>-185</v>
      </c>
      <c r="AX22" s="251">
        <f>-SUM(AW22-AS22)</f>
        <v>-1348.3870967742114</v>
      </c>
      <c r="AY22" s="36">
        <f t="shared" si="52"/>
        <v>-1533.3870967742114</v>
      </c>
      <c r="AZ22" s="96">
        <f>ELEC!A20</f>
        <v>0</v>
      </c>
      <c r="BA22" s="114">
        <f>'General information '!D21</f>
        <v>16</v>
      </c>
      <c r="BB22" s="193">
        <f>SUM('General information '!E21)</f>
        <v>0.65</v>
      </c>
      <c r="BC22" s="3">
        <f t="shared" si="59"/>
        <v>0</v>
      </c>
      <c r="BD22" s="98">
        <v>19222</v>
      </c>
      <c r="BE22" s="14">
        <f>(305/1185)*ELEC!Q21</f>
        <v>921.43459915656763</v>
      </c>
      <c r="BF22" s="14"/>
      <c r="BG22" s="14" t="e">
        <f>#REF!-BE22</f>
        <v>#REF!</v>
      </c>
      <c r="BH22" s="11"/>
      <c r="BI22">
        <v>9</v>
      </c>
      <c r="BJ22">
        <f t="shared" si="61"/>
        <v>-149.82078853046792</v>
      </c>
      <c r="BK22" s="469">
        <f>GEN!AF19</f>
        <v>0.19831249999992906</v>
      </c>
    </row>
    <row r="23" spans="1:64">
      <c r="A23" s="379">
        <f>ELEC!C21</f>
        <v>44944</v>
      </c>
      <c r="B23" s="440">
        <f>'B5'!B22</f>
        <v>240</v>
      </c>
      <c r="C23" s="192">
        <f t="shared" si="32"/>
        <v>5163.8709677419356</v>
      </c>
      <c r="D23">
        <f t="shared" si="33"/>
        <v>240</v>
      </c>
      <c r="E23" s="192">
        <f t="shared" si="32"/>
        <v>5163.8709677419356</v>
      </c>
      <c r="F23">
        <f t="shared" si="34"/>
        <v>240</v>
      </c>
      <c r="G23" s="192">
        <f t="shared" si="16"/>
        <v>5163.8709677419356</v>
      </c>
      <c r="H23" s="192">
        <f t="shared" si="35"/>
        <v>240</v>
      </c>
      <c r="I23" s="192">
        <f t="shared" si="17"/>
        <v>5163.8709677419356</v>
      </c>
      <c r="J23" s="192">
        <f t="shared" si="36"/>
        <v>240</v>
      </c>
      <c r="K23" s="192">
        <f t="shared" si="18"/>
        <v>5163.8709677419356</v>
      </c>
      <c r="L23" s="192">
        <f t="shared" si="37"/>
        <v>240</v>
      </c>
      <c r="M23" s="192">
        <f t="shared" si="19"/>
        <v>5163.8709677419356</v>
      </c>
      <c r="N23" s="192">
        <f t="shared" si="38"/>
        <v>240</v>
      </c>
      <c r="O23" s="192">
        <f t="shared" si="20"/>
        <v>5163.8709677419356</v>
      </c>
      <c r="P23" s="192">
        <f t="shared" si="39"/>
        <v>240</v>
      </c>
      <c r="Q23" s="192">
        <f t="shared" si="21"/>
        <v>5163.8709677419356</v>
      </c>
      <c r="R23" s="192">
        <f t="shared" si="40"/>
        <v>240</v>
      </c>
      <c r="S23" s="192">
        <f t="shared" si="22"/>
        <v>5163.8709677419356</v>
      </c>
      <c r="T23" s="192">
        <f t="shared" si="41"/>
        <v>240</v>
      </c>
      <c r="U23" s="192">
        <f t="shared" si="23"/>
        <v>5163.8709677419356</v>
      </c>
      <c r="V23" s="192">
        <f t="shared" si="42"/>
        <v>240</v>
      </c>
      <c r="W23" s="192">
        <f t="shared" si="24"/>
        <v>5163.8709677419356</v>
      </c>
      <c r="X23" s="34">
        <f t="shared" si="43"/>
        <v>0.77419354838709697</v>
      </c>
      <c r="Y23" s="35">
        <f t="shared" si="44"/>
        <v>56802.580645161303</v>
      </c>
      <c r="Z23" s="440">
        <f>'B5'!C22</f>
        <v>246</v>
      </c>
      <c r="AA23" s="192">
        <f t="shared" si="45"/>
        <v>2460</v>
      </c>
      <c r="AB23" s="192">
        <f t="shared" si="46"/>
        <v>246</v>
      </c>
      <c r="AC23" s="192">
        <f t="shared" si="45"/>
        <v>2460</v>
      </c>
      <c r="AD23" s="192">
        <f t="shared" si="47"/>
        <v>246</v>
      </c>
      <c r="AE23" s="192">
        <f t="shared" si="25"/>
        <v>2460</v>
      </c>
      <c r="AF23" s="192">
        <f t="shared" si="48"/>
        <v>246</v>
      </c>
      <c r="AG23" s="192">
        <f t="shared" si="26"/>
        <v>2460</v>
      </c>
      <c r="AH23" s="192">
        <f t="shared" si="49"/>
        <v>246</v>
      </c>
      <c r="AI23" s="192">
        <f t="shared" si="27"/>
        <v>2460</v>
      </c>
      <c r="AJ23" s="192">
        <f t="shared" si="50"/>
        <v>246</v>
      </c>
      <c r="AK23" s="192">
        <f t="shared" si="28"/>
        <v>2460</v>
      </c>
      <c r="AL23" s="192">
        <f t="shared" si="51"/>
        <v>246</v>
      </c>
      <c r="AM23" s="192">
        <f t="shared" si="29"/>
        <v>2460</v>
      </c>
      <c r="AN23" s="34">
        <f t="shared" si="30"/>
        <v>0.87857142857142856</v>
      </c>
      <c r="AO23" s="35">
        <f t="shared" si="54"/>
        <v>17220</v>
      </c>
      <c r="AQ23" s="208">
        <f t="shared" si="55"/>
        <v>0.79619856561429814</v>
      </c>
      <c r="AR23" s="37">
        <f t="shared" si="56"/>
        <v>74022.580645161303</v>
      </c>
      <c r="AS23" s="186">
        <f t="shared" si="63"/>
        <v>-623.1612903225614</v>
      </c>
      <c r="AT23" s="303">
        <v>5530</v>
      </c>
      <c r="AU23" s="475">
        <v>0.88300000000000001</v>
      </c>
      <c r="AV23" s="432">
        <f t="shared" si="62"/>
        <v>0.88300000000000001</v>
      </c>
      <c r="AW23" s="251">
        <f>-SUM('B5'!AI22)</f>
        <v>-143</v>
      </c>
      <c r="AX23" s="251">
        <f t="shared" si="31"/>
        <v>-480.1612903225614</v>
      </c>
      <c r="AY23" s="36">
        <f t="shared" si="52"/>
        <v>-623.1612903225614</v>
      </c>
      <c r="AZ23" s="96">
        <f>ELEC!A21</f>
        <v>0</v>
      </c>
      <c r="BA23" s="114">
        <f>'General information '!D22</f>
        <v>16.5</v>
      </c>
      <c r="BB23" s="193">
        <f>SUM('General information '!E22)</f>
        <v>0.68</v>
      </c>
      <c r="BC23" s="3">
        <f t="shared" si="59"/>
        <v>1</v>
      </c>
      <c r="BD23" s="98">
        <v>19222</v>
      </c>
      <c r="BE23" s="14">
        <f>(305/1185)*ELEC!Q22</f>
        <v>846.79324894537251</v>
      </c>
      <c r="BF23" s="14"/>
      <c r="BG23" s="14" t="e">
        <f>#REF!-BE23</f>
        <v>#REF!</v>
      </c>
      <c r="BH23" s="11"/>
      <c r="BI23">
        <v>10</v>
      </c>
      <c r="BJ23">
        <f t="shared" si="61"/>
        <v>-48.016129032256138</v>
      </c>
      <c r="BK23" s="469">
        <f>GEN!AF20</f>
        <v>0.15982142857150652</v>
      </c>
    </row>
    <row r="24" spans="1:64">
      <c r="A24" s="379">
        <f>ELEC!C22</f>
        <v>44945</v>
      </c>
      <c r="B24" s="440">
        <f>'B5'!B23</f>
        <v>236</v>
      </c>
      <c r="C24" s="192">
        <f t="shared" si="32"/>
        <v>5077.8064516129034</v>
      </c>
      <c r="D24">
        <f t="shared" si="33"/>
        <v>236</v>
      </c>
      <c r="E24" s="192">
        <f t="shared" si="32"/>
        <v>5077.8064516129034</v>
      </c>
      <c r="F24">
        <f t="shared" si="34"/>
        <v>236</v>
      </c>
      <c r="G24" s="192">
        <f t="shared" si="16"/>
        <v>5077.8064516129034</v>
      </c>
      <c r="H24" s="192">
        <f t="shared" si="35"/>
        <v>236</v>
      </c>
      <c r="I24" s="192">
        <f t="shared" si="17"/>
        <v>5077.8064516129034</v>
      </c>
      <c r="J24" s="192">
        <f t="shared" si="36"/>
        <v>236</v>
      </c>
      <c r="K24" s="192">
        <f t="shared" si="18"/>
        <v>5077.8064516129034</v>
      </c>
      <c r="L24" s="192">
        <f t="shared" si="37"/>
        <v>236</v>
      </c>
      <c r="M24" s="192">
        <f t="shared" si="19"/>
        <v>5077.8064516129034</v>
      </c>
      <c r="N24" s="192">
        <f t="shared" si="38"/>
        <v>236</v>
      </c>
      <c r="O24" s="192">
        <f t="shared" si="20"/>
        <v>5077.8064516129034</v>
      </c>
      <c r="P24" s="192">
        <f t="shared" si="39"/>
        <v>236</v>
      </c>
      <c r="Q24" s="192">
        <f t="shared" si="21"/>
        <v>5077.8064516129034</v>
      </c>
      <c r="R24" s="192">
        <f t="shared" si="40"/>
        <v>236</v>
      </c>
      <c r="S24" s="192">
        <f t="shared" si="22"/>
        <v>5077.8064516129034</v>
      </c>
      <c r="T24" s="192">
        <f t="shared" si="41"/>
        <v>236</v>
      </c>
      <c r="U24" s="192">
        <f t="shared" si="23"/>
        <v>5077.8064516129034</v>
      </c>
      <c r="V24" s="192">
        <f t="shared" si="42"/>
        <v>236</v>
      </c>
      <c r="W24" s="192">
        <f t="shared" si="24"/>
        <v>5077.8064516129034</v>
      </c>
      <c r="X24" s="34">
        <f t="shared" si="43"/>
        <v>0.761290322580645</v>
      </c>
      <c r="Y24" s="35">
        <f t="shared" si="44"/>
        <v>55855.870967741925</v>
      </c>
      <c r="Z24" s="440">
        <f>'B5'!C23</f>
        <v>242</v>
      </c>
      <c r="AA24" s="192">
        <f t="shared" si="45"/>
        <v>2420</v>
      </c>
      <c r="AB24" s="192">
        <f t="shared" si="46"/>
        <v>242</v>
      </c>
      <c r="AC24" s="192">
        <f t="shared" si="45"/>
        <v>2420</v>
      </c>
      <c r="AD24" s="192">
        <f t="shared" si="47"/>
        <v>242</v>
      </c>
      <c r="AE24" s="192">
        <f t="shared" si="25"/>
        <v>2420</v>
      </c>
      <c r="AF24" s="192">
        <f t="shared" si="48"/>
        <v>242</v>
      </c>
      <c r="AG24" s="192">
        <f t="shared" si="26"/>
        <v>2420</v>
      </c>
      <c r="AH24" s="192">
        <f t="shared" si="49"/>
        <v>242</v>
      </c>
      <c r="AI24" s="192">
        <f t="shared" si="27"/>
        <v>2420</v>
      </c>
      <c r="AJ24" s="192">
        <f t="shared" si="50"/>
        <v>242</v>
      </c>
      <c r="AK24" s="192">
        <f t="shared" si="28"/>
        <v>2420</v>
      </c>
      <c r="AL24" s="192">
        <f t="shared" si="51"/>
        <v>242</v>
      </c>
      <c r="AM24" s="192">
        <f t="shared" si="29"/>
        <v>2420</v>
      </c>
      <c r="AN24" s="34">
        <f t="shared" si="30"/>
        <v>0.86428571428571432</v>
      </c>
      <c r="AO24" s="35">
        <f t="shared" si="54"/>
        <v>16940</v>
      </c>
      <c r="AQ24" s="208">
        <f t="shared" si="55"/>
        <v>0.78300388262602905</v>
      </c>
      <c r="AR24" s="37">
        <f t="shared" si="56"/>
        <v>72795.870967741925</v>
      </c>
      <c r="AS24" s="186">
        <f t="shared" si="63"/>
        <v>-1226.7096774193778</v>
      </c>
      <c r="AT24" s="303"/>
      <c r="AU24" s="475"/>
      <c r="AV24" s="432">
        <f t="shared" si="62"/>
        <v>0.88300000000000001</v>
      </c>
      <c r="AW24" s="251">
        <f>-SUM('B5'!AI23)</f>
        <v>-150</v>
      </c>
      <c r="AX24" s="251">
        <f t="shared" si="31"/>
        <v>-1076.7096774193778</v>
      </c>
      <c r="AY24" s="36">
        <f t="shared" si="52"/>
        <v>-1226.7096774193778</v>
      </c>
      <c r="AZ24" s="96">
        <f>ELEC!A22</f>
        <v>0</v>
      </c>
      <c r="BA24" s="114">
        <f>'General information '!D23</f>
        <v>16.5</v>
      </c>
      <c r="BB24" s="193">
        <f>SUM('General information '!E23)</f>
        <v>0.41</v>
      </c>
      <c r="BC24" s="3">
        <f t="shared" si="59"/>
        <v>0</v>
      </c>
      <c r="BD24" s="98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61"/>
        <v>-97.882697947216172</v>
      </c>
      <c r="BK24" s="469">
        <f>GEN!AF21</f>
        <v>0.1869318181818678</v>
      </c>
    </row>
    <row r="25" spans="1:64">
      <c r="A25" s="379">
        <f>ELEC!C23</f>
        <v>44946</v>
      </c>
      <c r="B25" s="440">
        <f>'B5'!B24</f>
        <v>236</v>
      </c>
      <c r="C25" s="192">
        <f t="shared" si="32"/>
        <v>5077.8064516129034</v>
      </c>
      <c r="D25">
        <f t="shared" si="33"/>
        <v>236</v>
      </c>
      <c r="E25" s="192">
        <f t="shared" si="32"/>
        <v>5077.8064516129034</v>
      </c>
      <c r="F25">
        <f t="shared" si="34"/>
        <v>236</v>
      </c>
      <c r="G25" s="192">
        <f t="shared" si="16"/>
        <v>5077.8064516129034</v>
      </c>
      <c r="H25" s="192">
        <f t="shared" si="35"/>
        <v>236</v>
      </c>
      <c r="I25" s="192">
        <f t="shared" si="17"/>
        <v>5077.8064516129034</v>
      </c>
      <c r="J25" s="192">
        <f t="shared" si="36"/>
        <v>236</v>
      </c>
      <c r="K25" s="192">
        <f t="shared" si="18"/>
        <v>5077.8064516129034</v>
      </c>
      <c r="L25" s="192">
        <f t="shared" si="37"/>
        <v>236</v>
      </c>
      <c r="M25" s="192">
        <f t="shared" si="19"/>
        <v>5077.8064516129034</v>
      </c>
      <c r="N25" s="192">
        <f t="shared" si="38"/>
        <v>236</v>
      </c>
      <c r="O25" s="192">
        <f t="shared" si="20"/>
        <v>5077.8064516129034</v>
      </c>
      <c r="P25" s="192">
        <f t="shared" si="39"/>
        <v>236</v>
      </c>
      <c r="Q25" s="192">
        <f t="shared" si="21"/>
        <v>5077.8064516129034</v>
      </c>
      <c r="R25" s="192">
        <f t="shared" si="40"/>
        <v>236</v>
      </c>
      <c r="S25" s="192">
        <f t="shared" si="22"/>
        <v>5077.8064516129034</v>
      </c>
      <c r="T25" s="192">
        <f t="shared" si="41"/>
        <v>236</v>
      </c>
      <c r="U25" s="192">
        <f t="shared" si="23"/>
        <v>5077.8064516129034</v>
      </c>
      <c r="V25" s="192">
        <f t="shared" si="42"/>
        <v>236</v>
      </c>
      <c r="W25" s="192">
        <f t="shared" si="24"/>
        <v>5077.8064516129034</v>
      </c>
      <c r="X25" s="34">
        <f t="shared" si="43"/>
        <v>0.761290322580645</v>
      </c>
      <c r="Y25" s="35">
        <f t="shared" si="44"/>
        <v>55855.870967741925</v>
      </c>
      <c r="Z25" s="440">
        <f>'B5'!C24</f>
        <v>242</v>
      </c>
      <c r="AA25" s="192">
        <f t="shared" si="45"/>
        <v>2420</v>
      </c>
      <c r="AB25" s="192">
        <f t="shared" si="46"/>
        <v>242</v>
      </c>
      <c r="AC25" s="192">
        <f t="shared" si="45"/>
        <v>2420</v>
      </c>
      <c r="AD25" s="192">
        <f t="shared" si="47"/>
        <v>242</v>
      </c>
      <c r="AE25" s="192">
        <f t="shared" si="25"/>
        <v>2420</v>
      </c>
      <c r="AF25" s="192">
        <f t="shared" si="48"/>
        <v>242</v>
      </c>
      <c r="AG25" s="192">
        <f t="shared" si="26"/>
        <v>2420</v>
      </c>
      <c r="AH25" s="192">
        <f t="shared" si="49"/>
        <v>242</v>
      </c>
      <c r="AI25" s="192">
        <f t="shared" si="27"/>
        <v>2420</v>
      </c>
      <c r="AJ25" s="192">
        <f t="shared" si="50"/>
        <v>242</v>
      </c>
      <c r="AK25" s="192">
        <f t="shared" si="28"/>
        <v>2420</v>
      </c>
      <c r="AL25" s="192">
        <f t="shared" si="51"/>
        <v>242</v>
      </c>
      <c r="AM25" s="192">
        <f t="shared" si="29"/>
        <v>2420</v>
      </c>
      <c r="AN25" s="34">
        <f t="shared" si="30"/>
        <v>0.86428571428571432</v>
      </c>
      <c r="AO25" s="35">
        <f t="shared" si="54"/>
        <v>16940</v>
      </c>
      <c r="AQ25" s="208">
        <f t="shared" si="55"/>
        <v>0.78300388262602905</v>
      </c>
      <c r="AR25" s="37">
        <f t="shared" si="56"/>
        <v>72795.870967741925</v>
      </c>
      <c r="AS25" s="186">
        <f t="shared" si="63"/>
        <v>0</v>
      </c>
      <c r="AT25" s="303"/>
      <c r="AU25" s="475"/>
      <c r="AV25" s="432">
        <f t="shared" si="62"/>
        <v>0.88300000000000001</v>
      </c>
      <c r="AW25" s="251">
        <f>-SUM('B5'!AI24)</f>
        <v>0</v>
      </c>
      <c r="AX25" s="251">
        <f t="shared" si="31"/>
        <v>0</v>
      </c>
      <c r="AY25" s="36">
        <f t="shared" si="52"/>
        <v>0</v>
      </c>
      <c r="AZ25" s="96">
        <f>ELEC!A23</f>
        <v>0</v>
      </c>
      <c r="BA25" s="114">
        <f>'General information '!D24</f>
        <v>0</v>
      </c>
      <c r="BB25" s="193">
        <f>SUM('General information '!E24)</f>
        <v>0</v>
      </c>
      <c r="BC25" s="3">
        <f t="shared" si="59"/>
        <v>0</v>
      </c>
      <c r="BD25" s="98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61"/>
        <v>0</v>
      </c>
      <c r="BK25" s="469"/>
    </row>
    <row r="26" spans="1:64">
      <c r="A26" s="379">
        <f>ELEC!C24</f>
        <v>44947</v>
      </c>
      <c r="B26" s="440">
        <f>'B5'!B25</f>
        <v>236</v>
      </c>
      <c r="C26" s="192">
        <f t="shared" si="32"/>
        <v>5077.8064516129034</v>
      </c>
      <c r="D26">
        <f t="shared" si="33"/>
        <v>236</v>
      </c>
      <c r="E26" s="192">
        <f t="shared" si="32"/>
        <v>5077.8064516129034</v>
      </c>
      <c r="F26">
        <f t="shared" si="34"/>
        <v>236</v>
      </c>
      <c r="G26" s="192">
        <f t="shared" si="16"/>
        <v>5077.8064516129034</v>
      </c>
      <c r="H26" s="192">
        <f t="shared" si="35"/>
        <v>236</v>
      </c>
      <c r="I26" s="192">
        <f t="shared" si="17"/>
        <v>5077.8064516129034</v>
      </c>
      <c r="J26" s="192">
        <f t="shared" si="36"/>
        <v>236</v>
      </c>
      <c r="K26" s="192">
        <f t="shared" si="18"/>
        <v>5077.8064516129034</v>
      </c>
      <c r="L26" s="192">
        <f t="shared" si="37"/>
        <v>236</v>
      </c>
      <c r="M26" s="192">
        <f t="shared" si="19"/>
        <v>5077.8064516129034</v>
      </c>
      <c r="N26" s="192">
        <f t="shared" si="38"/>
        <v>236</v>
      </c>
      <c r="O26" s="192">
        <f t="shared" si="20"/>
        <v>5077.8064516129034</v>
      </c>
      <c r="P26" s="192">
        <f t="shared" si="39"/>
        <v>236</v>
      </c>
      <c r="Q26" s="192">
        <f t="shared" si="21"/>
        <v>5077.8064516129034</v>
      </c>
      <c r="R26" s="192">
        <f t="shared" si="40"/>
        <v>236</v>
      </c>
      <c r="S26" s="192">
        <f t="shared" si="22"/>
        <v>5077.8064516129034</v>
      </c>
      <c r="T26" s="192">
        <f t="shared" si="41"/>
        <v>236</v>
      </c>
      <c r="U26" s="192">
        <f t="shared" si="23"/>
        <v>5077.8064516129034</v>
      </c>
      <c r="V26" s="192">
        <f t="shared" si="42"/>
        <v>236</v>
      </c>
      <c r="W26" s="192">
        <f t="shared" si="24"/>
        <v>5077.8064516129034</v>
      </c>
      <c r="X26" s="34">
        <f t="shared" si="43"/>
        <v>0.761290322580645</v>
      </c>
      <c r="Y26" s="35">
        <f t="shared" si="44"/>
        <v>55855.870967741925</v>
      </c>
      <c r="Z26" s="440">
        <f>'B5'!C25</f>
        <v>242</v>
      </c>
      <c r="AA26" s="192">
        <f t="shared" si="45"/>
        <v>2420</v>
      </c>
      <c r="AB26" s="192">
        <f t="shared" si="46"/>
        <v>242</v>
      </c>
      <c r="AC26" s="192">
        <f t="shared" si="45"/>
        <v>2420</v>
      </c>
      <c r="AD26" s="192">
        <f t="shared" si="47"/>
        <v>242</v>
      </c>
      <c r="AE26" s="192">
        <f t="shared" si="25"/>
        <v>2420</v>
      </c>
      <c r="AF26" s="192">
        <f t="shared" si="48"/>
        <v>242</v>
      </c>
      <c r="AG26" s="192">
        <f t="shared" si="26"/>
        <v>2420</v>
      </c>
      <c r="AH26" s="192">
        <f t="shared" si="49"/>
        <v>242</v>
      </c>
      <c r="AI26" s="192">
        <f t="shared" si="27"/>
        <v>2420</v>
      </c>
      <c r="AJ26" s="192">
        <f t="shared" si="50"/>
        <v>242</v>
      </c>
      <c r="AK26" s="192">
        <f t="shared" si="28"/>
        <v>2420</v>
      </c>
      <c r="AL26" s="192">
        <f t="shared" si="51"/>
        <v>242</v>
      </c>
      <c r="AM26" s="192">
        <f t="shared" si="29"/>
        <v>2420</v>
      </c>
      <c r="AN26" s="34">
        <f t="shared" si="30"/>
        <v>0.86428571428571432</v>
      </c>
      <c r="AO26" s="35">
        <f t="shared" si="54"/>
        <v>16940</v>
      </c>
      <c r="AQ26" s="208">
        <f t="shared" si="55"/>
        <v>0.78300388262602905</v>
      </c>
      <c r="AR26" s="37">
        <f t="shared" si="56"/>
        <v>72795.870967741925</v>
      </c>
      <c r="AS26" s="186">
        <f t="shared" si="63"/>
        <v>0</v>
      </c>
      <c r="AT26" s="303"/>
      <c r="AU26" s="475"/>
      <c r="AV26" s="432">
        <f t="shared" si="62"/>
        <v>0.88300000000000001</v>
      </c>
      <c r="AW26" s="251">
        <f>-SUM('B5'!AI25)</f>
        <v>0</v>
      </c>
      <c r="AX26" s="251">
        <f t="shared" si="31"/>
        <v>0</v>
      </c>
      <c r="AY26" s="36">
        <f t="shared" si="52"/>
        <v>0</v>
      </c>
      <c r="AZ26" s="96">
        <f>ELEC!A24</f>
        <v>0</v>
      </c>
      <c r="BA26" s="114">
        <f>'General information '!D25</f>
        <v>0</v>
      </c>
      <c r="BB26" s="193">
        <f>SUM('General information '!E25)</f>
        <v>0</v>
      </c>
      <c r="BC26" s="3">
        <f t="shared" si="59"/>
        <v>0</v>
      </c>
      <c r="BD26" s="98">
        <v>19222</v>
      </c>
      <c r="BE26" s="14">
        <f>(305/1185)*ELEC!Q25</f>
        <v>758.76793248953391</v>
      </c>
      <c r="BF26" s="14"/>
      <c r="BG26" s="14" t="e">
        <f>#REF!-BE26</f>
        <v>#REF!</v>
      </c>
      <c r="BH26" s="11"/>
      <c r="BI26">
        <v>13</v>
      </c>
      <c r="BJ26">
        <f t="shared" si="61"/>
        <v>0</v>
      </c>
      <c r="BK26" s="469"/>
    </row>
    <row r="27" spans="1:64">
      <c r="A27" s="379">
        <f>ELEC!C25</f>
        <v>44948</v>
      </c>
      <c r="B27" s="440">
        <f>'B5'!B26</f>
        <v>232</v>
      </c>
      <c r="C27" s="192">
        <f t="shared" si="32"/>
        <v>4991.7419354838712</v>
      </c>
      <c r="D27">
        <f t="shared" si="33"/>
        <v>232</v>
      </c>
      <c r="E27" s="192">
        <f t="shared" si="32"/>
        <v>4991.7419354838712</v>
      </c>
      <c r="F27">
        <f t="shared" si="34"/>
        <v>232</v>
      </c>
      <c r="G27" s="192">
        <f t="shared" si="16"/>
        <v>4991.7419354838712</v>
      </c>
      <c r="H27" s="192">
        <f t="shared" si="35"/>
        <v>232</v>
      </c>
      <c r="I27" s="192">
        <f t="shared" si="17"/>
        <v>4991.7419354838712</v>
      </c>
      <c r="J27" s="192">
        <f t="shared" si="36"/>
        <v>232</v>
      </c>
      <c r="K27" s="192">
        <f t="shared" si="18"/>
        <v>4991.7419354838712</v>
      </c>
      <c r="L27" s="192">
        <f t="shared" si="37"/>
        <v>232</v>
      </c>
      <c r="M27" s="192">
        <f t="shared" si="19"/>
        <v>4991.7419354838712</v>
      </c>
      <c r="N27" s="192">
        <f t="shared" si="38"/>
        <v>232</v>
      </c>
      <c r="O27" s="192">
        <f t="shared" si="20"/>
        <v>4991.7419354838712</v>
      </c>
      <c r="P27" s="192">
        <f t="shared" si="39"/>
        <v>232</v>
      </c>
      <c r="Q27" s="192">
        <f t="shared" si="21"/>
        <v>4991.7419354838712</v>
      </c>
      <c r="R27" s="192">
        <f t="shared" si="40"/>
        <v>232</v>
      </c>
      <c r="S27" s="192">
        <f t="shared" si="22"/>
        <v>4991.7419354838712</v>
      </c>
      <c r="T27" s="192">
        <f t="shared" si="41"/>
        <v>232</v>
      </c>
      <c r="U27" s="192">
        <f t="shared" si="23"/>
        <v>4991.7419354838712</v>
      </c>
      <c r="V27" s="192">
        <f t="shared" si="42"/>
        <v>232</v>
      </c>
      <c r="W27" s="192">
        <f t="shared" si="24"/>
        <v>4991.7419354838712</v>
      </c>
      <c r="X27" s="34">
        <f t="shared" si="43"/>
        <v>0.74838709677419357</v>
      </c>
      <c r="Y27" s="35">
        <f t="shared" si="44"/>
        <v>54909.161290322583</v>
      </c>
      <c r="Z27" s="440">
        <f>'B5'!C26</f>
        <v>239</v>
      </c>
      <c r="AA27" s="192">
        <f t="shared" si="45"/>
        <v>2390</v>
      </c>
      <c r="AB27" s="192">
        <f t="shared" si="46"/>
        <v>239</v>
      </c>
      <c r="AC27" s="192">
        <f t="shared" si="45"/>
        <v>2390</v>
      </c>
      <c r="AD27" s="192">
        <f t="shared" si="47"/>
        <v>239</v>
      </c>
      <c r="AE27" s="192">
        <f t="shared" si="25"/>
        <v>2390</v>
      </c>
      <c r="AF27" s="192">
        <f t="shared" si="48"/>
        <v>239</v>
      </c>
      <c r="AG27" s="192">
        <f t="shared" si="26"/>
        <v>2390</v>
      </c>
      <c r="AH27" s="192">
        <f t="shared" si="49"/>
        <v>239</v>
      </c>
      <c r="AI27" s="192">
        <f t="shared" si="27"/>
        <v>2390</v>
      </c>
      <c r="AJ27" s="192">
        <f t="shared" si="50"/>
        <v>239</v>
      </c>
      <c r="AK27" s="192">
        <f t="shared" si="28"/>
        <v>2390</v>
      </c>
      <c r="AL27" s="192">
        <f t="shared" si="51"/>
        <v>239</v>
      </c>
      <c r="AM27" s="192">
        <f t="shared" si="29"/>
        <v>2390</v>
      </c>
      <c r="AN27" s="34">
        <f t="shared" si="30"/>
        <v>0.85357142857142854</v>
      </c>
      <c r="AO27" s="35">
        <f t="shared" si="54"/>
        <v>16730</v>
      </c>
      <c r="AQ27" s="208">
        <f t="shared" si="55"/>
        <v>0.77056213069078816</v>
      </c>
      <c r="AR27" s="37">
        <f t="shared" si="56"/>
        <v>71639.161290322576</v>
      </c>
      <c r="AS27" s="186">
        <f t="shared" si="63"/>
        <v>-1156.7096774193487</v>
      </c>
      <c r="AT27" s="303"/>
      <c r="AU27" s="475"/>
      <c r="AV27" s="432">
        <f t="shared" si="62"/>
        <v>0.88300000000000001</v>
      </c>
      <c r="AW27" s="251">
        <f>-SUM('B5'!AI26)</f>
        <v>-261</v>
      </c>
      <c r="AX27" s="251">
        <f t="shared" si="31"/>
        <v>-895.70967741934874</v>
      </c>
      <c r="AY27" s="36">
        <f t="shared" si="52"/>
        <v>-1156.7096774193487</v>
      </c>
      <c r="AZ27" s="96">
        <f>ELEC!A25</f>
        <v>0</v>
      </c>
      <c r="BA27" s="114">
        <f>'General information '!D26</f>
        <v>21.5</v>
      </c>
      <c r="BB27" s="193">
        <f>SUM('General information '!E26)</f>
        <v>0.65</v>
      </c>
      <c r="BC27" s="3">
        <f t="shared" si="59"/>
        <v>0</v>
      </c>
      <c r="BD27" s="98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61"/>
        <v>-63.979262672810627</v>
      </c>
      <c r="BK27" s="469">
        <f>GEN!AF24</f>
        <v>0.15354166666668334</v>
      </c>
    </row>
    <row r="28" spans="1:64">
      <c r="A28" s="379">
        <f>ELEC!C26</f>
        <v>44949</v>
      </c>
      <c r="B28" s="440">
        <f>'B5'!B27</f>
        <v>232</v>
      </c>
      <c r="C28" s="192">
        <f t="shared" si="32"/>
        <v>4991.7419354838712</v>
      </c>
      <c r="D28">
        <f t="shared" si="33"/>
        <v>232</v>
      </c>
      <c r="E28" s="192">
        <f t="shared" si="32"/>
        <v>4991.7419354838712</v>
      </c>
      <c r="F28">
        <f t="shared" si="34"/>
        <v>232</v>
      </c>
      <c r="G28" s="192">
        <f t="shared" si="16"/>
        <v>4991.7419354838712</v>
      </c>
      <c r="H28" s="192">
        <f t="shared" si="35"/>
        <v>232</v>
      </c>
      <c r="I28" s="192">
        <f t="shared" si="17"/>
        <v>4991.7419354838712</v>
      </c>
      <c r="J28" s="192">
        <f t="shared" si="36"/>
        <v>232</v>
      </c>
      <c r="K28" s="192">
        <f t="shared" si="18"/>
        <v>4991.7419354838712</v>
      </c>
      <c r="L28" s="192">
        <f t="shared" si="37"/>
        <v>232</v>
      </c>
      <c r="M28" s="192">
        <f t="shared" si="19"/>
        <v>4991.7419354838712</v>
      </c>
      <c r="N28" s="192">
        <f t="shared" si="38"/>
        <v>232</v>
      </c>
      <c r="O28" s="192">
        <f t="shared" si="20"/>
        <v>4991.7419354838712</v>
      </c>
      <c r="P28" s="192">
        <f t="shared" si="39"/>
        <v>232</v>
      </c>
      <c r="Q28" s="192">
        <f t="shared" si="21"/>
        <v>4991.7419354838712</v>
      </c>
      <c r="R28" s="192">
        <f t="shared" si="40"/>
        <v>232</v>
      </c>
      <c r="S28" s="192">
        <f t="shared" si="22"/>
        <v>4991.7419354838712</v>
      </c>
      <c r="T28" s="192">
        <f t="shared" si="41"/>
        <v>232</v>
      </c>
      <c r="U28" s="192">
        <f t="shared" si="23"/>
        <v>4991.7419354838712</v>
      </c>
      <c r="V28" s="192">
        <f t="shared" si="42"/>
        <v>232</v>
      </c>
      <c r="W28" s="192">
        <f t="shared" si="24"/>
        <v>4991.7419354838712</v>
      </c>
      <c r="X28" s="34">
        <f t="shared" si="43"/>
        <v>0.74838709677419357</v>
      </c>
      <c r="Y28" s="35">
        <f t="shared" si="44"/>
        <v>54909.161290322583</v>
      </c>
      <c r="Z28" s="440">
        <f>'B5'!C27</f>
        <v>239</v>
      </c>
      <c r="AA28" s="192">
        <f t="shared" si="45"/>
        <v>2390</v>
      </c>
      <c r="AB28" s="192">
        <f t="shared" si="46"/>
        <v>239</v>
      </c>
      <c r="AC28" s="192">
        <f t="shared" si="45"/>
        <v>2390</v>
      </c>
      <c r="AD28" s="192">
        <f t="shared" si="47"/>
        <v>239</v>
      </c>
      <c r="AE28" s="192">
        <f t="shared" si="25"/>
        <v>2390</v>
      </c>
      <c r="AF28" s="192">
        <f t="shared" si="48"/>
        <v>239</v>
      </c>
      <c r="AG28" s="192">
        <f t="shared" si="26"/>
        <v>2390</v>
      </c>
      <c r="AH28" s="192">
        <f t="shared" si="49"/>
        <v>239</v>
      </c>
      <c r="AI28" s="192">
        <f t="shared" si="27"/>
        <v>2390</v>
      </c>
      <c r="AJ28" s="192">
        <f t="shared" si="50"/>
        <v>239</v>
      </c>
      <c r="AK28" s="192">
        <f t="shared" si="28"/>
        <v>2390</v>
      </c>
      <c r="AL28" s="192">
        <f t="shared" si="51"/>
        <v>239</v>
      </c>
      <c r="AM28" s="192">
        <f t="shared" si="29"/>
        <v>2390</v>
      </c>
      <c r="AN28" s="34">
        <f t="shared" si="30"/>
        <v>0.85357142857142854</v>
      </c>
      <c r="AO28" s="35">
        <f t="shared" si="54"/>
        <v>16730</v>
      </c>
      <c r="AQ28" s="208">
        <f t="shared" si="55"/>
        <v>0.77056213069078816</v>
      </c>
      <c r="AR28" s="37">
        <f t="shared" si="56"/>
        <v>71639.161290322576</v>
      </c>
      <c r="AS28" s="186">
        <f t="shared" si="63"/>
        <v>0</v>
      </c>
      <c r="AT28" s="303"/>
      <c r="AU28" s="475"/>
      <c r="AV28" s="432">
        <f t="shared" si="62"/>
        <v>0.88300000000000001</v>
      </c>
      <c r="AW28" s="251">
        <f>-SUM('B5'!AI27)</f>
        <v>0</v>
      </c>
      <c r="AX28" s="251">
        <f t="shared" si="31"/>
        <v>0</v>
      </c>
      <c r="AY28" s="36">
        <f t="shared" si="52"/>
        <v>0</v>
      </c>
      <c r="AZ28" s="96">
        <f>ELEC!A26</f>
        <v>0</v>
      </c>
      <c r="BA28" s="114">
        <f>'General information '!D27</f>
        <v>0</v>
      </c>
      <c r="BB28" s="193">
        <f>SUM('General information '!E27)</f>
        <v>0</v>
      </c>
      <c r="BC28" s="3">
        <f t="shared" si="59"/>
        <v>0</v>
      </c>
      <c r="BD28" s="98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61"/>
        <v>0</v>
      </c>
      <c r="BK28" s="469" t="e">
        <f>GEN!AF25</f>
        <v>#DIV/0!</v>
      </c>
    </row>
    <row r="29" spans="1:64">
      <c r="A29" s="379">
        <f>ELEC!C27</f>
        <v>44950</v>
      </c>
      <c r="B29" s="440">
        <f>'B5'!B28</f>
        <v>232</v>
      </c>
      <c r="C29" s="192">
        <f t="shared" si="32"/>
        <v>4991.7419354838712</v>
      </c>
      <c r="D29">
        <f t="shared" si="33"/>
        <v>232</v>
      </c>
      <c r="E29" s="192">
        <f t="shared" si="32"/>
        <v>4991.7419354838712</v>
      </c>
      <c r="F29">
        <f t="shared" si="34"/>
        <v>232</v>
      </c>
      <c r="G29" s="192">
        <f t="shared" si="16"/>
        <v>4991.7419354838712</v>
      </c>
      <c r="H29" s="192">
        <f t="shared" si="35"/>
        <v>232</v>
      </c>
      <c r="I29" s="192">
        <f t="shared" si="17"/>
        <v>4991.7419354838712</v>
      </c>
      <c r="J29" s="192">
        <f t="shared" si="36"/>
        <v>232</v>
      </c>
      <c r="K29" s="192">
        <f t="shared" si="18"/>
        <v>4991.7419354838712</v>
      </c>
      <c r="L29" s="192">
        <f t="shared" si="37"/>
        <v>232</v>
      </c>
      <c r="M29" s="192">
        <f t="shared" si="19"/>
        <v>4991.7419354838712</v>
      </c>
      <c r="N29" s="192">
        <f t="shared" si="38"/>
        <v>232</v>
      </c>
      <c r="O29" s="192">
        <f t="shared" si="20"/>
        <v>4991.7419354838712</v>
      </c>
      <c r="P29" s="192">
        <f t="shared" si="39"/>
        <v>232</v>
      </c>
      <c r="Q29" s="192">
        <f t="shared" si="21"/>
        <v>4991.7419354838712</v>
      </c>
      <c r="R29" s="192">
        <f t="shared" si="40"/>
        <v>232</v>
      </c>
      <c r="S29" s="192">
        <f t="shared" si="22"/>
        <v>4991.7419354838712</v>
      </c>
      <c r="T29" s="192">
        <f t="shared" si="41"/>
        <v>232</v>
      </c>
      <c r="U29" s="192">
        <f t="shared" si="23"/>
        <v>4991.7419354838712</v>
      </c>
      <c r="V29" s="192">
        <f t="shared" si="42"/>
        <v>232</v>
      </c>
      <c r="W29" s="192">
        <f t="shared" si="24"/>
        <v>4991.7419354838712</v>
      </c>
      <c r="X29" s="34">
        <f t="shared" si="43"/>
        <v>0.74838709677419357</v>
      </c>
      <c r="Y29" s="35">
        <f t="shared" si="44"/>
        <v>54909.161290322583</v>
      </c>
      <c r="Z29" s="440">
        <f>'B5'!C28</f>
        <v>239</v>
      </c>
      <c r="AA29" s="192">
        <f t="shared" si="45"/>
        <v>2390</v>
      </c>
      <c r="AB29" s="192">
        <f t="shared" si="46"/>
        <v>239</v>
      </c>
      <c r="AC29" s="192">
        <f t="shared" si="45"/>
        <v>2390</v>
      </c>
      <c r="AD29" s="192">
        <f t="shared" si="47"/>
        <v>239</v>
      </c>
      <c r="AE29" s="192">
        <f t="shared" si="25"/>
        <v>2390</v>
      </c>
      <c r="AF29" s="192">
        <f t="shared" si="48"/>
        <v>239</v>
      </c>
      <c r="AG29" s="192">
        <f t="shared" si="26"/>
        <v>2390</v>
      </c>
      <c r="AH29" s="192">
        <f t="shared" si="49"/>
        <v>239</v>
      </c>
      <c r="AI29" s="192">
        <f t="shared" si="27"/>
        <v>2390</v>
      </c>
      <c r="AJ29" s="192">
        <f t="shared" si="50"/>
        <v>239</v>
      </c>
      <c r="AK29" s="192">
        <f t="shared" si="28"/>
        <v>2390</v>
      </c>
      <c r="AL29" s="192">
        <f t="shared" si="51"/>
        <v>239</v>
      </c>
      <c r="AM29" s="192">
        <f t="shared" si="29"/>
        <v>2390</v>
      </c>
      <c r="AN29" s="34">
        <f t="shared" si="30"/>
        <v>0.85357142857142854</v>
      </c>
      <c r="AO29" s="35">
        <f t="shared" si="54"/>
        <v>16730</v>
      </c>
      <c r="AQ29" s="208">
        <f t="shared" si="55"/>
        <v>0.77056213069078816</v>
      </c>
      <c r="AR29" s="37">
        <f t="shared" si="56"/>
        <v>71639.161290322576</v>
      </c>
      <c r="AS29" s="186">
        <f>SUM(AR29-AR28-AT29)</f>
        <v>0</v>
      </c>
      <c r="AT29" s="303"/>
      <c r="AU29" s="475"/>
      <c r="AV29" s="432">
        <f t="shared" si="62"/>
        <v>0.88300000000000001</v>
      </c>
      <c r="AW29" s="251">
        <f>-SUM('B5'!AI28)</f>
        <v>0</v>
      </c>
      <c r="AX29" s="251">
        <f t="shared" si="31"/>
        <v>0</v>
      </c>
      <c r="AY29" s="36">
        <f t="shared" si="52"/>
        <v>0</v>
      </c>
      <c r="AZ29" s="96">
        <f>ELEC!A27</f>
        <v>0</v>
      </c>
      <c r="BA29" s="114">
        <f>'General information '!D28</f>
        <v>0</v>
      </c>
      <c r="BB29" s="193">
        <f>SUM('General information '!E28)</f>
        <v>0</v>
      </c>
      <c r="BC29" s="3">
        <f t="shared" si="59"/>
        <v>0</v>
      </c>
      <c r="BD29" s="98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61"/>
        <v>0</v>
      </c>
      <c r="BK29" s="469" t="e">
        <f>GEN!AF26</f>
        <v>#DIV/0!</v>
      </c>
    </row>
    <row r="30" spans="1:64">
      <c r="A30" s="379">
        <f>ELEC!C28</f>
        <v>44951</v>
      </c>
      <c r="B30" s="440">
        <f>'B5'!B29</f>
        <v>232</v>
      </c>
      <c r="C30" s="192">
        <f t="shared" si="32"/>
        <v>4991.7419354838712</v>
      </c>
      <c r="D30">
        <f>SUM(B30)</f>
        <v>232</v>
      </c>
      <c r="E30" s="192">
        <f t="shared" si="32"/>
        <v>4991.7419354838712</v>
      </c>
      <c r="F30">
        <f>SUM(D30)</f>
        <v>232</v>
      </c>
      <c r="G30" s="192">
        <f t="shared" si="16"/>
        <v>4991.7419354838712</v>
      </c>
      <c r="H30" s="192">
        <f>SUM(F30)</f>
        <v>232</v>
      </c>
      <c r="I30" s="192">
        <f t="shared" si="17"/>
        <v>4991.7419354838712</v>
      </c>
      <c r="J30" s="192">
        <f>SUM(H30)</f>
        <v>232</v>
      </c>
      <c r="K30" s="192">
        <f t="shared" si="18"/>
        <v>4991.7419354838712</v>
      </c>
      <c r="L30" s="192">
        <f>SUM(J30)</f>
        <v>232</v>
      </c>
      <c r="M30" s="192">
        <f t="shared" si="19"/>
        <v>4991.7419354838712</v>
      </c>
      <c r="N30" s="192">
        <f>SUM(L30)</f>
        <v>232</v>
      </c>
      <c r="O30" s="192">
        <f t="shared" si="20"/>
        <v>4991.7419354838712</v>
      </c>
      <c r="P30" s="192">
        <f>SUM(N30)</f>
        <v>232</v>
      </c>
      <c r="Q30" s="192">
        <f t="shared" si="21"/>
        <v>4991.7419354838712</v>
      </c>
      <c r="R30" s="192">
        <f>SUM(P30)</f>
        <v>232</v>
      </c>
      <c r="S30" s="192">
        <f t="shared" si="22"/>
        <v>4991.7419354838712</v>
      </c>
      <c r="T30" s="192">
        <f>SUM(R30)</f>
        <v>232</v>
      </c>
      <c r="U30" s="192">
        <f t="shared" si="23"/>
        <v>4991.7419354838712</v>
      </c>
      <c r="V30" s="192">
        <f>SUM(T30)</f>
        <v>232</v>
      </c>
      <c r="W30" s="192">
        <f t="shared" si="24"/>
        <v>4991.7419354838712</v>
      </c>
      <c r="X30" s="34">
        <f>SUM(Y30/73370)</f>
        <v>0.74838709677419357</v>
      </c>
      <c r="Y30" s="35">
        <f>SUM(C30+E30+G30+I30+K30+M30+O30+Q30+S30+U30+W30)</f>
        <v>54909.161290322583</v>
      </c>
      <c r="Z30" s="440">
        <f>'B5'!C29</f>
        <v>239</v>
      </c>
      <c r="AA30" s="192">
        <f t="shared" si="45"/>
        <v>2390</v>
      </c>
      <c r="AB30" s="192">
        <f>SUM(Z30)</f>
        <v>239</v>
      </c>
      <c r="AC30" s="192">
        <f t="shared" si="45"/>
        <v>2390</v>
      </c>
      <c r="AD30" s="192">
        <f>SUM(AB30)</f>
        <v>239</v>
      </c>
      <c r="AE30" s="192">
        <f t="shared" si="25"/>
        <v>2390</v>
      </c>
      <c r="AF30" s="192">
        <f>SUM(AD30)</f>
        <v>239</v>
      </c>
      <c r="AG30" s="192">
        <f t="shared" si="26"/>
        <v>2390</v>
      </c>
      <c r="AH30" s="192">
        <f>SUM(AF30)</f>
        <v>239</v>
      </c>
      <c r="AI30" s="192">
        <f t="shared" si="27"/>
        <v>2390</v>
      </c>
      <c r="AJ30" s="192">
        <f>SUM(AH30)</f>
        <v>239</v>
      </c>
      <c r="AK30" s="192">
        <f t="shared" si="28"/>
        <v>2390</v>
      </c>
      <c r="AL30" s="192">
        <f>SUM(AJ30)</f>
        <v>239</v>
      </c>
      <c r="AM30" s="192">
        <f t="shared" si="29"/>
        <v>2390</v>
      </c>
      <c r="AN30" s="34">
        <f>SUM(AO30/19600)</f>
        <v>0.85357142857142854</v>
      </c>
      <c r="AO30" s="35">
        <f>SUM(AA30+AC30+AE30+AG30+AI30+AK30+AM30)</f>
        <v>16730</v>
      </c>
      <c r="AQ30" s="208">
        <f t="shared" si="55"/>
        <v>0.77056213069078816</v>
      </c>
      <c r="AR30" s="37">
        <f t="shared" si="56"/>
        <v>71639.161290322576</v>
      </c>
      <c r="AS30" s="186">
        <f>SUM(AR30-AR29-AT30)</f>
        <v>0</v>
      </c>
      <c r="AT30" s="303"/>
      <c r="AU30" s="475"/>
      <c r="AV30" s="432">
        <f t="shared" si="62"/>
        <v>0.88300000000000001</v>
      </c>
      <c r="AW30" s="251">
        <f>-SUM('B5'!AI29)</f>
        <v>0</v>
      </c>
      <c r="AX30" s="251">
        <f t="shared" si="31"/>
        <v>0</v>
      </c>
      <c r="AY30" s="36">
        <f t="shared" si="52"/>
        <v>0</v>
      </c>
      <c r="AZ30" s="96">
        <f>ELEC!A28</f>
        <v>0</v>
      </c>
      <c r="BA30" s="114">
        <f>'General information '!D29</f>
        <v>0</v>
      </c>
      <c r="BB30" s="193">
        <f>SUM('General information '!E29)</f>
        <v>0</v>
      </c>
      <c r="BC30" s="3">
        <f t="shared" si="59"/>
        <v>0</v>
      </c>
      <c r="BD30" s="98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61"/>
        <v>0</v>
      </c>
      <c r="BK30" s="469" t="e">
        <f>GEN!AF27</f>
        <v>#DIV/0!</v>
      </c>
    </row>
    <row r="31" spans="1:64">
      <c r="A31" s="379">
        <f>ELEC!C29</f>
        <v>44952</v>
      </c>
      <c r="B31" s="440">
        <f>'B5'!B30</f>
        <v>232</v>
      </c>
      <c r="C31" s="192">
        <f t="shared" si="32"/>
        <v>4991.7419354838712</v>
      </c>
      <c r="D31">
        <f>SUM(B31)</f>
        <v>232</v>
      </c>
      <c r="E31" s="192">
        <f t="shared" si="32"/>
        <v>4991.7419354838712</v>
      </c>
      <c r="F31">
        <f>SUM(D31)</f>
        <v>232</v>
      </c>
      <c r="G31" s="192">
        <f t="shared" si="16"/>
        <v>4991.7419354838712</v>
      </c>
      <c r="H31" s="192">
        <f>SUM(F31)</f>
        <v>232</v>
      </c>
      <c r="I31" s="192">
        <f t="shared" si="17"/>
        <v>4991.7419354838712</v>
      </c>
      <c r="J31" s="192">
        <f>SUM(H31)</f>
        <v>232</v>
      </c>
      <c r="K31" s="192">
        <f t="shared" si="18"/>
        <v>4991.7419354838712</v>
      </c>
      <c r="L31" s="192">
        <f>SUM(J31)</f>
        <v>232</v>
      </c>
      <c r="M31" s="192">
        <f t="shared" si="19"/>
        <v>4991.7419354838712</v>
      </c>
      <c r="N31" s="192">
        <f>SUM(L31)</f>
        <v>232</v>
      </c>
      <c r="O31" s="192">
        <f t="shared" si="20"/>
        <v>4991.7419354838712</v>
      </c>
      <c r="P31" s="192">
        <f>SUM(N31)</f>
        <v>232</v>
      </c>
      <c r="Q31" s="192">
        <f t="shared" si="21"/>
        <v>4991.7419354838712</v>
      </c>
      <c r="R31" s="192">
        <f>SUM(P31)</f>
        <v>232</v>
      </c>
      <c r="S31" s="192">
        <f t="shared" si="22"/>
        <v>4991.7419354838712</v>
      </c>
      <c r="T31" s="192">
        <f>SUM(R31)</f>
        <v>232</v>
      </c>
      <c r="U31" s="192">
        <f t="shared" si="23"/>
        <v>4991.7419354838712</v>
      </c>
      <c r="V31" s="192">
        <f>SUM(T31)</f>
        <v>232</v>
      </c>
      <c r="W31" s="192">
        <f t="shared" si="24"/>
        <v>4991.7419354838712</v>
      </c>
      <c r="X31" s="34">
        <f>SUM(Y31/73370)</f>
        <v>0.74838709677419357</v>
      </c>
      <c r="Y31" s="35">
        <f>SUM(C31+E31+G31+I31+K31+M31+O31+Q31+S31+U31+W31)</f>
        <v>54909.161290322583</v>
      </c>
      <c r="Z31" s="440">
        <f>'B5'!C30</f>
        <v>239</v>
      </c>
      <c r="AA31" s="192">
        <f t="shared" si="45"/>
        <v>2390</v>
      </c>
      <c r="AB31" s="192">
        <f>SUM(Z31)</f>
        <v>239</v>
      </c>
      <c r="AC31" s="192">
        <f t="shared" si="45"/>
        <v>2390</v>
      </c>
      <c r="AD31" s="192">
        <f>SUM(AB31)</f>
        <v>239</v>
      </c>
      <c r="AE31" s="192">
        <f t="shared" si="25"/>
        <v>2390</v>
      </c>
      <c r="AF31" s="192">
        <f>SUM(AD31)</f>
        <v>239</v>
      </c>
      <c r="AG31" s="192">
        <f t="shared" si="26"/>
        <v>2390</v>
      </c>
      <c r="AH31" s="192">
        <f>SUM(AF31)</f>
        <v>239</v>
      </c>
      <c r="AI31" s="192">
        <f t="shared" si="27"/>
        <v>2390</v>
      </c>
      <c r="AJ31" s="192">
        <f>SUM(AH31)</f>
        <v>239</v>
      </c>
      <c r="AK31" s="192">
        <f t="shared" si="28"/>
        <v>2390</v>
      </c>
      <c r="AL31" s="192">
        <f>SUM(AJ31)</f>
        <v>239</v>
      </c>
      <c r="AM31" s="192">
        <f t="shared" si="29"/>
        <v>2390</v>
      </c>
      <c r="AN31" s="34">
        <f>SUM(AO31/19600)</f>
        <v>0.85357142857142854</v>
      </c>
      <c r="AO31" s="35">
        <f>SUM(AA31+AC31+AE31+AG31+AI31+AK31+AM31)</f>
        <v>16730</v>
      </c>
      <c r="AQ31" s="208">
        <f t="shared" si="55"/>
        <v>0.77056213069078816</v>
      </c>
      <c r="AR31" s="37">
        <f t="shared" si="56"/>
        <v>71639.161290322576</v>
      </c>
      <c r="AS31" s="186">
        <f t="shared" si="63"/>
        <v>0</v>
      </c>
      <c r="AT31" s="303"/>
      <c r="AU31" s="475"/>
      <c r="AV31" s="432">
        <f t="shared" si="62"/>
        <v>0.88300000000000001</v>
      </c>
      <c r="AW31" s="251">
        <f>-SUM('B5'!AI30)</f>
        <v>0</v>
      </c>
      <c r="AX31" s="251">
        <f t="shared" si="31"/>
        <v>0</v>
      </c>
      <c r="AY31" s="36">
        <f t="shared" si="52"/>
        <v>0</v>
      </c>
      <c r="AZ31" s="96">
        <f>ELEC!A29</f>
        <v>0</v>
      </c>
      <c r="BA31" s="114">
        <f>'General information '!D30</f>
        <v>0</v>
      </c>
      <c r="BB31" s="193">
        <f>SUM('General information '!E30)</f>
        <v>0</v>
      </c>
      <c r="BC31" s="3">
        <f t="shared" si="59"/>
        <v>0</v>
      </c>
      <c r="BD31" s="98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61"/>
        <v>0</v>
      </c>
      <c r="BK31" s="469" t="e">
        <f>GEN!AF28</f>
        <v>#DIV/0!</v>
      </c>
    </row>
    <row r="32" spans="1:64">
      <c r="A32" s="379">
        <f>ELEC!C30</f>
        <v>44953</v>
      </c>
      <c r="B32" s="440">
        <f>'B5'!B31</f>
        <v>232</v>
      </c>
      <c r="C32" s="192">
        <f t="shared" si="32"/>
        <v>4991.7419354838712</v>
      </c>
      <c r="D32">
        <f>SUM(B32)</f>
        <v>232</v>
      </c>
      <c r="E32" s="192">
        <f t="shared" si="32"/>
        <v>4991.7419354838712</v>
      </c>
      <c r="F32">
        <f>SUM(D32)</f>
        <v>232</v>
      </c>
      <c r="G32" s="192">
        <f t="shared" si="16"/>
        <v>4991.7419354838712</v>
      </c>
      <c r="H32" s="192">
        <f>SUM(F32)</f>
        <v>232</v>
      </c>
      <c r="I32" s="192">
        <f t="shared" si="17"/>
        <v>4991.7419354838712</v>
      </c>
      <c r="J32" s="192">
        <f>SUM(H32)</f>
        <v>232</v>
      </c>
      <c r="K32" s="192">
        <f t="shared" si="18"/>
        <v>4991.7419354838712</v>
      </c>
      <c r="L32" s="192">
        <f>SUM(J32)</f>
        <v>232</v>
      </c>
      <c r="M32" s="192">
        <f t="shared" si="19"/>
        <v>4991.7419354838712</v>
      </c>
      <c r="N32" s="192">
        <f>SUM(L32)</f>
        <v>232</v>
      </c>
      <c r="O32" s="192">
        <f t="shared" si="20"/>
        <v>4991.7419354838712</v>
      </c>
      <c r="P32" s="192">
        <f>SUM(N32)</f>
        <v>232</v>
      </c>
      <c r="Q32" s="192">
        <f t="shared" si="21"/>
        <v>4991.7419354838712</v>
      </c>
      <c r="R32" s="192">
        <f>SUM(P32)</f>
        <v>232</v>
      </c>
      <c r="S32" s="192">
        <f t="shared" si="22"/>
        <v>4991.7419354838712</v>
      </c>
      <c r="T32" s="192">
        <f>SUM(R32)</f>
        <v>232</v>
      </c>
      <c r="U32" s="192">
        <f t="shared" si="23"/>
        <v>4991.7419354838712</v>
      </c>
      <c r="V32" s="192">
        <f>SUM(T32)</f>
        <v>232</v>
      </c>
      <c r="W32" s="192">
        <f t="shared" si="24"/>
        <v>4991.7419354838712</v>
      </c>
      <c r="X32" s="34">
        <f>SUM(Y32/73370)</f>
        <v>0.74838709677419357</v>
      </c>
      <c r="Y32" s="35">
        <f>SUM(C32+E32+G32+I32+K32+M32+O32+Q32+S32+U32+W32)</f>
        <v>54909.161290322583</v>
      </c>
      <c r="Z32" s="440">
        <f>'B5'!C31</f>
        <v>239</v>
      </c>
      <c r="AA32" s="192">
        <f t="shared" si="45"/>
        <v>2390</v>
      </c>
      <c r="AB32" s="192">
        <f>SUM(Z32)</f>
        <v>239</v>
      </c>
      <c r="AC32" s="192">
        <f t="shared" si="45"/>
        <v>2390</v>
      </c>
      <c r="AD32" s="192">
        <f>SUM(AB32)</f>
        <v>239</v>
      </c>
      <c r="AE32" s="192">
        <f t="shared" si="25"/>
        <v>2390</v>
      </c>
      <c r="AF32" s="192">
        <f>SUM(AD32)</f>
        <v>239</v>
      </c>
      <c r="AG32" s="192">
        <f t="shared" si="26"/>
        <v>2390</v>
      </c>
      <c r="AH32" s="192">
        <f>SUM(AF32)</f>
        <v>239</v>
      </c>
      <c r="AI32" s="192">
        <f t="shared" si="27"/>
        <v>2390</v>
      </c>
      <c r="AJ32" s="192">
        <f>SUM(AH32)</f>
        <v>239</v>
      </c>
      <c r="AK32" s="192">
        <f t="shared" si="28"/>
        <v>2390</v>
      </c>
      <c r="AL32" s="192">
        <f>SUM(AJ32)</f>
        <v>239</v>
      </c>
      <c r="AM32" s="192">
        <f t="shared" si="29"/>
        <v>2390</v>
      </c>
      <c r="AN32" s="34">
        <f>SUM(AO32/19600)</f>
        <v>0.85357142857142854</v>
      </c>
      <c r="AO32" s="35">
        <f>SUM(AA32+AC32+AE32+AG32+AI32+AK32+AM32)</f>
        <v>16730</v>
      </c>
      <c r="AQ32" s="208">
        <f t="shared" si="55"/>
        <v>0.77056213069078816</v>
      </c>
      <c r="AR32" s="37">
        <f t="shared" si="56"/>
        <v>71639.161290322576</v>
      </c>
      <c r="AS32" s="186">
        <f t="shared" si="63"/>
        <v>0</v>
      </c>
      <c r="AT32" s="303"/>
      <c r="AU32" s="475"/>
      <c r="AV32" s="432">
        <f t="shared" si="62"/>
        <v>0.88300000000000001</v>
      </c>
      <c r="AW32" s="251">
        <f>-SUM('B5'!AI31)</f>
        <v>0</v>
      </c>
      <c r="AX32" s="251">
        <f t="shared" si="31"/>
        <v>0</v>
      </c>
      <c r="AY32" s="36">
        <f t="shared" si="52"/>
        <v>0</v>
      </c>
      <c r="AZ32" s="96">
        <f>ELEC!A30</f>
        <v>0</v>
      </c>
      <c r="BA32" s="114">
        <f>'General information '!D31</f>
        <v>0</v>
      </c>
      <c r="BB32" s="193">
        <f>SUM('General information '!E31)</f>
        <v>0</v>
      </c>
      <c r="BC32" s="3">
        <f t="shared" si="59"/>
        <v>0</v>
      </c>
      <c r="BD32" s="98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61"/>
        <v>0</v>
      </c>
      <c r="BK32" s="469" t="e">
        <f>GEN!AF29</f>
        <v>#DIV/0!</v>
      </c>
    </row>
    <row r="33" spans="1:63">
      <c r="A33" s="379">
        <f>ELEC!C31</f>
        <v>44954</v>
      </c>
      <c r="B33" s="440">
        <f>'B5'!B32</f>
        <v>232</v>
      </c>
      <c r="C33" s="192">
        <f t="shared" si="32"/>
        <v>4991.7419354838712</v>
      </c>
      <c r="D33">
        <f>SUM(B33)</f>
        <v>232</v>
      </c>
      <c r="E33" s="192">
        <f t="shared" si="32"/>
        <v>4991.7419354838712</v>
      </c>
      <c r="F33">
        <f>SUM(D33)</f>
        <v>232</v>
      </c>
      <c r="G33" s="192">
        <f t="shared" si="16"/>
        <v>4991.7419354838712</v>
      </c>
      <c r="H33" s="192">
        <f>SUM(F33)</f>
        <v>232</v>
      </c>
      <c r="I33" s="192">
        <f t="shared" si="17"/>
        <v>4991.7419354838712</v>
      </c>
      <c r="J33" s="192">
        <f>SUM(H33)</f>
        <v>232</v>
      </c>
      <c r="K33" s="192">
        <f t="shared" si="18"/>
        <v>4991.7419354838712</v>
      </c>
      <c r="L33" s="192">
        <f>SUM(J33)</f>
        <v>232</v>
      </c>
      <c r="M33" s="192">
        <f t="shared" si="19"/>
        <v>4991.7419354838712</v>
      </c>
      <c r="N33" s="192">
        <f>SUM(L33)</f>
        <v>232</v>
      </c>
      <c r="O33" s="192">
        <f t="shared" si="20"/>
        <v>4991.7419354838712</v>
      </c>
      <c r="P33" s="192">
        <f>SUM(N33)</f>
        <v>232</v>
      </c>
      <c r="Q33" s="192">
        <f t="shared" si="21"/>
        <v>4991.7419354838712</v>
      </c>
      <c r="R33" s="192">
        <f>SUM(P33)</f>
        <v>232</v>
      </c>
      <c r="S33" s="192">
        <f t="shared" si="22"/>
        <v>4991.7419354838712</v>
      </c>
      <c r="T33" s="192">
        <f>SUM(R33)</f>
        <v>232</v>
      </c>
      <c r="U33" s="192">
        <f t="shared" si="23"/>
        <v>4991.7419354838712</v>
      </c>
      <c r="V33" s="192">
        <f>SUM(T33)</f>
        <v>232</v>
      </c>
      <c r="W33" s="192">
        <f t="shared" si="24"/>
        <v>4991.7419354838712</v>
      </c>
      <c r="X33" s="34">
        <f>SUM(Y33/73370)</f>
        <v>0.74838709677419357</v>
      </c>
      <c r="Y33" s="35">
        <f>SUM(C33+E33+G33+I33+K33+M33+O33+Q33+S33+U33+W33)</f>
        <v>54909.161290322583</v>
      </c>
      <c r="Z33" s="440">
        <f>'B5'!C32</f>
        <v>239</v>
      </c>
      <c r="AA33" s="192">
        <f t="shared" si="45"/>
        <v>2390</v>
      </c>
      <c r="AB33" s="192">
        <f>SUM(Z33)</f>
        <v>239</v>
      </c>
      <c r="AC33" s="192">
        <f t="shared" si="45"/>
        <v>2390</v>
      </c>
      <c r="AD33" s="192">
        <f>SUM(AB33)</f>
        <v>239</v>
      </c>
      <c r="AE33" s="192">
        <f t="shared" si="25"/>
        <v>2390</v>
      </c>
      <c r="AF33" s="192">
        <f>SUM(AD33)</f>
        <v>239</v>
      </c>
      <c r="AG33" s="192">
        <f t="shared" si="26"/>
        <v>2390</v>
      </c>
      <c r="AH33" s="192">
        <f>SUM(AF33)</f>
        <v>239</v>
      </c>
      <c r="AI33" s="192">
        <f t="shared" si="27"/>
        <v>2390</v>
      </c>
      <c r="AJ33" s="192">
        <f>SUM(AH33)</f>
        <v>239</v>
      </c>
      <c r="AK33" s="192">
        <f t="shared" si="28"/>
        <v>2390</v>
      </c>
      <c r="AL33" s="192">
        <f>SUM(AJ33)</f>
        <v>239</v>
      </c>
      <c r="AM33" s="192">
        <f t="shared" si="29"/>
        <v>2390</v>
      </c>
      <c r="AN33" s="34">
        <f>SUM(AO33/19600)</f>
        <v>0.85357142857142854</v>
      </c>
      <c r="AO33" s="35">
        <f>SUM(AA33+AC33+AE33+AG33+AI33+AK33+AM33)</f>
        <v>16730</v>
      </c>
      <c r="AQ33" s="208">
        <f t="shared" si="55"/>
        <v>0.77056213069078816</v>
      </c>
      <c r="AR33" s="37">
        <f t="shared" si="56"/>
        <v>71639.161290322576</v>
      </c>
      <c r="AS33" s="186">
        <f>SUM(AR33-AR32-AT33)</f>
        <v>0</v>
      </c>
      <c r="AT33" s="303"/>
      <c r="AU33" s="475"/>
      <c r="AV33" s="432">
        <f t="shared" si="62"/>
        <v>0.88300000000000001</v>
      </c>
      <c r="AW33" s="251">
        <f>-SUM('B5'!AI32)</f>
        <v>0</v>
      </c>
      <c r="AX33" s="251">
        <f t="shared" si="31"/>
        <v>0</v>
      </c>
      <c r="AY33" s="36">
        <f t="shared" si="52"/>
        <v>0</v>
      </c>
      <c r="AZ33" s="96">
        <f>ELEC!A31</f>
        <v>0</v>
      </c>
      <c r="BA33" s="114">
        <f>'General information '!D32</f>
        <v>0</v>
      </c>
      <c r="BB33" s="193">
        <f>SUM('General information '!E32)</f>
        <v>0</v>
      </c>
      <c r="BC33" s="3">
        <f t="shared" si="59"/>
        <v>0</v>
      </c>
      <c r="BD33" s="98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61"/>
        <v>0</v>
      </c>
      <c r="BK33" s="469" t="e">
        <f>GEN!AF30</f>
        <v>#DIV/0!</v>
      </c>
    </row>
    <row r="34" spans="1:63">
      <c r="A34" s="379">
        <f>ELEC!C32</f>
        <v>44955</v>
      </c>
      <c r="B34" s="440">
        <f>'B5'!B33</f>
        <v>232</v>
      </c>
      <c r="C34" s="192">
        <f t="shared" ref="C34:C36" si="64">B34*$B$4</f>
        <v>4991.7419354838712</v>
      </c>
      <c r="D34">
        <f t="shared" ref="D34:D36" si="65">SUM(B34)</f>
        <v>232</v>
      </c>
      <c r="E34" s="192">
        <f t="shared" ref="E34:E36" si="66">D34*$B$4</f>
        <v>4991.7419354838712</v>
      </c>
      <c r="F34">
        <f t="shared" ref="F34:F36" si="67">SUM(D34)</f>
        <v>232</v>
      </c>
      <c r="G34" s="192">
        <f t="shared" ref="G34:G36" si="68">F34*$B$4</f>
        <v>4991.7419354838712</v>
      </c>
      <c r="H34" s="192">
        <f t="shared" ref="H34:H36" si="69">SUM(F34)</f>
        <v>232</v>
      </c>
      <c r="I34" s="192">
        <f t="shared" ref="I34:I36" si="70">H34*$B$4</f>
        <v>4991.7419354838712</v>
      </c>
      <c r="J34" s="192">
        <f t="shared" ref="J34:J36" si="71">SUM(H34)</f>
        <v>232</v>
      </c>
      <c r="K34" s="192">
        <f t="shared" ref="K34:K36" si="72">J34*$B$4</f>
        <v>4991.7419354838712</v>
      </c>
      <c r="L34" s="192">
        <f t="shared" ref="L34:L36" si="73">SUM(J34)</f>
        <v>232</v>
      </c>
      <c r="M34" s="192">
        <f t="shared" ref="M34:M36" si="74">L34*$B$4</f>
        <v>4991.7419354838712</v>
      </c>
      <c r="N34" s="192">
        <f t="shared" ref="N34:N36" si="75">SUM(L34)</f>
        <v>232</v>
      </c>
      <c r="O34" s="192">
        <f t="shared" ref="O34:O36" si="76">N34*$B$4</f>
        <v>4991.7419354838712</v>
      </c>
      <c r="P34" s="192">
        <f t="shared" ref="P34:P36" si="77">SUM(N34)</f>
        <v>232</v>
      </c>
      <c r="Q34" s="192">
        <f t="shared" ref="Q34:Q36" si="78">P34*$B$4</f>
        <v>4991.7419354838712</v>
      </c>
      <c r="R34" s="192">
        <f t="shared" ref="R34:R36" si="79">SUM(P34)</f>
        <v>232</v>
      </c>
      <c r="S34" s="192">
        <f t="shared" ref="S34:S36" si="80">R34*$B$4</f>
        <v>4991.7419354838712</v>
      </c>
      <c r="T34" s="192">
        <f t="shared" ref="T34:T36" si="81">SUM(R34)</f>
        <v>232</v>
      </c>
      <c r="U34" s="192">
        <f t="shared" ref="U34:U36" si="82">T34*$B$4</f>
        <v>4991.7419354838712</v>
      </c>
      <c r="V34" s="192">
        <f t="shared" ref="V34:V36" si="83">SUM(T34)</f>
        <v>232</v>
      </c>
      <c r="W34" s="192">
        <f t="shared" ref="W34:W36" si="84">V34*$B$4</f>
        <v>4991.7419354838712</v>
      </c>
      <c r="X34" s="34">
        <f t="shared" ref="X34:X36" si="85">SUM(Y34/73370)</f>
        <v>0.74838709677419357</v>
      </c>
      <c r="Y34" s="35">
        <f t="shared" ref="Y34:Y36" si="86">SUM(C34+E34+G34+I34+K34+M34+O34+Q34+S34+U34+W34)</f>
        <v>54909.161290322583</v>
      </c>
      <c r="Z34" s="440">
        <f>'B5'!C33</f>
        <v>239</v>
      </c>
      <c r="AA34" s="192">
        <f t="shared" ref="AA34:AA36" si="87">SUM(Z34*$Z$4)</f>
        <v>2390</v>
      </c>
      <c r="AB34" s="192">
        <f t="shared" ref="AB34:AB36" si="88">SUM(Z34)</f>
        <v>239</v>
      </c>
      <c r="AC34" s="192">
        <f t="shared" ref="AC34:AC36" si="89">SUM(AB34*$Z$4)</f>
        <v>2390</v>
      </c>
      <c r="AD34" s="192">
        <f t="shared" ref="AD34:AD36" si="90">SUM(AB34)</f>
        <v>239</v>
      </c>
      <c r="AE34" s="192">
        <f t="shared" ref="AE34:AE36" si="91">SUM(AD34*$Z$4)</f>
        <v>2390</v>
      </c>
      <c r="AF34" s="192">
        <f t="shared" ref="AF34:AF36" si="92">SUM(AD34)</f>
        <v>239</v>
      </c>
      <c r="AG34" s="192">
        <f t="shared" ref="AG34:AG36" si="93">SUM(AF34*$Z$4)</f>
        <v>2390</v>
      </c>
      <c r="AH34" s="192">
        <f t="shared" ref="AH34:AH36" si="94">SUM(AF34)</f>
        <v>239</v>
      </c>
      <c r="AI34" s="192">
        <f t="shared" ref="AI34:AI36" si="95">SUM(AH34*$Z$4)</f>
        <v>2390</v>
      </c>
      <c r="AJ34" s="192">
        <f t="shared" ref="AJ34:AJ36" si="96">SUM(AH34)</f>
        <v>239</v>
      </c>
      <c r="AK34" s="192">
        <f t="shared" ref="AK34:AK36" si="97">SUM(AJ34*$Z$4)</f>
        <v>2390</v>
      </c>
      <c r="AL34" s="192">
        <f t="shared" ref="AL34:AL36" si="98">SUM(AJ34)</f>
        <v>239</v>
      </c>
      <c r="AM34" s="192">
        <f t="shared" ref="AM34:AM36" si="99">SUM(AL34*$Z$4)</f>
        <v>2390</v>
      </c>
      <c r="AN34" s="34">
        <f t="shared" ref="AN34:AN36" si="100">SUM(AO34/19600)</f>
        <v>0.85357142857142854</v>
      </c>
      <c r="AO34" s="35">
        <f t="shared" ref="AO34:AO36" si="101">SUM(AA34+AC34+AE34+AG34+AI34+AK34+AM34)</f>
        <v>16730</v>
      </c>
      <c r="AQ34" s="208">
        <f t="shared" ref="AQ34:AQ36" si="102">SUM(AR34/92970)</f>
        <v>0.77056213069078816</v>
      </c>
      <c r="AR34" s="37">
        <f t="shared" si="56"/>
        <v>71639.161290322576</v>
      </c>
      <c r="AS34" s="186">
        <f t="shared" ref="AS34:AS36" si="103">SUM(AR34-AR33-AT34)</f>
        <v>0</v>
      </c>
      <c r="AT34" s="303"/>
      <c r="AU34" s="475"/>
      <c r="AV34" s="432">
        <f t="shared" si="62"/>
        <v>0.88300000000000001</v>
      </c>
      <c r="AW34" s="251">
        <f>-SUM('B5'!AI33)</f>
        <v>0</v>
      </c>
      <c r="AX34" s="251">
        <f t="shared" ref="AX34:AX36" si="104">-SUM(AW34-AS34)</f>
        <v>0</v>
      </c>
      <c r="AY34" s="36">
        <f t="shared" ref="AY34:AY36" si="105">SUM(AX34+AW34)</f>
        <v>0</v>
      </c>
      <c r="AZ34" s="96">
        <f>ELEC!A32</f>
        <v>0</v>
      </c>
      <c r="BA34" s="114">
        <f>'General information '!D33</f>
        <v>0</v>
      </c>
      <c r="BB34" s="193">
        <f>SUM('General information '!E33)</f>
        <v>0</v>
      </c>
      <c r="BC34" s="3">
        <f t="shared" ref="BC34:BC36" si="106">IF(AR33&gt;=AR34,0,1)</f>
        <v>0</v>
      </c>
      <c r="BD34" s="98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107">AX34/BI34</f>
        <v>0</v>
      </c>
      <c r="BK34" s="469" t="e">
        <f>GEN!AF31</f>
        <v>#DIV/0!</v>
      </c>
    </row>
    <row r="35" spans="1:63">
      <c r="A35" s="379">
        <f>ELEC!C33</f>
        <v>44956</v>
      </c>
      <c r="B35" s="440">
        <f>'B5'!B34</f>
        <v>232</v>
      </c>
      <c r="C35" s="192">
        <f t="shared" si="64"/>
        <v>4991.7419354838712</v>
      </c>
      <c r="D35">
        <f t="shared" si="65"/>
        <v>232</v>
      </c>
      <c r="E35" s="192">
        <f t="shared" si="66"/>
        <v>4991.7419354838712</v>
      </c>
      <c r="F35">
        <f t="shared" si="67"/>
        <v>232</v>
      </c>
      <c r="G35" s="192">
        <f t="shared" si="68"/>
        <v>4991.7419354838712</v>
      </c>
      <c r="H35" s="192">
        <f t="shared" si="69"/>
        <v>232</v>
      </c>
      <c r="I35" s="192">
        <f t="shared" si="70"/>
        <v>4991.7419354838712</v>
      </c>
      <c r="J35" s="192">
        <f t="shared" si="71"/>
        <v>232</v>
      </c>
      <c r="K35" s="192">
        <f t="shared" si="72"/>
        <v>4991.7419354838712</v>
      </c>
      <c r="L35" s="192">
        <f t="shared" si="73"/>
        <v>232</v>
      </c>
      <c r="M35" s="192">
        <f t="shared" si="74"/>
        <v>4991.7419354838712</v>
      </c>
      <c r="N35" s="192">
        <f t="shared" si="75"/>
        <v>232</v>
      </c>
      <c r="O35" s="192">
        <f t="shared" si="76"/>
        <v>4991.7419354838712</v>
      </c>
      <c r="P35" s="192">
        <f t="shared" si="77"/>
        <v>232</v>
      </c>
      <c r="Q35" s="192">
        <f t="shared" si="78"/>
        <v>4991.7419354838712</v>
      </c>
      <c r="R35" s="192">
        <f t="shared" si="79"/>
        <v>232</v>
      </c>
      <c r="S35" s="192">
        <f t="shared" si="80"/>
        <v>4991.7419354838712</v>
      </c>
      <c r="T35" s="192">
        <f t="shared" si="81"/>
        <v>232</v>
      </c>
      <c r="U35" s="192">
        <f t="shared" si="82"/>
        <v>4991.7419354838712</v>
      </c>
      <c r="V35" s="192">
        <f t="shared" si="83"/>
        <v>232</v>
      </c>
      <c r="W35" s="192">
        <f t="shared" si="84"/>
        <v>4991.7419354838712</v>
      </c>
      <c r="X35" s="34">
        <f t="shared" si="85"/>
        <v>0.74838709677419357</v>
      </c>
      <c r="Y35" s="35">
        <f t="shared" si="86"/>
        <v>54909.161290322583</v>
      </c>
      <c r="Z35" s="440">
        <f>'B5'!C34</f>
        <v>239</v>
      </c>
      <c r="AA35" s="192">
        <f t="shared" si="87"/>
        <v>2390</v>
      </c>
      <c r="AB35" s="192">
        <f t="shared" si="88"/>
        <v>239</v>
      </c>
      <c r="AC35" s="192">
        <f t="shared" si="89"/>
        <v>2390</v>
      </c>
      <c r="AD35" s="192">
        <f t="shared" si="90"/>
        <v>239</v>
      </c>
      <c r="AE35" s="192">
        <f t="shared" si="91"/>
        <v>2390</v>
      </c>
      <c r="AF35" s="192">
        <f t="shared" si="92"/>
        <v>239</v>
      </c>
      <c r="AG35" s="192">
        <f t="shared" si="93"/>
        <v>2390</v>
      </c>
      <c r="AH35" s="192">
        <f t="shared" si="94"/>
        <v>239</v>
      </c>
      <c r="AI35" s="192">
        <f t="shared" si="95"/>
        <v>2390</v>
      </c>
      <c r="AJ35" s="192">
        <f t="shared" si="96"/>
        <v>239</v>
      </c>
      <c r="AK35" s="192">
        <f t="shared" si="97"/>
        <v>2390</v>
      </c>
      <c r="AL35" s="192">
        <f t="shared" si="98"/>
        <v>239</v>
      </c>
      <c r="AM35" s="192">
        <f t="shared" si="99"/>
        <v>2390</v>
      </c>
      <c r="AN35" s="34">
        <f t="shared" si="100"/>
        <v>0.85357142857142854</v>
      </c>
      <c r="AO35" s="35">
        <f t="shared" si="101"/>
        <v>16730</v>
      </c>
      <c r="AQ35" s="208">
        <f t="shared" si="102"/>
        <v>0.77056213069078816</v>
      </c>
      <c r="AR35" s="37">
        <f t="shared" si="56"/>
        <v>71639.161290322576</v>
      </c>
      <c r="AS35" s="186">
        <f t="shared" si="103"/>
        <v>0</v>
      </c>
      <c r="AT35" s="303"/>
      <c r="AU35" s="475"/>
      <c r="AV35" s="432">
        <f t="shared" si="62"/>
        <v>0.88300000000000001</v>
      </c>
      <c r="AW35" s="251">
        <f>-SUM('B5'!AI34)</f>
        <v>0</v>
      </c>
      <c r="AX35" s="251">
        <f t="shared" si="104"/>
        <v>0</v>
      </c>
      <c r="AY35" s="36">
        <f t="shared" si="105"/>
        <v>0</v>
      </c>
      <c r="AZ35" s="96">
        <f>ELEC!A33</f>
        <v>0</v>
      </c>
      <c r="BA35" s="114">
        <f>'General information '!D34</f>
        <v>0</v>
      </c>
      <c r="BB35" s="193">
        <f>SUM('General information '!E34)</f>
        <v>0</v>
      </c>
      <c r="BC35" s="3">
        <f t="shared" si="106"/>
        <v>0</v>
      </c>
      <c r="BD35" s="98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107"/>
        <v>0</v>
      </c>
      <c r="BK35" s="469" t="e">
        <f>GEN!AF32</f>
        <v>#DIV/0!</v>
      </c>
    </row>
    <row r="36" spans="1:63">
      <c r="A36" s="379">
        <f>ELEC!C34</f>
        <v>44957</v>
      </c>
      <c r="B36" s="440">
        <f>'B5'!B35</f>
        <v>232</v>
      </c>
      <c r="C36" s="192">
        <f t="shared" si="64"/>
        <v>4991.7419354838712</v>
      </c>
      <c r="D36">
        <f t="shared" si="65"/>
        <v>232</v>
      </c>
      <c r="E36" s="192">
        <f t="shared" si="66"/>
        <v>4991.7419354838712</v>
      </c>
      <c r="F36">
        <f t="shared" si="67"/>
        <v>232</v>
      </c>
      <c r="G36" s="192">
        <f t="shared" si="68"/>
        <v>4991.7419354838712</v>
      </c>
      <c r="H36" s="192">
        <f t="shared" si="69"/>
        <v>232</v>
      </c>
      <c r="I36" s="192">
        <f t="shared" si="70"/>
        <v>4991.7419354838712</v>
      </c>
      <c r="J36" s="192">
        <f t="shared" si="71"/>
        <v>232</v>
      </c>
      <c r="K36" s="192">
        <f t="shared" si="72"/>
        <v>4991.7419354838712</v>
      </c>
      <c r="L36" s="192">
        <f t="shared" si="73"/>
        <v>232</v>
      </c>
      <c r="M36" s="192">
        <f t="shared" si="74"/>
        <v>4991.7419354838712</v>
      </c>
      <c r="N36" s="192">
        <f t="shared" si="75"/>
        <v>232</v>
      </c>
      <c r="O36" s="192">
        <f t="shared" si="76"/>
        <v>4991.7419354838712</v>
      </c>
      <c r="P36" s="192">
        <f t="shared" si="77"/>
        <v>232</v>
      </c>
      <c r="Q36" s="192">
        <f t="shared" si="78"/>
        <v>4991.7419354838712</v>
      </c>
      <c r="R36" s="192">
        <f t="shared" si="79"/>
        <v>232</v>
      </c>
      <c r="S36" s="192">
        <f t="shared" si="80"/>
        <v>4991.7419354838712</v>
      </c>
      <c r="T36" s="192">
        <f t="shared" si="81"/>
        <v>232</v>
      </c>
      <c r="U36" s="192">
        <f t="shared" si="82"/>
        <v>4991.7419354838712</v>
      </c>
      <c r="V36" s="192">
        <f t="shared" si="83"/>
        <v>232</v>
      </c>
      <c r="W36" s="192">
        <f t="shared" si="84"/>
        <v>4991.7419354838712</v>
      </c>
      <c r="X36" s="34">
        <f t="shared" si="85"/>
        <v>0.74838709677419357</v>
      </c>
      <c r="Y36" s="35">
        <f t="shared" si="86"/>
        <v>54909.161290322583</v>
      </c>
      <c r="Z36" s="440">
        <f>'B5'!C35</f>
        <v>239</v>
      </c>
      <c r="AA36" s="192">
        <f t="shared" si="87"/>
        <v>2390</v>
      </c>
      <c r="AB36" s="192">
        <f t="shared" si="88"/>
        <v>239</v>
      </c>
      <c r="AC36" s="192">
        <f t="shared" si="89"/>
        <v>2390</v>
      </c>
      <c r="AD36" s="192">
        <f t="shared" si="90"/>
        <v>239</v>
      </c>
      <c r="AE36" s="192">
        <f t="shared" si="91"/>
        <v>2390</v>
      </c>
      <c r="AF36" s="192">
        <f t="shared" si="92"/>
        <v>239</v>
      </c>
      <c r="AG36" s="192">
        <f t="shared" si="93"/>
        <v>2390</v>
      </c>
      <c r="AH36" s="192">
        <f t="shared" si="94"/>
        <v>239</v>
      </c>
      <c r="AI36" s="192">
        <f t="shared" si="95"/>
        <v>2390</v>
      </c>
      <c r="AJ36" s="192">
        <f t="shared" si="96"/>
        <v>239</v>
      </c>
      <c r="AK36" s="192">
        <f t="shared" si="97"/>
        <v>2390</v>
      </c>
      <c r="AL36" s="192">
        <f t="shared" si="98"/>
        <v>239</v>
      </c>
      <c r="AM36" s="192">
        <f t="shared" si="99"/>
        <v>2390</v>
      </c>
      <c r="AN36" s="34">
        <f t="shared" si="100"/>
        <v>0.85357142857142854</v>
      </c>
      <c r="AO36" s="35">
        <f t="shared" si="101"/>
        <v>16730</v>
      </c>
      <c r="AQ36" s="208">
        <f t="shared" si="102"/>
        <v>0.77056213069078816</v>
      </c>
      <c r="AR36" s="37">
        <f t="shared" si="56"/>
        <v>71639.161290322576</v>
      </c>
      <c r="AS36" s="186">
        <f t="shared" si="103"/>
        <v>0</v>
      </c>
      <c r="AT36" s="303"/>
      <c r="AU36" s="475"/>
      <c r="AV36" s="432">
        <f t="shared" si="62"/>
        <v>0.88300000000000001</v>
      </c>
      <c r="AW36" s="251">
        <f>-SUM('B5'!AI35)</f>
        <v>0</v>
      </c>
      <c r="AX36" s="251">
        <f t="shared" si="104"/>
        <v>0</v>
      </c>
      <c r="AY36" s="36">
        <f t="shared" si="105"/>
        <v>0</v>
      </c>
      <c r="AZ36" s="96">
        <f>ELEC!A34</f>
        <v>0</v>
      </c>
      <c r="BA36" s="114">
        <f>'General information '!D35</f>
        <v>0</v>
      </c>
      <c r="BB36" s="193">
        <f>SUM('General information '!E35)</f>
        <v>0</v>
      </c>
      <c r="BC36" s="3">
        <f t="shared" si="106"/>
        <v>0</v>
      </c>
      <c r="BD36" s="98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107"/>
        <v>0</v>
      </c>
      <c r="BK36" s="469" t="e">
        <f>GEN!AF33</f>
        <v>#DIV/0!</v>
      </c>
    </row>
    <row r="37" spans="1:63">
      <c r="AQ37" s="19"/>
      <c r="AR37" s="409" t="s">
        <v>121</v>
      </c>
      <c r="AS37" s="414">
        <f>COUNT(AT6:AT36)</f>
        <v>3</v>
      </c>
      <c r="AT37" s="192">
        <f>SUM(AT6:AT36)</f>
        <v>18855</v>
      </c>
      <c r="AU37">
        <f>SUM(AU6:AU36)/AS37</f>
        <v>0.8803333333333333</v>
      </c>
      <c r="AX37" s="192">
        <f>SUM(AX6:AX36)</f>
        <v>-11948.516129032258</v>
      </c>
      <c r="AY37" s="192">
        <f>SUM(AY6:AY36)</f>
        <v>-14491.516129032258</v>
      </c>
    </row>
    <row r="38" spans="1:63">
      <c r="AT38" s="79">
        <f>+AT37*AU37</f>
        <v>16598.684999999998</v>
      </c>
    </row>
    <row r="40" spans="1:63">
      <c r="AS40" s="1">
        <f>SUM(AS6:AS36)/'EDl log'!A35</f>
        <v>-4830.5053763440856</v>
      </c>
      <c r="AT40" s="192"/>
    </row>
    <row r="41" spans="1:63">
      <c r="AX41">
        <v>43309</v>
      </c>
    </row>
    <row r="42" spans="1:63">
      <c r="AR42" s="192">
        <f>AR36-22000</f>
        <v>49639.161290322576</v>
      </c>
      <c r="AU42" s="192"/>
      <c r="AX42">
        <f>AX37/AX41</f>
        <v>-0.27588991038888588</v>
      </c>
    </row>
    <row r="43" spans="1:63">
      <c r="AR43">
        <f>AR42/5500</f>
        <v>9.0253020527859231</v>
      </c>
    </row>
    <row r="44" spans="1:63">
      <c r="AR44">
        <f>AR43*2</f>
        <v>18.050604105571846</v>
      </c>
    </row>
    <row r="45" spans="1:63">
      <c r="AR45" s="192"/>
    </row>
    <row r="46" spans="1:63">
      <c r="AT46" s="510"/>
    </row>
  </sheetData>
  <mergeCells count="3">
    <mergeCell ref="AT3:AU3"/>
    <mergeCell ref="AS3:AS4"/>
    <mergeCell ref="AR3:AR4"/>
  </mergeCells>
  <conditionalFormatting sqref="AW6:AX36">
    <cfRule type="cellIs" dxfId="5" priority="8" stopIfTrue="1" operator="greaterThan">
      <formula>0</formula>
    </cfRule>
  </conditionalFormatting>
  <conditionalFormatting sqref="AT6:AU36">
    <cfRule type="cellIs" dxfId="4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4"/>
  <sheetViews>
    <sheetView topLeftCell="AC1" zoomScale="85" zoomScaleNormal="85" workbookViewId="0">
      <pane ySplit="3" topLeftCell="AF25" activePane="bottomLeft" state="frozen"/>
      <selection pane="bottomLeft" activeCell="AY27" sqref="AY2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284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284" customWidth="1"/>
    <col min="11" max="11" width="13.5703125" style="1" customWidth="1"/>
    <col min="12" max="12" width="13.28515625" style="1" customWidth="1"/>
    <col min="13" max="14" width="10.7109375" style="1" customWidth="1"/>
    <col min="15" max="16" width="11.28515625" style="1" customWidth="1"/>
    <col min="17" max="17" width="17.28515625" style="1" customWidth="1"/>
    <col min="18" max="19" width="10.7109375" style="1" customWidth="1"/>
    <col min="20" max="20" width="13.28515625" style="1" customWidth="1"/>
    <col min="21" max="21" width="8.7109375" style="1" customWidth="1"/>
    <col min="22" max="22" width="13.28515625" style="274" customWidth="1"/>
    <col min="23" max="23" width="9.7109375" style="274" bestFit="1" customWidth="1"/>
    <col min="24" max="27" width="9.7109375" style="274" customWidth="1"/>
    <col min="28" max="28" width="14.42578125" style="274" customWidth="1"/>
    <col min="29" max="32" width="9.7109375" style="274" customWidth="1"/>
    <col min="33" max="33" width="11.28515625" style="274" customWidth="1"/>
    <col min="34" max="36" width="9.7109375" style="274" customWidth="1"/>
    <col min="37" max="37" width="7.42578125" style="274" customWidth="1"/>
    <col min="38" max="39" width="8.7109375" style="274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1" s="305" customFormat="1" ht="15.75" thickBot="1">
      <c r="B1" s="306"/>
      <c r="C1" s="306"/>
      <c r="D1" s="355">
        <f>SUM(G21:G33)</f>
        <v>8224606</v>
      </c>
      <c r="E1" s="307"/>
      <c r="F1" s="307"/>
      <c r="G1" s="306"/>
      <c r="H1" s="306"/>
      <c r="I1" s="306"/>
      <c r="J1" s="307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  <c r="AJ1" s="308"/>
      <c r="AK1" s="308"/>
      <c r="AL1" s="308"/>
      <c r="AM1" s="308"/>
      <c r="AN1" s="306"/>
      <c r="AR1" s="309" t="s">
        <v>122</v>
      </c>
      <c r="AS1" s="310"/>
      <c r="AT1" s="310" t="s">
        <v>97</v>
      </c>
      <c r="AU1" s="310"/>
      <c r="AV1" s="311" t="s">
        <v>98</v>
      </c>
    </row>
    <row r="2" spans="1:61" s="305" customFormat="1" ht="15.75" customHeight="1" thickBot="1">
      <c r="B2" s="306"/>
      <c r="C2" s="306"/>
      <c r="D2" s="306"/>
      <c r="E2" s="307"/>
      <c r="F2" s="307"/>
      <c r="G2" s="306"/>
      <c r="H2" s="306"/>
      <c r="I2" s="306"/>
      <c r="J2" s="307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6"/>
      <c r="AR2" s="551" t="s">
        <v>123</v>
      </c>
      <c r="AS2" s="552"/>
      <c r="AT2" s="552"/>
      <c r="AU2" s="552"/>
      <c r="AV2" s="553"/>
      <c r="AW2" s="551" t="s">
        <v>124</v>
      </c>
      <c r="AX2" s="552"/>
      <c r="AY2" s="553"/>
      <c r="AZ2" s="551" t="s">
        <v>125</v>
      </c>
      <c r="BA2" s="552"/>
      <c r="BB2" s="553"/>
      <c r="BC2" s="312"/>
    </row>
    <row r="3" spans="1:61" s="305" customFormat="1" ht="48" customHeight="1" thickBot="1">
      <c r="A3" s="313" t="s">
        <v>126</v>
      </c>
      <c r="B3" s="314" t="s">
        <v>127</v>
      </c>
      <c r="C3" s="314" t="s">
        <v>128</v>
      </c>
      <c r="D3" s="314" t="s">
        <v>129</v>
      </c>
      <c r="E3" s="315"/>
      <c r="F3" s="316" t="s">
        <v>130</v>
      </c>
      <c r="G3" s="314" t="s">
        <v>131</v>
      </c>
      <c r="H3" s="314" t="s">
        <v>132</v>
      </c>
      <c r="I3" s="314" t="s">
        <v>133</v>
      </c>
      <c r="J3" s="315"/>
      <c r="K3" s="314" t="s">
        <v>134</v>
      </c>
      <c r="L3" s="317" t="s">
        <v>135</v>
      </c>
      <c r="M3" s="426" t="s">
        <v>136</v>
      </c>
      <c r="N3" s="427"/>
      <c r="O3" s="428" t="s">
        <v>137</v>
      </c>
      <c r="P3" s="428"/>
      <c r="Q3" s="428" t="s">
        <v>138</v>
      </c>
      <c r="R3" s="428" t="s">
        <v>139</v>
      </c>
      <c r="S3" s="428" t="s">
        <v>140</v>
      </c>
      <c r="T3" s="314" t="s">
        <v>141</v>
      </c>
      <c r="U3" s="314" t="s">
        <v>142</v>
      </c>
      <c r="V3" s="318" t="s">
        <v>143</v>
      </c>
      <c r="W3" s="319" t="s">
        <v>144</v>
      </c>
      <c r="X3" s="318" t="s">
        <v>145</v>
      </c>
      <c r="Y3" s="319" t="s">
        <v>146</v>
      </c>
      <c r="Z3" s="320" t="s">
        <v>147</v>
      </c>
      <c r="AA3" s="321" t="s">
        <v>148</v>
      </c>
      <c r="AB3" s="376" t="s">
        <v>149</v>
      </c>
      <c r="AC3" s="374" t="s">
        <v>150</v>
      </c>
      <c r="AD3" s="374"/>
      <c r="AE3" s="322" t="s">
        <v>151</v>
      </c>
      <c r="AF3" s="322" t="s">
        <v>152</v>
      </c>
      <c r="AG3" s="322" t="s">
        <v>153</v>
      </c>
      <c r="AH3" s="322" t="s">
        <v>154</v>
      </c>
      <c r="AI3" s="321" t="s">
        <v>155</v>
      </c>
      <c r="AJ3" s="321" t="s">
        <v>156</v>
      </c>
      <c r="AK3" s="322" t="s">
        <v>157</v>
      </c>
      <c r="AL3" s="322" t="s">
        <v>158</v>
      </c>
      <c r="AM3" s="323" t="s">
        <v>159</v>
      </c>
      <c r="AN3" s="548" t="s">
        <v>160</v>
      </c>
      <c r="AO3" s="549"/>
      <c r="AP3" s="550"/>
      <c r="AR3" s="324" t="s">
        <v>126</v>
      </c>
      <c r="AS3" s="325"/>
      <c r="AT3" s="324" t="s">
        <v>161</v>
      </c>
      <c r="AU3" s="325"/>
      <c r="AV3" s="326" t="s">
        <v>162</v>
      </c>
      <c r="AW3" s="327"/>
      <c r="AX3" s="325" t="s">
        <v>163</v>
      </c>
      <c r="AY3" s="328" t="s">
        <v>164</v>
      </c>
      <c r="AZ3" s="326" t="s">
        <v>162</v>
      </c>
      <c r="BA3" s="329" t="s">
        <v>163</v>
      </c>
      <c r="BB3" s="330" t="s">
        <v>162</v>
      </c>
      <c r="BC3" s="330" t="s">
        <v>165</v>
      </c>
      <c r="BD3" s="331" t="s">
        <v>163</v>
      </c>
      <c r="BE3" s="332" t="s">
        <v>166</v>
      </c>
      <c r="BF3" s="331" t="s">
        <v>167</v>
      </c>
      <c r="BG3" s="333"/>
    </row>
    <row r="4" spans="1:61" ht="16.5" thickBot="1">
      <c r="A4" s="84"/>
      <c r="B4" s="5"/>
      <c r="C4" s="5"/>
      <c r="D4" s="235"/>
      <c r="E4" s="285">
        <v>1.66</v>
      </c>
      <c r="F4" s="285"/>
      <c r="G4" s="5"/>
      <c r="H4" s="5"/>
      <c r="I4" s="5"/>
      <c r="J4" s="286"/>
      <c r="K4" s="5"/>
      <c r="L4" s="80"/>
      <c r="M4" s="429"/>
      <c r="N4" s="429"/>
      <c r="O4" s="429"/>
      <c r="P4" s="429"/>
      <c r="Q4" s="429"/>
      <c r="R4" s="429"/>
      <c r="S4" s="429"/>
      <c r="T4" s="80"/>
      <c r="U4" s="80"/>
      <c r="V4" s="275"/>
      <c r="W4" s="276"/>
      <c r="X4" s="275"/>
      <c r="Y4" s="276"/>
      <c r="Z4" s="277"/>
      <c r="AA4" s="375"/>
      <c r="AB4" s="377"/>
      <c r="AC4" s="375"/>
      <c r="AD4" s="375"/>
      <c r="AE4" s="375"/>
      <c r="AF4" s="375"/>
      <c r="AG4" s="375"/>
      <c r="AH4" s="375"/>
      <c r="AI4" s="375"/>
      <c r="AJ4" s="278"/>
      <c r="AK4" s="279"/>
      <c r="AL4" s="279"/>
      <c r="AM4" s="280"/>
      <c r="AN4" s="85" t="s">
        <v>168</v>
      </c>
      <c r="AO4" s="85" t="s">
        <v>169</v>
      </c>
      <c r="AP4" s="85" t="s">
        <v>170</v>
      </c>
      <c r="AR4" s="212"/>
      <c r="AS4" s="213"/>
      <c r="AT4" s="212">
        <v>180</v>
      </c>
      <c r="AU4" s="213"/>
      <c r="AV4" s="214">
        <v>220</v>
      </c>
      <c r="AW4" s="215"/>
      <c r="AX4" s="213">
        <v>580</v>
      </c>
      <c r="AY4" s="86">
        <f>SUM(AT4)</f>
        <v>180</v>
      </c>
      <c r="AZ4" s="87">
        <f>SUM(AV4)</f>
        <v>220</v>
      </c>
      <c r="BA4" s="88">
        <f>SUM(AX4)</f>
        <v>580</v>
      </c>
      <c r="BB4" s="89"/>
      <c r="BC4" s="90"/>
      <c r="BD4" s="91"/>
      <c r="BE4" s="22"/>
      <c r="BG4" s="79"/>
    </row>
    <row r="5" spans="1:61">
      <c r="A5" s="6">
        <v>44926</v>
      </c>
      <c r="B5" s="349">
        <f>[2]WATER!B35</f>
        <v>109443</v>
      </c>
      <c r="C5" s="349">
        <f>[2]WATER!C35</f>
        <v>0</v>
      </c>
      <c r="D5" s="349">
        <f>[2]WATER!D35</f>
        <v>0</v>
      </c>
      <c r="E5" s="349">
        <v>2419355</v>
      </c>
      <c r="F5" s="349">
        <f>[2]WATER!F35</f>
        <v>0</v>
      </c>
      <c r="G5" s="349">
        <v>632594</v>
      </c>
      <c r="H5" s="349">
        <v>0</v>
      </c>
      <c r="I5" s="349">
        <v>0</v>
      </c>
      <c r="J5" s="349">
        <v>0</v>
      </c>
      <c r="K5" s="349">
        <f>[2]WATER!K35</f>
        <v>7089</v>
      </c>
      <c r="L5" s="349">
        <f>[2]WATER!L35</f>
        <v>0</v>
      </c>
      <c r="M5" s="349">
        <f>[2]WATER!M35</f>
        <v>457.44</v>
      </c>
      <c r="N5" s="349">
        <f>[2]WATER!N35</f>
        <v>0</v>
      </c>
      <c r="O5" s="349">
        <f>[2]WATER!O35</f>
        <v>529.52</v>
      </c>
      <c r="P5" s="349">
        <f>[2]WATER!P35</f>
        <v>0</v>
      </c>
      <c r="Q5" s="349">
        <f>[2]WATER!Q35</f>
        <v>0</v>
      </c>
      <c r="R5" s="349">
        <f>[2]WATER!R35</f>
        <v>0</v>
      </c>
      <c r="S5" s="349">
        <f>[2]WATER!S35</f>
        <v>0</v>
      </c>
      <c r="T5" s="349">
        <v>5198</v>
      </c>
      <c r="U5" s="349">
        <f>[2]WATER!U35</f>
        <v>0</v>
      </c>
      <c r="V5" s="349">
        <v>512</v>
      </c>
      <c r="W5" s="349">
        <f>[2]WATER!W35</f>
        <v>0</v>
      </c>
      <c r="X5" s="349">
        <v>156588</v>
      </c>
      <c r="Y5" s="349">
        <f>[2]WATER!Y35</f>
        <v>0</v>
      </c>
      <c r="Z5" s="349">
        <v>99898</v>
      </c>
      <c r="AA5" s="349">
        <f>[2]WATER!AA35</f>
        <v>0</v>
      </c>
      <c r="AB5" s="349">
        <f>[2]WATER!AB35</f>
        <v>251</v>
      </c>
      <c r="AC5" s="349">
        <f>[2]WATER!AC35</f>
        <v>855</v>
      </c>
      <c r="AD5" s="349">
        <f>[2]WATER!AD35</f>
        <v>0</v>
      </c>
      <c r="AE5" s="349">
        <v>262.47000000000003</v>
      </c>
      <c r="AF5" s="349">
        <f>[2]WATER!AF35</f>
        <v>0</v>
      </c>
      <c r="AG5" s="349">
        <f>[2]WATER!AG35</f>
        <v>2247.41</v>
      </c>
      <c r="AH5" s="349">
        <f>[2]WATER!AH35</f>
        <v>0</v>
      </c>
      <c r="AI5" s="349">
        <f>[2]WATER!AI35</f>
        <v>0</v>
      </c>
      <c r="AJ5" s="349">
        <f>[2]WATER!AJ35</f>
        <v>0</v>
      </c>
      <c r="AK5" s="349">
        <f>[2]WATER!AK35</f>
        <v>0</v>
      </c>
      <c r="AL5" s="349">
        <f>[2]WATER!AL35</f>
        <v>0</v>
      </c>
      <c r="AM5" s="349">
        <f>[2]WATER!AM35</f>
        <v>19.5</v>
      </c>
      <c r="AN5" s="349">
        <f>[2]WATER!AN35</f>
        <v>0</v>
      </c>
      <c r="AO5" s="349">
        <f>[2]WATER!AO35</f>
        <v>0</v>
      </c>
      <c r="AP5" s="349">
        <f>[2]WATER!AP35</f>
        <v>0</v>
      </c>
      <c r="AR5" s="472">
        <v>44926</v>
      </c>
      <c r="AS5" s="349">
        <f>[2]WATER!AS36</f>
        <v>0.9</v>
      </c>
      <c r="AT5" s="349">
        <v>185</v>
      </c>
      <c r="AU5" s="349">
        <f>[2]WATER!AU36</f>
        <v>1.1000000000000001</v>
      </c>
      <c r="AV5" s="349">
        <v>117</v>
      </c>
      <c r="AW5" s="349">
        <f>[2]WATER!AW36</f>
        <v>2.9</v>
      </c>
      <c r="AX5" s="349">
        <v>144</v>
      </c>
      <c r="AY5" s="349">
        <v>166.5</v>
      </c>
      <c r="AZ5" s="349">
        <v>128.69999999999999</v>
      </c>
      <c r="BA5" s="349">
        <v>417.6</v>
      </c>
      <c r="BB5" s="349">
        <f>[2]WATER!BB36</f>
        <v>0</v>
      </c>
      <c r="BC5" s="349">
        <f>[2]WATER!BC36</f>
        <v>0</v>
      </c>
      <c r="BD5" s="349">
        <f>[2]WATER!BD36</f>
        <v>0</v>
      </c>
      <c r="BE5" s="349">
        <f>[2]WATER!BE36</f>
        <v>0</v>
      </c>
      <c r="BF5" s="349">
        <f>[2]WATER!BF36</f>
        <v>0</v>
      </c>
      <c r="BG5" s="349">
        <f>[2]WATER!BG36</f>
        <v>0</v>
      </c>
    </row>
    <row r="6" spans="1:61" ht="15.75" thickBot="1">
      <c r="A6" s="6">
        <f>ELEC!C4</f>
        <v>44927</v>
      </c>
      <c r="B6" s="5">
        <f>B5</f>
        <v>109443</v>
      </c>
      <c r="C6" s="5">
        <f>B6-B5</f>
        <v>0</v>
      </c>
      <c r="D6" s="358">
        <f>C6/27</f>
        <v>0</v>
      </c>
      <c r="E6" s="285">
        <f>SUM((C6*$E$4)+(7500/'EDl log'!$A$37))</f>
        <v>241.93548387096774</v>
      </c>
      <c r="F6" s="357"/>
      <c r="G6" s="5">
        <f>G5</f>
        <v>632594</v>
      </c>
      <c r="H6" s="5">
        <f>G6-G5</f>
        <v>0</v>
      </c>
      <c r="I6" s="5">
        <f>C6+H6</f>
        <v>0</v>
      </c>
      <c r="J6" s="286">
        <f t="shared" ref="J6:J33" si="0">IF(I6&gt;0,E6/I6,0)</f>
        <v>0</v>
      </c>
      <c r="K6" s="5">
        <f>K5</f>
        <v>7089</v>
      </c>
      <c r="L6" s="80">
        <v>0</v>
      </c>
      <c r="M6" s="349">
        <f>M5</f>
        <v>457.44</v>
      </c>
      <c r="N6" s="429">
        <f t="shared" ref="N6:N13" si="1">SUM(M6-M5)</f>
        <v>0</v>
      </c>
      <c r="O6" s="349">
        <f>O5</f>
        <v>529.52</v>
      </c>
      <c r="P6" s="429">
        <f t="shared" ref="P6:P13" si="2">SUM(O6-O5)</f>
        <v>0</v>
      </c>
      <c r="Q6" s="430">
        <f>P6+N6</f>
        <v>0</v>
      </c>
      <c r="R6" s="429"/>
      <c r="S6" s="429"/>
      <c r="T6" s="5">
        <f>T5</f>
        <v>5198</v>
      </c>
      <c r="U6" s="5">
        <f t="shared" ref="U6:U33" si="3">SUM(T6-T5)</f>
        <v>0</v>
      </c>
      <c r="V6" s="5">
        <f>V5</f>
        <v>512</v>
      </c>
      <c r="W6" s="276">
        <f>+V6-V5</f>
        <v>0</v>
      </c>
      <c r="X6" s="5">
        <f>X5</f>
        <v>156588</v>
      </c>
      <c r="Y6" s="276">
        <f>SUM(X6-X5)</f>
        <v>0</v>
      </c>
      <c r="Z6" s="5">
        <f>Z5</f>
        <v>99898</v>
      </c>
      <c r="AA6" s="80">
        <f>Z6-Z5</f>
        <v>0</v>
      </c>
      <c r="AB6" s="5">
        <f>AB5</f>
        <v>251</v>
      </c>
      <c r="AC6" s="5">
        <f>AC5</f>
        <v>855</v>
      </c>
      <c r="AD6" s="80">
        <v>0</v>
      </c>
      <c r="AE6" s="5">
        <f>AE5</f>
        <v>262.47000000000003</v>
      </c>
      <c r="AF6" s="80">
        <f>AE6-AE5</f>
        <v>0</v>
      </c>
      <c r="AG6" s="5">
        <f>AG5</f>
        <v>2247.41</v>
      </c>
      <c r="AH6" s="80">
        <f>AG6-AG5</f>
        <v>0</v>
      </c>
      <c r="AI6" s="80">
        <f>AF6+AH6</f>
        <v>0</v>
      </c>
      <c r="AJ6" s="278">
        <f>+Z6-Z5</f>
        <v>0</v>
      </c>
      <c r="AK6" s="279">
        <f>SUM(Y6-L6)</f>
        <v>0</v>
      </c>
      <c r="AL6" s="279">
        <f>SUM(AJ6-W6)</f>
        <v>0</v>
      </c>
      <c r="AM6" s="279">
        <f>'General information '!D5</f>
        <v>16</v>
      </c>
      <c r="AN6" s="81">
        <f>'General information '!H5</f>
        <v>0</v>
      </c>
      <c r="AO6" s="81"/>
      <c r="AP6" s="81">
        <f>'General information '!J5</f>
        <v>0</v>
      </c>
      <c r="AR6" s="242">
        <f>A6</f>
        <v>44927</v>
      </c>
      <c r="AS6" s="363">
        <f>AS5</f>
        <v>0.9</v>
      </c>
      <c r="AT6" s="190">
        <f>AT5</f>
        <v>185</v>
      </c>
      <c r="AU6" s="364">
        <f>AU5</f>
        <v>1.1000000000000001</v>
      </c>
      <c r="AV6" s="190">
        <v>117</v>
      </c>
      <c r="AW6" s="5">
        <v>2.9</v>
      </c>
      <c r="AX6" s="190">
        <v>144</v>
      </c>
      <c r="AY6" s="365">
        <f>AS6*AT6</f>
        <v>166.5</v>
      </c>
      <c r="AZ6" s="365">
        <f>AU6*AV6</f>
        <v>128.70000000000002</v>
      </c>
      <c r="BA6" s="365">
        <f>AW6*AX6</f>
        <v>417.59999999999997</v>
      </c>
      <c r="BB6" s="20">
        <f>AY6-AY5</f>
        <v>0</v>
      </c>
      <c r="BC6" s="20">
        <f>AZ6-AZ5</f>
        <v>0</v>
      </c>
      <c r="BD6" s="20">
        <f>BA6-BA5</f>
        <v>0</v>
      </c>
      <c r="BE6" s="23">
        <f>SUM(BB6:BD6)</f>
        <v>0</v>
      </c>
      <c r="BF6" s="79">
        <f>SUM(I6-BE6)</f>
        <v>0</v>
      </c>
      <c r="BG6" s="79">
        <f t="shared" ref="BG6:BG33" si="4">SUM(I6-BF6)</f>
        <v>0</v>
      </c>
    </row>
    <row r="7" spans="1:61" ht="15.75" thickBot="1">
      <c r="A7" s="6">
        <f>ELEC!C5</f>
        <v>44928</v>
      </c>
      <c r="B7" s="5">
        <f t="shared" ref="B7:B36" si="5">B6</f>
        <v>109443</v>
      </c>
      <c r="C7" s="5">
        <f t="shared" ref="C7:C33" si="6">B7-B6</f>
        <v>0</v>
      </c>
      <c r="D7" s="358">
        <f t="shared" ref="D7:D33" si="7">C7/27</f>
        <v>0</v>
      </c>
      <c r="E7" s="285">
        <f>SUM((C7*$E$4)+(7500/'EDl log'!$A$37))</f>
        <v>241.93548387096774</v>
      </c>
      <c r="F7" s="357"/>
      <c r="G7" s="5">
        <f>G6</f>
        <v>632594</v>
      </c>
      <c r="H7" s="5">
        <f t="shared" ref="H7:H33" si="8">G7-G6</f>
        <v>0</v>
      </c>
      <c r="I7" s="5">
        <f t="shared" ref="I7:I33" si="9">C7+H7</f>
        <v>0</v>
      </c>
      <c r="J7" s="286">
        <f t="shared" si="0"/>
        <v>0</v>
      </c>
      <c r="K7" s="5">
        <f t="shared" ref="K7:K36" si="10">K6</f>
        <v>7089</v>
      </c>
      <c r="L7" s="80">
        <f>K7-K6</f>
        <v>0</v>
      </c>
      <c r="M7" s="349">
        <f t="shared" ref="M7:M36" si="11">M6</f>
        <v>457.44</v>
      </c>
      <c r="N7" s="429">
        <f t="shared" si="1"/>
        <v>0</v>
      </c>
      <c r="O7" s="349">
        <f t="shared" ref="O7:O36" si="12">O6</f>
        <v>529.52</v>
      </c>
      <c r="P7" s="429">
        <f t="shared" si="2"/>
        <v>0</v>
      </c>
      <c r="Q7" s="430">
        <f>P7+N7</f>
        <v>0</v>
      </c>
      <c r="R7" s="429"/>
      <c r="S7" s="429"/>
      <c r="T7" s="5">
        <f t="shared" ref="T7:T36" si="13">T6</f>
        <v>5198</v>
      </c>
      <c r="U7" s="5">
        <f t="shared" si="3"/>
        <v>0</v>
      </c>
      <c r="V7" s="5">
        <f t="shared" ref="V7:V36" si="14">V6</f>
        <v>512</v>
      </c>
      <c r="W7" s="276">
        <f t="shared" ref="W7:W33" si="15">+V7-V6</f>
        <v>0</v>
      </c>
      <c r="X7" s="5">
        <f t="shared" ref="X7:X36" si="16">X6</f>
        <v>156588</v>
      </c>
      <c r="Y7" s="276">
        <f>SUM(X7-X6)</f>
        <v>0</v>
      </c>
      <c r="Z7" s="5">
        <f t="shared" ref="Z7:Z36" si="17">Z6</f>
        <v>99898</v>
      </c>
      <c r="AA7" s="80">
        <f t="shared" ref="AA7:AA33" si="18">Z7-Z6</f>
        <v>0</v>
      </c>
      <c r="AB7" s="5">
        <f t="shared" ref="AB7:AB36" si="19">AB6</f>
        <v>251</v>
      </c>
      <c r="AC7" s="5">
        <f t="shared" ref="AC7:AC36" si="20">AC6</f>
        <v>855</v>
      </c>
      <c r="AD7" s="80">
        <f>AC7-AC6</f>
        <v>0</v>
      </c>
      <c r="AE7" s="5">
        <f t="shared" ref="AE7:AE36" si="21">AE6</f>
        <v>262.47000000000003</v>
      </c>
      <c r="AF7" s="80">
        <f t="shared" ref="AF7:AF32" si="22">AE7-AE6</f>
        <v>0</v>
      </c>
      <c r="AG7" s="5">
        <f t="shared" ref="AG7:AG36" si="23">AG6</f>
        <v>2247.41</v>
      </c>
      <c r="AH7" s="80">
        <f t="shared" ref="AH7:AH33" si="24">AG7-AG6</f>
        <v>0</v>
      </c>
      <c r="AI7" s="80">
        <f t="shared" ref="AI7:AI33" si="25">AF7+AH7</f>
        <v>0</v>
      </c>
      <c r="AJ7" s="278">
        <f t="shared" ref="AJ7:AJ33" si="26">+Z7-Z6</f>
        <v>0</v>
      </c>
      <c r="AK7" s="279">
        <f>SUM(Y7-L7)</f>
        <v>0</v>
      </c>
      <c r="AL7" s="279">
        <f t="shared" ref="AL7:AL33" si="27">SUM(AJ7-W7)</f>
        <v>0</v>
      </c>
      <c r="AM7" s="279">
        <f>'General information '!D6</f>
        <v>17</v>
      </c>
      <c r="AN7" s="81">
        <f>'General information '!H6</f>
        <v>0</v>
      </c>
      <c r="AO7" s="81"/>
      <c r="AP7" s="81">
        <f>'General information '!J6</f>
        <v>0</v>
      </c>
      <c r="AR7" s="242">
        <f t="shared" ref="AR7:AR33" si="28">A7</f>
        <v>44928</v>
      </c>
      <c r="AS7" s="363">
        <f t="shared" ref="AS7:AT21" si="29">AS6</f>
        <v>0.9</v>
      </c>
      <c r="AT7" s="190">
        <f t="shared" si="29"/>
        <v>185</v>
      </c>
      <c r="AU7" s="364">
        <f>AU6</f>
        <v>1.1000000000000001</v>
      </c>
      <c r="AV7" s="190">
        <f t="shared" ref="AV7:AV36" si="30">AV6</f>
        <v>117</v>
      </c>
      <c r="AW7" s="5">
        <v>2.9</v>
      </c>
      <c r="AX7" s="190">
        <f t="shared" ref="AX7:AX36" si="31">AX6</f>
        <v>144</v>
      </c>
      <c r="AY7" s="365">
        <f>AS7*AT7</f>
        <v>166.5</v>
      </c>
      <c r="AZ7" s="365">
        <f>AU7*AV7</f>
        <v>128.70000000000002</v>
      </c>
      <c r="BA7" s="365">
        <f>AW7*AX7</f>
        <v>417.59999999999997</v>
      </c>
      <c r="BB7" s="20">
        <f>AY7-AY6</f>
        <v>0</v>
      </c>
      <c r="BC7" s="20">
        <f t="shared" ref="BC7:BD21" si="32">AZ7-AZ6</f>
        <v>0</v>
      </c>
      <c r="BD7" s="20">
        <f t="shared" si="32"/>
        <v>0</v>
      </c>
      <c r="BE7" s="23">
        <f t="shared" ref="BE7:BE33" si="33">SUM(BB7:BD7)</f>
        <v>0</v>
      </c>
      <c r="BF7" s="79">
        <f t="shared" ref="BF7:BF33" si="34">SUM(I7-BE7)</f>
        <v>0</v>
      </c>
      <c r="BG7" s="79">
        <f t="shared" si="4"/>
        <v>0</v>
      </c>
      <c r="BI7" s="83"/>
    </row>
    <row r="8" spans="1:61" ht="15.75" thickBot="1">
      <c r="A8" s="6">
        <f>ELEC!C6</f>
        <v>44929</v>
      </c>
      <c r="B8" s="5">
        <f t="shared" si="5"/>
        <v>109443</v>
      </c>
      <c r="C8" s="5">
        <f>B8-B7</f>
        <v>0</v>
      </c>
      <c r="D8" s="358">
        <f t="shared" si="7"/>
        <v>0</v>
      </c>
      <c r="E8" s="285">
        <f>SUM((C8*$E$4)+(7500/'EDl log'!$A$37))</f>
        <v>241.93548387096774</v>
      </c>
      <c r="F8" s="357"/>
      <c r="G8" s="5">
        <f>G7</f>
        <v>632594</v>
      </c>
      <c r="H8" s="5">
        <f t="shared" si="8"/>
        <v>0</v>
      </c>
      <c r="I8" s="5">
        <f t="shared" si="9"/>
        <v>0</v>
      </c>
      <c r="J8" s="286">
        <f t="shared" si="0"/>
        <v>0</v>
      </c>
      <c r="K8" s="5">
        <f t="shared" si="10"/>
        <v>7089</v>
      </c>
      <c r="L8" s="80">
        <f>K8-K7</f>
        <v>0</v>
      </c>
      <c r="M8" s="349">
        <f t="shared" si="11"/>
        <v>457.44</v>
      </c>
      <c r="N8" s="429">
        <f t="shared" si="1"/>
        <v>0</v>
      </c>
      <c r="O8" s="349">
        <f t="shared" si="12"/>
        <v>529.52</v>
      </c>
      <c r="P8" s="429">
        <f t="shared" si="2"/>
        <v>0</v>
      </c>
      <c r="Q8" s="430">
        <f>P8+N8</f>
        <v>0</v>
      </c>
      <c r="R8" s="429"/>
      <c r="S8" s="429"/>
      <c r="T8" s="5">
        <f t="shared" si="13"/>
        <v>5198</v>
      </c>
      <c r="U8" s="5">
        <f t="shared" si="3"/>
        <v>0</v>
      </c>
      <c r="V8" s="5">
        <f t="shared" si="14"/>
        <v>512</v>
      </c>
      <c r="W8" s="276">
        <f t="shared" si="15"/>
        <v>0</v>
      </c>
      <c r="X8" s="5">
        <f t="shared" si="16"/>
        <v>156588</v>
      </c>
      <c r="Y8" s="276">
        <f>SUM(X8-X7)</f>
        <v>0</v>
      </c>
      <c r="Z8" s="5">
        <f t="shared" si="17"/>
        <v>99898</v>
      </c>
      <c r="AA8" s="80">
        <f t="shared" si="18"/>
        <v>0</v>
      </c>
      <c r="AB8" s="5">
        <v>242</v>
      </c>
      <c r="AC8" s="5">
        <f t="shared" si="20"/>
        <v>855</v>
      </c>
      <c r="AD8" s="80">
        <f t="shared" ref="AD8:AD33" si="35">AC8-AC7</f>
        <v>0</v>
      </c>
      <c r="AE8" s="5">
        <f t="shared" si="21"/>
        <v>262.47000000000003</v>
      </c>
      <c r="AF8" s="80">
        <f t="shared" si="22"/>
        <v>0</v>
      </c>
      <c r="AG8" s="5">
        <f t="shared" si="23"/>
        <v>2247.41</v>
      </c>
      <c r="AH8" s="80">
        <f t="shared" si="24"/>
        <v>0</v>
      </c>
      <c r="AI8" s="80">
        <f t="shared" si="25"/>
        <v>0</v>
      </c>
      <c r="AJ8" s="278">
        <f t="shared" si="26"/>
        <v>0</v>
      </c>
      <c r="AK8" s="279">
        <f t="shared" ref="AK8:AK36" si="36">SUM(Y8-L8)</f>
        <v>0</v>
      </c>
      <c r="AL8" s="279">
        <f>SUM(AJ8-W8)</f>
        <v>0</v>
      </c>
      <c r="AM8" s="279">
        <f>'General information '!D7</f>
        <v>19</v>
      </c>
      <c r="AN8" s="81">
        <f>'General information '!H7</f>
        <v>0</v>
      </c>
      <c r="AO8" s="81"/>
      <c r="AP8" s="81">
        <f>'General information '!J7</f>
        <v>0</v>
      </c>
      <c r="AR8" s="242">
        <f t="shared" si="28"/>
        <v>44929</v>
      </c>
      <c r="AS8" s="363">
        <f t="shared" si="29"/>
        <v>0.9</v>
      </c>
      <c r="AT8" s="190">
        <v>171</v>
      </c>
      <c r="AU8" s="364">
        <v>1.1000000000000001</v>
      </c>
      <c r="AV8" s="190">
        <v>115</v>
      </c>
      <c r="AW8" s="5">
        <v>2.9</v>
      </c>
      <c r="AX8" s="190">
        <v>143</v>
      </c>
      <c r="AY8" s="365">
        <f t="shared" ref="AY8:AY33" si="37">AS8*AT8</f>
        <v>153.9</v>
      </c>
      <c r="AZ8" s="365">
        <f t="shared" ref="AZ8:AZ33" si="38">AU8*AV8</f>
        <v>126.50000000000001</v>
      </c>
      <c r="BA8" s="365">
        <f t="shared" ref="BA8:BA33" si="39">AW8*AX8</f>
        <v>414.7</v>
      </c>
      <c r="BB8" s="20">
        <f t="shared" ref="BB8:BB36" si="40">AY8-AY7</f>
        <v>-12.599999999999994</v>
      </c>
      <c r="BC8" s="20">
        <f t="shared" si="32"/>
        <v>-2.2000000000000028</v>
      </c>
      <c r="BD8" s="20">
        <f t="shared" si="32"/>
        <v>-2.8999999999999773</v>
      </c>
      <c r="BE8" s="23">
        <f t="shared" si="33"/>
        <v>-17.699999999999974</v>
      </c>
      <c r="BF8" s="79">
        <f t="shared" si="34"/>
        <v>17.699999999999974</v>
      </c>
      <c r="BG8" s="79">
        <f t="shared" si="4"/>
        <v>-17.699999999999974</v>
      </c>
      <c r="BI8" s="83"/>
    </row>
    <row r="9" spans="1:61" ht="15.75" thickBot="1">
      <c r="A9" s="6">
        <f>ELEC!C7</f>
        <v>44930</v>
      </c>
      <c r="B9" s="5">
        <f t="shared" si="5"/>
        <v>109443</v>
      </c>
      <c r="C9" s="5">
        <f t="shared" si="6"/>
        <v>0</v>
      </c>
      <c r="D9" s="358">
        <f t="shared" si="7"/>
        <v>0</v>
      </c>
      <c r="E9" s="285">
        <f>SUM((C9*$E$4)+(7500/'EDl log'!$A$37))</f>
        <v>241.93548387096774</v>
      </c>
      <c r="F9" s="357"/>
      <c r="G9" s="5">
        <v>632594</v>
      </c>
      <c r="H9" s="5">
        <f t="shared" si="8"/>
        <v>0</v>
      </c>
      <c r="I9" s="5">
        <f t="shared" si="9"/>
        <v>0</v>
      </c>
      <c r="J9" s="286">
        <f t="shared" si="0"/>
        <v>0</v>
      </c>
      <c r="K9" s="5">
        <f t="shared" si="10"/>
        <v>7089</v>
      </c>
      <c r="L9" s="80">
        <f t="shared" ref="L9:L33" si="41">K9-K8</f>
        <v>0</v>
      </c>
      <c r="M9" s="349">
        <f t="shared" si="11"/>
        <v>457.44</v>
      </c>
      <c r="N9" s="429">
        <f t="shared" si="1"/>
        <v>0</v>
      </c>
      <c r="O9" s="349">
        <f t="shared" si="12"/>
        <v>529.52</v>
      </c>
      <c r="P9" s="429">
        <f t="shared" si="2"/>
        <v>0</v>
      </c>
      <c r="Q9" s="430">
        <f>P9+N9</f>
        <v>0</v>
      </c>
      <c r="R9" s="429"/>
      <c r="S9" s="429"/>
      <c r="T9" s="5">
        <f t="shared" si="13"/>
        <v>5198</v>
      </c>
      <c r="U9" s="5">
        <f t="shared" si="3"/>
        <v>0</v>
      </c>
      <c r="V9" s="5">
        <f t="shared" si="14"/>
        <v>512</v>
      </c>
      <c r="W9" s="276">
        <f t="shared" si="15"/>
        <v>0</v>
      </c>
      <c r="X9" s="5">
        <f t="shared" si="16"/>
        <v>156588</v>
      </c>
      <c r="Y9" s="276">
        <f t="shared" ref="Y9:Y33" si="42">SUM(X9-X8)</f>
        <v>0</v>
      </c>
      <c r="Z9" s="5">
        <f t="shared" si="17"/>
        <v>99898</v>
      </c>
      <c r="AA9" s="80">
        <f t="shared" si="18"/>
        <v>0</v>
      </c>
      <c r="AB9" s="5">
        <f t="shared" si="19"/>
        <v>242</v>
      </c>
      <c r="AC9" s="5">
        <f t="shared" si="20"/>
        <v>855</v>
      </c>
      <c r="AD9" s="80">
        <f t="shared" si="35"/>
        <v>0</v>
      </c>
      <c r="AE9" s="5">
        <f t="shared" si="21"/>
        <v>262.47000000000003</v>
      </c>
      <c r="AF9" s="80">
        <f t="shared" si="22"/>
        <v>0</v>
      </c>
      <c r="AG9" s="5">
        <f t="shared" si="23"/>
        <v>2247.41</v>
      </c>
      <c r="AH9" s="80">
        <f t="shared" si="24"/>
        <v>0</v>
      </c>
      <c r="AI9" s="80">
        <f t="shared" si="25"/>
        <v>0</v>
      </c>
      <c r="AJ9" s="278">
        <f t="shared" si="26"/>
        <v>0</v>
      </c>
      <c r="AK9" s="279">
        <f t="shared" si="36"/>
        <v>0</v>
      </c>
      <c r="AL9" s="279">
        <f t="shared" si="27"/>
        <v>0</v>
      </c>
      <c r="AM9" s="279">
        <f>'General information '!D8</f>
        <v>17</v>
      </c>
      <c r="AN9" s="81">
        <f>'General information '!H8</f>
        <v>0</v>
      </c>
      <c r="AO9" s="81"/>
      <c r="AP9" s="81">
        <f>'General information '!J8</f>
        <v>0</v>
      </c>
      <c r="AR9" s="242">
        <f t="shared" si="28"/>
        <v>44930</v>
      </c>
      <c r="AS9" s="363">
        <f t="shared" si="29"/>
        <v>0.9</v>
      </c>
      <c r="AT9" s="190">
        <f t="shared" si="29"/>
        <v>171</v>
      </c>
      <c r="AU9" s="364">
        <f t="shared" ref="AU9:AU36" si="43">AU8</f>
        <v>1.1000000000000001</v>
      </c>
      <c r="AV9" s="190">
        <v>109</v>
      </c>
      <c r="AW9" s="5">
        <v>2.9</v>
      </c>
      <c r="AX9" s="190">
        <v>142</v>
      </c>
      <c r="AY9" s="365">
        <f t="shared" si="37"/>
        <v>153.9</v>
      </c>
      <c r="AZ9" s="365">
        <f t="shared" si="38"/>
        <v>119.9</v>
      </c>
      <c r="BA9" s="365">
        <f t="shared" si="39"/>
        <v>411.8</v>
      </c>
      <c r="BB9" s="20">
        <f t="shared" si="40"/>
        <v>0</v>
      </c>
      <c r="BC9" s="20">
        <f t="shared" si="32"/>
        <v>-6.6000000000000085</v>
      </c>
      <c r="BD9" s="20">
        <f t="shared" si="32"/>
        <v>-2.8999999999999773</v>
      </c>
      <c r="BE9" s="23">
        <f t="shared" si="33"/>
        <v>-9.4999999999999858</v>
      </c>
      <c r="BF9" s="294">
        <f t="shared" si="34"/>
        <v>9.4999999999999858</v>
      </c>
      <c r="BG9" s="79">
        <f t="shared" si="4"/>
        <v>-9.4999999999999858</v>
      </c>
    </row>
    <row r="10" spans="1:61" ht="15.75" thickBot="1">
      <c r="A10" s="6">
        <f>ELEC!C8</f>
        <v>44931</v>
      </c>
      <c r="B10" s="5">
        <f t="shared" si="5"/>
        <v>109443</v>
      </c>
      <c r="C10" s="5">
        <f t="shared" si="6"/>
        <v>0</v>
      </c>
      <c r="D10" s="358">
        <f t="shared" si="7"/>
        <v>0</v>
      </c>
      <c r="E10" s="285">
        <f>SUM((C10*$E$4)+(7500/'EDl log'!$A$37))</f>
        <v>241.93548387096774</v>
      </c>
      <c r="F10" s="357"/>
      <c r="G10" s="5">
        <f t="shared" ref="G10:G36" si="44">G9</f>
        <v>632594</v>
      </c>
      <c r="H10" s="5">
        <f t="shared" si="8"/>
        <v>0</v>
      </c>
      <c r="I10" s="5">
        <f t="shared" si="9"/>
        <v>0</v>
      </c>
      <c r="J10" s="286">
        <f t="shared" si="0"/>
        <v>0</v>
      </c>
      <c r="K10" s="5">
        <f t="shared" si="10"/>
        <v>7089</v>
      </c>
      <c r="L10" s="80">
        <f>K10-K9</f>
        <v>0</v>
      </c>
      <c r="M10" s="349">
        <f t="shared" si="11"/>
        <v>457.44</v>
      </c>
      <c r="N10" s="429">
        <f t="shared" si="1"/>
        <v>0</v>
      </c>
      <c r="O10" s="349">
        <f t="shared" si="12"/>
        <v>529.52</v>
      </c>
      <c r="P10" s="429">
        <f t="shared" si="2"/>
        <v>0</v>
      </c>
      <c r="Q10" s="430">
        <f>P10+N10</f>
        <v>0</v>
      </c>
      <c r="R10" s="429"/>
      <c r="S10" s="429"/>
      <c r="T10" s="5">
        <v>5197</v>
      </c>
      <c r="U10" s="5">
        <f t="shared" si="3"/>
        <v>-1</v>
      </c>
      <c r="V10" s="5">
        <f t="shared" si="14"/>
        <v>512</v>
      </c>
      <c r="W10" s="276">
        <f t="shared" si="15"/>
        <v>0</v>
      </c>
      <c r="X10" s="5">
        <f t="shared" si="16"/>
        <v>156588</v>
      </c>
      <c r="Y10" s="276">
        <f t="shared" si="42"/>
        <v>0</v>
      </c>
      <c r="Z10" s="5">
        <f t="shared" si="17"/>
        <v>99898</v>
      </c>
      <c r="AA10" s="80">
        <f t="shared" si="18"/>
        <v>0</v>
      </c>
      <c r="AB10" s="5">
        <f t="shared" si="19"/>
        <v>242</v>
      </c>
      <c r="AC10" s="5">
        <f t="shared" si="20"/>
        <v>855</v>
      </c>
      <c r="AD10" s="80">
        <f t="shared" si="35"/>
        <v>0</v>
      </c>
      <c r="AE10" s="5">
        <f t="shared" si="21"/>
        <v>262.47000000000003</v>
      </c>
      <c r="AF10" s="80">
        <f t="shared" si="22"/>
        <v>0</v>
      </c>
      <c r="AG10" s="5">
        <f t="shared" si="23"/>
        <v>2247.41</v>
      </c>
      <c r="AH10" s="80">
        <f t="shared" si="24"/>
        <v>0</v>
      </c>
      <c r="AI10" s="80">
        <f t="shared" si="25"/>
        <v>0</v>
      </c>
      <c r="AJ10" s="278">
        <f t="shared" si="26"/>
        <v>0</v>
      </c>
      <c r="AK10" s="279">
        <f t="shared" si="36"/>
        <v>0</v>
      </c>
      <c r="AL10" s="279">
        <f t="shared" si="27"/>
        <v>0</v>
      </c>
      <c r="AM10" s="279">
        <f>'General information '!D9</f>
        <v>17</v>
      </c>
      <c r="AN10" s="81">
        <f>'General information '!H9</f>
        <v>0</v>
      </c>
      <c r="AO10" s="81"/>
      <c r="AP10" s="81">
        <f>'General information '!J9</f>
        <v>0</v>
      </c>
      <c r="AR10" s="242">
        <f t="shared" si="28"/>
        <v>44931</v>
      </c>
      <c r="AS10" s="363">
        <f t="shared" si="29"/>
        <v>0.9</v>
      </c>
      <c r="AT10" s="190">
        <f t="shared" si="29"/>
        <v>171</v>
      </c>
      <c r="AU10" s="364">
        <f t="shared" si="43"/>
        <v>1.1000000000000001</v>
      </c>
      <c r="AV10" s="190">
        <v>108</v>
      </c>
      <c r="AW10" s="5">
        <v>2.9</v>
      </c>
      <c r="AX10" s="190">
        <v>140</v>
      </c>
      <c r="AY10" s="365">
        <f t="shared" si="37"/>
        <v>153.9</v>
      </c>
      <c r="AZ10" s="365">
        <f t="shared" si="38"/>
        <v>118.80000000000001</v>
      </c>
      <c r="BA10" s="365">
        <f t="shared" si="39"/>
        <v>406</v>
      </c>
      <c r="BB10" s="20">
        <f t="shared" si="40"/>
        <v>0</v>
      </c>
      <c r="BC10" s="20">
        <f t="shared" si="32"/>
        <v>-1.0999999999999943</v>
      </c>
      <c r="BD10" s="20">
        <f t="shared" si="32"/>
        <v>-5.8000000000000114</v>
      </c>
      <c r="BE10" s="23">
        <f t="shared" si="33"/>
        <v>-6.9000000000000057</v>
      </c>
      <c r="BF10" s="79">
        <f t="shared" si="34"/>
        <v>6.9000000000000057</v>
      </c>
      <c r="BG10" s="79">
        <f t="shared" si="4"/>
        <v>-6.9000000000000057</v>
      </c>
    </row>
    <row r="11" spans="1:61" ht="15.75" thickBot="1">
      <c r="A11" s="6">
        <f>ELEC!C9</f>
        <v>44932</v>
      </c>
      <c r="B11" s="5">
        <f t="shared" si="5"/>
        <v>109443</v>
      </c>
      <c r="C11" s="5">
        <f t="shared" si="6"/>
        <v>0</v>
      </c>
      <c r="D11" s="358">
        <f t="shared" si="7"/>
        <v>0</v>
      </c>
      <c r="E11" s="285">
        <f>SUM((C11*$E$4)+(7500/'EDl log'!$A$37))</f>
        <v>241.93548387096774</v>
      </c>
      <c r="F11" s="357"/>
      <c r="G11" s="5">
        <f t="shared" si="44"/>
        <v>632594</v>
      </c>
      <c r="H11" s="5">
        <f t="shared" si="8"/>
        <v>0</v>
      </c>
      <c r="I11" s="5">
        <f t="shared" si="9"/>
        <v>0</v>
      </c>
      <c r="J11" s="286">
        <f t="shared" si="0"/>
        <v>0</v>
      </c>
      <c r="K11" s="5">
        <f t="shared" si="10"/>
        <v>7089</v>
      </c>
      <c r="L11" s="80">
        <f t="shared" si="41"/>
        <v>0</v>
      </c>
      <c r="M11" s="349">
        <f t="shared" si="11"/>
        <v>457.44</v>
      </c>
      <c r="N11" s="429">
        <f t="shared" si="1"/>
        <v>0</v>
      </c>
      <c r="O11" s="349">
        <f t="shared" si="12"/>
        <v>529.52</v>
      </c>
      <c r="P11" s="429">
        <f t="shared" si="2"/>
        <v>0</v>
      </c>
      <c r="Q11" s="429">
        <f>SUM(P11+N11)</f>
        <v>0</v>
      </c>
      <c r="R11" s="429"/>
      <c r="S11" s="429"/>
      <c r="T11" s="5">
        <f t="shared" si="13"/>
        <v>5197</v>
      </c>
      <c r="U11" s="5">
        <f t="shared" si="3"/>
        <v>0</v>
      </c>
      <c r="V11" s="5">
        <f t="shared" si="14"/>
        <v>512</v>
      </c>
      <c r="W11" s="276">
        <f t="shared" si="15"/>
        <v>0</v>
      </c>
      <c r="X11" s="5">
        <f t="shared" si="16"/>
        <v>156588</v>
      </c>
      <c r="Y11" s="276">
        <f t="shared" si="42"/>
        <v>0</v>
      </c>
      <c r="Z11" s="5">
        <f t="shared" si="17"/>
        <v>99898</v>
      </c>
      <c r="AA11" s="80">
        <f t="shared" si="18"/>
        <v>0</v>
      </c>
      <c r="AB11" s="5">
        <f t="shared" si="19"/>
        <v>242</v>
      </c>
      <c r="AC11" s="5">
        <f t="shared" si="20"/>
        <v>855</v>
      </c>
      <c r="AD11" s="80">
        <f t="shared" si="35"/>
        <v>0</v>
      </c>
      <c r="AE11" s="5">
        <f t="shared" si="21"/>
        <v>262.47000000000003</v>
      </c>
      <c r="AF11" s="80">
        <f t="shared" si="22"/>
        <v>0</v>
      </c>
      <c r="AG11" s="5">
        <f t="shared" si="23"/>
        <v>2247.41</v>
      </c>
      <c r="AH11" s="80">
        <f t="shared" si="24"/>
        <v>0</v>
      </c>
      <c r="AI11" s="80">
        <f t="shared" si="25"/>
        <v>0</v>
      </c>
      <c r="AJ11" s="278">
        <f t="shared" si="26"/>
        <v>0</v>
      </c>
      <c r="AK11" s="279">
        <f t="shared" si="36"/>
        <v>0</v>
      </c>
      <c r="AL11" s="279">
        <f t="shared" si="27"/>
        <v>0</v>
      </c>
      <c r="AM11" s="279">
        <f>'General information '!D10</f>
        <v>0</v>
      </c>
      <c r="AN11" s="81">
        <f>'General information '!H10</f>
        <v>0</v>
      </c>
      <c r="AO11" s="81"/>
      <c r="AP11" s="81">
        <f>'General information '!J10</f>
        <v>0</v>
      </c>
      <c r="AR11" s="242">
        <f t="shared" si="28"/>
        <v>44932</v>
      </c>
      <c r="AS11" s="363">
        <f t="shared" si="29"/>
        <v>0.9</v>
      </c>
      <c r="AT11" s="190">
        <f t="shared" si="29"/>
        <v>171</v>
      </c>
      <c r="AU11" s="364">
        <f t="shared" si="43"/>
        <v>1.1000000000000001</v>
      </c>
      <c r="AV11" s="190">
        <f t="shared" si="30"/>
        <v>108</v>
      </c>
      <c r="AW11" s="5">
        <v>2.9</v>
      </c>
      <c r="AX11" s="190">
        <f t="shared" si="31"/>
        <v>140</v>
      </c>
      <c r="AY11" s="365">
        <f t="shared" si="37"/>
        <v>153.9</v>
      </c>
      <c r="AZ11" s="365">
        <f t="shared" si="38"/>
        <v>118.80000000000001</v>
      </c>
      <c r="BA11" s="365">
        <f t="shared" si="39"/>
        <v>406</v>
      </c>
      <c r="BB11" s="20">
        <f t="shared" si="40"/>
        <v>0</v>
      </c>
      <c r="BC11" s="20">
        <f t="shared" si="32"/>
        <v>0</v>
      </c>
      <c r="BD11" s="20">
        <f t="shared" si="32"/>
        <v>0</v>
      </c>
      <c r="BE11" s="23">
        <f t="shared" si="33"/>
        <v>0</v>
      </c>
      <c r="BF11" s="79">
        <f t="shared" si="34"/>
        <v>0</v>
      </c>
      <c r="BG11" s="79">
        <f t="shared" si="4"/>
        <v>0</v>
      </c>
    </row>
    <row r="12" spans="1:61" ht="15.75" thickBot="1">
      <c r="A12" s="6">
        <f>ELEC!C10</f>
        <v>44933</v>
      </c>
      <c r="B12" s="5">
        <f t="shared" si="5"/>
        <v>109443</v>
      </c>
      <c r="C12" s="5">
        <f>B12-B11</f>
        <v>0</v>
      </c>
      <c r="D12" s="358">
        <f t="shared" si="7"/>
        <v>0</v>
      </c>
      <c r="E12" s="285">
        <f>SUM((C12*$E$4)+(7500/'EDl log'!$A$37))</f>
        <v>241.93548387096774</v>
      </c>
      <c r="F12" s="357"/>
      <c r="G12" s="5">
        <f t="shared" si="44"/>
        <v>632594</v>
      </c>
      <c r="H12" s="5">
        <f t="shared" si="8"/>
        <v>0</v>
      </c>
      <c r="I12" s="5">
        <f t="shared" si="9"/>
        <v>0</v>
      </c>
      <c r="J12" s="286">
        <f t="shared" si="0"/>
        <v>0</v>
      </c>
      <c r="K12" s="5">
        <f t="shared" si="10"/>
        <v>7089</v>
      </c>
      <c r="L12" s="80">
        <f t="shared" si="41"/>
        <v>0</v>
      </c>
      <c r="M12" s="349">
        <f t="shared" si="11"/>
        <v>457.44</v>
      </c>
      <c r="N12" s="429">
        <f t="shared" si="1"/>
        <v>0</v>
      </c>
      <c r="O12" s="349">
        <f t="shared" si="12"/>
        <v>529.52</v>
      </c>
      <c r="P12" s="429">
        <f t="shared" si="2"/>
        <v>0</v>
      </c>
      <c r="Q12" s="429">
        <f>SUM(P12+N12)</f>
        <v>0</v>
      </c>
      <c r="R12" s="429"/>
      <c r="S12" s="429"/>
      <c r="T12" s="5">
        <f t="shared" si="13"/>
        <v>5197</v>
      </c>
      <c r="U12" s="5">
        <f t="shared" si="3"/>
        <v>0</v>
      </c>
      <c r="V12" s="5">
        <f t="shared" si="14"/>
        <v>512</v>
      </c>
      <c r="W12" s="276">
        <f t="shared" si="15"/>
        <v>0</v>
      </c>
      <c r="X12" s="5">
        <f t="shared" si="16"/>
        <v>156588</v>
      </c>
      <c r="Y12" s="276">
        <f t="shared" si="42"/>
        <v>0</v>
      </c>
      <c r="Z12" s="5">
        <f t="shared" si="17"/>
        <v>99898</v>
      </c>
      <c r="AA12" s="80">
        <f t="shared" si="18"/>
        <v>0</v>
      </c>
      <c r="AB12" s="5">
        <f t="shared" si="19"/>
        <v>242</v>
      </c>
      <c r="AC12" s="5">
        <f t="shared" si="20"/>
        <v>855</v>
      </c>
      <c r="AD12" s="80">
        <f t="shared" si="35"/>
        <v>0</v>
      </c>
      <c r="AE12" s="5">
        <f t="shared" si="21"/>
        <v>262.47000000000003</v>
      </c>
      <c r="AF12" s="80">
        <f t="shared" si="22"/>
        <v>0</v>
      </c>
      <c r="AG12" s="5">
        <f t="shared" si="23"/>
        <v>2247.41</v>
      </c>
      <c r="AH12" s="80">
        <f t="shared" si="24"/>
        <v>0</v>
      </c>
      <c r="AI12" s="80">
        <f t="shared" si="25"/>
        <v>0</v>
      </c>
      <c r="AJ12" s="278">
        <f t="shared" si="26"/>
        <v>0</v>
      </c>
      <c r="AK12" s="279">
        <f t="shared" si="36"/>
        <v>0</v>
      </c>
      <c r="AL12" s="279">
        <f t="shared" si="27"/>
        <v>0</v>
      </c>
      <c r="AM12" s="279">
        <f>'General information '!D11</f>
        <v>0</v>
      </c>
      <c r="AN12" s="81">
        <f>'General information '!H11</f>
        <v>0</v>
      </c>
      <c r="AO12" s="81"/>
      <c r="AP12" s="81">
        <f>'General information '!J11</f>
        <v>0</v>
      </c>
      <c r="AR12" s="242">
        <f t="shared" si="28"/>
        <v>44933</v>
      </c>
      <c r="AS12" s="363">
        <f t="shared" si="29"/>
        <v>0.9</v>
      </c>
      <c r="AT12" s="190">
        <f t="shared" si="29"/>
        <v>171</v>
      </c>
      <c r="AU12" s="364">
        <f t="shared" si="43"/>
        <v>1.1000000000000001</v>
      </c>
      <c r="AV12" s="190">
        <f t="shared" si="30"/>
        <v>108</v>
      </c>
      <c r="AW12" s="5">
        <v>2.9</v>
      </c>
      <c r="AX12" s="190">
        <f t="shared" si="31"/>
        <v>140</v>
      </c>
      <c r="AY12" s="365">
        <f t="shared" si="37"/>
        <v>153.9</v>
      </c>
      <c r="AZ12" s="365">
        <f t="shared" si="38"/>
        <v>118.80000000000001</v>
      </c>
      <c r="BA12" s="365">
        <f t="shared" si="39"/>
        <v>406</v>
      </c>
      <c r="BB12" s="20">
        <f>AY12-AY11</f>
        <v>0</v>
      </c>
      <c r="BC12" s="20">
        <f t="shared" si="32"/>
        <v>0</v>
      </c>
      <c r="BD12" s="20">
        <f t="shared" si="32"/>
        <v>0</v>
      </c>
      <c r="BE12" s="23">
        <f t="shared" si="33"/>
        <v>0</v>
      </c>
      <c r="BF12" s="79">
        <f t="shared" si="34"/>
        <v>0</v>
      </c>
      <c r="BG12" s="79">
        <f t="shared" si="4"/>
        <v>0</v>
      </c>
    </row>
    <row r="13" spans="1:61" ht="15.75" thickBot="1">
      <c r="A13" s="6">
        <f>ELEC!C11</f>
        <v>44934</v>
      </c>
      <c r="B13" s="5">
        <v>109443</v>
      </c>
      <c r="C13" s="5">
        <f t="shared" si="6"/>
        <v>0</v>
      </c>
      <c r="D13" s="358">
        <f t="shared" si="7"/>
        <v>0</v>
      </c>
      <c r="E13" s="285">
        <f>SUM((C13*$E$4)+(7500/'EDl log'!$A$37))</f>
        <v>241.93548387096774</v>
      </c>
      <c r="F13" s="357"/>
      <c r="G13" s="5">
        <v>632599</v>
      </c>
      <c r="H13" s="5">
        <f t="shared" si="8"/>
        <v>5</v>
      </c>
      <c r="I13" s="5">
        <f t="shared" si="9"/>
        <v>5</v>
      </c>
      <c r="J13" s="286">
        <f t="shared" si="0"/>
        <v>48.387096774193552</v>
      </c>
      <c r="K13" s="5">
        <f t="shared" si="10"/>
        <v>7089</v>
      </c>
      <c r="L13" s="80">
        <f t="shared" si="41"/>
        <v>0</v>
      </c>
      <c r="M13" s="349">
        <f t="shared" si="11"/>
        <v>457.44</v>
      </c>
      <c r="N13" s="429">
        <f t="shared" si="1"/>
        <v>0</v>
      </c>
      <c r="O13" s="349">
        <f t="shared" si="12"/>
        <v>529.52</v>
      </c>
      <c r="P13" s="429">
        <f t="shared" si="2"/>
        <v>0</v>
      </c>
      <c r="Q13" s="429">
        <f>SUM(P13+N13)</f>
        <v>0</v>
      </c>
      <c r="R13" s="429"/>
      <c r="S13" s="429"/>
      <c r="T13" s="5">
        <f t="shared" si="13"/>
        <v>5197</v>
      </c>
      <c r="U13" s="5">
        <f t="shared" si="3"/>
        <v>0</v>
      </c>
      <c r="V13" s="5">
        <v>515</v>
      </c>
      <c r="W13" s="276">
        <f t="shared" si="15"/>
        <v>3</v>
      </c>
      <c r="X13" s="5">
        <v>156588</v>
      </c>
      <c r="Y13" s="276">
        <f t="shared" si="42"/>
        <v>0</v>
      </c>
      <c r="Z13" s="5">
        <f t="shared" si="17"/>
        <v>99898</v>
      </c>
      <c r="AA13" s="80">
        <f t="shared" si="18"/>
        <v>0</v>
      </c>
      <c r="AB13" s="5">
        <f t="shared" si="19"/>
        <v>242</v>
      </c>
      <c r="AC13" s="5">
        <f t="shared" si="20"/>
        <v>855</v>
      </c>
      <c r="AD13" s="80">
        <f t="shared" si="35"/>
        <v>0</v>
      </c>
      <c r="AE13" s="5">
        <f t="shared" si="21"/>
        <v>262.47000000000003</v>
      </c>
      <c r="AF13" s="80">
        <f t="shared" si="22"/>
        <v>0</v>
      </c>
      <c r="AG13" s="5">
        <f t="shared" si="23"/>
        <v>2247.41</v>
      </c>
      <c r="AH13" s="80">
        <f t="shared" si="24"/>
        <v>0</v>
      </c>
      <c r="AI13" s="80">
        <f t="shared" si="25"/>
        <v>0</v>
      </c>
      <c r="AJ13" s="278">
        <f t="shared" si="26"/>
        <v>0</v>
      </c>
      <c r="AK13" s="279">
        <f t="shared" si="36"/>
        <v>0</v>
      </c>
      <c r="AL13" s="279">
        <f t="shared" si="27"/>
        <v>-3</v>
      </c>
      <c r="AM13" s="279">
        <f>'General information '!D12</f>
        <v>17</v>
      </c>
      <c r="AN13" s="81">
        <f>'General information '!J12</f>
        <v>0</v>
      </c>
      <c r="AO13" s="81"/>
      <c r="AP13" s="81">
        <f>'General information '!J12</f>
        <v>0</v>
      </c>
      <c r="AQ13" s="92"/>
      <c r="AR13" s="242">
        <f t="shared" si="28"/>
        <v>44934</v>
      </c>
      <c r="AS13" s="363">
        <f t="shared" si="29"/>
        <v>0.9</v>
      </c>
      <c r="AT13" s="190">
        <f t="shared" si="29"/>
        <v>171</v>
      </c>
      <c r="AU13" s="364">
        <f t="shared" si="43"/>
        <v>1.1000000000000001</v>
      </c>
      <c r="AV13" s="190">
        <v>107</v>
      </c>
      <c r="AW13" s="5">
        <v>2.9</v>
      </c>
      <c r="AX13" s="190">
        <v>137</v>
      </c>
      <c r="AY13" s="365">
        <f t="shared" si="37"/>
        <v>153.9</v>
      </c>
      <c r="AZ13" s="365">
        <f t="shared" si="38"/>
        <v>117.7</v>
      </c>
      <c r="BA13" s="365">
        <f t="shared" si="39"/>
        <v>397.3</v>
      </c>
      <c r="BB13" s="20">
        <f t="shared" si="40"/>
        <v>0</v>
      </c>
      <c r="BC13" s="20">
        <f t="shared" si="32"/>
        <v>-1.1000000000000085</v>
      </c>
      <c r="BD13" s="20">
        <f t="shared" si="32"/>
        <v>-8.6999999999999886</v>
      </c>
      <c r="BE13" s="23">
        <f t="shared" si="33"/>
        <v>-9.7999999999999972</v>
      </c>
      <c r="BF13" s="79">
        <f t="shared" si="34"/>
        <v>14.799999999999997</v>
      </c>
      <c r="BG13" s="79">
        <f t="shared" si="4"/>
        <v>-9.7999999999999972</v>
      </c>
    </row>
    <row r="14" spans="1:61" ht="15.75" thickBot="1">
      <c r="A14" s="6">
        <f>ELEC!C12</f>
        <v>44935</v>
      </c>
      <c r="B14" s="5">
        <f t="shared" si="5"/>
        <v>109443</v>
      </c>
      <c r="C14" s="5">
        <f t="shared" si="6"/>
        <v>0</v>
      </c>
      <c r="D14" s="358">
        <f t="shared" si="7"/>
        <v>0</v>
      </c>
      <c r="E14" s="285">
        <f>SUM((C14*$E$4)+(7500/'EDl log'!$A$37))</f>
        <v>241.93548387096774</v>
      </c>
      <c r="F14" s="357"/>
      <c r="G14" s="5">
        <f t="shared" si="44"/>
        <v>632599</v>
      </c>
      <c r="H14" s="5">
        <f t="shared" si="8"/>
        <v>0</v>
      </c>
      <c r="I14" s="5">
        <f t="shared" si="9"/>
        <v>0</v>
      </c>
      <c r="J14" s="286">
        <f t="shared" si="0"/>
        <v>0</v>
      </c>
      <c r="K14" s="5">
        <f t="shared" si="10"/>
        <v>7089</v>
      </c>
      <c r="L14" s="80">
        <f t="shared" si="41"/>
        <v>0</v>
      </c>
      <c r="M14" s="349">
        <f t="shared" si="11"/>
        <v>457.44</v>
      </c>
      <c r="N14" s="429">
        <f t="shared" ref="N14:N33" si="45">SUM(M14-M13)</f>
        <v>0</v>
      </c>
      <c r="O14" s="349">
        <f t="shared" si="12"/>
        <v>529.52</v>
      </c>
      <c r="P14" s="429">
        <f t="shared" ref="P14:P33" si="46">SUM(O14-O13)</f>
        <v>0</v>
      </c>
      <c r="Q14" s="429">
        <f t="shared" ref="Q14:Q33" si="47">SUM(P14+N14)</f>
        <v>0</v>
      </c>
      <c r="R14" s="429"/>
      <c r="S14" s="429"/>
      <c r="T14" s="5">
        <v>5199</v>
      </c>
      <c r="U14" s="5">
        <f t="shared" si="3"/>
        <v>2</v>
      </c>
      <c r="V14" s="5">
        <f t="shared" si="14"/>
        <v>515</v>
      </c>
      <c r="W14" s="276">
        <f t="shared" si="15"/>
        <v>0</v>
      </c>
      <c r="X14" s="5">
        <f t="shared" si="16"/>
        <v>156588</v>
      </c>
      <c r="Y14" s="276">
        <f t="shared" si="42"/>
        <v>0</v>
      </c>
      <c r="Z14" s="5">
        <f t="shared" si="17"/>
        <v>99898</v>
      </c>
      <c r="AA14" s="80">
        <f t="shared" si="18"/>
        <v>0</v>
      </c>
      <c r="AB14" s="5">
        <f t="shared" si="19"/>
        <v>242</v>
      </c>
      <c r="AC14" s="5">
        <f t="shared" si="20"/>
        <v>855</v>
      </c>
      <c r="AD14" s="80">
        <f t="shared" si="35"/>
        <v>0</v>
      </c>
      <c r="AE14" s="5">
        <f t="shared" si="21"/>
        <v>262.47000000000003</v>
      </c>
      <c r="AF14" s="80">
        <f t="shared" si="22"/>
        <v>0</v>
      </c>
      <c r="AG14" s="5">
        <v>2247.41</v>
      </c>
      <c r="AH14" s="80">
        <f t="shared" si="24"/>
        <v>0</v>
      </c>
      <c r="AI14" s="80">
        <f t="shared" si="25"/>
        <v>0</v>
      </c>
      <c r="AJ14" s="278">
        <f t="shared" si="26"/>
        <v>0</v>
      </c>
      <c r="AK14" s="279">
        <f t="shared" si="36"/>
        <v>0</v>
      </c>
      <c r="AL14" s="279">
        <f t="shared" si="27"/>
        <v>0</v>
      </c>
      <c r="AM14" s="279">
        <f>'General information '!D13</f>
        <v>16</v>
      </c>
      <c r="AN14" s="81">
        <f>'General information '!H13</f>
        <v>0</v>
      </c>
      <c r="AO14" s="81"/>
      <c r="AP14" s="81">
        <f>'General information '!J13</f>
        <v>0</v>
      </c>
      <c r="AR14" s="242">
        <f t="shared" si="28"/>
        <v>44935</v>
      </c>
      <c r="AS14" s="363">
        <f t="shared" si="29"/>
        <v>0.9</v>
      </c>
      <c r="AT14" s="190">
        <f t="shared" si="29"/>
        <v>171</v>
      </c>
      <c r="AU14" s="364">
        <f t="shared" si="43"/>
        <v>1.1000000000000001</v>
      </c>
      <c r="AV14" s="190">
        <v>101</v>
      </c>
      <c r="AW14" s="5">
        <v>2.9</v>
      </c>
      <c r="AX14" s="190">
        <v>136</v>
      </c>
      <c r="AY14" s="365">
        <f t="shared" si="37"/>
        <v>153.9</v>
      </c>
      <c r="AZ14" s="365">
        <f t="shared" si="38"/>
        <v>111.10000000000001</v>
      </c>
      <c r="BA14" s="365">
        <f t="shared" si="39"/>
        <v>394.4</v>
      </c>
      <c r="BB14" s="20">
        <f t="shared" si="40"/>
        <v>0</v>
      </c>
      <c r="BC14" s="20">
        <f t="shared" si="32"/>
        <v>-6.5999999999999943</v>
      </c>
      <c r="BD14" s="20">
        <f t="shared" si="32"/>
        <v>-2.9000000000000341</v>
      </c>
      <c r="BE14" s="23">
        <f t="shared" si="33"/>
        <v>-9.5000000000000284</v>
      </c>
      <c r="BF14" s="79">
        <f t="shared" si="34"/>
        <v>9.5000000000000284</v>
      </c>
      <c r="BG14" s="79">
        <f t="shared" si="4"/>
        <v>-9.5000000000000284</v>
      </c>
    </row>
    <row r="15" spans="1:61" ht="16.5" customHeight="1" thickBot="1">
      <c r="A15" s="6">
        <f>ELEC!C13</f>
        <v>44936</v>
      </c>
      <c r="B15" s="5">
        <f t="shared" si="5"/>
        <v>109443</v>
      </c>
      <c r="C15" s="5">
        <f t="shared" si="6"/>
        <v>0</v>
      </c>
      <c r="D15" s="358">
        <f t="shared" si="7"/>
        <v>0</v>
      </c>
      <c r="E15" s="285">
        <f>SUM((C15*$E$4)+(7500/'EDl log'!$A$37))</f>
        <v>241.93548387096774</v>
      </c>
      <c r="F15" s="357"/>
      <c r="G15" s="5">
        <f t="shared" si="44"/>
        <v>632599</v>
      </c>
      <c r="H15" s="5">
        <f t="shared" si="8"/>
        <v>0</v>
      </c>
      <c r="I15" s="5">
        <f t="shared" si="9"/>
        <v>0</v>
      </c>
      <c r="J15" s="286">
        <f t="shared" si="0"/>
        <v>0</v>
      </c>
      <c r="K15" s="5">
        <f t="shared" si="10"/>
        <v>7089</v>
      </c>
      <c r="L15" s="80">
        <f t="shared" si="41"/>
        <v>0</v>
      </c>
      <c r="M15" s="349">
        <f t="shared" si="11"/>
        <v>457.44</v>
      </c>
      <c r="N15" s="429">
        <f t="shared" si="45"/>
        <v>0</v>
      </c>
      <c r="O15" s="349">
        <f t="shared" si="12"/>
        <v>529.52</v>
      </c>
      <c r="P15" s="429">
        <f t="shared" si="46"/>
        <v>0</v>
      </c>
      <c r="Q15" s="429">
        <f t="shared" si="47"/>
        <v>0</v>
      </c>
      <c r="R15" s="429"/>
      <c r="S15" s="429"/>
      <c r="T15" s="5">
        <f t="shared" si="13"/>
        <v>5199</v>
      </c>
      <c r="U15" s="5">
        <f t="shared" si="3"/>
        <v>0</v>
      </c>
      <c r="V15" s="5">
        <f t="shared" si="14"/>
        <v>515</v>
      </c>
      <c r="W15" s="276">
        <f t="shared" si="15"/>
        <v>0</v>
      </c>
      <c r="X15" s="5">
        <f t="shared" si="16"/>
        <v>156588</v>
      </c>
      <c r="Y15" s="276">
        <f t="shared" si="42"/>
        <v>0</v>
      </c>
      <c r="Z15" s="5">
        <f t="shared" si="17"/>
        <v>99898</v>
      </c>
      <c r="AA15" s="80">
        <f t="shared" si="18"/>
        <v>0</v>
      </c>
      <c r="AB15" s="5">
        <f t="shared" si="19"/>
        <v>242</v>
      </c>
      <c r="AC15" s="5">
        <f t="shared" si="20"/>
        <v>855</v>
      </c>
      <c r="AD15" s="80">
        <f t="shared" si="35"/>
        <v>0</v>
      </c>
      <c r="AE15" s="5">
        <f t="shared" si="21"/>
        <v>262.47000000000003</v>
      </c>
      <c r="AF15" s="80">
        <f t="shared" si="22"/>
        <v>0</v>
      </c>
      <c r="AG15" s="5">
        <f t="shared" si="23"/>
        <v>2247.41</v>
      </c>
      <c r="AH15" s="80">
        <f t="shared" si="24"/>
        <v>0</v>
      </c>
      <c r="AI15" s="80">
        <f t="shared" si="25"/>
        <v>0</v>
      </c>
      <c r="AJ15" s="278">
        <f t="shared" si="26"/>
        <v>0</v>
      </c>
      <c r="AK15" s="279">
        <f t="shared" si="36"/>
        <v>0</v>
      </c>
      <c r="AL15" s="279">
        <f t="shared" si="27"/>
        <v>0</v>
      </c>
      <c r="AM15" s="279">
        <f>'General information '!D14</f>
        <v>16</v>
      </c>
      <c r="AN15" s="81">
        <f>'General information '!H14</f>
        <v>0</v>
      </c>
      <c r="AO15" s="81"/>
      <c r="AP15" s="81">
        <f>'General information '!J14</f>
        <v>0</v>
      </c>
      <c r="AR15" s="242">
        <f t="shared" si="28"/>
        <v>44936</v>
      </c>
      <c r="AS15" s="363">
        <f t="shared" si="29"/>
        <v>0.9</v>
      </c>
      <c r="AT15" s="190">
        <v>140</v>
      </c>
      <c r="AU15" s="364">
        <f t="shared" si="43"/>
        <v>1.1000000000000001</v>
      </c>
      <c r="AV15" s="190">
        <v>100</v>
      </c>
      <c r="AW15" s="5">
        <v>2.9</v>
      </c>
      <c r="AX15" s="190">
        <v>135</v>
      </c>
      <c r="AY15" s="365">
        <f t="shared" si="37"/>
        <v>126</v>
      </c>
      <c r="AZ15" s="365">
        <f t="shared" si="38"/>
        <v>110.00000000000001</v>
      </c>
      <c r="BA15" s="365">
        <f t="shared" si="39"/>
        <v>391.5</v>
      </c>
      <c r="BB15" s="20">
        <f t="shared" si="40"/>
        <v>-27.900000000000006</v>
      </c>
      <c r="BC15" s="20">
        <f t="shared" si="32"/>
        <v>-1.0999999999999943</v>
      </c>
      <c r="BD15" s="20">
        <f t="shared" si="32"/>
        <v>-2.8999999999999773</v>
      </c>
      <c r="BE15" s="23">
        <f t="shared" si="33"/>
        <v>-31.899999999999977</v>
      </c>
      <c r="BF15" s="79">
        <f t="shared" si="34"/>
        <v>31.899999999999977</v>
      </c>
      <c r="BG15" s="79">
        <f t="shared" si="4"/>
        <v>-31.899999999999977</v>
      </c>
    </row>
    <row r="16" spans="1:61" ht="15.75" thickBot="1">
      <c r="A16" s="6">
        <f>ELEC!C14</f>
        <v>44937</v>
      </c>
      <c r="B16" s="5">
        <f t="shared" si="5"/>
        <v>109443</v>
      </c>
      <c r="C16" s="5">
        <f t="shared" si="6"/>
        <v>0</v>
      </c>
      <c r="D16" s="358">
        <f t="shared" si="7"/>
        <v>0</v>
      </c>
      <c r="E16" s="285">
        <f>SUM((C16*$E$4)+(7500/'EDl log'!$A$37))</f>
        <v>241.93548387096774</v>
      </c>
      <c r="F16" s="357"/>
      <c r="G16" s="5">
        <f t="shared" si="44"/>
        <v>632599</v>
      </c>
      <c r="H16" s="5">
        <f t="shared" si="8"/>
        <v>0</v>
      </c>
      <c r="I16" s="5">
        <f t="shared" si="9"/>
        <v>0</v>
      </c>
      <c r="J16" s="286">
        <f t="shared" si="0"/>
        <v>0</v>
      </c>
      <c r="K16" s="5">
        <f t="shared" si="10"/>
        <v>7089</v>
      </c>
      <c r="L16" s="240">
        <f t="shared" si="41"/>
        <v>0</v>
      </c>
      <c r="M16" s="349">
        <f t="shared" si="11"/>
        <v>457.44</v>
      </c>
      <c r="N16" s="429">
        <f t="shared" si="45"/>
        <v>0</v>
      </c>
      <c r="O16" s="349">
        <f t="shared" si="12"/>
        <v>529.52</v>
      </c>
      <c r="P16" s="429">
        <f t="shared" si="46"/>
        <v>0</v>
      </c>
      <c r="Q16" s="429">
        <f t="shared" si="47"/>
        <v>0</v>
      </c>
      <c r="R16" s="431"/>
      <c r="S16" s="431"/>
      <c r="T16" s="5">
        <f t="shared" si="13"/>
        <v>5199</v>
      </c>
      <c r="U16" s="5">
        <f t="shared" si="3"/>
        <v>0</v>
      </c>
      <c r="V16" s="5">
        <v>516</v>
      </c>
      <c r="W16" s="276">
        <f t="shared" si="15"/>
        <v>1</v>
      </c>
      <c r="X16" s="5">
        <f t="shared" si="16"/>
        <v>156588</v>
      </c>
      <c r="Y16" s="276">
        <f t="shared" si="42"/>
        <v>0</v>
      </c>
      <c r="Z16" s="5">
        <f t="shared" si="17"/>
        <v>99898</v>
      </c>
      <c r="AA16" s="80">
        <f t="shared" si="18"/>
        <v>0</v>
      </c>
      <c r="AB16" s="5">
        <f t="shared" si="19"/>
        <v>242</v>
      </c>
      <c r="AC16" s="5">
        <f t="shared" si="20"/>
        <v>855</v>
      </c>
      <c r="AD16" s="80">
        <f t="shared" si="35"/>
        <v>0</v>
      </c>
      <c r="AE16" s="5">
        <f t="shared" si="21"/>
        <v>262.47000000000003</v>
      </c>
      <c r="AF16" s="80">
        <f t="shared" si="22"/>
        <v>0</v>
      </c>
      <c r="AG16" s="5">
        <f t="shared" si="23"/>
        <v>2247.41</v>
      </c>
      <c r="AH16" s="80">
        <f t="shared" si="24"/>
        <v>0</v>
      </c>
      <c r="AI16" s="80">
        <f t="shared" si="25"/>
        <v>0</v>
      </c>
      <c r="AJ16" s="278">
        <f t="shared" si="26"/>
        <v>0</v>
      </c>
      <c r="AK16" s="279">
        <f t="shared" si="36"/>
        <v>0</v>
      </c>
      <c r="AL16" s="279">
        <f t="shared" si="27"/>
        <v>-1</v>
      </c>
      <c r="AM16" s="279">
        <f>'General information '!D15</f>
        <v>16</v>
      </c>
      <c r="AN16" s="81">
        <f>'General information '!H15</f>
        <v>0</v>
      </c>
      <c r="AO16" s="81"/>
      <c r="AP16" s="81">
        <f>'General information '!J15</f>
        <v>0</v>
      </c>
      <c r="AR16" s="242">
        <f t="shared" si="28"/>
        <v>44937</v>
      </c>
      <c r="AS16" s="363">
        <f t="shared" si="29"/>
        <v>0.9</v>
      </c>
      <c r="AT16" s="190">
        <f t="shared" si="29"/>
        <v>140</v>
      </c>
      <c r="AU16" s="364">
        <f t="shared" si="43"/>
        <v>1.1000000000000001</v>
      </c>
      <c r="AV16" s="190">
        <v>99</v>
      </c>
      <c r="AW16" s="5">
        <v>2.9</v>
      </c>
      <c r="AX16" s="190">
        <v>133</v>
      </c>
      <c r="AY16" s="365">
        <f t="shared" si="37"/>
        <v>126</v>
      </c>
      <c r="AZ16" s="365">
        <f t="shared" si="38"/>
        <v>108.9</v>
      </c>
      <c r="BA16" s="365">
        <f t="shared" si="39"/>
        <v>385.7</v>
      </c>
      <c r="BB16" s="20">
        <f t="shared" si="40"/>
        <v>0</v>
      </c>
      <c r="BC16" s="20">
        <f t="shared" si="32"/>
        <v>-1.1000000000000085</v>
      </c>
      <c r="BD16" s="20">
        <f t="shared" si="32"/>
        <v>-5.8000000000000114</v>
      </c>
      <c r="BE16" s="23">
        <f t="shared" si="33"/>
        <v>-6.9000000000000199</v>
      </c>
      <c r="BF16" s="79">
        <f t="shared" si="34"/>
        <v>6.9000000000000199</v>
      </c>
      <c r="BG16" s="79">
        <f t="shared" si="4"/>
        <v>-6.9000000000000199</v>
      </c>
    </row>
    <row r="17" spans="1:61" ht="15.75" thickBot="1">
      <c r="A17" s="6">
        <f>ELEC!C15</f>
        <v>44938</v>
      </c>
      <c r="B17" s="5">
        <f t="shared" si="5"/>
        <v>109443</v>
      </c>
      <c r="C17" s="5">
        <f t="shared" si="6"/>
        <v>0</v>
      </c>
      <c r="D17" s="358">
        <f t="shared" si="7"/>
        <v>0</v>
      </c>
      <c r="E17" s="285">
        <f>SUM((C17*$E$4)+(7500/'EDl log'!$A$37))</f>
        <v>241.93548387096774</v>
      </c>
      <c r="F17" s="357"/>
      <c r="G17" s="5">
        <v>632662</v>
      </c>
      <c r="H17" s="5">
        <f t="shared" si="8"/>
        <v>63</v>
      </c>
      <c r="I17" s="5">
        <f t="shared" si="9"/>
        <v>63</v>
      </c>
      <c r="J17" s="286">
        <f t="shared" si="0"/>
        <v>3.8402457757296466</v>
      </c>
      <c r="K17" s="5">
        <f t="shared" si="10"/>
        <v>7089</v>
      </c>
      <c r="L17" s="80">
        <f t="shared" si="41"/>
        <v>0</v>
      </c>
      <c r="M17" s="349">
        <f t="shared" si="11"/>
        <v>457.44</v>
      </c>
      <c r="N17" s="429">
        <f t="shared" si="45"/>
        <v>0</v>
      </c>
      <c r="O17" s="349">
        <f t="shared" si="12"/>
        <v>529.52</v>
      </c>
      <c r="P17" s="429">
        <f t="shared" si="46"/>
        <v>0</v>
      </c>
      <c r="Q17" s="429">
        <f t="shared" si="47"/>
        <v>0</v>
      </c>
      <c r="R17" s="429"/>
      <c r="S17" s="429"/>
      <c r="T17" s="5">
        <f t="shared" si="13"/>
        <v>5199</v>
      </c>
      <c r="U17" s="5">
        <f t="shared" si="3"/>
        <v>0</v>
      </c>
      <c r="V17" s="5">
        <f t="shared" si="14"/>
        <v>516</v>
      </c>
      <c r="W17" s="276">
        <f t="shared" si="15"/>
        <v>0</v>
      </c>
      <c r="X17" s="5">
        <f t="shared" si="16"/>
        <v>156588</v>
      </c>
      <c r="Y17" s="276">
        <f t="shared" si="42"/>
        <v>0</v>
      </c>
      <c r="Z17" s="5">
        <f t="shared" si="17"/>
        <v>99898</v>
      </c>
      <c r="AA17" s="80">
        <f t="shared" si="18"/>
        <v>0</v>
      </c>
      <c r="AB17" s="5">
        <f t="shared" si="19"/>
        <v>242</v>
      </c>
      <c r="AC17" s="5">
        <f t="shared" si="20"/>
        <v>855</v>
      </c>
      <c r="AD17" s="80">
        <f t="shared" si="35"/>
        <v>0</v>
      </c>
      <c r="AE17" s="5">
        <f t="shared" si="21"/>
        <v>262.47000000000003</v>
      </c>
      <c r="AF17" s="80">
        <f t="shared" si="22"/>
        <v>0</v>
      </c>
      <c r="AG17" s="5">
        <f t="shared" si="23"/>
        <v>2247.41</v>
      </c>
      <c r="AH17" s="80">
        <f t="shared" si="24"/>
        <v>0</v>
      </c>
      <c r="AI17" s="80">
        <f t="shared" si="25"/>
        <v>0</v>
      </c>
      <c r="AJ17" s="278">
        <f t="shared" si="26"/>
        <v>0</v>
      </c>
      <c r="AK17" s="279">
        <f t="shared" si="36"/>
        <v>0</v>
      </c>
      <c r="AL17" s="279">
        <f t="shared" si="27"/>
        <v>0</v>
      </c>
      <c r="AM17" s="279">
        <f>'General information '!D16</f>
        <v>0</v>
      </c>
      <c r="AN17" s="81">
        <f>'General information '!H16</f>
        <v>0</v>
      </c>
      <c r="AO17" s="81"/>
      <c r="AP17" s="81">
        <f>'General information '!J16</f>
        <v>0</v>
      </c>
      <c r="AQ17" s="92"/>
      <c r="AR17" s="242">
        <f t="shared" si="28"/>
        <v>44938</v>
      </c>
      <c r="AS17" s="363">
        <f t="shared" si="29"/>
        <v>0.9</v>
      </c>
      <c r="AT17" s="190">
        <v>175</v>
      </c>
      <c r="AU17" s="364">
        <f t="shared" si="43"/>
        <v>1.1000000000000001</v>
      </c>
      <c r="AV17" s="190">
        <v>95</v>
      </c>
      <c r="AW17" s="5">
        <v>2.9</v>
      </c>
      <c r="AX17" s="190">
        <v>130</v>
      </c>
      <c r="AY17" s="365">
        <f t="shared" si="37"/>
        <v>157.5</v>
      </c>
      <c r="AZ17" s="365">
        <f t="shared" si="38"/>
        <v>104.50000000000001</v>
      </c>
      <c r="BA17" s="365">
        <f t="shared" si="39"/>
        <v>377</v>
      </c>
      <c r="BB17" s="20">
        <f t="shared" si="40"/>
        <v>31.5</v>
      </c>
      <c r="BC17" s="20">
        <f t="shared" si="32"/>
        <v>-4.3999999999999915</v>
      </c>
      <c r="BD17" s="20">
        <f t="shared" si="32"/>
        <v>-8.6999999999999886</v>
      </c>
      <c r="BE17" s="23">
        <f t="shared" si="33"/>
        <v>18.40000000000002</v>
      </c>
      <c r="BF17" s="79">
        <f t="shared" si="34"/>
        <v>44.59999999999998</v>
      </c>
      <c r="BG17" s="79">
        <f t="shared" si="4"/>
        <v>18.40000000000002</v>
      </c>
    </row>
    <row r="18" spans="1:61" ht="15.75" thickBot="1">
      <c r="A18" s="6">
        <f>ELEC!C16</f>
        <v>44939</v>
      </c>
      <c r="B18" s="5">
        <f t="shared" si="5"/>
        <v>109443</v>
      </c>
      <c r="C18" s="5">
        <f t="shared" si="6"/>
        <v>0</v>
      </c>
      <c r="D18" s="358">
        <f t="shared" si="7"/>
        <v>0</v>
      </c>
      <c r="E18" s="285">
        <f>SUM((C18*$E$4)+(7500/'EDl log'!$A$37))</f>
        <v>241.93548387096774</v>
      </c>
      <c r="F18" s="357"/>
      <c r="G18" s="5">
        <f t="shared" si="44"/>
        <v>632662</v>
      </c>
      <c r="H18" s="5">
        <f t="shared" si="8"/>
        <v>0</v>
      </c>
      <c r="I18" s="5">
        <f t="shared" si="9"/>
        <v>0</v>
      </c>
      <c r="J18" s="286">
        <f t="shared" si="0"/>
        <v>0</v>
      </c>
      <c r="K18" s="5">
        <f t="shared" si="10"/>
        <v>7089</v>
      </c>
      <c r="L18" s="80">
        <f t="shared" si="41"/>
        <v>0</v>
      </c>
      <c r="M18" s="349">
        <f t="shared" si="11"/>
        <v>457.44</v>
      </c>
      <c r="N18" s="429">
        <f t="shared" si="45"/>
        <v>0</v>
      </c>
      <c r="O18" s="349">
        <f t="shared" si="12"/>
        <v>529.52</v>
      </c>
      <c r="P18" s="429">
        <f t="shared" si="46"/>
        <v>0</v>
      </c>
      <c r="Q18" s="429">
        <f t="shared" si="47"/>
        <v>0</v>
      </c>
      <c r="R18" s="429"/>
      <c r="S18" s="429"/>
      <c r="T18" s="5">
        <f t="shared" si="13"/>
        <v>5199</v>
      </c>
      <c r="U18" s="5">
        <f t="shared" si="3"/>
        <v>0</v>
      </c>
      <c r="V18" s="5">
        <f t="shared" si="14"/>
        <v>516</v>
      </c>
      <c r="W18" s="276">
        <f t="shared" si="15"/>
        <v>0</v>
      </c>
      <c r="X18" s="5">
        <f t="shared" si="16"/>
        <v>156588</v>
      </c>
      <c r="Y18" s="276">
        <f t="shared" si="42"/>
        <v>0</v>
      </c>
      <c r="Z18" s="5">
        <v>99898</v>
      </c>
      <c r="AA18" s="80">
        <f t="shared" si="18"/>
        <v>0</v>
      </c>
      <c r="AB18" s="5">
        <f t="shared" si="19"/>
        <v>242</v>
      </c>
      <c r="AC18" s="5">
        <f t="shared" si="20"/>
        <v>855</v>
      </c>
      <c r="AD18" s="80">
        <f t="shared" si="35"/>
        <v>0</v>
      </c>
      <c r="AE18" s="5">
        <f t="shared" si="21"/>
        <v>262.47000000000003</v>
      </c>
      <c r="AF18" s="80">
        <f t="shared" si="22"/>
        <v>0</v>
      </c>
      <c r="AG18" s="5">
        <f t="shared" si="23"/>
        <v>2247.41</v>
      </c>
      <c r="AH18" s="80">
        <f t="shared" si="24"/>
        <v>0</v>
      </c>
      <c r="AI18" s="80">
        <f t="shared" si="25"/>
        <v>0</v>
      </c>
      <c r="AJ18" s="278">
        <f t="shared" si="26"/>
        <v>0</v>
      </c>
      <c r="AK18" s="279">
        <f t="shared" si="36"/>
        <v>0</v>
      </c>
      <c r="AL18" s="279">
        <f t="shared" si="27"/>
        <v>0</v>
      </c>
      <c r="AM18" s="279">
        <f>'General information '!D17</f>
        <v>0</v>
      </c>
      <c r="AN18" s="81">
        <f>'General information '!H17</f>
        <v>0</v>
      </c>
      <c r="AO18" s="81"/>
      <c r="AP18" s="81">
        <f>'General information '!J17</f>
        <v>0</v>
      </c>
      <c r="AQ18" s="92"/>
      <c r="AR18" s="242">
        <f t="shared" si="28"/>
        <v>44939</v>
      </c>
      <c r="AS18" s="363">
        <f t="shared" si="29"/>
        <v>0.9</v>
      </c>
      <c r="AT18" s="190">
        <f t="shared" si="29"/>
        <v>175</v>
      </c>
      <c r="AU18" s="364">
        <f t="shared" si="43"/>
        <v>1.1000000000000001</v>
      </c>
      <c r="AV18" s="190">
        <f t="shared" si="30"/>
        <v>95</v>
      </c>
      <c r="AW18" s="5">
        <v>2.9</v>
      </c>
      <c r="AX18" s="190">
        <f t="shared" si="31"/>
        <v>130</v>
      </c>
      <c r="AY18" s="365">
        <f t="shared" si="37"/>
        <v>157.5</v>
      </c>
      <c r="AZ18" s="365">
        <f t="shared" si="38"/>
        <v>104.50000000000001</v>
      </c>
      <c r="BA18" s="365">
        <f t="shared" si="39"/>
        <v>377</v>
      </c>
      <c r="BB18" s="20">
        <f t="shared" si="40"/>
        <v>0</v>
      </c>
      <c r="BC18" s="20">
        <f t="shared" si="32"/>
        <v>0</v>
      </c>
      <c r="BD18" s="20">
        <f t="shared" si="32"/>
        <v>0</v>
      </c>
      <c r="BE18" s="23">
        <f t="shared" si="33"/>
        <v>0</v>
      </c>
      <c r="BF18" s="79">
        <f t="shared" si="34"/>
        <v>0</v>
      </c>
      <c r="BG18" s="79">
        <f t="shared" si="4"/>
        <v>0</v>
      </c>
    </row>
    <row r="19" spans="1:61" ht="15.75" thickBot="1">
      <c r="A19" s="6">
        <f>ELEC!C17</f>
        <v>44940</v>
      </c>
      <c r="B19" s="5">
        <f t="shared" si="5"/>
        <v>109443</v>
      </c>
      <c r="C19" s="5">
        <f t="shared" si="6"/>
        <v>0</v>
      </c>
      <c r="D19" s="358">
        <f t="shared" si="7"/>
        <v>0</v>
      </c>
      <c r="E19" s="285">
        <f>SUM((C19*$E$4)+(7500/'EDl log'!$A$37))</f>
        <v>241.93548387096774</v>
      </c>
      <c r="F19" s="357"/>
      <c r="G19" s="5">
        <f t="shared" si="44"/>
        <v>632662</v>
      </c>
      <c r="H19" s="5">
        <f t="shared" si="8"/>
        <v>0</v>
      </c>
      <c r="I19" s="5">
        <f t="shared" si="9"/>
        <v>0</v>
      </c>
      <c r="J19" s="286">
        <f t="shared" si="0"/>
        <v>0</v>
      </c>
      <c r="K19" s="5">
        <f t="shared" si="10"/>
        <v>7089</v>
      </c>
      <c r="L19" s="80">
        <f t="shared" si="41"/>
        <v>0</v>
      </c>
      <c r="M19" s="349">
        <f t="shared" si="11"/>
        <v>457.44</v>
      </c>
      <c r="N19" s="429">
        <f t="shared" si="45"/>
        <v>0</v>
      </c>
      <c r="O19" s="349">
        <f t="shared" si="12"/>
        <v>529.52</v>
      </c>
      <c r="P19" s="429">
        <f t="shared" si="46"/>
        <v>0</v>
      </c>
      <c r="Q19" s="429">
        <f t="shared" si="47"/>
        <v>0</v>
      </c>
      <c r="R19" s="429"/>
      <c r="S19" s="429"/>
      <c r="T19" s="5">
        <f t="shared" si="13"/>
        <v>5199</v>
      </c>
      <c r="U19" s="5">
        <f t="shared" si="3"/>
        <v>0</v>
      </c>
      <c r="V19" s="5">
        <f t="shared" si="14"/>
        <v>516</v>
      </c>
      <c r="W19" s="276">
        <f t="shared" si="15"/>
        <v>0</v>
      </c>
      <c r="X19" s="5">
        <f t="shared" si="16"/>
        <v>156588</v>
      </c>
      <c r="Y19" s="276">
        <f t="shared" si="42"/>
        <v>0</v>
      </c>
      <c r="Z19" s="5">
        <f t="shared" si="17"/>
        <v>99898</v>
      </c>
      <c r="AA19" s="80">
        <f t="shared" si="18"/>
        <v>0</v>
      </c>
      <c r="AB19" s="5">
        <f t="shared" si="19"/>
        <v>242</v>
      </c>
      <c r="AC19" s="5">
        <f t="shared" si="20"/>
        <v>855</v>
      </c>
      <c r="AD19" s="80">
        <f t="shared" si="35"/>
        <v>0</v>
      </c>
      <c r="AE19" s="5">
        <f t="shared" si="21"/>
        <v>262.47000000000003</v>
      </c>
      <c r="AF19" s="80">
        <f t="shared" si="22"/>
        <v>0</v>
      </c>
      <c r="AG19" s="5">
        <f t="shared" si="23"/>
        <v>2247.41</v>
      </c>
      <c r="AH19" s="80">
        <f t="shared" si="24"/>
        <v>0</v>
      </c>
      <c r="AI19" s="80">
        <f t="shared" si="25"/>
        <v>0</v>
      </c>
      <c r="AJ19" s="278">
        <f t="shared" si="26"/>
        <v>0</v>
      </c>
      <c r="AK19" s="279">
        <f t="shared" si="36"/>
        <v>0</v>
      </c>
      <c r="AL19" s="279">
        <f t="shared" si="27"/>
        <v>0</v>
      </c>
      <c r="AM19" s="279">
        <f>'General information '!D18</f>
        <v>15.5</v>
      </c>
      <c r="AN19" s="81">
        <f>'General information '!H18</f>
        <v>0</v>
      </c>
      <c r="AO19" s="81"/>
      <c r="AP19" s="81">
        <f>'General information '!J18</f>
        <v>0</v>
      </c>
      <c r="AR19" s="242">
        <f t="shared" si="28"/>
        <v>44940</v>
      </c>
      <c r="AS19" s="363">
        <f t="shared" si="29"/>
        <v>0.9</v>
      </c>
      <c r="AT19" s="190">
        <f t="shared" si="29"/>
        <v>175</v>
      </c>
      <c r="AU19" s="364">
        <f t="shared" si="43"/>
        <v>1.1000000000000001</v>
      </c>
      <c r="AV19" s="190">
        <f t="shared" si="30"/>
        <v>95</v>
      </c>
      <c r="AW19" s="5">
        <v>2.9</v>
      </c>
      <c r="AX19" s="190">
        <f t="shared" si="31"/>
        <v>130</v>
      </c>
      <c r="AY19" s="365">
        <f>AS19*AT19</f>
        <v>157.5</v>
      </c>
      <c r="AZ19" s="365">
        <f>AU19*AV19</f>
        <v>104.50000000000001</v>
      </c>
      <c r="BA19" s="365">
        <f>AW19*AX19</f>
        <v>377</v>
      </c>
      <c r="BB19" s="20">
        <f t="shared" si="40"/>
        <v>0</v>
      </c>
      <c r="BC19" s="20">
        <f t="shared" ref="BC19:BD20" si="48">AZ19-AZ18</f>
        <v>0</v>
      </c>
      <c r="BD19" s="20">
        <f t="shared" si="48"/>
        <v>0</v>
      </c>
      <c r="BE19" s="23">
        <f>SUM(BB19:BD19)</f>
        <v>0</v>
      </c>
      <c r="BF19" s="79">
        <f t="shared" si="34"/>
        <v>0</v>
      </c>
      <c r="BG19" s="79">
        <f t="shared" si="4"/>
        <v>0</v>
      </c>
    </row>
    <row r="20" spans="1:61" ht="15.75" thickBot="1">
      <c r="A20" s="6">
        <f>ELEC!C18</f>
        <v>44941</v>
      </c>
      <c r="B20" s="5">
        <f t="shared" si="5"/>
        <v>109443</v>
      </c>
      <c r="C20" s="5">
        <f t="shared" si="6"/>
        <v>0</v>
      </c>
      <c r="D20" s="358">
        <f t="shared" si="7"/>
        <v>0</v>
      </c>
      <c r="E20" s="285">
        <f>SUM((C20*$E$4)+(7500/'EDl log'!$A$37))</f>
        <v>241.93548387096774</v>
      </c>
      <c r="F20" s="357"/>
      <c r="G20" s="5">
        <f t="shared" si="44"/>
        <v>632662</v>
      </c>
      <c r="H20" s="5">
        <f t="shared" si="8"/>
        <v>0</v>
      </c>
      <c r="I20" s="5">
        <f t="shared" si="9"/>
        <v>0</v>
      </c>
      <c r="J20" s="286">
        <f t="shared" si="0"/>
        <v>0</v>
      </c>
      <c r="K20" s="5">
        <f t="shared" si="10"/>
        <v>7089</v>
      </c>
      <c r="L20" s="80">
        <f t="shared" si="41"/>
        <v>0</v>
      </c>
      <c r="M20" s="349">
        <f t="shared" si="11"/>
        <v>457.44</v>
      </c>
      <c r="N20" s="429">
        <f t="shared" si="45"/>
        <v>0</v>
      </c>
      <c r="O20" s="349">
        <f t="shared" si="12"/>
        <v>529.52</v>
      </c>
      <c r="P20" s="429">
        <f t="shared" si="46"/>
        <v>0</v>
      </c>
      <c r="Q20" s="429">
        <f t="shared" si="47"/>
        <v>0</v>
      </c>
      <c r="R20" s="429"/>
      <c r="S20" s="429"/>
      <c r="T20" s="5">
        <f t="shared" si="13"/>
        <v>5199</v>
      </c>
      <c r="U20" s="5">
        <f t="shared" si="3"/>
        <v>0</v>
      </c>
      <c r="V20" s="5">
        <f t="shared" si="14"/>
        <v>516</v>
      </c>
      <c r="W20" s="276">
        <f t="shared" si="15"/>
        <v>0</v>
      </c>
      <c r="X20" s="5">
        <f t="shared" si="16"/>
        <v>156588</v>
      </c>
      <c r="Y20" s="276">
        <f t="shared" si="42"/>
        <v>0</v>
      </c>
      <c r="Z20" s="5">
        <f t="shared" si="17"/>
        <v>99898</v>
      </c>
      <c r="AA20" s="80">
        <f t="shared" si="18"/>
        <v>0</v>
      </c>
      <c r="AB20" s="5">
        <f t="shared" si="19"/>
        <v>242</v>
      </c>
      <c r="AC20" s="5">
        <f t="shared" si="20"/>
        <v>855</v>
      </c>
      <c r="AD20" s="80">
        <f t="shared" si="35"/>
        <v>0</v>
      </c>
      <c r="AE20" s="5">
        <f t="shared" si="21"/>
        <v>262.47000000000003</v>
      </c>
      <c r="AF20" s="80">
        <f t="shared" si="22"/>
        <v>0</v>
      </c>
      <c r="AG20" s="5">
        <f t="shared" si="23"/>
        <v>2247.41</v>
      </c>
      <c r="AH20" s="80">
        <f t="shared" si="24"/>
        <v>0</v>
      </c>
      <c r="AI20" s="80">
        <f t="shared" si="25"/>
        <v>0</v>
      </c>
      <c r="AJ20" s="278">
        <f t="shared" si="26"/>
        <v>0</v>
      </c>
      <c r="AK20" s="279">
        <f t="shared" si="36"/>
        <v>0</v>
      </c>
      <c r="AL20" s="279">
        <f t="shared" si="27"/>
        <v>0</v>
      </c>
      <c r="AM20" s="279">
        <f>'General information '!D19</f>
        <v>15.5</v>
      </c>
      <c r="AN20" s="81">
        <f>'General information '!H19</f>
        <v>0</v>
      </c>
      <c r="AO20" s="81"/>
      <c r="AP20" s="81">
        <f>'General information '!J19</f>
        <v>0</v>
      </c>
      <c r="AR20" s="242">
        <f t="shared" si="28"/>
        <v>44941</v>
      </c>
      <c r="AS20" s="363">
        <f t="shared" si="29"/>
        <v>0.9</v>
      </c>
      <c r="AT20" s="190">
        <f t="shared" si="29"/>
        <v>175</v>
      </c>
      <c r="AU20" s="364">
        <f t="shared" si="43"/>
        <v>1.1000000000000001</v>
      </c>
      <c r="AV20" s="190">
        <v>90</v>
      </c>
      <c r="AW20" s="5">
        <v>2.9</v>
      </c>
      <c r="AX20" s="190">
        <v>126</v>
      </c>
      <c r="AY20" s="365">
        <f>AS20*AT20</f>
        <v>157.5</v>
      </c>
      <c r="AZ20" s="365">
        <f>AU20*AV20</f>
        <v>99.000000000000014</v>
      </c>
      <c r="BA20" s="365">
        <f>AW20*AX20</f>
        <v>365.4</v>
      </c>
      <c r="BB20" s="20">
        <f t="shared" si="40"/>
        <v>0</v>
      </c>
      <c r="BC20" s="20">
        <f t="shared" si="48"/>
        <v>-5.5</v>
      </c>
      <c r="BD20" s="20">
        <f t="shared" si="48"/>
        <v>-11.600000000000023</v>
      </c>
      <c r="BE20" s="23">
        <f>SUM(BB20:BD20)</f>
        <v>-17.100000000000023</v>
      </c>
      <c r="BF20" s="79">
        <f t="shared" si="34"/>
        <v>17.100000000000023</v>
      </c>
      <c r="BG20" s="79">
        <f t="shared" si="4"/>
        <v>-17.100000000000023</v>
      </c>
    </row>
    <row r="21" spans="1:61" ht="15.75" thickBot="1">
      <c r="A21" s="6">
        <f>ELEC!C19</f>
        <v>44942</v>
      </c>
      <c r="B21" s="5">
        <f t="shared" si="5"/>
        <v>109443</v>
      </c>
      <c r="C21" s="5">
        <f t="shared" si="6"/>
        <v>0</v>
      </c>
      <c r="D21" s="358">
        <f t="shared" si="7"/>
        <v>0</v>
      </c>
      <c r="E21" s="285">
        <f>SUM((C21*$E$4)+(7500/'EDl log'!$A$37))</f>
        <v>241.93548387096774</v>
      </c>
      <c r="F21" s="279"/>
      <c r="G21" s="5">
        <f t="shared" si="44"/>
        <v>632662</v>
      </c>
      <c r="H21" s="5">
        <f t="shared" si="8"/>
        <v>0</v>
      </c>
      <c r="I21" s="5">
        <f t="shared" si="9"/>
        <v>0</v>
      </c>
      <c r="J21" s="286">
        <f t="shared" si="0"/>
        <v>0</v>
      </c>
      <c r="K21" s="5">
        <f t="shared" si="10"/>
        <v>7089</v>
      </c>
      <c r="L21" s="80">
        <f t="shared" si="41"/>
        <v>0</v>
      </c>
      <c r="M21" s="349">
        <f t="shared" si="11"/>
        <v>457.44</v>
      </c>
      <c r="N21" s="429">
        <f t="shared" si="45"/>
        <v>0</v>
      </c>
      <c r="O21" s="349">
        <f t="shared" si="12"/>
        <v>529.52</v>
      </c>
      <c r="P21" s="429">
        <f t="shared" si="46"/>
        <v>0</v>
      </c>
      <c r="Q21" s="429">
        <f t="shared" si="47"/>
        <v>0</v>
      </c>
      <c r="R21" s="429"/>
      <c r="S21" s="429"/>
      <c r="T21" s="5">
        <f t="shared" si="13"/>
        <v>5199</v>
      </c>
      <c r="U21" s="5">
        <f t="shared" si="3"/>
        <v>0</v>
      </c>
      <c r="V21" s="5">
        <f t="shared" si="14"/>
        <v>516</v>
      </c>
      <c r="W21" s="276">
        <f t="shared" si="15"/>
        <v>0</v>
      </c>
      <c r="X21" s="5">
        <f t="shared" si="16"/>
        <v>156588</v>
      </c>
      <c r="Y21" s="276">
        <f>SUM(X21-X20)</f>
        <v>0</v>
      </c>
      <c r="Z21" s="5">
        <f t="shared" si="17"/>
        <v>99898</v>
      </c>
      <c r="AA21" s="80">
        <f t="shared" si="18"/>
        <v>0</v>
      </c>
      <c r="AB21" s="5">
        <f t="shared" si="19"/>
        <v>242</v>
      </c>
      <c r="AC21" s="5">
        <f t="shared" si="20"/>
        <v>855</v>
      </c>
      <c r="AD21" s="80">
        <f t="shared" si="35"/>
        <v>0</v>
      </c>
      <c r="AE21" s="5">
        <f t="shared" si="21"/>
        <v>262.47000000000003</v>
      </c>
      <c r="AF21" s="80">
        <f t="shared" si="22"/>
        <v>0</v>
      </c>
      <c r="AG21" s="5">
        <f t="shared" si="23"/>
        <v>2247.41</v>
      </c>
      <c r="AH21" s="80">
        <f t="shared" si="24"/>
        <v>0</v>
      </c>
      <c r="AI21" s="80">
        <f t="shared" si="25"/>
        <v>0</v>
      </c>
      <c r="AJ21" s="278">
        <f t="shared" si="26"/>
        <v>0</v>
      </c>
      <c r="AK21" s="279">
        <f t="shared" si="36"/>
        <v>0</v>
      </c>
      <c r="AL21" s="279">
        <f t="shared" si="27"/>
        <v>0</v>
      </c>
      <c r="AM21" s="279">
        <f>'General information '!D20</f>
        <v>16</v>
      </c>
      <c r="AN21" s="81">
        <f>'General information '!H20</f>
        <v>0</v>
      </c>
      <c r="AO21" s="81"/>
      <c r="AP21" s="81">
        <f>'General information '!J20</f>
        <v>0</v>
      </c>
      <c r="AR21" s="242">
        <f t="shared" si="28"/>
        <v>44942</v>
      </c>
      <c r="AS21" s="363">
        <f t="shared" si="29"/>
        <v>0.9</v>
      </c>
      <c r="AT21" s="190">
        <f t="shared" si="29"/>
        <v>175</v>
      </c>
      <c r="AU21" s="364">
        <f t="shared" si="43"/>
        <v>1.1000000000000001</v>
      </c>
      <c r="AV21" s="190">
        <v>87</v>
      </c>
      <c r="AW21" s="5">
        <v>2.9</v>
      </c>
      <c r="AX21" s="190">
        <v>122</v>
      </c>
      <c r="AY21" s="365">
        <f>AS21*AT21</f>
        <v>157.5</v>
      </c>
      <c r="AZ21" s="365">
        <f>AU21*AV21</f>
        <v>95.7</v>
      </c>
      <c r="BA21" s="365">
        <f>AW21*AX21</f>
        <v>353.8</v>
      </c>
      <c r="BB21" s="20">
        <f t="shared" si="40"/>
        <v>0</v>
      </c>
      <c r="BC21" s="20">
        <f t="shared" si="32"/>
        <v>-3.3000000000000114</v>
      </c>
      <c r="BD21" s="20">
        <f t="shared" si="32"/>
        <v>-11.599999999999966</v>
      </c>
      <c r="BE21" s="23">
        <f t="shared" si="33"/>
        <v>-14.899999999999977</v>
      </c>
      <c r="BF21" s="79">
        <f t="shared" si="34"/>
        <v>14.899999999999977</v>
      </c>
      <c r="BG21" s="79">
        <f t="shared" si="4"/>
        <v>-14.899999999999977</v>
      </c>
    </row>
    <row r="22" spans="1:61" ht="15.75" thickBot="1">
      <c r="A22" s="6">
        <f>ELEC!C20</f>
        <v>44943</v>
      </c>
      <c r="B22" s="5">
        <v>109443</v>
      </c>
      <c r="C22" s="5">
        <f t="shared" si="6"/>
        <v>0</v>
      </c>
      <c r="D22" s="358">
        <f t="shared" si="7"/>
        <v>0</v>
      </c>
      <c r="E22" s="285">
        <f>SUM((C22*$E$4)+(7500/'EDl log'!$A$37))</f>
        <v>241.93548387096774</v>
      </c>
      <c r="F22" s="279"/>
      <c r="G22" s="5">
        <f t="shared" si="44"/>
        <v>632662</v>
      </c>
      <c r="H22" s="5">
        <f t="shared" si="8"/>
        <v>0</v>
      </c>
      <c r="I22" s="5">
        <f t="shared" si="9"/>
        <v>0</v>
      </c>
      <c r="J22" s="286">
        <f t="shared" si="0"/>
        <v>0</v>
      </c>
      <c r="K22" s="5">
        <f t="shared" si="10"/>
        <v>7089</v>
      </c>
      <c r="L22" s="80">
        <f t="shared" si="41"/>
        <v>0</v>
      </c>
      <c r="M22" s="349">
        <f t="shared" si="11"/>
        <v>457.44</v>
      </c>
      <c r="N22" s="429">
        <f t="shared" si="45"/>
        <v>0</v>
      </c>
      <c r="O22" s="349">
        <f t="shared" si="12"/>
        <v>529.52</v>
      </c>
      <c r="P22" s="429">
        <f t="shared" si="46"/>
        <v>0</v>
      </c>
      <c r="Q22" s="429">
        <f t="shared" si="47"/>
        <v>0</v>
      </c>
      <c r="R22" s="429"/>
      <c r="S22" s="429"/>
      <c r="T22" s="5">
        <f t="shared" si="13"/>
        <v>5199</v>
      </c>
      <c r="U22" s="5">
        <f t="shared" si="3"/>
        <v>0</v>
      </c>
      <c r="V22" s="5">
        <v>517</v>
      </c>
      <c r="W22" s="276">
        <f t="shared" si="15"/>
        <v>1</v>
      </c>
      <c r="X22" s="5">
        <f t="shared" si="16"/>
        <v>156588</v>
      </c>
      <c r="Y22" s="276">
        <f t="shared" si="42"/>
        <v>0</v>
      </c>
      <c r="Z22" s="5">
        <f t="shared" si="17"/>
        <v>99898</v>
      </c>
      <c r="AA22" s="80">
        <f t="shared" si="18"/>
        <v>0</v>
      </c>
      <c r="AB22" s="5">
        <f t="shared" si="19"/>
        <v>242</v>
      </c>
      <c r="AC22" s="5">
        <f t="shared" si="20"/>
        <v>855</v>
      </c>
      <c r="AD22" s="80">
        <f t="shared" si="35"/>
        <v>0</v>
      </c>
      <c r="AE22" s="5">
        <f t="shared" si="21"/>
        <v>262.47000000000003</v>
      </c>
      <c r="AF22" s="80">
        <f t="shared" si="22"/>
        <v>0</v>
      </c>
      <c r="AG22" s="5">
        <f t="shared" si="23"/>
        <v>2247.41</v>
      </c>
      <c r="AH22" s="80">
        <f t="shared" si="24"/>
        <v>0</v>
      </c>
      <c r="AI22" s="80">
        <f t="shared" si="25"/>
        <v>0</v>
      </c>
      <c r="AJ22" s="278">
        <f t="shared" si="26"/>
        <v>0</v>
      </c>
      <c r="AK22" s="279">
        <f t="shared" si="36"/>
        <v>0</v>
      </c>
      <c r="AL22" s="279">
        <f t="shared" si="27"/>
        <v>-1</v>
      </c>
      <c r="AM22" s="279">
        <f>'General information '!D21</f>
        <v>16</v>
      </c>
      <c r="AN22" s="81">
        <f>'General information '!H21</f>
        <v>0</v>
      </c>
      <c r="AO22" s="81"/>
      <c r="AP22" s="81">
        <f>'General information '!J21</f>
        <v>0</v>
      </c>
      <c r="AR22" s="242">
        <f t="shared" si="28"/>
        <v>44943</v>
      </c>
      <c r="AS22" s="363">
        <f t="shared" ref="AS22:AT33" si="49">AS21</f>
        <v>0.9</v>
      </c>
      <c r="AT22" s="190">
        <f t="shared" si="49"/>
        <v>175</v>
      </c>
      <c r="AU22" s="364">
        <f t="shared" si="43"/>
        <v>1.1000000000000001</v>
      </c>
      <c r="AV22" s="190">
        <v>85</v>
      </c>
      <c r="AW22" s="5">
        <v>2.9</v>
      </c>
      <c r="AX22" s="190">
        <v>118</v>
      </c>
      <c r="AY22" s="365">
        <f t="shared" si="37"/>
        <v>157.5</v>
      </c>
      <c r="AZ22" s="365">
        <f t="shared" si="38"/>
        <v>93.500000000000014</v>
      </c>
      <c r="BA22" s="365">
        <f t="shared" si="39"/>
        <v>342.2</v>
      </c>
      <c r="BB22" s="20">
        <f t="shared" si="40"/>
        <v>0</v>
      </c>
      <c r="BC22" s="20">
        <f t="shared" ref="BC22:BD33" si="50">AZ22-AZ21</f>
        <v>-2.1999999999999886</v>
      </c>
      <c r="BD22" s="20">
        <f t="shared" si="50"/>
        <v>-11.600000000000023</v>
      </c>
      <c r="BE22" s="23">
        <f t="shared" si="33"/>
        <v>-13.800000000000011</v>
      </c>
      <c r="BF22" s="79">
        <f t="shared" si="34"/>
        <v>13.800000000000011</v>
      </c>
      <c r="BG22" s="79">
        <f t="shared" si="4"/>
        <v>-13.800000000000011</v>
      </c>
    </row>
    <row r="23" spans="1:61" ht="15.75" thickBot="1">
      <c r="A23" s="6">
        <f>ELEC!C21</f>
        <v>44944</v>
      </c>
      <c r="B23" s="5">
        <f t="shared" si="5"/>
        <v>109443</v>
      </c>
      <c r="C23" s="5">
        <f t="shared" si="6"/>
        <v>0</v>
      </c>
      <c r="D23" s="358">
        <f t="shared" si="7"/>
        <v>0</v>
      </c>
      <c r="E23" s="285">
        <f>SUM((C23*$E$4)+(7500/'EDl log'!$A$37))</f>
        <v>241.93548387096774</v>
      </c>
      <c r="F23" s="279"/>
      <c r="G23" s="5">
        <f t="shared" si="44"/>
        <v>632662</v>
      </c>
      <c r="H23" s="5">
        <f t="shared" si="8"/>
        <v>0</v>
      </c>
      <c r="I23" s="5">
        <f t="shared" si="9"/>
        <v>0</v>
      </c>
      <c r="J23" s="286">
        <f t="shared" si="0"/>
        <v>0</v>
      </c>
      <c r="K23" s="5">
        <f t="shared" si="10"/>
        <v>7089</v>
      </c>
      <c r="L23" s="240">
        <f t="shared" si="41"/>
        <v>0</v>
      </c>
      <c r="M23" s="349">
        <f t="shared" si="11"/>
        <v>457.44</v>
      </c>
      <c r="N23" s="429">
        <f t="shared" si="45"/>
        <v>0</v>
      </c>
      <c r="O23" s="349">
        <f t="shared" si="12"/>
        <v>529.52</v>
      </c>
      <c r="P23" s="429">
        <f t="shared" si="46"/>
        <v>0</v>
      </c>
      <c r="Q23" s="429">
        <f t="shared" si="47"/>
        <v>0</v>
      </c>
      <c r="R23" s="431"/>
      <c r="S23" s="431"/>
      <c r="T23" s="5">
        <f t="shared" si="13"/>
        <v>5199</v>
      </c>
      <c r="U23" s="5">
        <f t="shared" si="3"/>
        <v>0</v>
      </c>
      <c r="V23" s="5">
        <f t="shared" si="14"/>
        <v>517</v>
      </c>
      <c r="W23" s="276">
        <f t="shared" si="15"/>
        <v>0</v>
      </c>
      <c r="X23" s="5">
        <f t="shared" si="16"/>
        <v>156588</v>
      </c>
      <c r="Y23" s="276">
        <f t="shared" si="42"/>
        <v>0</v>
      </c>
      <c r="Z23" s="5">
        <f t="shared" si="17"/>
        <v>99898</v>
      </c>
      <c r="AA23" s="80">
        <f t="shared" si="18"/>
        <v>0</v>
      </c>
      <c r="AB23" s="5">
        <f t="shared" si="19"/>
        <v>242</v>
      </c>
      <c r="AC23" s="5">
        <f t="shared" si="20"/>
        <v>855</v>
      </c>
      <c r="AD23" s="80">
        <f t="shared" si="35"/>
        <v>0</v>
      </c>
      <c r="AE23" s="5">
        <f t="shared" si="21"/>
        <v>262.47000000000003</v>
      </c>
      <c r="AF23" s="80">
        <f t="shared" si="22"/>
        <v>0</v>
      </c>
      <c r="AG23" s="5">
        <f t="shared" si="23"/>
        <v>2247.41</v>
      </c>
      <c r="AH23" s="80">
        <f t="shared" si="24"/>
        <v>0</v>
      </c>
      <c r="AI23" s="80">
        <f t="shared" si="25"/>
        <v>0</v>
      </c>
      <c r="AJ23" s="278">
        <f t="shared" si="26"/>
        <v>0</v>
      </c>
      <c r="AK23" s="279">
        <f t="shared" si="36"/>
        <v>0</v>
      </c>
      <c r="AL23" s="279">
        <f t="shared" si="27"/>
        <v>0</v>
      </c>
      <c r="AM23" s="279">
        <f>'General information '!D22</f>
        <v>16.5</v>
      </c>
      <c r="AN23" s="81">
        <f>'General information '!H22</f>
        <v>0</v>
      </c>
      <c r="AO23" s="81"/>
      <c r="AP23" s="81">
        <f>'General information '!J22</f>
        <v>0</v>
      </c>
      <c r="AR23" s="242">
        <f t="shared" si="28"/>
        <v>44944</v>
      </c>
      <c r="AS23" s="363">
        <f t="shared" si="49"/>
        <v>0.9</v>
      </c>
      <c r="AT23" s="190">
        <f t="shared" si="49"/>
        <v>175</v>
      </c>
      <c r="AU23" s="364">
        <f t="shared" si="43"/>
        <v>1.1000000000000001</v>
      </c>
      <c r="AV23" s="190">
        <f t="shared" si="30"/>
        <v>85</v>
      </c>
      <c r="AW23" s="5">
        <v>2.9</v>
      </c>
      <c r="AX23" s="190">
        <f t="shared" si="31"/>
        <v>118</v>
      </c>
      <c r="AY23" s="365">
        <f t="shared" si="37"/>
        <v>157.5</v>
      </c>
      <c r="AZ23" s="365">
        <f t="shared" si="38"/>
        <v>93.500000000000014</v>
      </c>
      <c r="BA23" s="365">
        <f t="shared" si="39"/>
        <v>342.2</v>
      </c>
      <c r="BB23" s="20">
        <f t="shared" si="40"/>
        <v>0</v>
      </c>
      <c r="BC23" s="20">
        <f t="shared" si="50"/>
        <v>0</v>
      </c>
      <c r="BD23" s="20">
        <f t="shared" si="50"/>
        <v>0</v>
      </c>
      <c r="BE23" s="23">
        <f t="shared" si="33"/>
        <v>0</v>
      </c>
      <c r="BF23" s="79">
        <f t="shared" si="34"/>
        <v>0</v>
      </c>
      <c r="BG23" s="79">
        <f t="shared" si="4"/>
        <v>0</v>
      </c>
    </row>
    <row r="24" spans="1:61" ht="15.75" thickBot="1">
      <c r="A24" s="6">
        <f>ELEC!C22</f>
        <v>44945</v>
      </c>
      <c r="B24" s="5">
        <f t="shared" si="5"/>
        <v>109443</v>
      </c>
      <c r="C24" s="5">
        <f t="shared" si="6"/>
        <v>0</v>
      </c>
      <c r="D24" s="358">
        <f t="shared" si="7"/>
        <v>0</v>
      </c>
      <c r="E24" s="285">
        <f>SUM((C24*$E$4)+(7500/'EDl log'!$A$37))</f>
        <v>241.93548387096774</v>
      </c>
      <c r="F24" s="279"/>
      <c r="G24" s="5">
        <f t="shared" si="44"/>
        <v>632662</v>
      </c>
      <c r="H24" s="5">
        <f t="shared" si="8"/>
        <v>0</v>
      </c>
      <c r="I24" s="5">
        <f t="shared" si="9"/>
        <v>0</v>
      </c>
      <c r="J24" s="286">
        <f t="shared" si="0"/>
        <v>0</v>
      </c>
      <c r="K24" s="5">
        <f t="shared" si="10"/>
        <v>7089</v>
      </c>
      <c r="L24" s="240">
        <f t="shared" si="41"/>
        <v>0</v>
      </c>
      <c r="M24" s="349">
        <f t="shared" si="11"/>
        <v>457.44</v>
      </c>
      <c r="N24" s="429">
        <f t="shared" si="45"/>
        <v>0</v>
      </c>
      <c r="O24" s="349">
        <f t="shared" si="12"/>
        <v>529.52</v>
      </c>
      <c r="P24" s="429">
        <f t="shared" si="46"/>
        <v>0</v>
      </c>
      <c r="Q24" s="429">
        <f t="shared" si="47"/>
        <v>0</v>
      </c>
      <c r="R24" s="431"/>
      <c r="S24" s="431"/>
      <c r="T24" s="5">
        <f t="shared" si="13"/>
        <v>5199</v>
      </c>
      <c r="U24" s="5">
        <f t="shared" si="3"/>
        <v>0</v>
      </c>
      <c r="V24" s="5">
        <f t="shared" si="14"/>
        <v>517</v>
      </c>
      <c r="W24" s="276">
        <f t="shared" si="15"/>
        <v>0</v>
      </c>
      <c r="X24" s="5">
        <f t="shared" si="16"/>
        <v>156588</v>
      </c>
      <c r="Y24" s="276">
        <f t="shared" si="42"/>
        <v>0</v>
      </c>
      <c r="Z24" s="5">
        <f t="shared" si="17"/>
        <v>99898</v>
      </c>
      <c r="AA24" s="80">
        <f t="shared" si="18"/>
        <v>0</v>
      </c>
      <c r="AB24" s="5">
        <f t="shared" si="19"/>
        <v>242</v>
      </c>
      <c r="AC24" s="5">
        <f t="shared" si="20"/>
        <v>855</v>
      </c>
      <c r="AD24" s="80">
        <f t="shared" si="35"/>
        <v>0</v>
      </c>
      <c r="AE24" s="5">
        <f t="shared" si="21"/>
        <v>262.47000000000003</v>
      </c>
      <c r="AF24" s="80">
        <f t="shared" si="22"/>
        <v>0</v>
      </c>
      <c r="AG24" s="5">
        <f t="shared" si="23"/>
        <v>2247.41</v>
      </c>
      <c r="AH24" s="80">
        <f t="shared" si="24"/>
        <v>0</v>
      </c>
      <c r="AI24" s="80">
        <f t="shared" si="25"/>
        <v>0</v>
      </c>
      <c r="AJ24" s="278">
        <f t="shared" si="26"/>
        <v>0</v>
      </c>
      <c r="AK24" s="279">
        <f t="shared" si="36"/>
        <v>0</v>
      </c>
      <c r="AL24" s="279">
        <f t="shared" si="27"/>
        <v>0</v>
      </c>
      <c r="AM24" s="279">
        <f>'General information '!D23</f>
        <v>16.5</v>
      </c>
      <c r="AN24" s="81">
        <f>'[3]General information '!H24</f>
        <v>0</v>
      </c>
      <c r="AO24" s="81"/>
      <c r="AP24" s="81">
        <f>'[3]General information '!J24</f>
        <v>0</v>
      </c>
      <c r="AR24" s="242">
        <f t="shared" si="28"/>
        <v>44945</v>
      </c>
      <c r="AS24" s="363">
        <f t="shared" si="49"/>
        <v>0.9</v>
      </c>
      <c r="AT24" s="190">
        <f t="shared" si="49"/>
        <v>175</v>
      </c>
      <c r="AU24" s="364">
        <f t="shared" si="43"/>
        <v>1.1000000000000001</v>
      </c>
      <c r="AV24" s="190">
        <f t="shared" si="30"/>
        <v>85</v>
      </c>
      <c r="AW24" s="5">
        <v>2.9</v>
      </c>
      <c r="AX24" s="190">
        <v>111</v>
      </c>
      <c r="AY24" s="365">
        <f t="shared" si="37"/>
        <v>157.5</v>
      </c>
      <c r="AZ24" s="365">
        <f t="shared" si="38"/>
        <v>93.500000000000014</v>
      </c>
      <c r="BA24" s="365">
        <f t="shared" si="39"/>
        <v>321.89999999999998</v>
      </c>
      <c r="BB24" s="20">
        <f t="shared" si="40"/>
        <v>0</v>
      </c>
      <c r="BC24" s="20">
        <f t="shared" si="50"/>
        <v>0</v>
      </c>
      <c r="BD24" s="20">
        <f t="shared" si="50"/>
        <v>-20.300000000000011</v>
      </c>
      <c r="BE24" s="23">
        <f t="shared" si="33"/>
        <v>-20.300000000000011</v>
      </c>
      <c r="BF24" s="79">
        <f t="shared" si="34"/>
        <v>20.300000000000011</v>
      </c>
      <c r="BG24" s="79">
        <f t="shared" si="4"/>
        <v>-20.300000000000011</v>
      </c>
      <c r="BI24" s="79"/>
    </row>
    <row r="25" spans="1:61" ht="15.75" thickBot="1">
      <c r="A25" s="6">
        <f>ELEC!C23</f>
        <v>44946</v>
      </c>
      <c r="B25" s="5">
        <f t="shared" si="5"/>
        <v>109443</v>
      </c>
      <c r="C25" s="5">
        <f t="shared" si="6"/>
        <v>0</v>
      </c>
      <c r="D25" s="358">
        <f t="shared" si="7"/>
        <v>0</v>
      </c>
      <c r="E25" s="285">
        <f>SUM((C25*$E$4)+(7500/'EDl log'!$A$37))</f>
        <v>241.93548387096774</v>
      </c>
      <c r="F25" s="279"/>
      <c r="G25" s="5">
        <f t="shared" si="44"/>
        <v>632662</v>
      </c>
      <c r="H25" s="5">
        <f t="shared" si="8"/>
        <v>0</v>
      </c>
      <c r="I25" s="5">
        <f t="shared" si="9"/>
        <v>0</v>
      </c>
      <c r="J25" s="286">
        <f t="shared" si="0"/>
        <v>0</v>
      </c>
      <c r="K25" s="5">
        <f t="shared" si="10"/>
        <v>7089</v>
      </c>
      <c r="L25" s="240">
        <f t="shared" si="41"/>
        <v>0</v>
      </c>
      <c r="M25" s="349">
        <f t="shared" si="11"/>
        <v>457.44</v>
      </c>
      <c r="N25" s="429">
        <f t="shared" si="45"/>
        <v>0</v>
      </c>
      <c r="O25" s="349">
        <f t="shared" si="12"/>
        <v>529.52</v>
      </c>
      <c r="P25" s="429">
        <f t="shared" si="46"/>
        <v>0</v>
      </c>
      <c r="Q25" s="429">
        <f t="shared" si="47"/>
        <v>0</v>
      </c>
      <c r="R25" s="431"/>
      <c r="S25" s="431"/>
      <c r="T25" s="5">
        <f t="shared" si="13"/>
        <v>5199</v>
      </c>
      <c r="U25" s="5">
        <f t="shared" si="3"/>
        <v>0</v>
      </c>
      <c r="V25" s="5">
        <f t="shared" si="14"/>
        <v>517</v>
      </c>
      <c r="W25" s="276">
        <f t="shared" si="15"/>
        <v>0</v>
      </c>
      <c r="X25" s="5">
        <f t="shared" si="16"/>
        <v>156588</v>
      </c>
      <c r="Y25" s="276">
        <f t="shared" si="42"/>
        <v>0</v>
      </c>
      <c r="Z25" s="5">
        <f t="shared" si="17"/>
        <v>99898</v>
      </c>
      <c r="AA25" s="80">
        <f t="shared" si="18"/>
        <v>0</v>
      </c>
      <c r="AB25" s="5">
        <f t="shared" si="19"/>
        <v>242</v>
      </c>
      <c r="AC25" s="5">
        <f t="shared" si="20"/>
        <v>855</v>
      </c>
      <c r="AD25" s="80">
        <f t="shared" si="35"/>
        <v>0</v>
      </c>
      <c r="AE25" s="5">
        <f t="shared" si="21"/>
        <v>262.47000000000003</v>
      </c>
      <c r="AF25" s="80">
        <f t="shared" si="22"/>
        <v>0</v>
      </c>
      <c r="AG25" s="5">
        <f t="shared" si="23"/>
        <v>2247.41</v>
      </c>
      <c r="AH25" s="80">
        <f t="shared" si="24"/>
        <v>0</v>
      </c>
      <c r="AI25" s="80">
        <f t="shared" si="25"/>
        <v>0</v>
      </c>
      <c r="AJ25" s="278">
        <f t="shared" si="26"/>
        <v>0</v>
      </c>
      <c r="AK25" s="279">
        <f t="shared" si="36"/>
        <v>0</v>
      </c>
      <c r="AL25" s="279">
        <f>SUM(AJ25-W25)</f>
        <v>0</v>
      </c>
      <c r="AM25" s="279">
        <f>'General information '!D24</f>
        <v>0</v>
      </c>
      <c r="AN25" s="81">
        <f>'General information '!H24</f>
        <v>0</v>
      </c>
      <c r="AO25" s="81"/>
      <c r="AP25" s="81">
        <f>'General information '!J24</f>
        <v>0</v>
      </c>
      <c r="AR25" s="242">
        <f t="shared" si="28"/>
        <v>44946</v>
      </c>
      <c r="AS25" s="363">
        <f t="shared" si="49"/>
        <v>0.9</v>
      </c>
      <c r="AT25" s="190">
        <f t="shared" si="49"/>
        <v>175</v>
      </c>
      <c r="AU25" s="364">
        <f t="shared" si="43"/>
        <v>1.1000000000000001</v>
      </c>
      <c r="AV25" s="190">
        <f t="shared" si="30"/>
        <v>85</v>
      </c>
      <c r="AW25" s="5">
        <v>2.9</v>
      </c>
      <c r="AX25" s="190">
        <f t="shared" si="31"/>
        <v>111</v>
      </c>
      <c r="AY25" s="365">
        <f t="shared" si="37"/>
        <v>157.5</v>
      </c>
      <c r="AZ25" s="365">
        <f t="shared" si="38"/>
        <v>93.500000000000014</v>
      </c>
      <c r="BA25" s="365">
        <f t="shared" si="39"/>
        <v>321.89999999999998</v>
      </c>
      <c r="BB25" s="20">
        <f t="shared" si="40"/>
        <v>0</v>
      </c>
      <c r="BC25" s="20">
        <f t="shared" si="50"/>
        <v>0</v>
      </c>
      <c r="BD25" s="20">
        <f t="shared" si="50"/>
        <v>0</v>
      </c>
      <c r="BE25" s="23">
        <f t="shared" si="33"/>
        <v>0</v>
      </c>
      <c r="BF25" s="79">
        <f t="shared" si="34"/>
        <v>0</v>
      </c>
      <c r="BG25" s="79">
        <f t="shared" si="4"/>
        <v>0</v>
      </c>
    </row>
    <row r="26" spans="1:61" ht="15.75" thickBot="1">
      <c r="A26" s="6">
        <f>ELEC!C24</f>
        <v>44947</v>
      </c>
      <c r="B26" s="5">
        <f t="shared" si="5"/>
        <v>109443</v>
      </c>
      <c r="C26" s="5">
        <f t="shared" si="6"/>
        <v>0</v>
      </c>
      <c r="D26" s="358">
        <f t="shared" si="7"/>
        <v>0</v>
      </c>
      <c r="E26" s="285">
        <f>SUM((C26*$E$4)+(7500/'EDl log'!$A$37))</f>
        <v>241.93548387096774</v>
      </c>
      <c r="F26" s="279"/>
      <c r="G26" s="5">
        <f t="shared" si="44"/>
        <v>632662</v>
      </c>
      <c r="H26" s="5">
        <f>G26-G25</f>
        <v>0</v>
      </c>
      <c r="I26" s="5">
        <f t="shared" si="9"/>
        <v>0</v>
      </c>
      <c r="J26" s="286">
        <f t="shared" si="0"/>
        <v>0</v>
      </c>
      <c r="K26" s="5">
        <f t="shared" si="10"/>
        <v>7089</v>
      </c>
      <c r="L26" s="240">
        <f t="shared" si="41"/>
        <v>0</v>
      </c>
      <c r="M26" s="349">
        <f t="shared" si="11"/>
        <v>457.44</v>
      </c>
      <c r="N26" s="429">
        <f t="shared" si="45"/>
        <v>0</v>
      </c>
      <c r="O26" s="349">
        <f t="shared" si="12"/>
        <v>529.52</v>
      </c>
      <c r="P26" s="429">
        <f t="shared" si="46"/>
        <v>0</v>
      </c>
      <c r="Q26" s="429">
        <f t="shared" si="47"/>
        <v>0</v>
      </c>
      <c r="R26" s="431"/>
      <c r="S26" s="431"/>
      <c r="T26" s="5">
        <f t="shared" si="13"/>
        <v>5199</v>
      </c>
      <c r="U26" s="5">
        <f t="shared" si="3"/>
        <v>0</v>
      </c>
      <c r="V26" s="5">
        <f t="shared" si="14"/>
        <v>517</v>
      </c>
      <c r="W26" s="276">
        <f t="shared" si="15"/>
        <v>0</v>
      </c>
      <c r="X26" s="5">
        <f t="shared" si="16"/>
        <v>156588</v>
      </c>
      <c r="Y26" s="276">
        <f t="shared" si="42"/>
        <v>0</v>
      </c>
      <c r="Z26" s="5">
        <f t="shared" si="17"/>
        <v>99898</v>
      </c>
      <c r="AA26" s="80">
        <f t="shared" si="18"/>
        <v>0</v>
      </c>
      <c r="AB26" s="5">
        <f t="shared" si="19"/>
        <v>242</v>
      </c>
      <c r="AC26" s="5">
        <f t="shared" si="20"/>
        <v>855</v>
      </c>
      <c r="AD26" s="80">
        <f t="shared" si="35"/>
        <v>0</v>
      </c>
      <c r="AE26" s="5">
        <f t="shared" si="21"/>
        <v>262.47000000000003</v>
      </c>
      <c r="AF26" s="80">
        <f t="shared" si="22"/>
        <v>0</v>
      </c>
      <c r="AG26" s="5">
        <f t="shared" si="23"/>
        <v>2247.41</v>
      </c>
      <c r="AH26" s="80">
        <f t="shared" si="24"/>
        <v>0</v>
      </c>
      <c r="AI26" s="80">
        <f t="shared" si="25"/>
        <v>0</v>
      </c>
      <c r="AJ26" s="278">
        <f t="shared" si="26"/>
        <v>0</v>
      </c>
      <c r="AK26" s="279">
        <f t="shared" si="36"/>
        <v>0</v>
      </c>
      <c r="AL26" s="279">
        <f>SUM(AJ26-W26)</f>
        <v>0</v>
      </c>
      <c r="AM26" s="279">
        <f>'General information '!D25</f>
        <v>0</v>
      </c>
      <c r="AN26" s="81">
        <f>'General information '!H25</f>
        <v>0</v>
      </c>
      <c r="AO26" s="81"/>
      <c r="AP26" s="81">
        <f>'General information '!J25</f>
        <v>0</v>
      </c>
      <c r="AR26" s="242">
        <f t="shared" si="28"/>
        <v>44947</v>
      </c>
      <c r="AS26" s="363">
        <f t="shared" si="49"/>
        <v>0.9</v>
      </c>
      <c r="AT26" s="190">
        <f t="shared" si="49"/>
        <v>175</v>
      </c>
      <c r="AU26" s="364">
        <f t="shared" si="43"/>
        <v>1.1000000000000001</v>
      </c>
      <c r="AV26" s="190">
        <f t="shared" si="30"/>
        <v>85</v>
      </c>
      <c r="AW26" s="5">
        <v>2.9</v>
      </c>
      <c r="AX26" s="190">
        <f t="shared" si="31"/>
        <v>111</v>
      </c>
      <c r="AY26" s="365">
        <f t="shared" si="37"/>
        <v>157.5</v>
      </c>
      <c r="AZ26" s="365">
        <f t="shared" si="38"/>
        <v>93.500000000000014</v>
      </c>
      <c r="BA26" s="365">
        <f t="shared" si="39"/>
        <v>321.89999999999998</v>
      </c>
      <c r="BB26" s="20">
        <f t="shared" si="40"/>
        <v>0</v>
      </c>
      <c r="BC26" s="20">
        <f t="shared" si="50"/>
        <v>0</v>
      </c>
      <c r="BD26" s="20">
        <f t="shared" si="50"/>
        <v>0</v>
      </c>
      <c r="BE26" s="23">
        <f t="shared" si="33"/>
        <v>0</v>
      </c>
      <c r="BF26" s="79">
        <f t="shared" si="34"/>
        <v>0</v>
      </c>
      <c r="BG26" s="79">
        <f t="shared" si="4"/>
        <v>0</v>
      </c>
    </row>
    <row r="27" spans="1:61" ht="15.75" thickBot="1">
      <c r="A27" s="6">
        <f>ELEC!C25</f>
        <v>44948</v>
      </c>
      <c r="B27" s="5">
        <f t="shared" si="5"/>
        <v>109443</v>
      </c>
      <c r="C27" s="5">
        <f t="shared" si="6"/>
        <v>0</v>
      </c>
      <c r="D27" s="358">
        <f t="shared" si="7"/>
        <v>0</v>
      </c>
      <c r="E27" s="285">
        <f>SUM((C27*$E$4)+(7500/'EDl log'!$A$37))</f>
        <v>241.93548387096774</v>
      </c>
      <c r="F27" s="279"/>
      <c r="G27" s="5">
        <f t="shared" si="44"/>
        <v>632662</v>
      </c>
      <c r="H27" s="5">
        <f t="shared" si="8"/>
        <v>0</v>
      </c>
      <c r="I27" s="5">
        <f t="shared" si="9"/>
        <v>0</v>
      </c>
      <c r="J27" s="286">
        <f t="shared" si="0"/>
        <v>0</v>
      </c>
      <c r="K27" s="5">
        <f t="shared" si="10"/>
        <v>7089</v>
      </c>
      <c r="L27" s="240">
        <f t="shared" si="41"/>
        <v>0</v>
      </c>
      <c r="M27" s="349">
        <f t="shared" si="11"/>
        <v>457.44</v>
      </c>
      <c r="N27" s="429">
        <f t="shared" si="45"/>
        <v>0</v>
      </c>
      <c r="O27" s="349">
        <f t="shared" si="12"/>
        <v>529.52</v>
      </c>
      <c r="P27" s="429">
        <f t="shared" si="46"/>
        <v>0</v>
      </c>
      <c r="Q27" s="429">
        <f t="shared" si="47"/>
        <v>0</v>
      </c>
      <c r="R27" s="431"/>
      <c r="S27" s="431"/>
      <c r="T27" s="5">
        <f t="shared" si="13"/>
        <v>5199</v>
      </c>
      <c r="U27" s="5">
        <f t="shared" si="3"/>
        <v>0</v>
      </c>
      <c r="V27" s="5">
        <f t="shared" si="14"/>
        <v>517</v>
      </c>
      <c r="W27" s="276">
        <f t="shared" si="15"/>
        <v>0</v>
      </c>
      <c r="X27" s="5">
        <f t="shared" si="16"/>
        <v>156588</v>
      </c>
      <c r="Y27" s="276">
        <f t="shared" si="42"/>
        <v>0</v>
      </c>
      <c r="Z27" s="5">
        <f t="shared" si="17"/>
        <v>99898</v>
      </c>
      <c r="AA27" s="80">
        <f t="shared" si="18"/>
        <v>0</v>
      </c>
      <c r="AB27" s="5">
        <f t="shared" si="19"/>
        <v>242</v>
      </c>
      <c r="AC27" s="5">
        <f t="shared" si="20"/>
        <v>855</v>
      </c>
      <c r="AD27" s="80">
        <f t="shared" si="35"/>
        <v>0</v>
      </c>
      <c r="AE27" s="5">
        <v>262.47000000000003</v>
      </c>
      <c r="AF27" s="80">
        <f t="shared" si="22"/>
        <v>0</v>
      </c>
      <c r="AG27" s="5">
        <f t="shared" si="23"/>
        <v>2247.41</v>
      </c>
      <c r="AH27" s="80">
        <f t="shared" si="24"/>
        <v>0</v>
      </c>
      <c r="AI27" s="80">
        <f t="shared" si="25"/>
        <v>0</v>
      </c>
      <c r="AJ27" s="278">
        <f t="shared" si="26"/>
        <v>0</v>
      </c>
      <c r="AK27" s="279">
        <f t="shared" si="36"/>
        <v>0</v>
      </c>
      <c r="AL27" s="279">
        <f t="shared" si="27"/>
        <v>0</v>
      </c>
      <c r="AM27" s="279">
        <f>'General information '!D26</f>
        <v>21.5</v>
      </c>
      <c r="AN27" s="81">
        <f>'General information '!H26</f>
        <v>0</v>
      </c>
      <c r="AO27" s="81"/>
      <c r="AP27" s="81">
        <f>'General information '!J26</f>
        <v>0</v>
      </c>
      <c r="AR27" s="242">
        <f t="shared" si="28"/>
        <v>44948</v>
      </c>
      <c r="AS27" s="363">
        <f t="shared" si="49"/>
        <v>0.9</v>
      </c>
      <c r="AT27" s="190">
        <f t="shared" si="49"/>
        <v>175</v>
      </c>
      <c r="AU27" s="364">
        <f t="shared" si="43"/>
        <v>1.1000000000000001</v>
      </c>
      <c r="AV27" s="190">
        <v>80</v>
      </c>
      <c r="AW27" s="5">
        <v>2.9</v>
      </c>
      <c r="AX27" s="190">
        <v>109</v>
      </c>
      <c r="AY27" s="365">
        <f t="shared" si="37"/>
        <v>157.5</v>
      </c>
      <c r="AZ27" s="365">
        <f t="shared" si="38"/>
        <v>88</v>
      </c>
      <c r="BA27" s="365">
        <f t="shared" si="39"/>
        <v>316.09999999999997</v>
      </c>
      <c r="BB27" s="20">
        <f t="shared" si="40"/>
        <v>0</v>
      </c>
      <c r="BC27" s="20">
        <f t="shared" si="50"/>
        <v>-5.5000000000000142</v>
      </c>
      <c r="BD27" s="20">
        <f t="shared" si="50"/>
        <v>-5.8000000000000114</v>
      </c>
      <c r="BE27" s="23">
        <f t="shared" si="33"/>
        <v>-11.300000000000026</v>
      </c>
      <c r="BF27" s="79">
        <f t="shared" si="34"/>
        <v>11.300000000000026</v>
      </c>
      <c r="BG27" s="79">
        <f t="shared" si="4"/>
        <v>-11.300000000000026</v>
      </c>
    </row>
    <row r="28" spans="1:61" ht="15.75" thickBot="1">
      <c r="A28" s="6">
        <f>ELEC!C26</f>
        <v>44949</v>
      </c>
      <c r="B28" s="5">
        <f t="shared" si="5"/>
        <v>109443</v>
      </c>
      <c r="C28" s="5">
        <f t="shared" si="6"/>
        <v>0</v>
      </c>
      <c r="D28" s="358">
        <f t="shared" si="7"/>
        <v>0</v>
      </c>
      <c r="E28" s="285">
        <f>SUM((C28*$E$4)+(7500/'EDl log'!$A$37))</f>
        <v>241.93548387096774</v>
      </c>
      <c r="F28" s="279"/>
      <c r="G28" s="5">
        <f t="shared" si="44"/>
        <v>632662</v>
      </c>
      <c r="H28" s="5">
        <f t="shared" si="8"/>
        <v>0</v>
      </c>
      <c r="I28" s="5">
        <f t="shared" si="9"/>
        <v>0</v>
      </c>
      <c r="J28" s="286">
        <f t="shared" si="0"/>
        <v>0</v>
      </c>
      <c r="K28" s="5">
        <f t="shared" si="10"/>
        <v>7089</v>
      </c>
      <c r="L28" s="240">
        <f t="shared" si="41"/>
        <v>0</v>
      </c>
      <c r="M28" s="349">
        <f t="shared" si="11"/>
        <v>457.44</v>
      </c>
      <c r="N28" s="429">
        <f t="shared" si="45"/>
        <v>0</v>
      </c>
      <c r="O28" s="349">
        <f t="shared" si="12"/>
        <v>529.52</v>
      </c>
      <c r="P28" s="429">
        <f t="shared" si="46"/>
        <v>0</v>
      </c>
      <c r="Q28" s="429">
        <f t="shared" si="47"/>
        <v>0</v>
      </c>
      <c r="R28" s="431"/>
      <c r="S28" s="431"/>
      <c r="T28" s="5">
        <f t="shared" si="13"/>
        <v>5199</v>
      </c>
      <c r="U28" s="5">
        <f t="shared" si="3"/>
        <v>0</v>
      </c>
      <c r="V28" s="5">
        <f t="shared" si="14"/>
        <v>517</v>
      </c>
      <c r="W28" s="276">
        <f t="shared" si="15"/>
        <v>0</v>
      </c>
      <c r="X28" s="5">
        <f t="shared" si="16"/>
        <v>156588</v>
      </c>
      <c r="Y28" s="276">
        <f t="shared" si="42"/>
        <v>0</v>
      </c>
      <c r="Z28" s="5">
        <f t="shared" si="17"/>
        <v>99898</v>
      </c>
      <c r="AA28" s="80">
        <f t="shared" si="18"/>
        <v>0</v>
      </c>
      <c r="AB28" s="5">
        <f t="shared" si="19"/>
        <v>242</v>
      </c>
      <c r="AC28" s="5">
        <f t="shared" si="20"/>
        <v>855</v>
      </c>
      <c r="AD28" s="80">
        <f t="shared" si="35"/>
        <v>0</v>
      </c>
      <c r="AE28" s="5">
        <f t="shared" si="21"/>
        <v>262.47000000000003</v>
      </c>
      <c r="AF28" s="80">
        <f t="shared" si="22"/>
        <v>0</v>
      </c>
      <c r="AG28" s="5">
        <f t="shared" si="23"/>
        <v>2247.41</v>
      </c>
      <c r="AH28" s="80">
        <f t="shared" si="24"/>
        <v>0</v>
      </c>
      <c r="AI28" s="80">
        <f t="shared" si="25"/>
        <v>0</v>
      </c>
      <c r="AJ28" s="278">
        <f t="shared" si="26"/>
        <v>0</v>
      </c>
      <c r="AK28" s="279">
        <f t="shared" si="36"/>
        <v>0</v>
      </c>
      <c r="AL28" s="279">
        <f t="shared" si="27"/>
        <v>0</v>
      </c>
      <c r="AM28" s="279">
        <f>'General information '!D27</f>
        <v>0</v>
      </c>
      <c r="AN28" s="81">
        <f>'General information '!H27</f>
        <v>0</v>
      </c>
      <c r="AO28" s="81"/>
      <c r="AP28" s="81">
        <f>'General information '!J27</f>
        <v>0</v>
      </c>
      <c r="AR28" s="242">
        <f t="shared" si="28"/>
        <v>44949</v>
      </c>
      <c r="AS28" s="363">
        <f t="shared" si="49"/>
        <v>0.9</v>
      </c>
      <c r="AT28" s="190">
        <f t="shared" si="49"/>
        <v>175</v>
      </c>
      <c r="AU28" s="364">
        <f t="shared" si="43"/>
        <v>1.1000000000000001</v>
      </c>
      <c r="AV28" s="190">
        <f t="shared" si="30"/>
        <v>80</v>
      </c>
      <c r="AW28" s="5">
        <v>2.9</v>
      </c>
      <c r="AX28" s="190">
        <f t="shared" si="31"/>
        <v>109</v>
      </c>
      <c r="AY28" s="365">
        <f t="shared" si="37"/>
        <v>157.5</v>
      </c>
      <c r="AZ28" s="365">
        <f t="shared" si="38"/>
        <v>88</v>
      </c>
      <c r="BA28" s="365">
        <f t="shared" si="39"/>
        <v>316.09999999999997</v>
      </c>
      <c r="BB28" s="20">
        <f t="shared" si="40"/>
        <v>0</v>
      </c>
      <c r="BC28" s="20">
        <f t="shared" si="50"/>
        <v>0</v>
      </c>
      <c r="BD28" s="20">
        <f t="shared" si="50"/>
        <v>0</v>
      </c>
      <c r="BE28" s="23">
        <f t="shared" si="33"/>
        <v>0</v>
      </c>
      <c r="BF28" s="79">
        <f t="shared" si="34"/>
        <v>0</v>
      </c>
      <c r="BG28" s="79">
        <f t="shared" si="4"/>
        <v>0</v>
      </c>
    </row>
    <row r="29" spans="1:61" ht="15.75" thickBot="1">
      <c r="A29" s="6">
        <f>ELEC!C27</f>
        <v>44950</v>
      </c>
      <c r="B29" s="5">
        <f t="shared" si="5"/>
        <v>109443</v>
      </c>
      <c r="C29" s="5">
        <f t="shared" si="6"/>
        <v>0</v>
      </c>
      <c r="D29" s="358">
        <f t="shared" si="7"/>
        <v>0</v>
      </c>
      <c r="E29" s="285">
        <f>SUM((C29*$E$4)+(7500/'EDl log'!$A$37))</f>
        <v>241.93548387096774</v>
      </c>
      <c r="F29" s="279"/>
      <c r="G29" s="5">
        <f t="shared" si="44"/>
        <v>632662</v>
      </c>
      <c r="H29" s="5">
        <f t="shared" si="8"/>
        <v>0</v>
      </c>
      <c r="I29" s="5">
        <f t="shared" si="9"/>
        <v>0</v>
      </c>
      <c r="J29" s="286">
        <f t="shared" si="0"/>
        <v>0</v>
      </c>
      <c r="K29" s="5">
        <f t="shared" si="10"/>
        <v>7089</v>
      </c>
      <c r="L29" s="240">
        <f t="shared" si="41"/>
        <v>0</v>
      </c>
      <c r="M29" s="349">
        <f t="shared" si="11"/>
        <v>457.44</v>
      </c>
      <c r="N29" s="429">
        <f t="shared" si="45"/>
        <v>0</v>
      </c>
      <c r="O29" s="349">
        <f t="shared" si="12"/>
        <v>529.52</v>
      </c>
      <c r="P29" s="429">
        <f t="shared" si="46"/>
        <v>0</v>
      </c>
      <c r="Q29" s="429">
        <f t="shared" si="47"/>
        <v>0</v>
      </c>
      <c r="R29" s="431"/>
      <c r="S29" s="431"/>
      <c r="T29" s="5">
        <f t="shared" si="13"/>
        <v>5199</v>
      </c>
      <c r="U29" s="5">
        <f t="shared" si="3"/>
        <v>0</v>
      </c>
      <c r="V29" s="5">
        <f t="shared" si="14"/>
        <v>517</v>
      </c>
      <c r="W29" s="276">
        <f t="shared" si="15"/>
        <v>0</v>
      </c>
      <c r="X29" s="5">
        <f t="shared" si="16"/>
        <v>156588</v>
      </c>
      <c r="Y29" s="276">
        <f t="shared" si="42"/>
        <v>0</v>
      </c>
      <c r="Z29" s="5">
        <f t="shared" si="17"/>
        <v>99898</v>
      </c>
      <c r="AA29" s="80">
        <f t="shared" si="18"/>
        <v>0</v>
      </c>
      <c r="AB29" s="5">
        <f t="shared" si="19"/>
        <v>242</v>
      </c>
      <c r="AC29" s="5">
        <f t="shared" si="20"/>
        <v>855</v>
      </c>
      <c r="AD29" s="80">
        <f t="shared" si="35"/>
        <v>0</v>
      </c>
      <c r="AE29" s="5">
        <f t="shared" si="21"/>
        <v>262.47000000000003</v>
      </c>
      <c r="AF29" s="80">
        <f t="shared" si="22"/>
        <v>0</v>
      </c>
      <c r="AG29" s="5">
        <f t="shared" si="23"/>
        <v>2247.41</v>
      </c>
      <c r="AH29" s="80">
        <f t="shared" si="24"/>
        <v>0</v>
      </c>
      <c r="AI29" s="80">
        <f t="shared" si="25"/>
        <v>0</v>
      </c>
      <c r="AJ29" s="278">
        <f t="shared" si="26"/>
        <v>0</v>
      </c>
      <c r="AK29" s="279">
        <f t="shared" si="36"/>
        <v>0</v>
      </c>
      <c r="AL29" s="279">
        <f t="shared" si="27"/>
        <v>0</v>
      </c>
      <c r="AM29" s="279">
        <f>'General information '!D28</f>
        <v>0</v>
      </c>
      <c r="AN29" s="81">
        <f>'General information '!H28</f>
        <v>0</v>
      </c>
      <c r="AO29" s="81"/>
      <c r="AP29" s="81">
        <f>'General information '!J28</f>
        <v>0</v>
      </c>
      <c r="AR29" s="242">
        <f t="shared" si="28"/>
        <v>44950</v>
      </c>
      <c r="AS29" s="363">
        <f t="shared" si="49"/>
        <v>0.9</v>
      </c>
      <c r="AT29" s="190">
        <f t="shared" si="49"/>
        <v>175</v>
      </c>
      <c r="AU29" s="364">
        <f t="shared" si="43"/>
        <v>1.1000000000000001</v>
      </c>
      <c r="AV29" s="190">
        <f t="shared" si="30"/>
        <v>80</v>
      </c>
      <c r="AW29" s="5">
        <v>2.9</v>
      </c>
      <c r="AX29" s="190">
        <f t="shared" si="31"/>
        <v>109</v>
      </c>
      <c r="AY29" s="365">
        <f t="shared" si="37"/>
        <v>157.5</v>
      </c>
      <c r="AZ29" s="365">
        <f t="shared" si="38"/>
        <v>88</v>
      </c>
      <c r="BA29" s="365">
        <f t="shared" si="39"/>
        <v>316.09999999999997</v>
      </c>
      <c r="BB29" s="20">
        <f t="shared" si="40"/>
        <v>0</v>
      </c>
      <c r="BC29" s="20">
        <f t="shared" si="50"/>
        <v>0</v>
      </c>
      <c r="BD29" s="20">
        <f t="shared" si="50"/>
        <v>0</v>
      </c>
      <c r="BE29" s="23">
        <f t="shared" si="33"/>
        <v>0</v>
      </c>
      <c r="BF29" s="79">
        <f t="shared" si="34"/>
        <v>0</v>
      </c>
      <c r="BG29" s="79">
        <f t="shared" si="4"/>
        <v>0</v>
      </c>
    </row>
    <row r="30" spans="1:61" ht="15.75" thickBot="1">
      <c r="A30" s="6">
        <f>ELEC!C28</f>
        <v>44951</v>
      </c>
      <c r="B30" s="5">
        <f t="shared" si="5"/>
        <v>109443</v>
      </c>
      <c r="C30" s="5">
        <f t="shared" si="6"/>
        <v>0</v>
      </c>
      <c r="D30" s="358">
        <f t="shared" si="7"/>
        <v>0</v>
      </c>
      <c r="E30" s="285">
        <f>SUM((C30*$E$4)+(7500/'EDl log'!$A$37))</f>
        <v>241.93548387096774</v>
      </c>
      <c r="F30" s="279"/>
      <c r="G30" s="5">
        <f t="shared" si="44"/>
        <v>632662</v>
      </c>
      <c r="H30" s="5">
        <f t="shared" si="8"/>
        <v>0</v>
      </c>
      <c r="I30" s="5">
        <f t="shared" si="9"/>
        <v>0</v>
      </c>
      <c r="J30" s="286">
        <f t="shared" si="0"/>
        <v>0</v>
      </c>
      <c r="K30" s="5">
        <f t="shared" si="10"/>
        <v>7089</v>
      </c>
      <c r="L30" s="240">
        <f t="shared" si="41"/>
        <v>0</v>
      </c>
      <c r="M30" s="349">
        <f t="shared" si="11"/>
        <v>457.44</v>
      </c>
      <c r="N30" s="429">
        <f t="shared" si="45"/>
        <v>0</v>
      </c>
      <c r="O30" s="349">
        <f t="shared" si="12"/>
        <v>529.52</v>
      </c>
      <c r="P30" s="429">
        <f t="shared" si="46"/>
        <v>0</v>
      </c>
      <c r="Q30" s="429">
        <f t="shared" si="47"/>
        <v>0</v>
      </c>
      <c r="R30" s="431"/>
      <c r="S30" s="431"/>
      <c r="T30" s="5">
        <f t="shared" si="13"/>
        <v>5199</v>
      </c>
      <c r="U30" s="5">
        <f t="shared" si="3"/>
        <v>0</v>
      </c>
      <c r="V30" s="5">
        <f t="shared" si="14"/>
        <v>517</v>
      </c>
      <c r="W30" s="276">
        <f t="shared" si="15"/>
        <v>0</v>
      </c>
      <c r="X30" s="5">
        <f t="shared" si="16"/>
        <v>156588</v>
      </c>
      <c r="Y30" s="276">
        <f t="shared" si="42"/>
        <v>0</v>
      </c>
      <c r="Z30" s="5">
        <f t="shared" si="17"/>
        <v>99898</v>
      </c>
      <c r="AA30" s="80">
        <f t="shared" si="18"/>
        <v>0</v>
      </c>
      <c r="AB30" s="5">
        <f t="shared" si="19"/>
        <v>242</v>
      </c>
      <c r="AC30" s="5">
        <f t="shared" si="20"/>
        <v>855</v>
      </c>
      <c r="AD30" s="80">
        <f t="shared" si="35"/>
        <v>0</v>
      </c>
      <c r="AE30" s="5">
        <f t="shared" si="21"/>
        <v>262.47000000000003</v>
      </c>
      <c r="AF30" s="80">
        <f t="shared" si="22"/>
        <v>0</v>
      </c>
      <c r="AG30" s="5">
        <f t="shared" si="23"/>
        <v>2247.41</v>
      </c>
      <c r="AH30" s="80">
        <f t="shared" si="24"/>
        <v>0</v>
      </c>
      <c r="AI30" s="80">
        <f t="shared" si="25"/>
        <v>0</v>
      </c>
      <c r="AJ30" s="278">
        <f t="shared" si="26"/>
        <v>0</v>
      </c>
      <c r="AK30" s="279">
        <f t="shared" si="36"/>
        <v>0</v>
      </c>
      <c r="AL30" s="279">
        <f t="shared" si="27"/>
        <v>0</v>
      </c>
      <c r="AM30" s="279">
        <f>'General information '!D29</f>
        <v>0</v>
      </c>
      <c r="AN30" s="81">
        <f>'General information '!H29</f>
        <v>0</v>
      </c>
      <c r="AO30" s="81"/>
      <c r="AP30" s="81">
        <f>'General information '!J29</f>
        <v>0</v>
      </c>
      <c r="AR30" s="242">
        <f t="shared" si="28"/>
        <v>44951</v>
      </c>
      <c r="AS30" s="363">
        <f t="shared" si="49"/>
        <v>0.9</v>
      </c>
      <c r="AT30" s="190">
        <f t="shared" si="49"/>
        <v>175</v>
      </c>
      <c r="AU30" s="364">
        <f t="shared" si="43"/>
        <v>1.1000000000000001</v>
      </c>
      <c r="AV30" s="190">
        <f t="shared" si="30"/>
        <v>80</v>
      </c>
      <c r="AW30" s="5">
        <v>2.9</v>
      </c>
      <c r="AX30" s="190">
        <f t="shared" si="31"/>
        <v>109</v>
      </c>
      <c r="AY30" s="365">
        <f t="shared" si="37"/>
        <v>157.5</v>
      </c>
      <c r="AZ30" s="365">
        <f t="shared" si="38"/>
        <v>88</v>
      </c>
      <c r="BA30" s="365">
        <f t="shared" si="39"/>
        <v>316.09999999999997</v>
      </c>
      <c r="BB30" s="20">
        <f t="shared" si="40"/>
        <v>0</v>
      </c>
      <c r="BC30" s="20">
        <f t="shared" si="50"/>
        <v>0</v>
      </c>
      <c r="BD30" s="20">
        <f t="shared" si="50"/>
        <v>0</v>
      </c>
      <c r="BE30" s="23">
        <f t="shared" si="33"/>
        <v>0</v>
      </c>
      <c r="BF30" s="79">
        <f t="shared" si="34"/>
        <v>0</v>
      </c>
      <c r="BG30" s="79">
        <f t="shared" si="4"/>
        <v>0</v>
      </c>
    </row>
    <row r="31" spans="1:61" ht="15.75" thickBot="1">
      <c r="A31" s="6">
        <f>ELEC!C29</f>
        <v>44952</v>
      </c>
      <c r="B31" s="5">
        <f t="shared" si="5"/>
        <v>109443</v>
      </c>
      <c r="C31" s="5">
        <f t="shared" si="6"/>
        <v>0</v>
      </c>
      <c r="D31" s="358">
        <f t="shared" si="7"/>
        <v>0</v>
      </c>
      <c r="E31" s="285">
        <f>SUM((C31*$E$4)+(7500/'EDl log'!$A$37))</f>
        <v>241.93548387096774</v>
      </c>
      <c r="F31" s="279"/>
      <c r="G31" s="5">
        <f t="shared" si="44"/>
        <v>632662</v>
      </c>
      <c r="H31" s="5">
        <f t="shared" si="8"/>
        <v>0</v>
      </c>
      <c r="I31" s="5">
        <f t="shared" si="9"/>
        <v>0</v>
      </c>
      <c r="J31" s="286">
        <f t="shared" si="0"/>
        <v>0</v>
      </c>
      <c r="K31" s="5">
        <f t="shared" si="10"/>
        <v>7089</v>
      </c>
      <c r="L31" s="240">
        <f t="shared" si="41"/>
        <v>0</v>
      </c>
      <c r="M31" s="349">
        <f t="shared" si="11"/>
        <v>457.44</v>
      </c>
      <c r="N31" s="429">
        <f t="shared" si="45"/>
        <v>0</v>
      </c>
      <c r="O31" s="349">
        <f t="shared" si="12"/>
        <v>529.52</v>
      </c>
      <c r="P31" s="429">
        <f t="shared" si="46"/>
        <v>0</v>
      </c>
      <c r="Q31" s="429">
        <f t="shared" si="47"/>
        <v>0</v>
      </c>
      <c r="R31" s="431"/>
      <c r="S31" s="431"/>
      <c r="T31" s="5">
        <f t="shared" si="13"/>
        <v>5199</v>
      </c>
      <c r="U31" s="5">
        <f t="shared" si="3"/>
        <v>0</v>
      </c>
      <c r="V31" s="5">
        <f t="shared" si="14"/>
        <v>517</v>
      </c>
      <c r="W31" s="276">
        <f t="shared" si="15"/>
        <v>0</v>
      </c>
      <c r="X31" s="5">
        <f t="shared" si="16"/>
        <v>156588</v>
      </c>
      <c r="Y31" s="276">
        <f t="shared" si="42"/>
        <v>0</v>
      </c>
      <c r="Z31" s="5">
        <f t="shared" si="17"/>
        <v>99898</v>
      </c>
      <c r="AA31" s="80">
        <f t="shared" si="18"/>
        <v>0</v>
      </c>
      <c r="AB31" s="5">
        <f t="shared" si="19"/>
        <v>242</v>
      </c>
      <c r="AC31" s="5">
        <f t="shared" si="20"/>
        <v>855</v>
      </c>
      <c r="AD31" s="80">
        <f t="shared" si="35"/>
        <v>0</v>
      </c>
      <c r="AE31" s="5">
        <f t="shared" si="21"/>
        <v>262.47000000000003</v>
      </c>
      <c r="AF31" s="80">
        <f t="shared" si="22"/>
        <v>0</v>
      </c>
      <c r="AG31" s="5">
        <f t="shared" si="23"/>
        <v>2247.41</v>
      </c>
      <c r="AH31" s="80">
        <f>AG31-AG30</f>
        <v>0</v>
      </c>
      <c r="AI31" s="80">
        <f>AF31+AH31</f>
        <v>0</v>
      </c>
      <c r="AJ31" s="278">
        <f t="shared" si="26"/>
        <v>0</v>
      </c>
      <c r="AK31" s="279">
        <f t="shared" si="36"/>
        <v>0</v>
      </c>
      <c r="AL31" s="279">
        <f t="shared" si="27"/>
        <v>0</v>
      </c>
      <c r="AM31" s="279">
        <f>'General information '!D30</f>
        <v>0</v>
      </c>
      <c r="AN31" s="81">
        <f>'General information '!H30</f>
        <v>0</v>
      </c>
      <c r="AO31" s="81"/>
      <c r="AP31" s="81">
        <f>'General information '!J30</f>
        <v>0</v>
      </c>
      <c r="AR31" s="242">
        <f t="shared" si="28"/>
        <v>44952</v>
      </c>
      <c r="AS31" s="363">
        <f t="shared" si="49"/>
        <v>0.9</v>
      </c>
      <c r="AT31" s="190">
        <f t="shared" si="49"/>
        <v>175</v>
      </c>
      <c r="AU31" s="364">
        <f t="shared" si="43"/>
        <v>1.1000000000000001</v>
      </c>
      <c r="AV31" s="190">
        <f t="shared" si="30"/>
        <v>80</v>
      </c>
      <c r="AW31" s="5">
        <v>2.9</v>
      </c>
      <c r="AX31" s="190">
        <f t="shared" si="31"/>
        <v>109</v>
      </c>
      <c r="AY31" s="365">
        <f t="shared" si="37"/>
        <v>157.5</v>
      </c>
      <c r="AZ31" s="365">
        <f>AU31*AV31</f>
        <v>88</v>
      </c>
      <c r="BA31" s="365">
        <f t="shared" si="39"/>
        <v>316.09999999999997</v>
      </c>
      <c r="BB31" s="20">
        <f t="shared" si="40"/>
        <v>0</v>
      </c>
      <c r="BC31" s="20">
        <f t="shared" si="50"/>
        <v>0</v>
      </c>
      <c r="BD31" s="20">
        <f t="shared" si="50"/>
        <v>0</v>
      </c>
      <c r="BE31" s="23">
        <f t="shared" si="33"/>
        <v>0</v>
      </c>
      <c r="BF31" s="79">
        <f t="shared" si="34"/>
        <v>0</v>
      </c>
      <c r="BG31" s="79">
        <f t="shared" si="4"/>
        <v>0</v>
      </c>
    </row>
    <row r="32" spans="1:61" ht="15.75" thickBot="1">
      <c r="A32" s="6">
        <f>ELEC!C30</f>
        <v>44953</v>
      </c>
      <c r="B32" s="5">
        <f t="shared" si="5"/>
        <v>109443</v>
      </c>
      <c r="C32" s="5">
        <f t="shared" si="6"/>
        <v>0</v>
      </c>
      <c r="D32" s="358">
        <f t="shared" si="7"/>
        <v>0</v>
      </c>
      <c r="E32" s="285">
        <f>SUM((C32*$E$4)+(7500/'EDl log'!$A$37))</f>
        <v>241.93548387096774</v>
      </c>
      <c r="F32" s="279"/>
      <c r="G32" s="5">
        <f t="shared" si="44"/>
        <v>632662</v>
      </c>
      <c r="H32" s="5">
        <f t="shared" si="8"/>
        <v>0</v>
      </c>
      <c r="I32" s="5">
        <f t="shared" si="9"/>
        <v>0</v>
      </c>
      <c r="J32" s="286">
        <f t="shared" si="0"/>
        <v>0</v>
      </c>
      <c r="K32" s="5">
        <f t="shared" si="10"/>
        <v>7089</v>
      </c>
      <c r="L32" s="240">
        <f t="shared" si="41"/>
        <v>0</v>
      </c>
      <c r="M32" s="349">
        <f t="shared" si="11"/>
        <v>457.44</v>
      </c>
      <c r="N32" s="429">
        <f t="shared" si="45"/>
        <v>0</v>
      </c>
      <c r="O32" s="349">
        <f t="shared" si="12"/>
        <v>529.52</v>
      </c>
      <c r="P32" s="429">
        <f t="shared" si="46"/>
        <v>0</v>
      </c>
      <c r="Q32" s="429">
        <f t="shared" si="47"/>
        <v>0</v>
      </c>
      <c r="R32" s="431"/>
      <c r="S32" s="431"/>
      <c r="T32" s="5">
        <v>5196</v>
      </c>
      <c r="U32" s="5">
        <f t="shared" si="3"/>
        <v>-3</v>
      </c>
      <c r="V32" s="5">
        <f t="shared" si="14"/>
        <v>517</v>
      </c>
      <c r="W32" s="276">
        <f t="shared" si="15"/>
        <v>0</v>
      </c>
      <c r="X32" s="5">
        <f t="shared" si="16"/>
        <v>156588</v>
      </c>
      <c r="Y32" s="276">
        <f t="shared" si="42"/>
        <v>0</v>
      </c>
      <c r="Z32" s="5">
        <f t="shared" si="17"/>
        <v>99898</v>
      </c>
      <c r="AA32" s="80">
        <f t="shared" si="18"/>
        <v>0</v>
      </c>
      <c r="AB32" s="5">
        <f t="shared" si="19"/>
        <v>242</v>
      </c>
      <c r="AC32" s="5">
        <f t="shared" si="20"/>
        <v>855</v>
      </c>
      <c r="AD32" s="80">
        <f t="shared" si="35"/>
        <v>0</v>
      </c>
      <c r="AE32" s="5">
        <f t="shared" si="21"/>
        <v>262.47000000000003</v>
      </c>
      <c r="AF32" s="80">
        <f t="shared" si="22"/>
        <v>0</v>
      </c>
      <c r="AG32" s="5">
        <f t="shared" si="23"/>
        <v>2247.41</v>
      </c>
      <c r="AH32" s="80">
        <f t="shared" si="24"/>
        <v>0</v>
      </c>
      <c r="AI32" s="80">
        <f t="shared" si="25"/>
        <v>0</v>
      </c>
      <c r="AJ32" s="278">
        <f>+Z32-Z31</f>
        <v>0</v>
      </c>
      <c r="AK32" s="279">
        <f t="shared" si="36"/>
        <v>0</v>
      </c>
      <c r="AL32" s="279">
        <f t="shared" si="27"/>
        <v>0</v>
      </c>
      <c r="AM32" s="279">
        <f>'General information '!D31</f>
        <v>0</v>
      </c>
      <c r="AN32" s="81">
        <f>'General information '!H31</f>
        <v>0</v>
      </c>
      <c r="AO32" s="81"/>
      <c r="AP32" s="81">
        <f>'General information '!J31</f>
        <v>0</v>
      </c>
      <c r="AR32" s="242">
        <f t="shared" si="28"/>
        <v>44953</v>
      </c>
      <c r="AS32" s="363">
        <f t="shared" si="49"/>
        <v>0.9</v>
      </c>
      <c r="AT32" s="190">
        <f t="shared" si="49"/>
        <v>175</v>
      </c>
      <c r="AU32" s="364">
        <f t="shared" si="43"/>
        <v>1.1000000000000001</v>
      </c>
      <c r="AV32" s="190">
        <f t="shared" si="30"/>
        <v>80</v>
      </c>
      <c r="AW32" s="5">
        <v>2.9</v>
      </c>
      <c r="AX32" s="190">
        <f t="shared" si="31"/>
        <v>109</v>
      </c>
      <c r="AY32" s="365">
        <f t="shared" si="37"/>
        <v>157.5</v>
      </c>
      <c r="AZ32" s="365">
        <f t="shared" si="38"/>
        <v>88</v>
      </c>
      <c r="BA32" s="365">
        <f t="shared" si="39"/>
        <v>316.09999999999997</v>
      </c>
      <c r="BB32" s="20">
        <f t="shared" si="40"/>
        <v>0</v>
      </c>
      <c r="BC32" s="20">
        <f t="shared" si="50"/>
        <v>0</v>
      </c>
      <c r="BD32" s="20">
        <f t="shared" si="50"/>
        <v>0</v>
      </c>
      <c r="BE32" s="23">
        <f t="shared" si="33"/>
        <v>0</v>
      </c>
      <c r="BF32" s="79">
        <f t="shared" si="34"/>
        <v>0</v>
      </c>
      <c r="BG32" s="79">
        <f t="shared" si="4"/>
        <v>0</v>
      </c>
    </row>
    <row r="33" spans="1:59" ht="15.75" thickBot="1">
      <c r="A33" s="6">
        <f>ELEC!C31</f>
        <v>44954</v>
      </c>
      <c r="B33" s="5">
        <f t="shared" si="5"/>
        <v>109443</v>
      </c>
      <c r="C33" s="5">
        <f t="shared" si="6"/>
        <v>0</v>
      </c>
      <c r="D33" s="358">
        <f t="shared" si="7"/>
        <v>0</v>
      </c>
      <c r="E33" s="285">
        <f>SUM((C33*$E$4)+(7500/'EDl log'!$A$37))</f>
        <v>241.93548387096774</v>
      </c>
      <c r="F33" s="279"/>
      <c r="G33" s="5">
        <f t="shared" si="44"/>
        <v>632662</v>
      </c>
      <c r="H33" s="5">
        <f t="shared" si="8"/>
        <v>0</v>
      </c>
      <c r="I33" s="5">
        <f t="shared" si="9"/>
        <v>0</v>
      </c>
      <c r="J33" s="286">
        <f t="shared" si="0"/>
        <v>0</v>
      </c>
      <c r="K33" s="5">
        <f t="shared" si="10"/>
        <v>7089</v>
      </c>
      <c r="L33" s="240">
        <f t="shared" si="41"/>
        <v>0</v>
      </c>
      <c r="M33" s="349">
        <f t="shared" si="11"/>
        <v>457.44</v>
      </c>
      <c r="N33" s="429">
        <f t="shared" si="45"/>
        <v>0</v>
      </c>
      <c r="O33" s="349">
        <f t="shared" si="12"/>
        <v>529.52</v>
      </c>
      <c r="P33" s="429">
        <f t="shared" si="46"/>
        <v>0</v>
      </c>
      <c r="Q33" s="429">
        <f t="shared" si="47"/>
        <v>0</v>
      </c>
      <c r="R33" s="431"/>
      <c r="S33" s="431"/>
      <c r="T33" s="5">
        <f t="shared" si="13"/>
        <v>5196</v>
      </c>
      <c r="U33" s="5">
        <f t="shared" si="3"/>
        <v>0</v>
      </c>
      <c r="V33" s="5">
        <f t="shared" si="14"/>
        <v>517</v>
      </c>
      <c r="W33" s="276">
        <f t="shared" si="15"/>
        <v>0</v>
      </c>
      <c r="X33" s="5">
        <f t="shared" si="16"/>
        <v>156588</v>
      </c>
      <c r="Y33" s="276">
        <f t="shared" si="42"/>
        <v>0</v>
      </c>
      <c r="Z33" s="5">
        <f t="shared" si="17"/>
        <v>99898</v>
      </c>
      <c r="AA33" s="80">
        <f t="shared" si="18"/>
        <v>0</v>
      </c>
      <c r="AB33" s="5">
        <f t="shared" si="19"/>
        <v>242</v>
      </c>
      <c r="AC33" s="5">
        <f t="shared" si="20"/>
        <v>855</v>
      </c>
      <c r="AD33" s="80">
        <f t="shared" si="35"/>
        <v>0</v>
      </c>
      <c r="AE33" s="5">
        <f t="shared" si="21"/>
        <v>262.47000000000003</v>
      </c>
      <c r="AF33" s="80">
        <f>AE33-AE32</f>
        <v>0</v>
      </c>
      <c r="AG33" s="5">
        <f t="shared" si="23"/>
        <v>2247.41</v>
      </c>
      <c r="AH33" s="80">
        <f t="shared" si="24"/>
        <v>0</v>
      </c>
      <c r="AI33" s="80">
        <f t="shared" si="25"/>
        <v>0</v>
      </c>
      <c r="AJ33" s="278">
        <f t="shared" si="26"/>
        <v>0</v>
      </c>
      <c r="AK33" s="279">
        <f t="shared" si="36"/>
        <v>0</v>
      </c>
      <c r="AL33" s="279">
        <f t="shared" si="27"/>
        <v>0</v>
      </c>
      <c r="AM33" s="279">
        <f>'General information '!D32</f>
        <v>0</v>
      </c>
      <c r="AN33" s="81">
        <f>'General information '!H32</f>
        <v>0</v>
      </c>
      <c r="AO33" s="81"/>
      <c r="AP33" s="81">
        <f>'General information '!J32</f>
        <v>0</v>
      </c>
      <c r="AR33" s="242">
        <f t="shared" si="28"/>
        <v>44954</v>
      </c>
      <c r="AS33" s="363">
        <f t="shared" si="49"/>
        <v>0.9</v>
      </c>
      <c r="AT33" s="190">
        <f t="shared" si="49"/>
        <v>175</v>
      </c>
      <c r="AU33" s="364">
        <f t="shared" si="43"/>
        <v>1.1000000000000001</v>
      </c>
      <c r="AV33" s="190">
        <f t="shared" si="30"/>
        <v>80</v>
      </c>
      <c r="AW33" s="5">
        <v>2.9</v>
      </c>
      <c r="AX33" s="190">
        <f t="shared" si="31"/>
        <v>109</v>
      </c>
      <c r="AY33" s="365">
        <f t="shared" si="37"/>
        <v>157.5</v>
      </c>
      <c r="AZ33" s="365">
        <f t="shared" si="38"/>
        <v>88</v>
      </c>
      <c r="BA33" s="365">
        <f t="shared" si="39"/>
        <v>316.09999999999997</v>
      </c>
      <c r="BB33" s="20">
        <f t="shared" si="40"/>
        <v>0</v>
      </c>
      <c r="BC33" s="20">
        <f t="shared" si="50"/>
        <v>0</v>
      </c>
      <c r="BD33" s="20">
        <f t="shared" si="50"/>
        <v>0</v>
      </c>
      <c r="BE33" s="23">
        <f t="shared" si="33"/>
        <v>0</v>
      </c>
      <c r="BF33" s="79">
        <f t="shared" si="34"/>
        <v>0</v>
      </c>
      <c r="BG33" s="79">
        <f t="shared" si="4"/>
        <v>0</v>
      </c>
    </row>
    <row r="34" spans="1:59" ht="15.75" thickBot="1">
      <c r="A34" s="6">
        <f>ELEC!C32</f>
        <v>44955</v>
      </c>
      <c r="B34" s="5">
        <f t="shared" si="5"/>
        <v>109443</v>
      </c>
      <c r="C34" s="5">
        <f t="shared" ref="C34:C36" si="51">B34-B33</f>
        <v>0</v>
      </c>
      <c r="D34" s="358">
        <f t="shared" ref="D34:D36" si="52">C34/27</f>
        <v>0</v>
      </c>
      <c r="E34" s="285">
        <f>SUM((C34*$E$4)+(7500/'EDl log'!$A$37))</f>
        <v>241.93548387096774</v>
      </c>
      <c r="F34" s="279"/>
      <c r="G34" s="5">
        <f t="shared" si="44"/>
        <v>632662</v>
      </c>
      <c r="H34" s="5">
        <f t="shared" ref="H34:H36" si="53">G34-G33</f>
        <v>0</v>
      </c>
      <c r="I34" s="5">
        <f t="shared" ref="I34:I36" si="54">C34+H34</f>
        <v>0</v>
      </c>
      <c r="J34" s="286">
        <f t="shared" ref="J34:J36" si="55">IF(I34&gt;0,E34/I34,0)</f>
        <v>0</v>
      </c>
      <c r="K34" s="5">
        <f t="shared" si="10"/>
        <v>7089</v>
      </c>
      <c r="L34" s="240">
        <f t="shared" ref="L34:L36" si="56">K34-K33</f>
        <v>0</v>
      </c>
      <c r="M34" s="349">
        <f t="shared" si="11"/>
        <v>457.44</v>
      </c>
      <c r="N34" s="429">
        <f t="shared" ref="N34:N36" si="57">SUM(M34-M33)</f>
        <v>0</v>
      </c>
      <c r="O34" s="349">
        <f t="shared" si="12"/>
        <v>529.52</v>
      </c>
      <c r="P34" s="429">
        <f t="shared" ref="P34:P36" si="58">SUM(O34-O33)</f>
        <v>0</v>
      </c>
      <c r="Q34" s="429">
        <f t="shared" ref="Q34:Q36" si="59">SUM(P34+N34)</f>
        <v>0</v>
      </c>
      <c r="R34" s="431"/>
      <c r="S34" s="431"/>
      <c r="T34" s="5">
        <v>5198</v>
      </c>
      <c r="U34" s="5">
        <f t="shared" ref="U34:U36" si="60">SUM(T34-T33)</f>
        <v>2</v>
      </c>
      <c r="V34" s="5">
        <f t="shared" si="14"/>
        <v>517</v>
      </c>
      <c r="W34" s="276">
        <f t="shared" ref="W34:W36" si="61">+V34-V33</f>
        <v>0</v>
      </c>
      <c r="X34" s="5">
        <f t="shared" si="16"/>
        <v>156588</v>
      </c>
      <c r="Y34" s="276">
        <f t="shared" ref="Y34:Y36" si="62">SUM(X34-X33)</f>
        <v>0</v>
      </c>
      <c r="Z34" s="5">
        <f t="shared" si="17"/>
        <v>99898</v>
      </c>
      <c r="AA34" s="80">
        <f t="shared" ref="AA34:AA36" si="63">Z34-Z33</f>
        <v>0</v>
      </c>
      <c r="AB34" s="5">
        <f t="shared" si="19"/>
        <v>242</v>
      </c>
      <c r="AC34" s="5">
        <f t="shared" si="20"/>
        <v>855</v>
      </c>
      <c r="AD34" s="80">
        <f t="shared" ref="AD34:AD36" si="64">AC34-AC33</f>
        <v>0</v>
      </c>
      <c r="AE34" s="5">
        <f t="shared" si="21"/>
        <v>262.47000000000003</v>
      </c>
      <c r="AF34" s="80">
        <f t="shared" ref="AF34:AF36" si="65">AE34-AE33</f>
        <v>0</v>
      </c>
      <c r="AG34" s="5">
        <f t="shared" si="23"/>
        <v>2247.41</v>
      </c>
      <c r="AH34" s="80">
        <f t="shared" ref="AH34:AH36" si="66">AG34-AG33</f>
        <v>0</v>
      </c>
      <c r="AI34" s="80">
        <f t="shared" ref="AI34:AI36" si="67">AF34+AH34</f>
        <v>0</v>
      </c>
      <c r="AJ34" s="278">
        <f t="shared" ref="AJ34:AJ36" si="68">+Z34-Z33</f>
        <v>0</v>
      </c>
      <c r="AK34" s="279">
        <f t="shared" si="36"/>
        <v>0</v>
      </c>
      <c r="AL34" s="279">
        <f t="shared" ref="AL34:AL36" si="69">SUM(AJ34-W34)</f>
        <v>0</v>
      </c>
      <c r="AM34" s="279">
        <f>'General information '!D33</f>
        <v>0</v>
      </c>
      <c r="AN34" s="81">
        <f>'General information '!H33</f>
        <v>0</v>
      </c>
      <c r="AO34" s="81"/>
      <c r="AP34" s="81">
        <f>'General information '!J33</f>
        <v>0</v>
      </c>
      <c r="AR34" s="242">
        <f t="shared" ref="AR34:AR36" si="70">A34</f>
        <v>44955</v>
      </c>
      <c r="AS34" s="363">
        <f t="shared" ref="AS34:AT34" si="71">AS33</f>
        <v>0.9</v>
      </c>
      <c r="AT34" s="190">
        <f t="shared" si="71"/>
        <v>175</v>
      </c>
      <c r="AU34" s="364">
        <f t="shared" si="43"/>
        <v>1.1000000000000001</v>
      </c>
      <c r="AV34" s="190">
        <f t="shared" si="30"/>
        <v>80</v>
      </c>
      <c r="AW34" s="5">
        <v>2.9</v>
      </c>
      <c r="AX34" s="190">
        <f t="shared" si="31"/>
        <v>109</v>
      </c>
      <c r="AY34" s="365">
        <f t="shared" ref="AY34:AY36" si="72">AS34*AT34</f>
        <v>157.5</v>
      </c>
      <c r="AZ34" s="365">
        <f t="shared" ref="AZ34:AZ36" si="73">AU34*AV34</f>
        <v>88</v>
      </c>
      <c r="BA34" s="365">
        <f t="shared" ref="BA34:BA36" si="74">AW34*AX34</f>
        <v>316.09999999999997</v>
      </c>
      <c r="BB34" s="20">
        <f t="shared" si="40"/>
        <v>0</v>
      </c>
      <c r="BC34" s="20">
        <f t="shared" ref="BC34:BC36" si="75">AZ34-AZ33</f>
        <v>0</v>
      </c>
      <c r="BD34" s="20">
        <f t="shared" ref="BD34:BD36" si="76">BA34-BA33</f>
        <v>0</v>
      </c>
      <c r="BE34" s="23">
        <f t="shared" ref="BE34:BE36" si="77">SUM(BB34:BD34)</f>
        <v>0</v>
      </c>
      <c r="BF34" s="79">
        <f t="shared" ref="BF34:BF36" si="78">SUM(I34-BE34)</f>
        <v>0</v>
      </c>
      <c r="BG34" s="79">
        <f t="shared" ref="BG34:BG36" si="79">SUM(I34-BF34)</f>
        <v>0</v>
      </c>
    </row>
    <row r="35" spans="1:59" ht="15.75" thickBot="1">
      <c r="A35" s="6">
        <f>ELEC!C33</f>
        <v>44956</v>
      </c>
      <c r="B35" s="5">
        <f t="shared" si="5"/>
        <v>109443</v>
      </c>
      <c r="C35" s="5">
        <f t="shared" si="51"/>
        <v>0</v>
      </c>
      <c r="D35" s="358">
        <f t="shared" si="52"/>
        <v>0</v>
      </c>
      <c r="E35" s="285">
        <f>SUM((C35*$E$4)+(7500/'EDl log'!$A$37))</f>
        <v>241.93548387096774</v>
      </c>
      <c r="F35" s="279"/>
      <c r="G35" s="5">
        <f t="shared" si="44"/>
        <v>632662</v>
      </c>
      <c r="H35" s="5">
        <f t="shared" si="53"/>
        <v>0</v>
      </c>
      <c r="I35" s="5">
        <f t="shared" si="54"/>
        <v>0</v>
      </c>
      <c r="J35" s="286">
        <f t="shared" si="55"/>
        <v>0</v>
      </c>
      <c r="K35" s="5">
        <f t="shared" si="10"/>
        <v>7089</v>
      </c>
      <c r="L35" s="240">
        <f t="shared" si="56"/>
        <v>0</v>
      </c>
      <c r="M35" s="349">
        <f t="shared" si="11"/>
        <v>457.44</v>
      </c>
      <c r="N35" s="429">
        <f t="shared" si="57"/>
        <v>0</v>
      </c>
      <c r="O35" s="349">
        <f t="shared" si="12"/>
        <v>529.52</v>
      </c>
      <c r="P35" s="429">
        <f t="shared" si="58"/>
        <v>0</v>
      </c>
      <c r="Q35" s="429">
        <f t="shared" si="59"/>
        <v>0</v>
      </c>
      <c r="R35" s="431"/>
      <c r="S35" s="431"/>
      <c r="T35" s="5">
        <f t="shared" si="13"/>
        <v>5198</v>
      </c>
      <c r="U35" s="5">
        <f t="shared" si="60"/>
        <v>0</v>
      </c>
      <c r="V35" s="5">
        <f t="shared" si="14"/>
        <v>517</v>
      </c>
      <c r="W35" s="276">
        <f t="shared" si="61"/>
        <v>0</v>
      </c>
      <c r="X35" s="5">
        <f t="shared" si="16"/>
        <v>156588</v>
      </c>
      <c r="Y35" s="276">
        <f t="shared" si="62"/>
        <v>0</v>
      </c>
      <c r="Z35" s="5">
        <f t="shared" si="17"/>
        <v>99898</v>
      </c>
      <c r="AA35" s="80">
        <f t="shared" si="63"/>
        <v>0</v>
      </c>
      <c r="AB35" s="5">
        <f t="shared" si="19"/>
        <v>242</v>
      </c>
      <c r="AC35" s="5">
        <f t="shared" si="20"/>
        <v>855</v>
      </c>
      <c r="AD35" s="80">
        <f t="shared" si="64"/>
        <v>0</v>
      </c>
      <c r="AE35" s="5">
        <f t="shared" si="21"/>
        <v>262.47000000000003</v>
      </c>
      <c r="AF35" s="80">
        <f t="shared" si="65"/>
        <v>0</v>
      </c>
      <c r="AG35" s="5">
        <f t="shared" si="23"/>
        <v>2247.41</v>
      </c>
      <c r="AH35" s="80">
        <f t="shared" si="66"/>
        <v>0</v>
      </c>
      <c r="AI35" s="80">
        <f t="shared" si="67"/>
        <v>0</v>
      </c>
      <c r="AJ35" s="278">
        <f t="shared" si="68"/>
        <v>0</v>
      </c>
      <c r="AK35" s="279">
        <f t="shared" si="36"/>
        <v>0</v>
      </c>
      <c r="AL35" s="279">
        <f t="shared" si="69"/>
        <v>0</v>
      </c>
      <c r="AM35" s="279">
        <f>'General information '!D34</f>
        <v>0</v>
      </c>
      <c r="AN35" s="81">
        <f>'General information '!H34</f>
        <v>0</v>
      </c>
      <c r="AO35" s="81"/>
      <c r="AP35" s="81">
        <f>'General information '!J34</f>
        <v>0</v>
      </c>
      <c r="AR35" s="242">
        <f t="shared" si="70"/>
        <v>44956</v>
      </c>
      <c r="AS35" s="363">
        <f t="shared" ref="AS35:AT35" si="80">AS34</f>
        <v>0.9</v>
      </c>
      <c r="AT35" s="190">
        <f t="shared" si="80"/>
        <v>175</v>
      </c>
      <c r="AU35" s="364">
        <f t="shared" si="43"/>
        <v>1.1000000000000001</v>
      </c>
      <c r="AV35" s="190">
        <f t="shared" si="30"/>
        <v>80</v>
      </c>
      <c r="AW35" s="5">
        <v>2.9</v>
      </c>
      <c r="AX35" s="190">
        <f t="shared" si="31"/>
        <v>109</v>
      </c>
      <c r="AY35" s="365">
        <f t="shared" si="72"/>
        <v>157.5</v>
      </c>
      <c r="AZ35" s="365">
        <f t="shared" si="73"/>
        <v>88</v>
      </c>
      <c r="BA35" s="365">
        <f t="shared" si="74"/>
        <v>316.09999999999997</v>
      </c>
      <c r="BB35" s="20">
        <f t="shared" si="40"/>
        <v>0</v>
      </c>
      <c r="BC35" s="20">
        <f t="shared" si="75"/>
        <v>0</v>
      </c>
      <c r="BD35" s="20">
        <f t="shared" si="76"/>
        <v>0</v>
      </c>
      <c r="BE35" s="23">
        <f t="shared" si="77"/>
        <v>0</v>
      </c>
      <c r="BF35" s="79">
        <f t="shared" si="78"/>
        <v>0</v>
      </c>
      <c r="BG35" s="79">
        <f t="shared" si="79"/>
        <v>0</v>
      </c>
    </row>
    <row r="36" spans="1:59" ht="15.75" thickBot="1">
      <c r="A36" s="6">
        <f>ELEC!C34</f>
        <v>44957</v>
      </c>
      <c r="B36" s="5">
        <f t="shared" si="5"/>
        <v>109443</v>
      </c>
      <c r="C36" s="5">
        <f t="shared" si="51"/>
        <v>0</v>
      </c>
      <c r="D36" s="358">
        <f t="shared" si="52"/>
        <v>0</v>
      </c>
      <c r="E36" s="285">
        <f>SUM((C36*$E$4)+(7500/'EDl log'!$A$37))</f>
        <v>241.93548387096774</v>
      </c>
      <c r="F36" s="279"/>
      <c r="G36" s="5">
        <f t="shared" si="44"/>
        <v>632662</v>
      </c>
      <c r="H36" s="5">
        <f t="shared" si="53"/>
        <v>0</v>
      </c>
      <c r="I36" s="5">
        <f t="shared" si="54"/>
        <v>0</v>
      </c>
      <c r="J36" s="286">
        <f t="shared" si="55"/>
        <v>0</v>
      </c>
      <c r="K36" s="5">
        <f t="shared" si="10"/>
        <v>7089</v>
      </c>
      <c r="L36" s="240">
        <f t="shared" si="56"/>
        <v>0</v>
      </c>
      <c r="M36" s="349">
        <f t="shared" si="11"/>
        <v>457.44</v>
      </c>
      <c r="N36" s="429">
        <f t="shared" si="57"/>
        <v>0</v>
      </c>
      <c r="O36" s="349">
        <f t="shared" si="12"/>
        <v>529.52</v>
      </c>
      <c r="P36" s="429">
        <f t="shared" si="58"/>
        <v>0</v>
      </c>
      <c r="Q36" s="429">
        <f t="shared" si="59"/>
        <v>0</v>
      </c>
      <c r="R36" s="431"/>
      <c r="S36" s="431"/>
      <c r="T36" s="5">
        <f t="shared" si="13"/>
        <v>5198</v>
      </c>
      <c r="U36" s="5">
        <f t="shared" si="60"/>
        <v>0</v>
      </c>
      <c r="V36" s="5">
        <f t="shared" si="14"/>
        <v>517</v>
      </c>
      <c r="W36" s="276">
        <f t="shared" si="61"/>
        <v>0</v>
      </c>
      <c r="X36" s="5">
        <f t="shared" si="16"/>
        <v>156588</v>
      </c>
      <c r="Y36" s="276">
        <f t="shared" si="62"/>
        <v>0</v>
      </c>
      <c r="Z36" s="5">
        <f t="shared" si="17"/>
        <v>99898</v>
      </c>
      <c r="AA36" s="80">
        <f t="shared" si="63"/>
        <v>0</v>
      </c>
      <c r="AB36" s="5">
        <f t="shared" si="19"/>
        <v>242</v>
      </c>
      <c r="AC36" s="5">
        <f t="shared" si="20"/>
        <v>855</v>
      </c>
      <c r="AD36" s="80">
        <f t="shared" si="64"/>
        <v>0</v>
      </c>
      <c r="AE36" s="5">
        <f t="shared" si="21"/>
        <v>262.47000000000003</v>
      </c>
      <c r="AF36" s="80">
        <f t="shared" si="65"/>
        <v>0</v>
      </c>
      <c r="AG36" s="5">
        <f t="shared" si="23"/>
        <v>2247.41</v>
      </c>
      <c r="AH36" s="80">
        <f t="shared" si="66"/>
        <v>0</v>
      </c>
      <c r="AI36" s="80">
        <f t="shared" si="67"/>
        <v>0</v>
      </c>
      <c r="AJ36" s="278">
        <f t="shared" si="68"/>
        <v>0</v>
      </c>
      <c r="AK36" s="279">
        <f t="shared" si="36"/>
        <v>0</v>
      </c>
      <c r="AL36" s="279">
        <f t="shared" si="69"/>
        <v>0</v>
      </c>
      <c r="AM36" s="279">
        <f>'General information '!D35</f>
        <v>0</v>
      </c>
      <c r="AN36" s="81">
        <f>'General information '!H35</f>
        <v>0</v>
      </c>
      <c r="AO36" s="81"/>
      <c r="AP36" s="81">
        <f>'General information '!J35</f>
        <v>0</v>
      </c>
      <c r="AR36" s="242">
        <f t="shared" si="70"/>
        <v>44957</v>
      </c>
      <c r="AS36" s="363">
        <f t="shared" ref="AS36:AT36" si="81">AS35</f>
        <v>0.9</v>
      </c>
      <c r="AT36" s="190">
        <f t="shared" si="81"/>
        <v>175</v>
      </c>
      <c r="AU36" s="364">
        <f t="shared" si="43"/>
        <v>1.1000000000000001</v>
      </c>
      <c r="AV36" s="190">
        <f t="shared" si="30"/>
        <v>80</v>
      </c>
      <c r="AW36" s="5">
        <v>2.9</v>
      </c>
      <c r="AX36" s="190">
        <f t="shared" si="31"/>
        <v>109</v>
      </c>
      <c r="AY36" s="365">
        <f t="shared" si="72"/>
        <v>157.5</v>
      </c>
      <c r="AZ36" s="365">
        <f t="shared" si="73"/>
        <v>88</v>
      </c>
      <c r="BA36" s="365">
        <f t="shared" si="74"/>
        <v>316.09999999999997</v>
      </c>
      <c r="BB36" s="20">
        <f t="shared" si="40"/>
        <v>0</v>
      </c>
      <c r="BC36" s="20">
        <f t="shared" si="75"/>
        <v>0</v>
      </c>
      <c r="BD36" s="20">
        <f t="shared" si="76"/>
        <v>0</v>
      </c>
      <c r="BE36" s="23">
        <f t="shared" si="77"/>
        <v>0</v>
      </c>
      <c r="BF36" s="79">
        <f t="shared" si="78"/>
        <v>0</v>
      </c>
      <c r="BG36" s="79">
        <f t="shared" si="79"/>
        <v>0</v>
      </c>
    </row>
    <row r="37" spans="1:59">
      <c r="C37" s="351">
        <f>SUM(C6:C36)</f>
        <v>0</v>
      </c>
      <c r="D37" s="274">
        <f>SUM(D6:D36)</f>
        <v>0</v>
      </c>
      <c r="F37" s="353">
        <f>SUM(F6:F36)</f>
        <v>0</v>
      </c>
      <c r="H37" s="351">
        <f>SUM(H6:H36)</f>
        <v>68</v>
      </c>
      <c r="I37" s="351">
        <f>SUM(I6:I36)</f>
        <v>68</v>
      </c>
      <c r="L37" s="1">
        <f>SUM(L7:L36)</f>
        <v>0</v>
      </c>
      <c r="Q37" s="353">
        <f>SUM(Q6:Q36)</f>
        <v>0</v>
      </c>
      <c r="U37" s="1">
        <f>SUM(U6:U36)</f>
        <v>0</v>
      </c>
      <c r="X37" s="275"/>
      <c r="Y37" s="274">
        <f>SUM(Y6,Y33,Y31,Y29,Y27,Y25,Y23,Y21,Y19,Y17,Y15,Y13,Y11,Y9,Y7,Y34,Y35,Y36)</f>
        <v>0</v>
      </c>
      <c r="AJ37" s="274">
        <f>SUM(AJ6:AJ36)</f>
        <v>0</v>
      </c>
      <c r="AK37" s="279">
        <f>SUM(Y37-L37)</f>
        <v>0</v>
      </c>
      <c r="AL37" s="274">
        <f>SUM(AL6:AL36)</f>
        <v>-5</v>
      </c>
      <c r="AS37" s="488"/>
      <c r="AT37" s="190"/>
      <c r="AU37" s="488"/>
      <c r="AV37" s="490"/>
      <c r="AW37" s="489"/>
      <c r="AX37" s="489"/>
      <c r="AY37" s="489"/>
      <c r="AZ37" s="490"/>
      <c r="BA37" s="490"/>
      <c r="BB37" s="490"/>
      <c r="BC37" s="490"/>
      <c r="BD37" s="490"/>
      <c r="BE37" s="490"/>
    </row>
    <row r="38" spans="1:59">
      <c r="C38" s="1">
        <f>+C37*1.66</f>
        <v>0</v>
      </c>
      <c r="E38" s="284">
        <f>SUM(E6:E33)</f>
        <v>6774.1935483870975</v>
      </c>
      <c r="F38" s="356">
        <f>SUM(F6:F35)</f>
        <v>0</v>
      </c>
      <c r="H38" s="1">
        <v>7500</v>
      </c>
      <c r="I38" s="352">
        <f>SUM('General information '!G36/WATER!I37)</f>
        <v>0</v>
      </c>
      <c r="O38" s="1">
        <f>SUM(Q37+I37)</f>
        <v>68</v>
      </c>
      <c r="Z38" s="274">
        <f>SUM(Y37:AJ37)</f>
        <v>0</v>
      </c>
      <c r="AK38" s="279">
        <f>SUM(Y38-L38)</f>
        <v>0</v>
      </c>
    </row>
    <row r="39" spans="1:59">
      <c r="B39" s="1">
        <f>9*31</f>
        <v>279</v>
      </c>
      <c r="D39" s="353">
        <f>SUM(D6:D35)</f>
        <v>0</v>
      </c>
      <c r="F39" s="354">
        <f>SUM(F6:F36)</f>
        <v>0</v>
      </c>
      <c r="G39" s="1">
        <f>SUM(I37)</f>
        <v>68</v>
      </c>
      <c r="H39" s="1">
        <f>SUM(H38+C38)</f>
        <v>7500</v>
      </c>
      <c r="K39" s="1">
        <f>SUM(H39/G39)</f>
        <v>110.29411764705883</v>
      </c>
      <c r="AJ39" s="274">
        <f>SUM(C38-AK38)</f>
        <v>0</v>
      </c>
      <c r="AM39" s="295" t="e">
        <f>SUM(AJ39/AO38)</f>
        <v>#DIV/0!</v>
      </c>
    </row>
    <row r="43" spans="1:59" ht="15.75">
      <c r="AR43" s="17"/>
      <c r="AS43" s="17"/>
    </row>
    <row r="44" spans="1:59">
      <c r="AR44" s="18"/>
      <c r="AS44" s="18"/>
    </row>
    <row r="45" spans="1:59">
      <c r="AR45" s="18"/>
      <c r="AS45" s="18"/>
    </row>
    <row r="46" spans="1:59">
      <c r="AR46" s="18"/>
      <c r="AS46" s="18"/>
    </row>
    <row r="47" spans="1:59">
      <c r="AR47" s="18"/>
      <c r="AS47" s="18"/>
    </row>
    <row r="48" spans="1:59">
      <c r="AR48" s="18"/>
      <c r="AS48" s="18"/>
    </row>
    <row r="49" spans="44:45">
      <c r="AR49" s="18"/>
      <c r="AS49" s="18"/>
    </row>
    <row r="50" spans="44:45">
      <c r="AR50" s="18"/>
      <c r="AS50" s="18"/>
    </row>
    <row r="51" spans="44:45">
      <c r="AR51" s="18"/>
      <c r="AS51" s="18"/>
    </row>
    <row r="52" spans="44:45">
      <c r="AR52" s="18"/>
      <c r="AS52" s="18"/>
    </row>
    <row r="53" spans="44:45">
      <c r="AR53" s="18"/>
      <c r="AS53" s="18"/>
    </row>
    <row r="54" spans="44:45">
      <c r="AR54" s="18"/>
      <c r="AS54" s="18"/>
    </row>
    <row r="55" spans="44:45">
      <c r="AR55" s="18"/>
      <c r="AS55" s="18"/>
    </row>
    <row r="56" spans="44:45">
      <c r="AR56" s="18"/>
      <c r="AS56" s="18"/>
    </row>
    <row r="57" spans="44:45">
      <c r="AR57" s="18"/>
      <c r="AS57" s="18"/>
    </row>
    <row r="58" spans="44:45">
      <c r="AR58" s="18"/>
      <c r="AS58" s="18"/>
    </row>
    <row r="59" spans="44:45">
      <c r="AR59" s="18"/>
      <c r="AS59" s="18"/>
    </row>
    <row r="60" spans="44:45">
      <c r="AR60" s="18"/>
      <c r="AS60" s="18"/>
    </row>
    <row r="61" spans="44:45">
      <c r="AR61" s="18"/>
      <c r="AS61" s="18"/>
    </row>
    <row r="62" spans="44:45">
      <c r="AR62" s="18"/>
      <c r="AS62" s="18"/>
    </row>
    <row r="63" spans="44:45">
      <c r="AR63" s="18"/>
      <c r="AS63" s="18"/>
    </row>
    <row r="64" spans="44:45">
      <c r="AR64" s="18"/>
      <c r="AS64" s="18"/>
    </row>
    <row r="65" spans="44:45">
      <c r="AR65" s="18"/>
      <c r="AS65" s="18"/>
    </row>
    <row r="66" spans="44:45">
      <c r="AR66" s="18"/>
      <c r="AS66" s="18"/>
    </row>
    <row r="67" spans="44:45">
      <c r="AR67" s="18"/>
      <c r="AS67" s="18"/>
    </row>
    <row r="68" spans="44:45">
      <c r="AR68" s="18"/>
      <c r="AS68" s="18"/>
    </row>
    <row r="69" spans="44:45">
      <c r="AR69" s="18"/>
      <c r="AS69" s="18"/>
    </row>
    <row r="70" spans="44:45">
      <c r="AR70" s="18"/>
      <c r="AS70" s="18"/>
    </row>
    <row r="71" spans="44:45">
      <c r="AR71" s="18"/>
      <c r="AS71" s="18"/>
    </row>
    <row r="72" spans="44:45">
      <c r="AR72" s="18"/>
      <c r="AS72" s="18"/>
    </row>
    <row r="73" spans="44:45">
      <c r="AR73" s="18"/>
      <c r="AS73" s="18"/>
    </row>
    <row r="74" spans="44:45">
      <c r="AR74" s="18"/>
      <c r="AS74" s="18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40"/>
  <sheetViews>
    <sheetView zoomScale="60" zoomScaleNormal="60" workbookViewId="0">
      <pane ySplit="4" topLeftCell="A16" activePane="bottomLeft" state="frozen"/>
      <selection pane="bottomLeft" activeCell="I27" sqref="I27"/>
    </sheetView>
  </sheetViews>
  <sheetFormatPr defaultRowHeight="15"/>
  <cols>
    <col min="1" max="1" width="11.7109375" style="413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54" t="s">
        <v>171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6"/>
    </row>
    <row r="2" spans="1:15" ht="15.75" customHeight="1" thickBot="1">
      <c r="A2" s="557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9"/>
    </row>
    <row r="3" spans="1:15" ht="9" customHeight="1" thickBot="1">
      <c r="A3" s="410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</row>
    <row r="4" spans="1:15" ht="16.5" thickTop="1" thickBot="1">
      <c r="A4" s="411"/>
      <c r="B4" s="143" t="s">
        <v>172</v>
      </c>
      <c r="C4" s="144" t="s">
        <v>173</v>
      </c>
      <c r="D4" s="141" t="s">
        <v>174</v>
      </c>
      <c r="E4" s="145" t="s">
        <v>175</v>
      </c>
      <c r="F4" s="423" t="s">
        <v>176</v>
      </c>
      <c r="G4" s="142" t="s">
        <v>177</v>
      </c>
      <c r="H4" s="146" t="s">
        <v>178</v>
      </c>
      <c r="I4" s="143" t="s">
        <v>179</v>
      </c>
      <c r="J4" s="144" t="s">
        <v>180</v>
      </c>
      <c r="K4" s="142" t="s">
        <v>181</v>
      </c>
      <c r="L4" s="146" t="s">
        <v>182</v>
      </c>
      <c r="M4" s="144" t="s">
        <v>183</v>
      </c>
      <c r="N4" s="148" t="s">
        <v>184</v>
      </c>
      <c r="O4" s="141" t="s">
        <v>185</v>
      </c>
    </row>
    <row r="5" spans="1:15" ht="15.75" thickTop="1">
      <c r="A5" s="412">
        <v>44926</v>
      </c>
      <c r="B5" s="36">
        <v>19</v>
      </c>
      <c r="C5" s="36">
        <v>13</v>
      </c>
      <c r="D5" s="25">
        <f t="shared" ref="D5:D10" si="0">(C5+B5)/2</f>
        <v>16</v>
      </c>
      <c r="E5" s="193">
        <v>0.69</v>
      </c>
      <c r="F5" s="292">
        <v>0</v>
      </c>
      <c r="G5" s="222">
        <f t="shared" ref="G5:G11" si="1">F5*230</f>
        <v>0</v>
      </c>
      <c r="H5" s="3">
        <v>0</v>
      </c>
      <c r="I5" s="3">
        <v>0</v>
      </c>
      <c r="J5" s="36">
        <v>0</v>
      </c>
      <c r="K5" s="234">
        <f t="shared" ref="K5:K25" si="2">+J5+H5</f>
        <v>0</v>
      </c>
      <c r="L5" s="3"/>
      <c r="M5" s="3"/>
      <c r="N5" s="149"/>
      <c r="O5" s="3"/>
    </row>
    <row r="6" spans="1:15">
      <c r="A6" s="412">
        <f>A5+1</f>
        <v>44927</v>
      </c>
      <c r="B6" s="36">
        <v>20</v>
      </c>
      <c r="C6" s="36">
        <v>14</v>
      </c>
      <c r="D6" s="25">
        <f t="shared" si="0"/>
        <v>17</v>
      </c>
      <c r="E6" s="193">
        <v>0.69</v>
      </c>
      <c r="F6" s="292">
        <v>0</v>
      </c>
      <c r="G6" s="222">
        <f t="shared" si="1"/>
        <v>0</v>
      </c>
      <c r="H6" s="3">
        <v>0</v>
      </c>
      <c r="I6" s="3">
        <v>0</v>
      </c>
      <c r="J6" s="36">
        <v>0</v>
      </c>
      <c r="K6" s="234">
        <f t="shared" si="2"/>
        <v>0</v>
      </c>
      <c r="L6" s="3"/>
      <c r="M6" s="3"/>
      <c r="N6" s="149"/>
      <c r="O6" s="3"/>
    </row>
    <row r="7" spans="1:15">
      <c r="A7" s="412">
        <f>ELEC!C6</f>
        <v>44929</v>
      </c>
      <c r="B7" s="36">
        <v>20</v>
      </c>
      <c r="C7" s="36">
        <v>18</v>
      </c>
      <c r="D7" s="25">
        <f t="shared" si="0"/>
        <v>19</v>
      </c>
      <c r="E7" s="193">
        <v>0.69</v>
      </c>
      <c r="F7" s="193">
        <v>0</v>
      </c>
      <c r="G7" s="222">
        <f t="shared" si="1"/>
        <v>0</v>
      </c>
      <c r="H7" s="3">
        <v>0</v>
      </c>
      <c r="I7" s="3">
        <v>0</v>
      </c>
      <c r="J7" s="36">
        <v>0</v>
      </c>
      <c r="K7" s="234">
        <f t="shared" si="2"/>
        <v>0</v>
      </c>
      <c r="L7" s="3"/>
      <c r="M7" s="161"/>
      <c r="N7" s="149"/>
      <c r="O7" s="3"/>
    </row>
    <row r="8" spans="1:15">
      <c r="A8" s="412">
        <f>ELEC!C7</f>
        <v>44930</v>
      </c>
      <c r="B8" s="36">
        <v>21</v>
      </c>
      <c r="C8" s="36">
        <v>13</v>
      </c>
      <c r="D8" s="25">
        <f>(C8+B8)/2</f>
        <v>17</v>
      </c>
      <c r="E8" s="193">
        <v>0.55000000000000004</v>
      </c>
      <c r="F8" s="193">
        <v>0</v>
      </c>
      <c r="G8" s="222">
        <f>F8*230</f>
        <v>0</v>
      </c>
      <c r="H8" s="3">
        <v>0</v>
      </c>
      <c r="I8" s="3">
        <v>0</v>
      </c>
      <c r="J8" s="36">
        <v>0</v>
      </c>
      <c r="K8" s="234">
        <f>+J8+H8</f>
        <v>0</v>
      </c>
      <c r="L8" s="3"/>
      <c r="M8" s="3"/>
      <c r="N8" s="149"/>
      <c r="O8" s="3"/>
    </row>
    <row r="9" spans="1:15">
      <c r="A9" s="412">
        <f>ELEC!C8</f>
        <v>44931</v>
      </c>
      <c r="B9" s="36">
        <v>20</v>
      </c>
      <c r="C9" s="36">
        <v>14</v>
      </c>
      <c r="D9" s="25">
        <f t="shared" si="0"/>
        <v>17</v>
      </c>
      <c r="E9" s="193">
        <v>0.64</v>
      </c>
      <c r="F9" s="193">
        <v>0</v>
      </c>
      <c r="G9" s="222">
        <f t="shared" si="1"/>
        <v>0</v>
      </c>
      <c r="H9" s="3">
        <v>0</v>
      </c>
      <c r="I9" s="3">
        <v>0</v>
      </c>
      <c r="J9" s="36">
        <v>0</v>
      </c>
      <c r="K9" s="234">
        <f t="shared" si="2"/>
        <v>0</v>
      </c>
      <c r="L9" s="3"/>
      <c r="M9" s="3"/>
      <c r="N9" s="149"/>
      <c r="O9" s="3"/>
    </row>
    <row r="10" spans="1:15">
      <c r="A10" s="412">
        <f>ELEC!C9</f>
        <v>44932</v>
      </c>
      <c r="B10" s="36"/>
      <c r="C10" s="36"/>
      <c r="D10" s="25">
        <f t="shared" si="0"/>
        <v>0</v>
      </c>
      <c r="E10" s="193"/>
      <c r="F10" s="193">
        <v>0</v>
      </c>
      <c r="G10" s="222">
        <f t="shared" si="1"/>
        <v>0</v>
      </c>
      <c r="H10" s="3">
        <v>0</v>
      </c>
      <c r="I10" s="3">
        <v>0</v>
      </c>
      <c r="J10" s="36">
        <v>0</v>
      </c>
      <c r="K10" s="234">
        <f>+J10+H10</f>
        <v>0</v>
      </c>
      <c r="L10" s="3"/>
      <c r="M10" s="3"/>
      <c r="N10" s="149"/>
      <c r="O10" s="3"/>
    </row>
    <row r="11" spans="1:15">
      <c r="A11" s="412">
        <f>ELEC!C10</f>
        <v>44933</v>
      </c>
      <c r="B11" s="36"/>
      <c r="C11" s="36"/>
      <c r="D11" s="25">
        <f>(C11+B11)/2</f>
        <v>0</v>
      </c>
      <c r="E11" s="193"/>
      <c r="F11" s="193">
        <v>0</v>
      </c>
      <c r="G11" s="222">
        <f t="shared" si="1"/>
        <v>0</v>
      </c>
      <c r="H11" s="3">
        <v>0</v>
      </c>
      <c r="I11" s="3">
        <v>0</v>
      </c>
      <c r="J11" s="36">
        <v>0</v>
      </c>
      <c r="K11" s="234">
        <f t="shared" si="2"/>
        <v>0</v>
      </c>
      <c r="L11" s="3"/>
      <c r="M11" s="3"/>
      <c r="N11" s="149"/>
      <c r="O11" s="3"/>
    </row>
    <row r="12" spans="1:15">
      <c r="A12" s="412">
        <f>ELEC!C11</f>
        <v>44934</v>
      </c>
      <c r="B12" s="36">
        <v>18</v>
      </c>
      <c r="C12" s="36">
        <v>16</v>
      </c>
      <c r="D12" s="25">
        <f>(C12+B12)/2</f>
        <v>17</v>
      </c>
      <c r="E12" s="193">
        <v>0.62</v>
      </c>
      <c r="F12" s="193">
        <v>0</v>
      </c>
      <c r="G12" s="222">
        <f>F12*230</f>
        <v>0</v>
      </c>
      <c r="H12" s="3">
        <v>0</v>
      </c>
      <c r="I12" s="3">
        <v>0</v>
      </c>
      <c r="J12" s="36">
        <v>0</v>
      </c>
      <c r="K12" s="234">
        <f t="shared" si="2"/>
        <v>0</v>
      </c>
      <c r="L12" s="3"/>
      <c r="M12" s="3"/>
      <c r="N12" s="149"/>
      <c r="O12" s="3"/>
    </row>
    <row r="13" spans="1:15">
      <c r="A13" s="412">
        <f>ELEC!C12</f>
        <v>44935</v>
      </c>
      <c r="B13" s="36">
        <v>19</v>
      </c>
      <c r="C13" s="36">
        <v>13</v>
      </c>
      <c r="D13" s="25">
        <f t="shared" ref="D13:D20" si="3">(C13+B13)/2</f>
        <v>16</v>
      </c>
      <c r="E13" s="193">
        <v>0.6</v>
      </c>
      <c r="F13" s="193">
        <v>0</v>
      </c>
      <c r="G13" s="222">
        <f t="shared" ref="G13:G32" si="4">F13*230</f>
        <v>0</v>
      </c>
      <c r="H13" s="3">
        <v>0</v>
      </c>
      <c r="I13" s="3">
        <v>0</v>
      </c>
      <c r="J13" s="36">
        <v>0</v>
      </c>
      <c r="K13" s="234">
        <f t="shared" si="2"/>
        <v>0</v>
      </c>
      <c r="L13" s="3"/>
      <c r="M13" s="3"/>
      <c r="N13" s="149"/>
      <c r="O13" s="3"/>
    </row>
    <row r="14" spans="1:15">
      <c r="A14" s="412">
        <f>ELEC!C13</f>
        <v>44936</v>
      </c>
      <c r="B14" s="36">
        <v>19</v>
      </c>
      <c r="C14" s="36">
        <v>13</v>
      </c>
      <c r="D14" s="25">
        <f t="shared" si="3"/>
        <v>16</v>
      </c>
      <c r="E14" s="193">
        <v>0.44</v>
      </c>
      <c r="F14" s="193">
        <v>0</v>
      </c>
      <c r="G14" s="222">
        <f>F14*230</f>
        <v>0</v>
      </c>
      <c r="H14" s="3">
        <v>0</v>
      </c>
      <c r="I14" s="3">
        <v>0</v>
      </c>
      <c r="J14" s="36">
        <v>0</v>
      </c>
      <c r="K14" s="234">
        <f>+J14+H14</f>
        <v>0</v>
      </c>
      <c r="L14" s="3"/>
      <c r="M14" s="3"/>
      <c r="N14" s="149"/>
      <c r="O14" s="3"/>
    </row>
    <row r="15" spans="1:15">
      <c r="A15" s="412">
        <f>ELEC!C14</f>
        <v>44937</v>
      </c>
      <c r="B15" s="36">
        <v>19</v>
      </c>
      <c r="C15" s="36">
        <v>13</v>
      </c>
      <c r="D15" s="25">
        <f t="shared" si="3"/>
        <v>16</v>
      </c>
      <c r="E15" s="193">
        <v>0.49</v>
      </c>
      <c r="F15" s="193">
        <v>0</v>
      </c>
      <c r="G15" s="222">
        <f t="shared" si="4"/>
        <v>0</v>
      </c>
      <c r="H15" s="3">
        <v>0</v>
      </c>
      <c r="I15" s="3">
        <v>0</v>
      </c>
      <c r="J15" s="36">
        <v>0</v>
      </c>
      <c r="K15" s="234">
        <f>+J15+H15</f>
        <v>0</v>
      </c>
      <c r="L15" s="3"/>
      <c r="M15" s="3"/>
      <c r="N15" s="149"/>
      <c r="O15" s="3"/>
    </row>
    <row r="16" spans="1:15">
      <c r="A16" s="412">
        <f>ELEC!C15</f>
        <v>44938</v>
      </c>
      <c r="B16" s="36"/>
      <c r="C16" s="36"/>
      <c r="D16" s="25">
        <f t="shared" si="3"/>
        <v>0</v>
      </c>
      <c r="E16" s="522"/>
      <c r="F16" s="193">
        <v>0</v>
      </c>
      <c r="G16" s="222">
        <f t="shared" si="4"/>
        <v>0</v>
      </c>
      <c r="H16" s="3">
        <v>0</v>
      </c>
      <c r="I16" s="3">
        <v>0</v>
      </c>
      <c r="J16" s="36">
        <v>0</v>
      </c>
      <c r="K16" s="234">
        <f t="shared" si="2"/>
        <v>0</v>
      </c>
      <c r="L16" s="3"/>
      <c r="M16" s="3"/>
      <c r="N16" s="149"/>
      <c r="O16" s="3"/>
    </row>
    <row r="17" spans="1:15">
      <c r="A17" s="412">
        <f>ELEC!C16</f>
        <v>44939</v>
      </c>
      <c r="B17" s="36"/>
      <c r="C17" s="36"/>
      <c r="D17" s="25">
        <f t="shared" si="3"/>
        <v>0</v>
      </c>
      <c r="E17" s="366"/>
      <c r="F17" s="193">
        <v>0</v>
      </c>
      <c r="G17" s="222">
        <f t="shared" si="4"/>
        <v>0</v>
      </c>
      <c r="H17" s="3">
        <v>0</v>
      </c>
      <c r="I17" s="3">
        <v>0</v>
      </c>
      <c r="J17" s="36">
        <v>0</v>
      </c>
      <c r="K17" s="234">
        <f t="shared" si="2"/>
        <v>0</v>
      </c>
      <c r="L17" s="3"/>
      <c r="M17" s="3"/>
      <c r="N17" s="149"/>
      <c r="O17" s="3"/>
    </row>
    <row r="18" spans="1:15">
      <c r="A18" s="412">
        <f>ELEC!C17</f>
        <v>44940</v>
      </c>
      <c r="B18" s="36">
        <v>18</v>
      </c>
      <c r="C18" s="36">
        <v>13</v>
      </c>
      <c r="D18" s="25">
        <f t="shared" si="3"/>
        <v>15.5</v>
      </c>
      <c r="E18" s="193">
        <v>0.63</v>
      </c>
      <c r="F18" s="193">
        <v>0</v>
      </c>
      <c r="G18" s="222">
        <f t="shared" si="4"/>
        <v>0</v>
      </c>
      <c r="H18" s="3">
        <v>0</v>
      </c>
      <c r="I18" s="3">
        <v>0</v>
      </c>
      <c r="J18" s="36">
        <v>0</v>
      </c>
      <c r="K18" s="234">
        <f t="shared" si="2"/>
        <v>0</v>
      </c>
      <c r="L18" s="3"/>
      <c r="M18" s="3"/>
      <c r="N18" s="149"/>
      <c r="O18" s="3"/>
    </row>
    <row r="19" spans="1:15">
      <c r="A19" s="412">
        <f>ELEC!C18</f>
        <v>44941</v>
      </c>
      <c r="B19" s="36">
        <v>19</v>
      </c>
      <c r="C19" s="36">
        <v>12</v>
      </c>
      <c r="D19" s="25">
        <f t="shared" si="3"/>
        <v>15.5</v>
      </c>
      <c r="E19" s="193">
        <v>0.7</v>
      </c>
      <c r="F19" s="193">
        <v>0</v>
      </c>
      <c r="G19" s="222">
        <f t="shared" si="4"/>
        <v>0</v>
      </c>
      <c r="H19" s="3">
        <v>0</v>
      </c>
      <c r="I19" s="3">
        <v>0</v>
      </c>
      <c r="J19" s="36">
        <v>0</v>
      </c>
      <c r="K19" s="234">
        <f t="shared" si="2"/>
        <v>0</v>
      </c>
      <c r="L19" s="3"/>
      <c r="M19" s="3"/>
      <c r="N19" s="149"/>
      <c r="O19" s="3"/>
    </row>
    <row r="20" spans="1:15">
      <c r="A20" s="412">
        <f>ELEC!C19</f>
        <v>44942</v>
      </c>
      <c r="B20" s="36">
        <v>19</v>
      </c>
      <c r="C20" s="36">
        <v>13</v>
      </c>
      <c r="D20" s="25">
        <f t="shared" si="3"/>
        <v>16</v>
      </c>
      <c r="E20" s="193">
        <v>0.7</v>
      </c>
      <c r="F20" s="193">
        <v>0</v>
      </c>
      <c r="G20" s="222">
        <f t="shared" si="4"/>
        <v>0</v>
      </c>
      <c r="H20" s="3">
        <v>0</v>
      </c>
      <c r="I20" s="3">
        <v>0</v>
      </c>
      <c r="J20" s="36">
        <v>0</v>
      </c>
      <c r="K20" s="234">
        <f t="shared" si="2"/>
        <v>0</v>
      </c>
      <c r="L20" s="3"/>
      <c r="M20" s="3"/>
      <c r="N20" s="149"/>
      <c r="O20" s="3"/>
    </row>
    <row r="21" spans="1:15">
      <c r="A21" s="412">
        <f>ELEC!C20</f>
        <v>44943</v>
      </c>
      <c r="B21" s="36">
        <v>19</v>
      </c>
      <c r="C21" s="36">
        <v>13</v>
      </c>
      <c r="D21" s="25">
        <f t="shared" ref="D21" si="5">(C21+B21)/2</f>
        <v>16</v>
      </c>
      <c r="E21" s="193">
        <v>0.65</v>
      </c>
      <c r="F21" s="193">
        <v>0</v>
      </c>
      <c r="G21" s="222">
        <f t="shared" si="4"/>
        <v>0</v>
      </c>
      <c r="H21" s="3">
        <v>0</v>
      </c>
      <c r="I21" s="3">
        <v>0</v>
      </c>
      <c r="J21" s="36">
        <v>0</v>
      </c>
      <c r="K21" s="234">
        <f t="shared" si="2"/>
        <v>0</v>
      </c>
      <c r="L21" s="3"/>
      <c r="M21" s="3"/>
      <c r="N21" s="149"/>
      <c r="O21" s="3"/>
    </row>
    <row r="22" spans="1:15">
      <c r="A22" s="412">
        <f>ELEC!C21</f>
        <v>44944</v>
      </c>
      <c r="B22" s="36">
        <v>19</v>
      </c>
      <c r="C22" s="36">
        <v>14</v>
      </c>
      <c r="D22" s="25">
        <f>(C22+B22)/2</f>
        <v>16.5</v>
      </c>
      <c r="E22" s="193">
        <v>0.68</v>
      </c>
      <c r="F22" s="193">
        <v>0</v>
      </c>
      <c r="G22" s="222">
        <f t="shared" si="4"/>
        <v>0</v>
      </c>
      <c r="H22" s="3">
        <v>0</v>
      </c>
      <c r="I22" s="3">
        <v>0</v>
      </c>
      <c r="J22" s="36">
        <v>0</v>
      </c>
      <c r="K22" s="234">
        <f t="shared" si="2"/>
        <v>0</v>
      </c>
      <c r="L22" s="3"/>
      <c r="M22" s="3"/>
      <c r="N22" s="149"/>
      <c r="O22" s="3"/>
    </row>
    <row r="23" spans="1:15">
      <c r="A23" s="412">
        <f>ELEC!C22</f>
        <v>44945</v>
      </c>
      <c r="B23" s="36">
        <v>20</v>
      </c>
      <c r="C23" s="36">
        <v>13</v>
      </c>
      <c r="D23" s="25">
        <f t="shared" ref="D23:D35" si="6">(C23+B23)/2</f>
        <v>16.5</v>
      </c>
      <c r="E23" s="193">
        <v>0.41</v>
      </c>
      <c r="F23" s="193">
        <v>0</v>
      </c>
      <c r="G23" s="222">
        <f t="shared" si="4"/>
        <v>0</v>
      </c>
      <c r="H23" s="3">
        <v>0</v>
      </c>
      <c r="I23" s="3">
        <v>0</v>
      </c>
      <c r="J23" s="36">
        <v>0</v>
      </c>
      <c r="K23" s="234">
        <f t="shared" si="2"/>
        <v>0</v>
      </c>
      <c r="L23" s="3"/>
      <c r="M23" s="3"/>
      <c r="N23" s="149"/>
      <c r="O23" s="3"/>
    </row>
    <row r="24" spans="1:15">
      <c r="A24" s="412">
        <f>ELEC!C23</f>
        <v>44946</v>
      </c>
      <c r="B24" s="36"/>
      <c r="C24" s="36"/>
      <c r="D24" s="25"/>
      <c r="E24" s="193"/>
      <c r="F24" s="193">
        <v>0</v>
      </c>
      <c r="G24" s="222">
        <f t="shared" si="4"/>
        <v>0</v>
      </c>
      <c r="H24" s="3">
        <v>0</v>
      </c>
      <c r="I24" s="3">
        <v>0</v>
      </c>
      <c r="J24" s="36">
        <v>0</v>
      </c>
      <c r="K24" s="234">
        <f t="shared" si="2"/>
        <v>0</v>
      </c>
      <c r="L24" s="3"/>
      <c r="M24" s="3"/>
      <c r="N24" s="149"/>
      <c r="O24" s="3"/>
    </row>
    <row r="25" spans="1:15">
      <c r="A25" s="412">
        <f>ELEC!C24</f>
        <v>44947</v>
      </c>
      <c r="B25" s="36"/>
      <c r="C25" s="36"/>
      <c r="D25" s="25"/>
      <c r="E25" s="193"/>
      <c r="F25" s="193">
        <v>0</v>
      </c>
      <c r="G25" s="222">
        <f t="shared" si="4"/>
        <v>0</v>
      </c>
      <c r="H25" s="3">
        <v>0</v>
      </c>
      <c r="I25" s="3">
        <v>0</v>
      </c>
      <c r="J25" s="36">
        <v>0</v>
      </c>
      <c r="K25" s="234">
        <f t="shared" si="2"/>
        <v>0</v>
      </c>
      <c r="L25" s="3"/>
      <c r="M25" s="3"/>
      <c r="N25" s="149"/>
      <c r="O25" s="3"/>
    </row>
    <row r="26" spans="1:15">
      <c r="A26" s="412">
        <f>ELEC!C25</f>
        <v>44948</v>
      </c>
      <c r="B26" s="36">
        <v>20</v>
      </c>
      <c r="C26" s="36">
        <v>23</v>
      </c>
      <c r="D26" s="25">
        <f t="shared" si="6"/>
        <v>21.5</v>
      </c>
      <c r="E26" s="193">
        <v>0.65</v>
      </c>
      <c r="F26" s="193">
        <v>0</v>
      </c>
      <c r="G26" s="222">
        <f t="shared" si="4"/>
        <v>0</v>
      </c>
      <c r="H26" s="3">
        <v>0</v>
      </c>
      <c r="I26" s="3">
        <v>0</v>
      </c>
      <c r="J26" s="36">
        <v>0</v>
      </c>
      <c r="K26" s="234">
        <f>+J26+H26+I26</f>
        <v>0</v>
      </c>
      <c r="L26" s="3"/>
      <c r="M26" s="3"/>
      <c r="N26" s="149"/>
      <c r="O26" s="3"/>
    </row>
    <row r="27" spans="1:15">
      <c r="A27" s="412">
        <f>ELEC!C26</f>
        <v>44949</v>
      </c>
      <c r="B27" s="36"/>
      <c r="C27" s="36"/>
      <c r="D27" s="25">
        <f t="shared" si="6"/>
        <v>0</v>
      </c>
      <c r="E27" s="193"/>
      <c r="F27" s="193">
        <v>0</v>
      </c>
      <c r="G27" s="222">
        <f t="shared" si="4"/>
        <v>0</v>
      </c>
      <c r="H27" s="3">
        <v>0</v>
      </c>
      <c r="I27" s="3">
        <v>0</v>
      </c>
      <c r="J27" s="36">
        <v>0</v>
      </c>
      <c r="K27" s="234">
        <f t="shared" ref="K27:K32" si="7">+J27+H27+I27</f>
        <v>0</v>
      </c>
      <c r="L27" s="3"/>
      <c r="M27" s="3"/>
      <c r="N27" s="149"/>
      <c r="O27" s="3"/>
    </row>
    <row r="28" spans="1:15">
      <c r="A28" s="412">
        <f>ELEC!C27</f>
        <v>44950</v>
      </c>
      <c r="B28" s="36"/>
      <c r="C28" s="36"/>
      <c r="D28" s="25">
        <f t="shared" si="6"/>
        <v>0</v>
      </c>
      <c r="E28" s="193"/>
      <c r="F28" s="193">
        <v>0</v>
      </c>
      <c r="G28" s="222">
        <f t="shared" si="4"/>
        <v>0</v>
      </c>
      <c r="H28" s="3">
        <v>0</v>
      </c>
      <c r="I28" s="3">
        <v>0</v>
      </c>
      <c r="J28" s="36">
        <v>0</v>
      </c>
      <c r="K28" s="234">
        <f t="shared" si="7"/>
        <v>0</v>
      </c>
      <c r="L28" s="3"/>
      <c r="M28" s="3"/>
      <c r="N28" s="149"/>
      <c r="O28" s="3"/>
    </row>
    <row r="29" spans="1:15">
      <c r="A29" s="412">
        <f>ELEC!C28</f>
        <v>44951</v>
      </c>
      <c r="B29" s="36"/>
      <c r="C29" s="36"/>
      <c r="D29" s="25">
        <f t="shared" si="6"/>
        <v>0</v>
      </c>
      <c r="E29" s="193"/>
      <c r="F29" s="193">
        <v>0</v>
      </c>
      <c r="G29" s="222">
        <f t="shared" si="4"/>
        <v>0</v>
      </c>
      <c r="H29" s="3">
        <v>0</v>
      </c>
      <c r="I29" s="3">
        <v>0</v>
      </c>
      <c r="J29" s="36">
        <v>0</v>
      </c>
      <c r="K29" s="234">
        <f t="shared" si="7"/>
        <v>0</v>
      </c>
      <c r="L29" s="3"/>
      <c r="M29" s="3"/>
      <c r="N29" s="149"/>
      <c r="O29" s="3"/>
    </row>
    <row r="30" spans="1:15">
      <c r="A30" s="412">
        <f>ELEC!C29</f>
        <v>44952</v>
      </c>
      <c r="B30" s="36"/>
      <c r="C30" s="36"/>
      <c r="D30" s="25">
        <f t="shared" si="6"/>
        <v>0</v>
      </c>
      <c r="E30" s="291"/>
      <c r="F30" s="193">
        <v>0</v>
      </c>
      <c r="G30" s="222">
        <f t="shared" si="4"/>
        <v>0</v>
      </c>
      <c r="H30" s="3">
        <v>0</v>
      </c>
      <c r="I30" s="3">
        <v>0</v>
      </c>
      <c r="J30" s="36">
        <v>0</v>
      </c>
      <c r="K30" s="234">
        <f t="shared" si="7"/>
        <v>0</v>
      </c>
      <c r="L30" s="3"/>
      <c r="M30" s="3"/>
      <c r="N30" s="149"/>
      <c r="O30" s="3"/>
    </row>
    <row r="31" spans="1:15">
      <c r="A31" s="412">
        <f>ELEC!C30</f>
        <v>44953</v>
      </c>
      <c r="B31" s="36"/>
      <c r="C31" s="36"/>
      <c r="D31" s="25">
        <f t="shared" si="6"/>
        <v>0</v>
      </c>
      <c r="E31" s="291"/>
      <c r="F31" s="291">
        <v>0</v>
      </c>
      <c r="G31" s="222">
        <f t="shared" si="4"/>
        <v>0</v>
      </c>
      <c r="H31" s="3">
        <v>0</v>
      </c>
      <c r="I31" s="3">
        <v>0</v>
      </c>
      <c r="J31" s="36">
        <v>0</v>
      </c>
      <c r="K31" s="234">
        <f t="shared" si="7"/>
        <v>0</v>
      </c>
      <c r="L31" s="3"/>
      <c r="M31" s="3"/>
      <c r="N31" s="149"/>
      <c r="O31" s="3"/>
    </row>
    <row r="32" spans="1:15">
      <c r="A32" s="412">
        <f>ELEC!C31</f>
        <v>44954</v>
      </c>
      <c r="B32" s="36"/>
      <c r="C32" s="36"/>
      <c r="D32" s="25">
        <f t="shared" si="6"/>
        <v>0</v>
      </c>
      <c r="E32" s="193"/>
      <c r="F32" s="291">
        <v>0</v>
      </c>
      <c r="G32" s="222">
        <f t="shared" si="4"/>
        <v>0</v>
      </c>
      <c r="H32" s="3">
        <v>0</v>
      </c>
      <c r="I32" s="3">
        <v>0</v>
      </c>
      <c r="J32" s="36">
        <v>0</v>
      </c>
      <c r="K32" s="234">
        <f t="shared" si="7"/>
        <v>0</v>
      </c>
      <c r="L32" s="3"/>
      <c r="M32" s="3"/>
      <c r="N32" s="149"/>
      <c r="O32" s="3"/>
    </row>
    <row r="33" spans="1:15">
      <c r="A33" s="412">
        <f>ELEC!C32</f>
        <v>44955</v>
      </c>
      <c r="B33" s="36"/>
      <c r="C33" s="36"/>
      <c r="D33" s="25">
        <f t="shared" si="6"/>
        <v>0</v>
      </c>
      <c r="E33" s="193"/>
      <c r="F33" s="291">
        <v>0</v>
      </c>
      <c r="G33" s="222">
        <f t="shared" ref="G33:G35" si="8">F33*230</f>
        <v>0</v>
      </c>
      <c r="H33" s="3">
        <v>0</v>
      </c>
      <c r="I33" s="3">
        <v>0</v>
      </c>
      <c r="J33" s="36">
        <v>0</v>
      </c>
      <c r="K33" s="234">
        <f t="shared" ref="K33:K35" si="9">+J33+H33+I33</f>
        <v>0</v>
      </c>
      <c r="L33" s="3"/>
      <c r="M33" s="3"/>
      <c r="N33" s="149"/>
      <c r="O33" s="3"/>
    </row>
    <row r="34" spans="1:15">
      <c r="A34" s="412">
        <f>ELEC!C33</f>
        <v>44956</v>
      </c>
      <c r="B34" s="36"/>
      <c r="C34" s="36"/>
      <c r="D34" s="25">
        <f t="shared" si="6"/>
        <v>0</v>
      </c>
      <c r="E34" s="193"/>
      <c r="F34" s="291">
        <v>0</v>
      </c>
      <c r="G34" s="222">
        <f t="shared" si="8"/>
        <v>0</v>
      </c>
      <c r="H34" s="3">
        <v>0</v>
      </c>
      <c r="I34" s="3">
        <v>0</v>
      </c>
      <c r="J34" s="36">
        <v>0</v>
      </c>
      <c r="K34" s="234">
        <f t="shared" si="9"/>
        <v>0</v>
      </c>
      <c r="L34" s="3"/>
      <c r="M34" s="3"/>
      <c r="N34" s="149"/>
      <c r="O34" s="3"/>
    </row>
    <row r="35" spans="1:15">
      <c r="A35" s="412">
        <f>ELEC!C34</f>
        <v>44957</v>
      </c>
      <c r="B35" s="36"/>
      <c r="C35" s="36"/>
      <c r="D35" s="25">
        <f t="shared" si="6"/>
        <v>0</v>
      </c>
      <c r="E35" s="193"/>
      <c r="F35" s="291">
        <v>0</v>
      </c>
      <c r="G35" s="222">
        <f t="shared" si="8"/>
        <v>0</v>
      </c>
      <c r="H35" s="3">
        <v>0</v>
      </c>
      <c r="I35" s="3">
        <v>0</v>
      </c>
      <c r="J35" s="36">
        <v>0</v>
      </c>
      <c r="K35" s="234">
        <f t="shared" si="9"/>
        <v>0</v>
      </c>
      <c r="L35" s="3"/>
      <c r="M35" s="3"/>
      <c r="N35" s="149"/>
      <c r="O35" s="3"/>
    </row>
    <row r="36" spans="1:15">
      <c r="D36" s="232"/>
      <c r="F36" s="439">
        <f>AVERAGE(F5:F35)</f>
        <v>0</v>
      </c>
      <c r="G36" s="192">
        <f>SUM(G5:G35)</f>
        <v>0</v>
      </c>
    </row>
    <row r="37" spans="1:15">
      <c r="D37" s="232">
        <f>SUM(D5:D35)/'EDl log'!A35</f>
        <v>89.5</v>
      </c>
      <c r="F37" s="198"/>
    </row>
    <row r="40" spans="1:15">
      <c r="I40" s="350" t="s">
        <v>186</v>
      </c>
    </row>
  </sheetData>
  <mergeCells count="1">
    <mergeCell ref="A1:O2"/>
  </mergeCells>
  <hyperlinks>
    <hyperlink ref="I40" r:id="rId1" xr:uid="{00000000-0004-0000-0600-000000000000}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50"/>
  <sheetViews>
    <sheetView tabSelected="1" zoomScale="60" zoomScaleNormal="60" workbookViewId="0">
      <pane ySplit="1" topLeftCell="A21" activePane="bottomLeft" state="frozen"/>
      <selection pane="bottomLeft" activeCell="K24" sqref="K24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3.140625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19" customFormat="1" ht="46.5">
      <c r="A1" s="24"/>
      <c r="B1" s="348" t="s">
        <v>187</v>
      </c>
      <c r="C1" s="24" t="s">
        <v>188</v>
      </c>
      <c r="D1" s="24" t="s">
        <v>189</v>
      </c>
      <c r="E1" s="24" t="s">
        <v>190</v>
      </c>
      <c r="F1" s="24" t="s">
        <v>191</v>
      </c>
      <c r="G1" s="24"/>
      <c r="H1" s="24" t="s">
        <v>192</v>
      </c>
      <c r="I1" s="24" t="s">
        <v>193</v>
      </c>
      <c r="J1" s="348" t="s">
        <v>194</v>
      </c>
      <c r="K1" s="24" t="s">
        <v>188</v>
      </c>
      <c r="L1" s="24" t="s">
        <v>189</v>
      </c>
      <c r="M1" s="24" t="s">
        <v>190</v>
      </c>
      <c r="N1" s="24" t="s">
        <v>191</v>
      </c>
      <c r="O1" s="247"/>
      <c r="P1" s="24" t="s">
        <v>192</v>
      </c>
      <c r="Q1" s="24" t="s">
        <v>193</v>
      </c>
      <c r="R1" s="348" t="s">
        <v>195</v>
      </c>
      <c r="S1" s="24" t="s">
        <v>188</v>
      </c>
      <c r="T1" s="24" t="s">
        <v>189</v>
      </c>
      <c r="U1" s="24" t="s">
        <v>190</v>
      </c>
      <c r="V1" s="24" t="s">
        <v>191</v>
      </c>
      <c r="W1" s="24"/>
      <c r="X1" s="24" t="s">
        <v>192</v>
      </c>
      <c r="Y1" s="24" t="s">
        <v>193</v>
      </c>
      <c r="Z1" s="24" t="s">
        <v>196</v>
      </c>
      <c r="AA1" s="24" t="s">
        <v>197</v>
      </c>
      <c r="AB1" s="247" t="s">
        <v>198</v>
      </c>
      <c r="AC1" s="247" t="s">
        <v>199</v>
      </c>
      <c r="AD1" s="70" t="s">
        <v>200</v>
      </c>
      <c r="AE1" s="70"/>
      <c r="AF1" s="70"/>
      <c r="AG1" s="70"/>
      <c r="AH1" s="70"/>
      <c r="AI1" s="70" t="s">
        <v>201</v>
      </c>
      <c r="AK1" s="19" t="s">
        <v>202</v>
      </c>
    </row>
    <row r="2" spans="1:38" ht="15.75" thickBot="1">
      <c r="A2" s="4">
        <v>44926</v>
      </c>
      <c r="B2" s="238">
        <v>1724</v>
      </c>
      <c r="C2" s="238">
        <v>0</v>
      </c>
      <c r="D2" s="238">
        <f>[2]GEN!D32</f>
        <v>805681</v>
      </c>
      <c r="E2" s="238">
        <f>[2]GEN!E32</f>
        <v>1190</v>
      </c>
      <c r="F2" s="238">
        <f>[2]GEN!F32</f>
        <v>85</v>
      </c>
      <c r="G2" s="238">
        <f>[2]GEN!G32</f>
        <v>0</v>
      </c>
      <c r="H2" s="238">
        <f>[2]GEN!H32</f>
        <v>12231</v>
      </c>
      <c r="I2" s="238" t="str">
        <f>[2]GEN!I32</f>
        <v>ok</v>
      </c>
      <c r="J2" s="238">
        <v>146</v>
      </c>
      <c r="K2" s="238">
        <f>[2]GEN!K32</f>
        <v>0</v>
      </c>
      <c r="L2" s="238">
        <f>[2]GEN!L32</f>
        <v>392191</v>
      </c>
      <c r="M2" s="238">
        <f>[2]GEN!M32</f>
        <v>0</v>
      </c>
      <c r="N2" s="238">
        <f>[2]GEN!N32</f>
        <v>250</v>
      </c>
      <c r="O2" s="238">
        <f>[2]GEN!O32</f>
        <v>0</v>
      </c>
      <c r="P2" s="238">
        <f>[2]GEN!P32</f>
        <v>10873</v>
      </c>
      <c r="Q2" s="238" t="str">
        <f>[2]GEN!Q32</f>
        <v>ok</v>
      </c>
      <c r="R2" s="238">
        <f>[2]GEN!R32</f>
        <v>13917</v>
      </c>
      <c r="S2" s="238">
        <f>[2]GEN!S32</f>
        <v>0</v>
      </c>
      <c r="T2" s="238">
        <f>[2]GEN!T32</f>
        <v>418512</v>
      </c>
      <c r="U2" s="238">
        <f>[2]GEN!U32</f>
        <v>0</v>
      </c>
      <c r="V2" s="238">
        <f>[2]GEN!V32</f>
        <v>250</v>
      </c>
      <c r="W2" s="238">
        <f>[2]GEN!W32</f>
        <v>0</v>
      </c>
      <c r="X2" s="238">
        <f>[2]GEN!X32</f>
        <v>14773</v>
      </c>
      <c r="Y2" s="238" t="str">
        <f>[2]GEN!Y32</f>
        <v>ok</v>
      </c>
      <c r="Z2" s="238">
        <f>[2]GEN!Z32</f>
        <v>14</v>
      </c>
      <c r="AA2" s="238">
        <f>[2]GEN!AA32</f>
        <v>1190</v>
      </c>
      <c r="AB2" s="238">
        <f>[2]GEN!AB32</f>
        <v>585</v>
      </c>
      <c r="AC2" s="238">
        <f>[2]GEN!AC32</f>
        <v>85</v>
      </c>
      <c r="AD2" s="238">
        <f>[2]GEN!AD32</f>
        <v>3586.9999999995343</v>
      </c>
      <c r="AE2" s="238">
        <f>[2]GEN!AE32</f>
        <v>256.21428571425247</v>
      </c>
      <c r="AF2" s="238">
        <f>[2]GEN!AF32</f>
        <v>0.16013392857140779</v>
      </c>
      <c r="AG2" s="238">
        <f>[2]GEN!AG32</f>
        <v>1.0008370535712987E-4</v>
      </c>
      <c r="AH2" s="238">
        <f>[2]GEN!AH32</f>
        <v>84.999899916294638</v>
      </c>
      <c r="AI2" s="238">
        <f>[2]GEN!AI32</f>
        <v>923.23628691971146</v>
      </c>
      <c r="AJ2" s="238">
        <f>[2]GEN!AJ32</f>
        <v>0.25738396624472576</v>
      </c>
      <c r="AK2" s="238">
        <f>[2]GEN!AK32</f>
        <v>65.94544906569368</v>
      </c>
      <c r="AL2" s="238">
        <f>[2]GEN!AL32</f>
        <v>1</v>
      </c>
    </row>
    <row r="3" spans="1:38" ht="15.75" thickBot="1">
      <c r="A3" s="4">
        <f>ELEC!C4</f>
        <v>44927</v>
      </c>
      <c r="B3" s="523">
        <v>1724</v>
      </c>
      <c r="C3" s="248">
        <f>B3-B2</f>
        <v>0</v>
      </c>
      <c r="D3" s="444">
        <f>D2+C3*250</f>
        <v>805681</v>
      </c>
      <c r="E3" s="248">
        <f>SUM(D3-D2)</f>
        <v>0</v>
      </c>
      <c r="F3" s="248">
        <f t="shared" ref="F3:F30" si="0">IF(C3&gt;0,E3/C3,0)</f>
        <v>0</v>
      </c>
      <c r="G3" s="238" t="e" vm="1">
        <f>[4]GEN!G32</f>
        <v>#VALUE!</v>
      </c>
      <c r="H3" s="238">
        <f>H2</f>
        <v>12231</v>
      </c>
      <c r="I3" s="248" t="str">
        <f t="shared" ref="I3:I30" si="1">IF(B3-H3&lt;=0,"ok","oil change")</f>
        <v>ok</v>
      </c>
      <c r="J3" s="443">
        <f>J2</f>
        <v>146</v>
      </c>
      <c r="K3" s="248">
        <f t="shared" ref="K3:K33" si="2">J3-J2</f>
        <v>0</v>
      </c>
      <c r="L3" s="444">
        <f>L2</f>
        <v>392191</v>
      </c>
      <c r="M3" s="248">
        <f t="shared" ref="M3:M33" si="3">SUM(L3-L2)</f>
        <v>0</v>
      </c>
      <c r="N3" s="248">
        <v>250</v>
      </c>
      <c r="O3" s="238" t="e" vm="1">
        <f>[4]GEN!O32</f>
        <v>#VALUE!</v>
      </c>
      <c r="P3" s="249">
        <f>P2</f>
        <v>10873</v>
      </c>
      <c r="Q3" s="248" t="str">
        <f t="shared" ref="Q3:Q17" si="4">IF(J3-P3&lt;=0,"ok","oil change")</f>
        <v>ok</v>
      </c>
      <c r="R3" s="443">
        <f>R2</f>
        <v>13917</v>
      </c>
      <c r="S3" s="248">
        <f t="shared" ref="S3:S30" si="5">R3-R2</f>
        <v>0</v>
      </c>
      <c r="T3" s="444">
        <f t="shared" ref="T3:T8" si="6">T2+U3</f>
        <v>418512</v>
      </c>
      <c r="U3" s="248">
        <f t="shared" ref="U3:U8" si="7">V3*S3</f>
        <v>0</v>
      </c>
      <c r="V3" s="248">
        <v>250</v>
      </c>
      <c r="W3" s="238" t="e" vm="1">
        <f>[4]GEN!W32</f>
        <v>#VALUE!</v>
      </c>
      <c r="X3" s="238">
        <f>X2</f>
        <v>14773</v>
      </c>
      <c r="Y3" s="248" t="str">
        <f>IF(R3-X3&lt;=0,"ok","oil change")</f>
        <v>ok</v>
      </c>
      <c r="Z3" s="248">
        <f t="shared" ref="Z3:Z33" si="8">C3+K3+S3</f>
        <v>0</v>
      </c>
      <c r="AA3" s="248">
        <f>U3+M3+E3</f>
        <v>0</v>
      </c>
      <c r="AB3" s="248">
        <f>V3+N3+F3</f>
        <v>500</v>
      </c>
      <c r="AC3" s="248">
        <f>IF(Z3&gt;0,AA3/Z3,0)</f>
        <v>0</v>
      </c>
      <c r="AD3" s="71">
        <f>ELEC!Q4</f>
        <v>0</v>
      </c>
      <c r="AE3" s="71" t="e">
        <f>SUM(AD3/Z3)</f>
        <v>#DIV/0!</v>
      </c>
      <c r="AF3" s="345" t="e">
        <f>SUM(AE3/1600)</f>
        <v>#DIV/0!</v>
      </c>
      <c r="AG3" s="346" t="e">
        <f>SUM(360*AF3)</f>
        <v>#DIV/0!</v>
      </c>
      <c r="AH3" s="346" t="e">
        <f>SUM(AC3-AG3)</f>
        <v>#DIV/0!</v>
      </c>
      <c r="AI3" s="71">
        <f>AD3*AJ3</f>
        <v>0</v>
      </c>
      <c r="AJ3" s="250">
        <f t="shared" ref="AJ3:AJ33" si="9">305/1185</f>
        <v>0.25738396624472576</v>
      </c>
      <c r="AK3" s="250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44928</v>
      </c>
      <c r="B4" s="523">
        <v>1724</v>
      </c>
      <c r="C4" s="248">
        <f t="shared" ref="C4:C19" si="11">B4-B3</f>
        <v>0</v>
      </c>
      <c r="D4" s="444">
        <f>D3+C4*85</f>
        <v>805681</v>
      </c>
      <c r="E4" s="248">
        <f t="shared" ref="E4:E33" si="12">SUM(D4-D3)</f>
        <v>0</v>
      </c>
      <c r="F4" s="248">
        <f t="shared" si="0"/>
        <v>0</v>
      </c>
      <c r="G4" s="185"/>
      <c r="H4" s="238">
        <f t="shared" ref="H4:H33" si="13">H3</f>
        <v>12231</v>
      </c>
      <c r="I4" s="248" t="str">
        <f t="shared" si="1"/>
        <v>ok</v>
      </c>
      <c r="J4" s="443">
        <f t="shared" ref="J4:J33" si="14">J3</f>
        <v>146</v>
      </c>
      <c r="K4" s="248">
        <f t="shared" si="2"/>
        <v>0</v>
      </c>
      <c r="L4" s="444">
        <f t="shared" ref="L4:L5" si="15">L3</f>
        <v>392191</v>
      </c>
      <c r="M4" s="248">
        <f t="shared" si="3"/>
        <v>0</v>
      </c>
      <c r="N4" s="248">
        <v>250</v>
      </c>
      <c r="O4" s="185"/>
      <c r="P4" s="249">
        <f t="shared" ref="P4:P33" si="16">P3</f>
        <v>10873</v>
      </c>
      <c r="Q4" s="248" t="str">
        <f t="shared" si="4"/>
        <v>ok</v>
      </c>
      <c r="R4" s="443">
        <f t="shared" ref="R4:R33" si="17">R3</f>
        <v>13917</v>
      </c>
      <c r="S4" s="248">
        <f t="shared" si="5"/>
        <v>0</v>
      </c>
      <c r="T4" s="444">
        <f t="shared" si="6"/>
        <v>418512</v>
      </c>
      <c r="U4" s="248">
        <f t="shared" si="7"/>
        <v>0</v>
      </c>
      <c r="V4" s="248">
        <v>250</v>
      </c>
      <c r="W4" s="185"/>
      <c r="X4" s="238">
        <f t="shared" ref="X4:X33" si="18">X3</f>
        <v>14773</v>
      </c>
      <c r="Y4" s="248" t="str">
        <f t="shared" ref="Y4:Y33" si="19">IF(R4-X4&lt;=0,"ok","oil change")</f>
        <v>ok</v>
      </c>
      <c r="Z4" s="248">
        <f t="shared" si="8"/>
        <v>0</v>
      </c>
      <c r="AA4" s="248">
        <f t="shared" ref="AA4:AA30" si="20">U4+M4+E4</f>
        <v>0</v>
      </c>
      <c r="AB4" s="248">
        <f t="shared" ref="AB4:AB30" si="21">V4+N4+F4</f>
        <v>500</v>
      </c>
      <c r="AC4" s="248">
        <f t="shared" ref="AC4:AC30" si="22">IF(Z4&gt;0,AA4/Z4,0)</f>
        <v>0</v>
      </c>
      <c r="AD4" s="71">
        <f>ELEC!Q5</f>
        <v>0</v>
      </c>
      <c r="AE4" s="71" t="e">
        <f>SUM(AD4/Z4)</f>
        <v>#DIV/0!</v>
      </c>
      <c r="AF4" s="345" t="e">
        <f>SUM(AE4/1600)</f>
        <v>#DIV/0!</v>
      </c>
      <c r="AG4" s="346" t="e">
        <f>SUM(360*AF4)</f>
        <v>#DIV/0!</v>
      </c>
      <c r="AH4" s="346" t="e">
        <f t="shared" ref="AH4:AH30" si="23">SUM(AC4-AG4)</f>
        <v>#DIV/0!</v>
      </c>
      <c r="AI4" s="71">
        <f>AD4*AJ4</f>
        <v>0</v>
      </c>
      <c r="AJ4" s="250">
        <f t="shared" si="9"/>
        <v>0.25738396624472576</v>
      </c>
      <c r="AK4" s="250" t="e">
        <f t="shared" si="10"/>
        <v>#DIV/0!</v>
      </c>
      <c r="AL4">
        <f t="shared" ref="AL4:AL30" si="24">IF(Z4=0,0,1)</f>
        <v>0</v>
      </c>
    </row>
    <row r="5" spans="1:38" ht="15.75" thickBot="1">
      <c r="A5" s="4">
        <f>ELEC!C6</f>
        <v>44929</v>
      </c>
      <c r="B5" s="523">
        <v>1734</v>
      </c>
      <c r="C5" s="248">
        <f t="shared" si="11"/>
        <v>10</v>
      </c>
      <c r="D5" s="444">
        <f t="shared" ref="D5:D33" si="25">D4+C5*85</f>
        <v>806531</v>
      </c>
      <c r="E5" s="248">
        <f t="shared" si="12"/>
        <v>850</v>
      </c>
      <c r="F5" s="248">
        <f t="shared" si="0"/>
        <v>85</v>
      </c>
      <c r="G5" s="185"/>
      <c r="H5" s="238">
        <f t="shared" si="13"/>
        <v>12231</v>
      </c>
      <c r="I5" s="248" t="str">
        <f t="shared" si="1"/>
        <v>ok</v>
      </c>
      <c r="J5" s="443">
        <f t="shared" si="14"/>
        <v>146</v>
      </c>
      <c r="K5" s="248">
        <f t="shared" si="2"/>
        <v>0</v>
      </c>
      <c r="L5" s="444">
        <f t="shared" si="15"/>
        <v>392191</v>
      </c>
      <c r="M5" s="248">
        <f>SUM(L5-L4)</f>
        <v>0</v>
      </c>
      <c r="N5" s="248">
        <v>250</v>
      </c>
      <c r="O5" s="185"/>
      <c r="P5" s="249">
        <f t="shared" si="16"/>
        <v>10873</v>
      </c>
      <c r="Q5" s="248" t="str">
        <f t="shared" si="4"/>
        <v>ok</v>
      </c>
      <c r="R5" s="443">
        <f t="shared" si="17"/>
        <v>13917</v>
      </c>
      <c r="S5" s="248">
        <f t="shared" si="5"/>
        <v>0</v>
      </c>
      <c r="T5" s="444">
        <f t="shared" si="6"/>
        <v>418512</v>
      </c>
      <c r="U5" s="248">
        <f t="shared" si="7"/>
        <v>0</v>
      </c>
      <c r="V5" s="248">
        <v>250</v>
      </c>
      <c r="W5" s="185"/>
      <c r="X5" s="238">
        <f t="shared" si="18"/>
        <v>14773</v>
      </c>
      <c r="Y5" s="248" t="str">
        <f t="shared" si="19"/>
        <v>ok</v>
      </c>
      <c r="Z5" s="248">
        <f t="shared" si="8"/>
        <v>10</v>
      </c>
      <c r="AA5" s="248">
        <f t="shared" si="20"/>
        <v>850</v>
      </c>
      <c r="AB5" s="248">
        <f t="shared" si="21"/>
        <v>585</v>
      </c>
      <c r="AC5" s="248">
        <f t="shared" si="22"/>
        <v>85</v>
      </c>
      <c r="AD5" s="71">
        <f>ELEC!Q6</f>
        <v>3419.000000001688</v>
      </c>
      <c r="AE5" s="71">
        <f t="shared" ref="AE5:AE30" si="26">SUM(AD5/Z5)</f>
        <v>341.9000000001688</v>
      </c>
      <c r="AF5" s="345">
        <f t="shared" ref="AF5:AG30" si="27">SUM(AE5/1600)</f>
        <v>0.2136875000001055</v>
      </c>
      <c r="AG5" s="346">
        <f>SUM(320*AF5)</f>
        <v>68.38000000003376</v>
      </c>
      <c r="AH5" s="346">
        <f t="shared" si="23"/>
        <v>16.61999999996624</v>
      </c>
      <c r="AI5" s="71">
        <f t="shared" ref="AI5:AI30" si="28">AD5*AJ5</f>
        <v>879.99578059115186</v>
      </c>
      <c r="AJ5" s="250">
        <f t="shared" si="9"/>
        <v>0.25738396624472576</v>
      </c>
      <c r="AK5" s="250">
        <f t="shared" si="10"/>
        <v>87.99957805911518</v>
      </c>
      <c r="AL5">
        <f t="shared" si="24"/>
        <v>1</v>
      </c>
    </row>
    <row r="6" spans="1:38" ht="15.75" thickBot="1">
      <c r="A6" s="4">
        <f>ELEC!C7</f>
        <v>44930</v>
      </c>
      <c r="B6" s="523">
        <v>1751</v>
      </c>
      <c r="C6" s="248">
        <f>B6-B5</f>
        <v>17</v>
      </c>
      <c r="D6" s="444">
        <f t="shared" si="25"/>
        <v>807976</v>
      </c>
      <c r="E6" s="248">
        <f t="shared" si="12"/>
        <v>1445</v>
      </c>
      <c r="F6" s="248">
        <f t="shared" si="0"/>
        <v>85</v>
      </c>
      <c r="G6" s="185"/>
      <c r="H6" s="238">
        <f t="shared" si="13"/>
        <v>12231</v>
      </c>
      <c r="I6" s="248" t="str">
        <f t="shared" si="1"/>
        <v>ok</v>
      </c>
      <c r="J6" s="443">
        <f t="shared" si="14"/>
        <v>146</v>
      </c>
      <c r="K6" s="248">
        <f t="shared" si="2"/>
        <v>0</v>
      </c>
      <c r="L6" s="444">
        <f>(K6*N5)+L5</f>
        <v>392191</v>
      </c>
      <c r="M6" s="248">
        <f t="shared" si="3"/>
        <v>0</v>
      </c>
      <c r="N6" s="248">
        <v>250</v>
      </c>
      <c r="O6" s="185"/>
      <c r="P6" s="249">
        <f t="shared" si="16"/>
        <v>10873</v>
      </c>
      <c r="Q6" s="248" t="str">
        <f t="shared" si="4"/>
        <v>ok</v>
      </c>
      <c r="R6" s="443">
        <f t="shared" si="17"/>
        <v>13917</v>
      </c>
      <c r="S6" s="248">
        <f t="shared" si="5"/>
        <v>0</v>
      </c>
      <c r="T6" s="444">
        <f t="shared" si="6"/>
        <v>418512</v>
      </c>
      <c r="U6" s="248">
        <f t="shared" si="7"/>
        <v>0</v>
      </c>
      <c r="V6" s="248">
        <v>250</v>
      </c>
      <c r="W6" s="185"/>
      <c r="X6" s="238">
        <f t="shared" si="18"/>
        <v>14773</v>
      </c>
      <c r="Y6" s="248" t="str">
        <f t="shared" si="19"/>
        <v>ok</v>
      </c>
      <c r="Z6" s="248">
        <f t="shared" si="8"/>
        <v>17</v>
      </c>
      <c r="AA6" s="248">
        <f t="shared" si="20"/>
        <v>1445</v>
      </c>
      <c r="AB6" s="248">
        <f t="shared" si="21"/>
        <v>585</v>
      </c>
      <c r="AC6" s="248">
        <f t="shared" si="22"/>
        <v>85</v>
      </c>
      <c r="AD6" s="71">
        <f>ELEC!Q7</f>
        <v>2737.0000000009895</v>
      </c>
      <c r="AE6" s="71">
        <f>SUM(AD6/Z6)</f>
        <v>161.00000000005821</v>
      </c>
      <c r="AF6" s="345">
        <f t="shared" si="27"/>
        <v>0.10062500000003638</v>
      </c>
      <c r="AG6" s="346">
        <f>SUM(320*AF6)</f>
        <v>32.200000000011642</v>
      </c>
      <c r="AH6" s="346">
        <f t="shared" si="23"/>
        <v>52.799999999988358</v>
      </c>
      <c r="AI6" s="71">
        <f t="shared" si="28"/>
        <v>704.45991561206904</v>
      </c>
      <c r="AJ6" s="250">
        <f t="shared" si="9"/>
        <v>0.25738396624472576</v>
      </c>
      <c r="AK6" s="250">
        <f t="shared" si="10"/>
        <v>41.438818565415829</v>
      </c>
      <c r="AL6">
        <f t="shared" si="24"/>
        <v>1</v>
      </c>
    </row>
    <row r="7" spans="1:38" ht="15.75" thickBot="1">
      <c r="A7" s="4">
        <f>ELEC!C8</f>
        <v>44931</v>
      </c>
      <c r="B7" s="523">
        <v>1761</v>
      </c>
      <c r="C7" s="248">
        <f t="shared" si="11"/>
        <v>10</v>
      </c>
      <c r="D7" s="444">
        <f t="shared" si="25"/>
        <v>808826</v>
      </c>
      <c r="E7" s="248">
        <f t="shared" si="12"/>
        <v>850</v>
      </c>
      <c r="F7" s="248">
        <f t="shared" si="0"/>
        <v>85</v>
      </c>
      <c r="G7" s="185"/>
      <c r="H7" s="238">
        <f t="shared" si="13"/>
        <v>12231</v>
      </c>
      <c r="I7" s="248" t="str">
        <f t="shared" si="1"/>
        <v>ok</v>
      </c>
      <c r="J7" s="443">
        <v>147</v>
      </c>
      <c r="K7" s="248"/>
      <c r="L7" s="444">
        <f t="shared" ref="L7:L33" si="29">(K7*N6)+L6</f>
        <v>392191</v>
      </c>
      <c r="M7" s="248">
        <f t="shared" si="3"/>
        <v>0</v>
      </c>
      <c r="N7" s="248">
        <v>250</v>
      </c>
      <c r="O7" s="185"/>
      <c r="P7" s="249">
        <f t="shared" si="16"/>
        <v>10873</v>
      </c>
      <c r="Q7" s="248" t="str">
        <f>IF(J7-P7&lt;=0,"ok","oil change")</f>
        <v>ok</v>
      </c>
      <c r="R7" s="443">
        <f t="shared" si="17"/>
        <v>13917</v>
      </c>
      <c r="S7" s="248">
        <f t="shared" si="5"/>
        <v>0</v>
      </c>
      <c r="T7" s="444">
        <f t="shared" si="6"/>
        <v>418512</v>
      </c>
      <c r="U7" s="248">
        <f>V7*S7</f>
        <v>0</v>
      </c>
      <c r="V7" s="248">
        <v>250</v>
      </c>
      <c r="W7" s="185"/>
      <c r="X7" s="238">
        <f t="shared" si="18"/>
        <v>14773</v>
      </c>
      <c r="Y7" s="248" t="str">
        <f>IF(R7-X7&lt;=0,"ok","oil change")</f>
        <v>ok</v>
      </c>
      <c r="Z7" s="248">
        <f t="shared" si="8"/>
        <v>10</v>
      </c>
      <c r="AA7" s="248">
        <f>U7+M7+E7</f>
        <v>850</v>
      </c>
      <c r="AB7" s="248">
        <f t="shared" si="21"/>
        <v>585</v>
      </c>
      <c r="AC7" s="248">
        <f t="shared" si="22"/>
        <v>85</v>
      </c>
      <c r="AD7" s="71">
        <f>ELEC!Q8</f>
        <v>2341.999999996915</v>
      </c>
      <c r="AE7" s="71">
        <f t="shared" si="26"/>
        <v>234.1999999996915</v>
      </c>
      <c r="AF7" s="345">
        <f t="shared" si="27"/>
        <v>0.14637499999980719</v>
      </c>
      <c r="AG7" s="345">
        <f t="shared" si="27"/>
        <v>9.148437499987949E-5</v>
      </c>
      <c r="AH7" s="346">
        <f t="shared" si="23"/>
        <v>84.999908515624995</v>
      </c>
      <c r="AI7" s="71">
        <f t="shared" si="28"/>
        <v>602.79324894435365</v>
      </c>
      <c r="AJ7" s="250">
        <f t="shared" si="9"/>
        <v>0.25738396624472576</v>
      </c>
      <c r="AK7" s="250">
        <f t="shared" si="10"/>
        <v>60.279324894435362</v>
      </c>
      <c r="AL7">
        <f t="shared" si="24"/>
        <v>1</v>
      </c>
    </row>
    <row r="8" spans="1:38" ht="15.75" thickBot="1">
      <c r="A8" s="4">
        <f>ELEC!C9</f>
        <v>44932</v>
      </c>
      <c r="B8" s="523">
        <f>B7</f>
        <v>1761</v>
      </c>
      <c r="C8" s="248">
        <f t="shared" si="11"/>
        <v>0</v>
      </c>
      <c r="D8" s="444">
        <f t="shared" si="25"/>
        <v>808826</v>
      </c>
      <c r="E8" s="248">
        <f t="shared" si="12"/>
        <v>0</v>
      </c>
      <c r="F8" s="248">
        <f t="shared" si="0"/>
        <v>0</v>
      </c>
      <c r="G8" s="185"/>
      <c r="H8" s="238">
        <f t="shared" si="13"/>
        <v>12231</v>
      </c>
      <c r="I8" s="248" t="str">
        <f>IF(B8-H8&lt;=0,"ok","oil change")</f>
        <v>ok</v>
      </c>
      <c r="J8" s="443">
        <f t="shared" si="14"/>
        <v>147</v>
      </c>
      <c r="K8" s="248">
        <f t="shared" si="2"/>
        <v>0</v>
      </c>
      <c r="L8" s="444">
        <f t="shared" si="29"/>
        <v>392191</v>
      </c>
      <c r="M8" s="248">
        <f t="shared" si="3"/>
        <v>0</v>
      </c>
      <c r="N8" s="248">
        <v>250</v>
      </c>
      <c r="O8" s="185"/>
      <c r="P8" s="249">
        <f t="shared" si="16"/>
        <v>10873</v>
      </c>
      <c r="Q8" s="248" t="str">
        <f t="shared" si="4"/>
        <v>ok</v>
      </c>
      <c r="R8" s="443">
        <f t="shared" si="17"/>
        <v>13917</v>
      </c>
      <c r="S8" s="248">
        <f t="shared" si="5"/>
        <v>0</v>
      </c>
      <c r="T8" s="444">
        <f t="shared" si="6"/>
        <v>418512</v>
      </c>
      <c r="U8" s="248">
        <f t="shared" si="7"/>
        <v>0</v>
      </c>
      <c r="V8" s="248">
        <v>250</v>
      </c>
      <c r="W8" s="185"/>
      <c r="X8" s="238">
        <f t="shared" si="18"/>
        <v>14773</v>
      </c>
      <c r="Y8" s="248" t="str">
        <f t="shared" si="19"/>
        <v>ok</v>
      </c>
      <c r="Z8" s="248">
        <f t="shared" si="8"/>
        <v>0</v>
      </c>
      <c r="AA8" s="248">
        <f t="shared" si="20"/>
        <v>0</v>
      </c>
      <c r="AB8" s="248">
        <f t="shared" si="21"/>
        <v>500</v>
      </c>
      <c r="AC8" s="248">
        <f t="shared" si="22"/>
        <v>0</v>
      </c>
      <c r="AD8" s="71">
        <f>ELEC!Q9</f>
        <v>0</v>
      </c>
      <c r="AE8" s="71" t="e">
        <f>SUM(AD8/Z8)</f>
        <v>#DIV/0!</v>
      </c>
      <c r="AF8" s="345" t="e">
        <f t="shared" si="27"/>
        <v>#DIV/0!</v>
      </c>
      <c r="AG8" s="345" t="e">
        <f t="shared" si="27"/>
        <v>#DIV/0!</v>
      </c>
      <c r="AH8" s="346" t="e">
        <f t="shared" si="23"/>
        <v>#DIV/0!</v>
      </c>
      <c r="AI8" s="71">
        <f t="shared" si="28"/>
        <v>0</v>
      </c>
      <c r="AJ8" s="250">
        <f t="shared" si="9"/>
        <v>0.25738396624472576</v>
      </c>
      <c r="AK8" s="250" t="e">
        <f t="shared" si="10"/>
        <v>#DIV/0!</v>
      </c>
      <c r="AL8">
        <f t="shared" si="24"/>
        <v>0</v>
      </c>
    </row>
    <row r="9" spans="1:38" ht="15.75" thickBot="1">
      <c r="A9" s="4">
        <f>ELEC!C10</f>
        <v>44933</v>
      </c>
      <c r="B9" s="523">
        <f t="shared" ref="B9:B33" si="30">B8</f>
        <v>1761</v>
      </c>
      <c r="C9" s="248">
        <f t="shared" si="11"/>
        <v>0</v>
      </c>
      <c r="D9" s="444">
        <f t="shared" si="25"/>
        <v>808826</v>
      </c>
      <c r="E9" s="248">
        <f t="shared" si="12"/>
        <v>0</v>
      </c>
      <c r="F9" s="248">
        <f t="shared" si="0"/>
        <v>0</v>
      </c>
      <c r="G9" s="185"/>
      <c r="H9" s="238">
        <f t="shared" si="13"/>
        <v>12231</v>
      </c>
      <c r="I9" s="248" t="str">
        <f t="shared" si="1"/>
        <v>ok</v>
      </c>
      <c r="J9" s="443">
        <f t="shared" si="14"/>
        <v>147</v>
      </c>
      <c r="K9" s="248">
        <f t="shared" si="2"/>
        <v>0</v>
      </c>
      <c r="L9" s="444">
        <f t="shared" si="29"/>
        <v>392191</v>
      </c>
      <c r="M9" s="248">
        <f t="shared" si="3"/>
        <v>0</v>
      </c>
      <c r="N9" s="248">
        <v>250</v>
      </c>
      <c r="O9" s="185"/>
      <c r="P9" s="249">
        <f t="shared" si="16"/>
        <v>10873</v>
      </c>
      <c r="Q9" s="248" t="str">
        <f t="shared" si="4"/>
        <v>ok</v>
      </c>
      <c r="R9" s="443">
        <f t="shared" si="17"/>
        <v>13917</v>
      </c>
      <c r="S9" s="248">
        <f t="shared" si="5"/>
        <v>0</v>
      </c>
      <c r="T9" s="444">
        <f t="shared" ref="T9:T33" si="31">T8+U9</f>
        <v>418512</v>
      </c>
      <c r="U9" s="248">
        <f t="shared" ref="U9:U30" si="32">V9*S9</f>
        <v>0</v>
      </c>
      <c r="V9" s="248">
        <v>250</v>
      </c>
      <c r="W9" s="185"/>
      <c r="X9" s="238">
        <f t="shared" si="18"/>
        <v>14773</v>
      </c>
      <c r="Y9" s="248" t="str">
        <f t="shared" si="19"/>
        <v>ok</v>
      </c>
      <c r="Z9" s="248">
        <f t="shared" si="8"/>
        <v>0</v>
      </c>
      <c r="AA9" s="248">
        <f t="shared" si="20"/>
        <v>0</v>
      </c>
      <c r="AB9" s="248">
        <f t="shared" si="21"/>
        <v>500</v>
      </c>
      <c r="AC9" s="248">
        <f t="shared" si="22"/>
        <v>0</v>
      </c>
      <c r="AD9" s="71">
        <f>ELEC!Q10</f>
        <v>0</v>
      </c>
      <c r="AE9" s="71" t="e">
        <f t="shared" si="26"/>
        <v>#DIV/0!</v>
      </c>
      <c r="AF9" s="345" t="e">
        <f t="shared" si="27"/>
        <v>#DIV/0!</v>
      </c>
      <c r="AG9" s="345" t="e">
        <f t="shared" si="27"/>
        <v>#DIV/0!</v>
      </c>
      <c r="AH9" s="346" t="e">
        <f t="shared" si="23"/>
        <v>#DIV/0!</v>
      </c>
      <c r="AI9" s="71">
        <f t="shared" si="28"/>
        <v>0</v>
      </c>
      <c r="AJ9" s="250">
        <f t="shared" si="9"/>
        <v>0.25738396624472576</v>
      </c>
      <c r="AK9" s="250" t="e">
        <f t="shared" si="10"/>
        <v>#DIV/0!</v>
      </c>
      <c r="AL9">
        <f t="shared" si="24"/>
        <v>0</v>
      </c>
    </row>
    <row r="10" spans="1:38" ht="15.75" thickBot="1">
      <c r="A10" s="4">
        <f>ELEC!C11</f>
        <v>44934</v>
      </c>
      <c r="B10" s="523">
        <v>1772</v>
      </c>
      <c r="C10" s="248">
        <f t="shared" si="11"/>
        <v>11</v>
      </c>
      <c r="D10" s="444">
        <f t="shared" si="25"/>
        <v>809761</v>
      </c>
      <c r="E10" s="248">
        <f>SUM(D10-D9)</f>
        <v>935</v>
      </c>
      <c r="F10" s="248">
        <f t="shared" si="0"/>
        <v>85</v>
      </c>
      <c r="G10" s="185"/>
      <c r="H10" s="238">
        <f t="shared" si="13"/>
        <v>12231</v>
      </c>
      <c r="I10" s="248" t="str">
        <f>IF(B10-H10&lt;=0,"ok","oil change")</f>
        <v>ok</v>
      </c>
      <c r="J10" s="443">
        <f>J9</f>
        <v>147</v>
      </c>
      <c r="K10" s="248">
        <f t="shared" si="2"/>
        <v>0</v>
      </c>
      <c r="L10" s="444">
        <f t="shared" si="29"/>
        <v>392191</v>
      </c>
      <c r="M10" s="248">
        <f t="shared" si="3"/>
        <v>0</v>
      </c>
      <c r="N10" s="248">
        <v>250</v>
      </c>
      <c r="O10" s="185"/>
      <c r="P10" s="249">
        <f t="shared" si="16"/>
        <v>10873</v>
      </c>
      <c r="Q10" s="248" t="str">
        <f t="shared" si="4"/>
        <v>ok</v>
      </c>
      <c r="R10" s="443">
        <v>13918</v>
      </c>
      <c r="S10" s="248">
        <f t="shared" si="5"/>
        <v>1</v>
      </c>
      <c r="T10" s="444">
        <f t="shared" si="31"/>
        <v>418762</v>
      </c>
      <c r="U10" s="248">
        <f t="shared" si="32"/>
        <v>250</v>
      </c>
      <c r="V10" s="248">
        <v>250</v>
      </c>
      <c r="W10" s="185"/>
      <c r="X10" s="238">
        <f t="shared" si="18"/>
        <v>14773</v>
      </c>
      <c r="Y10" s="248" t="str">
        <f t="shared" si="19"/>
        <v>ok</v>
      </c>
      <c r="Z10" s="248">
        <f t="shared" si="8"/>
        <v>12</v>
      </c>
      <c r="AA10" s="248">
        <f t="shared" si="20"/>
        <v>1185</v>
      </c>
      <c r="AB10" s="248">
        <f t="shared" si="21"/>
        <v>585</v>
      </c>
      <c r="AC10" s="248">
        <f t="shared" si="22"/>
        <v>98.75</v>
      </c>
      <c r="AD10" s="71">
        <f>ELEC!Q11</f>
        <v>2362.0000000009895</v>
      </c>
      <c r="AE10" s="71">
        <f t="shared" si="26"/>
        <v>196.83333333341579</v>
      </c>
      <c r="AF10" s="345">
        <f t="shared" si="27"/>
        <v>0.12302083333338487</v>
      </c>
      <c r="AG10" s="345">
        <f t="shared" si="27"/>
        <v>7.688802083336555E-5</v>
      </c>
      <c r="AH10" s="346">
        <f t="shared" si="23"/>
        <v>98.749923111979172</v>
      </c>
      <c r="AI10" s="71">
        <f t="shared" si="28"/>
        <v>607.94092827029692</v>
      </c>
      <c r="AJ10" s="250">
        <f t="shared" si="9"/>
        <v>0.25738396624472576</v>
      </c>
      <c r="AK10" s="250">
        <f t="shared" si="10"/>
        <v>50.661744022524744</v>
      </c>
      <c r="AL10">
        <f t="shared" si="24"/>
        <v>1</v>
      </c>
    </row>
    <row r="11" spans="1:38" ht="15.75" thickBot="1">
      <c r="A11" s="4">
        <f>ELEC!C12</f>
        <v>44935</v>
      </c>
      <c r="B11" s="523">
        <v>1787</v>
      </c>
      <c r="C11" s="248">
        <f t="shared" si="11"/>
        <v>15</v>
      </c>
      <c r="D11" s="444">
        <f t="shared" si="25"/>
        <v>811036</v>
      </c>
      <c r="E11" s="248">
        <f t="shared" si="12"/>
        <v>1275</v>
      </c>
      <c r="F11" s="248">
        <f>IF(C11&gt;0,E11/C11,0)</f>
        <v>85</v>
      </c>
      <c r="G11" s="185"/>
      <c r="H11" s="238">
        <f t="shared" si="13"/>
        <v>12231</v>
      </c>
      <c r="I11" s="248" t="str">
        <f t="shared" si="1"/>
        <v>ok</v>
      </c>
      <c r="J11" s="443">
        <f t="shared" si="14"/>
        <v>147</v>
      </c>
      <c r="K11" s="248">
        <f t="shared" si="2"/>
        <v>0</v>
      </c>
      <c r="L11" s="444">
        <f t="shared" si="29"/>
        <v>392191</v>
      </c>
      <c r="M11" s="248">
        <f t="shared" si="3"/>
        <v>0</v>
      </c>
      <c r="N11" s="248">
        <v>250</v>
      </c>
      <c r="O11" s="185"/>
      <c r="P11" s="249">
        <f t="shared" si="16"/>
        <v>10873</v>
      </c>
      <c r="Q11" s="248" t="str">
        <f t="shared" si="4"/>
        <v>ok</v>
      </c>
      <c r="R11" s="443">
        <f t="shared" si="17"/>
        <v>13918</v>
      </c>
      <c r="S11" s="248">
        <f t="shared" si="5"/>
        <v>0</v>
      </c>
      <c r="T11" s="444">
        <f t="shared" si="31"/>
        <v>418762</v>
      </c>
      <c r="U11" s="248">
        <f t="shared" si="32"/>
        <v>0</v>
      </c>
      <c r="V11" s="248">
        <v>250</v>
      </c>
      <c r="W11" s="185"/>
      <c r="X11" s="238">
        <f t="shared" si="18"/>
        <v>14773</v>
      </c>
      <c r="Y11" s="248" t="str">
        <f t="shared" si="19"/>
        <v>ok</v>
      </c>
      <c r="Z11" s="248">
        <f t="shared" si="8"/>
        <v>15</v>
      </c>
      <c r="AA11" s="248">
        <f t="shared" si="20"/>
        <v>1275</v>
      </c>
      <c r="AB11" s="248">
        <f t="shared" si="21"/>
        <v>585</v>
      </c>
      <c r="AC11" s="248">
        <f t="shared" si="22"/>
        <v>85</v>
      </c>
      <c r="AD11" s="71">
        <f>ELEC!Q12</f>
        <v>3133.0000000016298</v>
      </c>
      <c r="AE11" s="71">
        <f t="shared" si="26"/>
        <v>208.86666666677533</v>
      </c>
      <c r="AF11" s="345">
        <f t="shared" si="27"/>
        <v>0.13054166666673458</v>
      </c>
      <c r="AG11" s="345">
        <f t="shared" si="27"/>
        <v>8.1588541666709118E-5</v>
      </c>
      <c r="AH11" s="346">
        <f t="shared" si="23"/>
        <v>84.999918411458339</v>
      </c>
      <c r="AI11" s="71">
        <f t="shared" si="28"/>
        <v>806.3839662451453</v>
      </c>
      <c r="AJ11" s="250">
        <f t="shared" si="9"/>
        <v>0.25738396624472576</v>
      </c>
      <c r="AK11" s="250">
        <f t="shared" si="10"/>
        <v>53.758931083009685</v>
      </c>
      <c r="AL11">
        <f t="shared" si="24"/>
        <v>1</v>
      </c>
    </row>
    <row r="12" spans="1:38" ht="15.75" thickBot="1">
      <c r="A12" s="4">
        <f>ELEC!C13</f>
        <v>44936</v>
      </c>
      <c r="B12" s="523">
        <v>1800</v>
      </c>
      <c r="C12" s="248">
        <f t="shared" si="11"/>
        <v>13</v>
      </c>
      <c r="D12" s="444">
        <f t="shared" si="25"/>
        <v>812141</v>
      </c>
      <c r="E12" s="248">
        <f t="shared" si="12"/>
        <v>1105</v>
      </c>
      <c r="F12" s="248">
        <f t="shared" si="0"/>
        <v>85</v>
      </c>
      <c r="G12" s="185"/>
      <c r="H12" s="238">
        <f t="shared" si="13"/>
        <v>12231</v>
      </c>
      <c r="I12" s="248" t="str">
        <f t="shared" si="1"/>
        <v>ok</v>
      </c>
      <c r="J12" s="443">
        <f t="shared" si="14"/>
        <v>147</v>
      </c>
      <c r="K12" s="248">
        <f t="shared" si="2"/>
        <v>0</v>
      </c>
      <c r="L12" s="444">
        <f t="shared" si="29"/>
        <v>392191</v>
      </c>
      <c r="M12" s="248">
        <f t="shared" si="3"/>
        <v>0</v>
      </c>
      <c r="N12" s="248">
        <v>250</v>
      </c>
      <c r="O12" s="185"/>
      <c r="P12" s="249">
        <f t="shared" si="16"/>
        <v>10873</v>
      </c>
      <c r="Q12" s="248" t="str">
        <f t="shared" si="4"/>
        <v>ok</v>
      </c>
      <c r="R12" s="443">
        <f t="shared" si="17"/>
        <v>13918</v>
      </c>
      <c r="S12" s="248">
        <f t="shared" si="5"/>
        <v>0</v>
      </c>
      <c r="T12" s="444">
        <f>T11+U12</f>
        <v>418762</v>
      </c>
      <c r="U12" s="248">
        <f>V12*S12</f>
        <v>0</v>
      </c>
      <c r="V12" s="248">
        <v>250</v>
      </c>
      <c r="W12" s="185"/>
      <c r="X12" s="238">
        <f t="shared" si="18"/>
        <v>14773</v>
      </c>
      <c r="Y12" s="248" t="str">
        <f t="shared" si="19"/>
        <v>ok</v>
      </c>
      <c r="Z12" s="248">
        <f t="shared" si="8"/>
        <v>13</v>
      </c>
      <c r="AA12" s="248">
        <f t="shared" si="20"/>
        <v>1105</v>
      </c>
      <c r="AB12" s="248">
        <f t="shared" si="21"/>
        <v>585</v>
      </c>
      <c r="AC12" s="248">
        <f t="shared" si="22"/>
        <v>85</v>
      </c>
      <c r="AD12" s="71">
        <f>ELEC!Q13</f>
        <v>2957.9999999987194</v>
      </c>
      <c r="AE12" s="71">
        <f t="shared" si="26"/>
        <v>227.53846153836304</v>
      </c>
      <c r="AF12" s="345">
        <f t="shared" si="27"/>
        <v>0.14221153846147691</v>
      </c>
      <c r="AG12" s="345">
        <f t="shared" si="27"/>
        <v>8.888221153842307E-5</v>
      </c>
      <c r="AH12" s="346">
        <f t="shared" si="23"/>
        <v>84.999911117788457</v>
      </c>
      <c r="AI12" s="71">
        <f t="shared" si="28"/>
        <v>761.34177215156922</v>
      </c>
      <c r="AJ12" s="250">
        <f t="shared" si="9"/>
        <v>0.25738396624472576</v>
      </c>
      <c r="AK12" s="250">
        <f t="shared" si="10"/>
        <v>58.564751703966863</v>
      </c>
      <c r="AL12">
        <f t="shared" si="24"/>
        <v>1</v>
      </c>
    </row>
    <row r="13" spans="1:38" ht="15.75" thickBot="1">
      <c r="A13" s="4">
        <f>ELEC!C14</f>
        <v>44937</v>
      </c>
      <c r="B13" s="523">
        <v>1809</v>
      </c>
      <c r="C13" s="248">
        <f t="shared" si="11"/>
        <v>9</v>
      </c>
      <c r="D13" s="444">
        <f t="shared" si="25"/>
        <v>812906</v>
      </c>
      <c r="E13" s="248">
        <f t="shared" si="12"/>
        <v>765</v>
      </c>
      <c r="F13" s="248">
        <f t="shared" si="0"/>
        <v>85</v>
      </c>
      <c r="G13" s="185"/>
      <c r="H13" s="238">
        <f t="shared" si="13"/>
        <v>12231</v>
      </c>
      <c r="I13" s="248" t="str">
        <f t="shared" si="1"/>
        <v>ok</v>
      </c>
      <c r="J13" s="443">
        <f t="shared" si="14"/>
        <v>147</v>
      </c>
      <c r="K13" s="248">
        <f t="shared" si="2"/>
        <v>0</v>
      </c>
      <c r="L13" s="444">
        <f t="shared" si="29"/>
        <v>392191</v>
      </c>
      <c r="M13" s="248">
        <f t="shared" si="3"/>
        <v>0</v>
      </c>
      <c r="N13" s="248">
        <v>250</v>
      </c>
      <c r="O13" s="185"/>
      <c r="P13" s="249">
        <f t="shared" si="16"/>
        <v>10873</v>
      </c>
      <c r="Q13" s="248" t="str">
        <f t="shared" si="4"/>
        <v>ok</v>
      </c>
      <c r="R13" s="443">
        <f t="shared" si="17"/>
        <v>13918</v>
      </c>
      <c r="S13" s="248">
        <f t="shared" si="5"/>
        <v>0</v>
      </c>
      <c r="T13" s="444">
        <f t="shared" si="31"/>
        <v>418762</v>
      </c>
      <c r="U13" s="248">
        <f t="shared" si="32"/>
        <v>0</v>
      </c>
      <c r="V13" s="248">
        <v>250</v>
      </c>
      <c r="W13" s="185"/>
      <c r="X13" s="238">
        <f t="shared" si="18"/>
        <v>14773</v>
      </c>
      <c r="Y13" s="248" t="str">
        <f t="shared" si="19"/>
        <v>ok</v>
      </c>
      <c r="Z13" s="248">
        <f t="shared" si="8"/>
        <v>9</v>
      </c>
      <c r="AA13" s="248">
        <f t="shared" si="20"/>
        <v>765</v>
      </c>
      <c r="AB13" s="248">
        <f t="shared" si="21"/>
        <v>585</v>
      </c>
      <c r="AC13" s="248">
        <f t="shared" si="22"/>
        <v>85</v>
      </c>
      <c r="AD13" s="71">
        <f>ELEC!Q14</f>
        <v>1457.0000000021537</v>
      </c>
      <c r="AE13" s="71">
        <f t="shared" si="26"/>
        <v>161.8888888891282</v>
      </c>
      <c r="AF13" s="345">
        <f t="shared" si="27"/>
        <v>0.10118055555570513</v>
      </c>
      <c r="AG13" s="345">
        <f t="shared" si="27"/>
        <v>6.3237847222315704E-5</v>
      </c>
      <c r="AH13" s="346">
        <f t="shared" si="23"/>
        <v>84.999936762152771</v>
      </c>
      <c r="AI13" s="71">
        <f t="shared" si="28"/>
        <v>375.00843881911976</v>
      </c>
      <c r="AJ13" s="250">
        <f t="shared" si="9"/>
        <v>0.25738396624472576</v>
      </c>
      <c r="AK13" s="250">
        <f t="shared" si="10"/>
        <v>41.667604313235529</v>
      </c>
      <c r="AL13">
        <f t="shared" si="24"/>
        <v>1</v>
      </c>
    </row>
    <row r="14" spans="1:38" ht="15.75" thickBot="1">
      <c r="A14" s="4">
        <f>ELEC!C15</f>
        <v>44938</v>
      </c>
      <c r="B14" s="523">
        <v>1823</v>
      </c>
      <c r="C14" s="248">
        <f t="shared" si="11"/>
        <v>14</v>
      </c>
      <c r="D14" s="444">
        <f t="shared" si="25"/>
        <v>814096</v>
      </c>
      <c r="E14" s="248">
        <f t="shared" si="12"/>
        <v>1190</v>
      </c>
      <c r="F14" s="248">
        <f t="shared" si="0"/>
        <v>85</v>
      </c>
      <c r="G14" s="185"/>
      <c r="H14" s="238">
        <f t="shared" si="13"/>
        <v>12231</v>
      </c>
      <c r="I14" s="248" t="str">
        <f t="shared" si="1"/>
        <v>ok</v>
      </c>
      <c r="J14" s="443">
        <f t="shared" si="14"/>
        <v>147</v>
      </c>
      <c r="K14" s="248">
        <f t="shared" si="2"/>
        <v>0</v>
      </c>
      <c r="L14" s="444">
        <f t="shared" si="29"/>
        <v>392191</v>
      </c>
      <c r="M14" s="248">
        <f t="shared" si="3"/>
        <v>0</v>
      </c>
      <c r="N14" s="248">
        <v>250</v>
      </c>
      <c r="O14" s="185"/>
      <c r="P14" s="249">
        <f t="shared" si="16"/>
        <v>10873</v>
      </c>
      <c r="Q14" s="248" t="str">
        <f t="shared" si="4"/>
        <v>ok</v>
      </c>
      <c r="R14" s="443">
        <f t="shared" si="17"/>
        <v>13918</v>
      </c>
      <c r="S14" s="248">
        <f t="shared" si="5"/>
        <v>0</v>
      </c>
      <c r="T14" s="444">
        <f t="shared" si="31"/>
        <v>418762</v>
      </c>
      <c r="U14" s="248">
        <f t="shared" si="32"/>
        <v>0</v>
      </c>
      <c r="V14" s="248">
        <v>250</v>
      </c>
      <c r="W14" s="185"/>
      <c r="X14" s="238">
        <f t="shared" si="18"/>
        <v>14773</v>
      </c>
      <c r="Y14" s="248" t="str">
        <f t="shared" si="19"/>
        <v>ok</v>
      </c>
      <c r="Z14" s="248">
        <f t="shared" si="8"/>
        <v>14</v>
      </c>
      <c r="AA14" s="248">
        <f t="shared" si="20"/>
        <v>1190</v>
      </c>
      <c r="AB14" s="248">
        <f t="shared" si="21"/>
        <v>585</v>
      </c>
      <c r="AC14" s="248">
        <f t="shared" si="22"/>
        <v>85</v>
      </c>
      <c r="AD14" s="71">
        <f>ELEC!Q15</f>
        <v>3240.9999999981665</v>
      </c>
      <c r="AE14" s="71">
        <f t="shared" si="26"/>
        <v>231.49999999986903</v>
      </c>
      <c r="AF14" s="345">
        <f t="shared" si="27"/>
        <v>0.14468749999991815</v>
      </c>
      <c r="AG14" s="345">
        <f t="shared" si="27"/>
        <v>9.0429687499948841E-5</v>
      </c>
      <c r="AH14" s="346">
        <f t="shared" si="23"/>
        <v>84.999909570312496</v>
      </c>
      <c r="AI14" s="71">
        <f t="shared" si="28"/>
        <v>834.18143459868429</v>
      </c>
      <c r="AJ14" s="250">
        <f t="shared" si="9"/>
        <v>0.25738396624472576</v>
      </c>
      <c r="AK14" s="250">
        <f t="shared" si="10"/>
        <v>59.584388185620305</v>
      </c>
      <c r="AL14">
        <f t="shared" si="24"/>
        <v>1</v>
      </c>
    </row>
    <row r="15" spans="1:38" ht="15.75" thickBot="1">
      <c r="A15" s="4">
        <f>ELEC!C16</f>
        <v>44939</v>
      </c>
      <c r="B15" s="523">
        <f t="shared" si="30"/>
        <v>1823</v>
      </c>
      <c r="C15" s="248">
        <f t="shared" si="11"/>
        <v>0</v>
      </c>
      <c r="D15" s="444">
        <f t="shared" si="25"/>
        <v>814096</v>
      </c>
      <c r="E15" s="248">
        <f t="shared" si="12"/>
        <v>0</v>
      </c>
      <c r="F15" s="248">
        <f t="shared" si="0"/>
        <v>0</v>
      </c>
      <c r="G15" s="185"/>
      <c r="H15" s="238">
        <f t="shared" si="13"/>
        <v>12231</v>
      </c>
      <c r="I15" s="248" t="str">
        <f t="shared" si="1"/>
        <v>ok</v>
      </c>
      <c r="J15" s="443">
        <f t="shared" si="14"/>
        <v>147</v>
      </c>
      <c r="K15" s="248">
        <f t="shared" si="2"/>
        <v>0</v>
      </c>
      <c r="L15" s="444">
        <f t="shared" si="29"/>
        <v>392191</v>
      </c>
      <c r="M15" s="248">
        <f t="shared" si="3"/>
        <v>0</v>
      </c>
      <c r="N15" s="248">
        <v>250</v>
      </c>
      <c r="O15" s="185"/>
      <c r="P15" s="249">
        <f t="shared" si="16"/>
        <v>10873</v>
      </c>
      <c r="Q15" s="248" t="str">
        <f t="shared" si="4"/>
        <v>ok</v>
      </c>
      <c r="R15" s="443">
        <f t="shared" si="17"/>
        <v>13918</v>
      </c>
      <c r="S15" s="248">
        <f t="shared" si="5"/>
        <v>0</v>
      </c>
      <c r="T15" s="444">
        <f t="shared" si="31"/>
        <v>418762</v>
      </c>
      <c r="U15" s="248">
        <f t="shared" si="32"/>
        <v>0</v>
      </c>
      <c r="V15" s="248">
        <v>250</v>
      </c>
      <c r="W15" s="185"/>
      <c r="X15" s="238">
        <f t="shared" si="18"/>
        <v>14773</v>
      </c>
      <c r="Y15" s="248" t="str">
        <f t="shared" si="19"/>
        <v>ok</v>
      </c>
      <c r="Z15" s="248">
        <f t="shared" si="8"/>
        <v>0</v>
      </c>
      <c r="AA15" s="248">
        <f t="shared" si="20"/>
        <v>0</v>
      </c>
      <c r="AB15" s="248">
        <f t="shared" si="21"/>
        <v>500</v>
      </c>
      <c r="AC15" s="248">
        <f t="shared" si="22"/>
        <v>0</v>
      </c>
      <c r="AD15" s="71">
        <f>ELEC!Q16</f>
        <v>0</v>
      </c>
      <c r="AE15" s="71" t="e">
        <f t="shared" si="26"/>
        <v>#DIV/0!</v>
      </c>
      <c r="AF15" s="345" t="e">
        <f t="shared" si="27"/>
        <v>#DIV/0!</v>
      </c>
      <c r="AG15" s="345" t="e">
        <f t="shared" si="27"/>
        <v>#DIV/0!</v>
      </c>
      <c r="AH15" s="346" t="e">
        <f t="shared" si="23"/>
        <v>#DIV/0!</v>
      </c>
      <c r="AI15" s="71">
        <f t="shared" si="28"/>
        <v>0</v>
      </c>
      <c r="AJ15" s="250">
        <f t="shared" si="9"/>
        <v>0.25738396624472576</v>
      </c>
      <c r="AK15" s="250" t="e">
        <f t="shared" si="10"/>
        <v>#DIV/0!</v>
      </c>
      <c r="AL15">
        <f t="shared" si="24"/>
        <v>0</v>
      </c>
    </row>
    <row r="16" spans="1:38" ht="15.75" thickBot="1">
      <c r="A16" s="4">
        <f>ELEC!C17</f>
        <v>44940</v>
      </c>
      <c r="B16" s="523">
        <f t="shared" si="30"/>
        <v>1823</v>
      </c>
      <c r="C16" s="248">
        <f t="shared" si="11"/>
        <v>0</v>
      </c>
      <c r="D16" s="444">
        <f t="shared" si="25"/>
        <v>814096</v>
      </c>
      <c r="E16" s="248">
        <f t="shared" si="12"/>
        <v>0</v>
      </c>
      <c r="F16" s="248">
        <f t="shared" si="0"/>
        <v>0</v>
      </c>
      <c r="G16" s="185"/>
      <c r="H16" s="238">
        <f t="shared" si="13"/>
        <v>12231</v>
      </c>
      <c r="I16" s="248" t="str">
        <f t="shared" si="1"/>
        <v>ok</v>
      </c>
      <c r="J16" s="443">
        <f t="shared" si="14"/>
        <v>147</v>
      </c>
      <c r="K16" s="248">
        <f t="shared" si="2"/>
        <v>0</v>
      </c>
      <c r="L16" s="444">
        <f t="shared" si="29"/>
        <v>392191</v>
      </c>
      <c r="M16" s="248">
        <f t="shared" si="3"/>
        <v>0</v>
      </c>
      <c r="N16" s="248">
        <v>250</v>
      </c>
      <c r="O16" s="185"/>
      <c r="P16" s="249">
        <f t="shared" si="16"/>
        <v>10873</v>
      </c>
      <c r="Q16" s="248" t="str">
        <f t="shared" si="4"/>
        <v>ok</v>
      </c>
      <c r="R16" s="443">
        <f t="shared" si="17"/>
        <v>13918</v>
      </c>
      <c r="S16" s="248">
        <f t="shared" si="5"/>
        <v>0</v>
      </c>
      <c r="T16" s="444">
        <f t="shared" si="31"/>
        <v>418762</v>
      </c>
      <c r="U16" s="248">
        <f t="shared" si="32"/>
        <v>0</v>
      </c>
      <c r="V16" s="248">
        <v>250</v>
      </c>
      <c r="W16" s="185"/>
      <c r="X16" s="238">
        <f t="shared" si="18"/>
        <v>14773</v>
      </c>
      <c r="Y16" s="248" t="str">
        <f t="shared" si="19"/>
        <v>ok</v>
      </c>
      <c r="Z16" s="248">
        <f t="shared" si="8"/>
        <v>0</v>
      </c>
      <c r="AA16" s="248">
        <f t="shared" si="20"/>
        <v>0</v>
      </c>
      <c r="AB16" s="248">
        <f t="shared" si="21"/>
        <v>500</v>
      </c>
      <c r="AC16" s="248">
        <f t="shared" si="22"/>
        <v>0</v>
      </c>
      <c r="AD16" s="71">
        <f>ELEC!Q17</f>
        <v>0</v>
      </c>
      <c r="AE16" s="71" t="e">
        <f t="shared" si="26"/>
        <v>#DIV/0!</v>
      </c>
      <c r="AF16" s="345" t="e">
        <f t="shared" si="27"/>
        <v>#DIV/0!</v>
      </c>
      <c r="AG16" s="345" t="e">
        <f t="shared" si="27"/>
        <v>#DIV/0!</v>
      </c>
      <c r="AH16" s="346" t="e">
        <f t="shared" si="23"/>
        <v>#DIV/0!</v>
      </c>
      <c r="AI16" s="71">
        <f t="shared" si="28"/>
        <v>0</v>
      </c>
      <c r="AJ16" s="250">
        <f t="shared" si="9"/>
        <v>0.25738396624472576</v>
      </c>
      <c r="AK16" s="250" t="e">
        <f t="shared" si="10"/>
        <v>#DIV/0!</v>
      </c>
      <c r="AL16">
        <f t="shared" si="24"/>
        <v>0</v>
      </c>
    </row>
    <row r="17" spans="1:38" ht="15.75" thickBot="1">
      <c r="A17" s="4">
        <f>ELEC!C18</f>
        <v>44941</v>
      </c>
      <c r="B17" s="523">
        <v>1837</v>
      </c>
      <c r="C17" s="248">
        <f t="shared" si="11"/>
        <v>14</v>
      </c>
      <c r="D17" s="444">
        <f t="shared" si="25"/>
        <v>815286</v>
      </c>
      <c r="E17" s="248">
        <f t="shared" si="12"/>
        <v>1190</v>
      </c>
      <c r="F17" s="248">
        <f t="shared" si="0"/>
        <v>85</v>
      </c>
      <c r="G17" s="185"/>
      <c r="H17" s="238">
        <f t="shared" si="13"/>
        <v>12231</v>
      </c>
      <c r="I17" s="248" t="str">
        <f t="shared" si="1"/>
        <v>ok</v>
      </c>
      <c r="J17" s="443">
        <f t="shared" si="14"/>
        <v>147</v>
      </c>
      <c r="K17" s="248">
        <f t="shared" si="2"/>
        <v>0</v>
      </c>
      <c r="L17" s="444">
        <f t="shared" si="29"/>
        <v>392191</v>
      </c>
      <c r="M17" s="248">
        <f t="shared" si="3"/>
        <v>0</v>
      </c>
      <c r="N17" s="248">
        <v>250</v>
      </c>
      <c r="O17" s="185"/>
      <c r="P17" s="249">
        <f t="shared" si="16"/>
        <v>10873</v>
      </c>
      <c r="Q17" s="248" t="str">
        <f t="shared" si="4"/>
        <v>ok</v>
      </c>
      <c r="R17" s="443">
        <f t="shared" si="17"/>
        <v>13918</v>
      </c>
      <c r="S17" s="248">
        <f t="shared" si="5"/>
        <v>0</v>
      </c>
      <c r="T17" s="444">
        <f t="shared" si="31"/>
        <v>418762</v>
      </c>
      <c r="U17" s="248">
        <f t="shared" si="32"/>
        <v>0</v>
      </c>
      <c r="V17" s="248">
        <v>250</v>
      </c>
      <c r="W17" s="185"/>
      <c r="X17" s="238">
        <f t="shared" si="18"/>
        <v>14773</v>
      </c>
      <c r="Y17" s="248" t="str">
        <f t="shared" si="19"/>
        <v>ok</v>
      </c>
      <c r="Z17" s="248">
        <f t="shared" si="8"/>
        <v>14</v>
      </c>
      <c r="AA17" s="248">
        <f t="shared" si="20"/>
        <v>1190</v>
      </c>
      <c r="AB17" s="248">
        <f t="shared" si="21"/>
        <v>585</v>
      </c>
      <c r="AC17" s="248">
        <f t="shared" si="22"/>
        <v>85</v>
      </c>
      <c r="AD17" s="71">
        <f>ELEC!Q18</f>
        <v>4096.0000000013679</v>
      </c>
      <c r="AE17" s="71">
        <f t="shared" si="26"/>
        <v>292.57142857152627</v>
      </c>
      <c r="AF17" s="345">
        <f t="shared" si="27"/>
        <v>0.18285714285720392</v>
      </c>
      <c r="AG17" s="345">
        <f t="shared" si="27"/>
        <v>1.1428571428575245E-4</v>
      </c>
      <c r="AH17" s="346">
        <f t="shared" si="23"/>
        <v>84.99988571428571</v>
      </c>
      <c r="AI17" s="71">
        <f t="shared" si="28"/>
        <v>1054.2447257387487</v>
      </c>
      <c r="AJ17" s="250">
        <f t="shared" si="9"/>
        <v>0.25738396624472576</v>
      </c>
      <c r="AK17" s="250">
        <f t="shared" si="10"/>
        <v>75.30319469562491</v>
      </c>
      <c r="AL17">
        <f t="shared" si="24"/>
        <v>1</v>
      </c>
    </row>
    <row r="18" spans="1:38" ht="15.75" thickBot="1">
      <c r="A18" s="4">
        <f>ELEC!C19</f>
        <v>44942</v>
      </c>
      <c r="B18" s="523">
        <v>1850</v>
      </c>
      <c r="C18" s="248">
        <f t="shared" si="11"/>
        <v>13</v>
      </c>
      <c r="D18" s="444">
        <f t="shared" si="25"/>
        <v>816391</v>
      </c>
      <c r="E18" s="248">
        <f t="shared" si="12"/>
        <v>1105</v>
      </c>
      <c r="F18" s="248">
        <f t="shared" si="0"/>
        <v>85</v>
      </c>
      <c r="G18" s="185"/>
      <c r="H18" s="238">
        <f t="shared" si="13"/>
        <v>12231</v>
      </c>
      <c r="I18" s="248" t="str">
        <f t="shared" si="1"/>
        <v>ok</v>
      </c>
      <c r="J18" s="443">
        <f t="shared" si="14"/>
        <v>147</v>
      </c>
      <c r="K18" s="248">
        <f t="shared" si="2"/>
        <v>0</v>
      </c>
      <c r="L18" s="444">
        <f t="shared" si="29"/>
        <v>392191</v>
      </c>
      <c r="M18" s="248">
        <f t="shared" si="3"/>
        <v>0</v>
      </c>
      <c r="N18" s="248">
        <v>250</v>
      </c>
      <c r="O18" s="185"/>
      <c r="P18" s="249">
        <f t="shared" si="16"/>
        <v>10873</v>
      </c>
      <c r="Q18" s="248" t="str">
        <f>IF(J18-P14&lt;=0,"ok","oil change")</f>
        <v>ok</v>
      </c>
      <c r="R18" s="443">
        <f t="shared" si="17"/>
        <v>13918</v>
      </c>
      <c r="S18" s="248">
        <f t="shared" si="5"/>
        <v>0</v>
      </c>
      <c r="T18" s="444">
        <f t="shared" si="31"/>
        <v>418762</v>
      </c>
      <c r="U18" s="248">
        <f t="shared" si="32"/>
        <v>0</v>
      </c>
      <c r="V18" s="248">
        <v>250</v>
      </c>
      <c r="W18" s="185"/>
      <c r="X18" s="238">
        <f t="shared" si="18"/>
        <v>14773</v>
      </c>
      <c r="Y18" s="248" t="str">
        <f t="shared" si="19"/>
        <v>ok</v>
      </c>
      <c r="Z18" s="248">
        <f t="shared" si="8"/>
        <v>13</v>
      </c>
      <c r="AA18" s="248">
        <f t="shared" si="20"/>
        <v>1105</v>
      </c>
      <c r="AB18" s="248">
        <f t="shared" si="21"/>
        <v>585</v>
      </c>
      <c r="AC18" s="248">
        <f t="shared" si="22"/>
        <v>85</v>
      </c>
      <c r="AD18" s="71">
        <f>ELEC!Q19</f>
        <v>3331.9999999985157</v>
      </c>
      <c r="AE18" s="71">
        <f t="shared" si="26"/>
        <v>256.30769230757812</v>
      </c>
      <c r="AF18" s="345">
        <f t="shared" si="27"/>
        <v>0.16019230769223633</v>
      </c>
      <c r="AG18" s="345">
        <f t="shared" si="27"/>
        <v>1.0012019230764771E-4</v>
      </c>
      <c r="AH18" s="346">
        <f t="shared" si="23"/>
        <v>84.999899879807685</v>
      </c>
      <c r="AI18" s="71">
        <f t="shared" si="28"/>
        <v>857.60337552704425</v>
      </c>
      <c r="AJ18" s="250">
        <f t="shared" si="9"/>
        <v>0.25738396624472576</v>
      </c>
      <c r="AK18" s="250">
        <f t="shared" si="10"/>
        <v>65.969490425157247</v>
      </c>
      <c r="AL18">
        <f t="shared" si="24"/>
        <v>1</v>
      </c>
    </row>
    <row r="19" spans="1:38" ht="15.75" thickBot="1">
      <c r="A19" s="4">
        <f>ELEC!C20</f>
        <v>44943</v>
      </c>
      <c r="B19" s="523">
        <v>1860</v>
      </c>
      <c r="C19" s="248">
        <f t="shared" si="11"/>
        <v>10</v>
      </c>
      <c r="D19" s="444">
        <f t="shared" si="25"/>
        <v>817241</v>
      </c>
      <c r="E19" s="248">
        <f t="shared" si="12"/>
        <v>850</v>
      </c>
      <c r="F19" s="248">
        <f t="shared" si="0"/>
        <v>85</v>
      </c>
      <c r="G19" s="185"/>
      <c r="H19" s="238">
        <f t="shared" si="13"/>
        <v>12231</v>
      </c>
      <c r="I19" s="248" t="str">
        <f t="shared" si="1"/>
        <v>ok</v>
      </c>
      <c r="J19" s="443">
        <f t="shared" si="14"/>
        <v>147</v>
      </c>
      <c r="K19" s="248">
        <f t="shared" si="2"/>
        <v>0</v>
      </c>
      <c r="L19" s="444">
        <f t="shared" si="29"/>
        <v>392191</v>
      </c>
      <c r="M19" s="248">
        <f t="shared" si="3"/>
        <v>0</v>
      </c>
      <c r="N19" s="248">
        <v>250</v>
      </c>
      <c r="O19" s="185"/>
      <c r="P19" s="249">
        <f t="shared" si="16"/>
        <v>10873</v>
      </c>
      <c r="Q19" s="248" t="str">
        <f t="shared" ref="Q19:Q30" si="33">IF(J19-P19&lt;=0,"ok","oil change")</f>
        <v>ok</v>
      </c>
      <c r="R19" s="443">
        <f t="shared" si="17"/>
        <v>13918</v>
      </c>
      <c r="S19" s="248">
        <f t="shared" si="5"/>
        <v>0</v>
      </c>
      <c r="T19" s="444">
        <f t="shared" si="31"/>
        <v>418762</v>
      </c>
      <c r="U19" s="248">
        <f t="shared" si="32"/>
        <v>0</v>
      </c>
      <c r="V19" s="248">
        <v>250</v>
      </c>
      <c r="W19" s="185"/>
      <c r="X19" s="238">
        <f t="shared" si="18"/>
        <v>14773</v>
      </c>
      <c r="Y19" s="248" t="str">
        <f t="shared" si="19"/>
        <v>ok</v>
      </c>
      <c r="Z19" s="248">
        <f t="shared" si="8"/>
        <v>10</v>
      </c>
      <c r="AA19" s="248">
        <f t="shared" si="20"/>
        <v>850</v>
      </c>
      <c r="AB19" s="248">
        <f t="shared" si="21"/>
        <v>585</v>
      </c>
      <c r="AC19" s="248">
        <f t="shared" si="22"/>
        <v>85</v>
      </c>
      <c r="AD19" s="71">
        <f>ELEC!Q20</f>
        <v>3172.999999998865</v>
      </c>
      <c r="AE19" s="71">
        <f t="shared" si="26"/>
        <v>317.2999999998865</v>
      </c>
      <c r="AF19" s="345">
        <f t="shared" si="27"/>
        <v>0.19831249999992906</v>
      </c>
      <c r="AG19" s="345">
        <f t="shared" si="27"/>
        <v>1.2394531249995566E-4</v>
      </c>
      <c r="AH19" s="346">
        <f t="shared" si="23"/>
        <v>84.999876054687505</v>
      </c>
      <c r="AI19" s="71">
        <f t="shared" si="28"/>
        <v>816.67932489422265</v>
      </c>
      <c r="AJ19" s="250">
        <f t="shared" si="9"/>
        <v>0.25738396624472576</v>
      </c>
      <c r="AK19" s="250">
        <f t="shared" si="10"/>
        <v>81.66793248942227</v>
      </c>
      <c r="AL19">
        <f t="shared" si="24"/>
        <v>1</v>
      </c>
    </row>
    <row r="20" spans="1:38" ht="15.75" thickBot="1">
      <c r="A20" s="4">
        <f>ELEC!C21</f>
        <v>44944</v>
      </c>
      <c r="B20" s="523">
        <v>1874</v>
      </c>
      <c r="C20" s="248">
        <f>B20-B19</f>
        <v>14</v>
      </c>
      <c r="D20" s="444">
        <f t="shared" si="25"/>
        <v>818431</v>
      </c>
      <c r="E20" s="248">
        <f t="shared" si="12"/>
        <v>1190</v>
      </c>
      <c r="F20" s="248">
        <f t="shared" si="0"/>
        <v>85</v>
      </c>
      <c r="G20" s="185"/>
      <c r="H20" s="238">
        <f t="shared" si="13"/>
        <v>12231</v>
      </c>
      <c r="I20" s="248" t="str">
        <f t="shared" si="1"/>
        <v>ok</v>
      </c>
      <c r="J20" s="443">
        <f t="shared" si="14"/>
        <v>147</v>
      </c>
      <c r="K20" s="248">
        <f t="shared" si="2"/>
        <v>0</v>
      </c>
      <c r="L20" s="444">
        <f t="shared" si="29"/>
        <v>392191</v>
      </c>
      <c r="M20" s="248">
        <f t="shared" si="3"/>
        <v>0</v>
      </c>
      <c r="N20" s="248">
        <v>250</v>
      </c>
      <c r="O20" s="185"/>
      <c r="P20" s="249">
        <f t="shared" si="16"/>
        <v>10873</v>
      </c>
      <c r="Q20" s="248" t="str">
        <f t="shared" si="33"/>
        <v>ok</v>
      </c>
      <c r="R20" s="443">
        <v>13918</v>
      </c>
      <c r="S20" s="248">
        <f t="shared" si="5"/>
        <v>0</v>
      </c>
      <c r="T20" s="444">
        <f t="shared" si="31"/>
        <v>418762</v>
      </c>
      <c r="U20" s="248">
        <f t="shared" si="32"/>
        <v>0</v>
      </c>
      <c r="V20" s="248">
        <v>250</v>
      </c>
      <c r="W20" s="185"/>
      <c r="X20" s="238">
        <f t="shared" si="18"/>
        <v>14773</v>
      </c>
      <c r="Y20" s="248" t="str">
        <f t="shared" si="19"/>
        <v>ok</v>
      </c>
      <c r="Z20" s="248">
        <f t="shared" si="8"/>
        <v>14</v>
      </c>
      <c r="AA20" s="248">
        <f t="shared" si="20"/>
        <v>1190</v>
      </c>
      <c r="AB20" s="248">
        <f t="shared" si="21"/>
        <v>585</v>
      </c>
      <c r="AC20" s="248">
        <f t="shared" si="22"/>
        <v>85</v>
      </c>
      <c r="AD20" s="71">
        <f>ELEC!Q21</f>
        <v>3580.0000000017462</v>
      </c>
      <c r="AE20" s="71">
        <f t="shared" si="26"/>
        <v>255.71428571441044</v>
      </c>
      <c r="AF20" s="345">
        <f t="shared" si="27"/>
        <v>0.15982142857150652</v>
      </c>
      <c r="AG20" s="345">
        <f t="shared" si="27"/>
        <v>9.9888392857191578E-5</v>
      </c>
      <c r="AH20" s="346">
        <f t="shared" si="23"/>
        <v>84.999900111607147</v>
      </c>
      <c r="AI20" s="71">
        <f>AD20*AJ20</f>
        <v>921.43459915656763</v>
      </c>
      <c r="AJ20" s="250">
        <f t="shared" si="9"/>
        <v>0.25738396624472576</v>
      </c>
      <c r="AK20" s="250">
        <f t="shared" si="10"/>
        <v>65.816757082611971</v>
      </c>
      <c r="AL20">
        <f t="shared" si="24"/>
        <v>1</v>
      </c>
    </row>
    <row r="21" spans="1:38" ht="15.75" thickBot="1">
      <c r="A21" s="4">
        <f>ELEC!C22</f>
        <v>44945</v>
      </c>
      <c r="B21" s="523">
        <v>1883</v>
      </c>
      <c r="C21" s="248">
        <f>B21-B20</f>
        <v>9</v>
      </c>
      <c r="D21" s="444">
        <f t="shared" si="25"/>
        <v>819196</v>
      </c>
      <c r="E21" s="248">
        <f t="shared" si="12"/>
        <v>765</v>
      </c>
      <c r="F21" s="248">
        <f t="shared" si="0"/>
        <v>85</v>
      </c>
      <c r="G21" s="185"/>
      <c r="H21" s="238">
        <f t="shared" si="13"/>
        <v>12231</v>
      </c>
      <c r="I21" s="248" t="str">
        <f t="shared" si="1"/>
        <v>ok</v>
      </c>
      <c r="J21" s="443">
        <f t="shared" si="14"/>
        <v>147</v>
      </c>
      <c r="K21" s="248">
        <f t="shared" si="2"/>
        <v>0</v>
      </c>
      <c r="L21" s="444">
        <f t="shared" si="29"/>
        <v>392191</v>
      </c>
      <c r="M21" s="248">
        <f t="shared" si="3"/>
        <v>0</v>
      </c>
      <c r="N21" s="248">
        <v>250</v>
      </c>
      <c r="O21" s="185"/>
      <c r="P21" s="249">
        <f t="shared" si="16"/>
        <v>10873</v>
      </c>
      <c r="Q21" s="248" t="str">
        <f t="shared" si="33"/>
        <v>ok</v>
      </c>
      <c r="R21" s="443">
        <v>13920</v>
      </c>
      <c r="S21" s="248">
        <f t="shared" si="5"/>
        <v>2</v>
      </c>
      <c r="T21" s="444">
        <f t="shared" si="31"/>
        <v>419262</v>
      </c>
      <c r="U21" s="248">
        <f t="shared" si="32"/>
        <v>500</v>
      </c>
      <c r="V21" s="248">
        <v>250</v>
      </c>
      <c r="W21" s="185"/>
      <c r="X21" s="238">
        <f t="shared" si="18"/>
        <v>14773</v>
      </c>
      <c r="Y21" s="248" t="str">
        <f t="shared" si="19"/>
        <v>ok</v>
      </c>
      <c r="Z21" s="248">
        <f t="shared" si="8"/>
        <v>11</v>
      </c>
      <c r="AA21" s="248">
        <f t="shared" si="20"/>
        <v>1265</v>
      </c>
      <c r="AB21" s="248">
        <f t="shared" si="21"/>
        <v>585</v>
      </c>
      <c r="AC21" s="248">
        <f t="shared" si="22"/>
        <v>115</v>
      </c>
      <c r="AD21" s="71">
        <f>ELEC!Q22</f>
        <v>3290.0000000008731</v>
      </c>
      <c r="AE21" s="71">
        <f t="shared" si="26"/>
        <v>299.09090909098848</v>
      </c>
      <c r="AF21" s="345">
        <f t="shared" si="27"/>
        <v>0.1869318181818678</v>
      </c>
      <c r="AG21" s="345">
        <f t="shared" si="27"/>
        <v>1.1683238636366737E-4</v>
      </c>
      <c r="AH21" s="346">
        <f t="shared" si="23"/>
        <v>114.99988316761363</v>
      </c>
      <c r="AI21" s="71">
        <f t="shared" si="28"/>
        <v>846.79324894537251</v>
      </c>
      <c r="AJ21" s="250">
        <f t="shared" si="9"/>
        <v>0.25738396624472576</v>
      </c>
      <c r="AK21" s="250">
        <f t="shared" si="10"/>
        <v>76.981204449579323</v>
      </c>
      <c r="AL21">
        <f t="shared" si="24"/>
        <v>1</v>
      </c>
    </row>
    <row r="22" spans="1:38" ht="15.75" thickBot="1">
      <c r="A22" s="4">
        <f>ELEC!C23</f>
        <v>44946</v>
      </c>
      <c r="B22" s="523">
        <f t="shared" si="30"/>
        <v>1883</v>
      </c>
      <c r="C22" s="248">
        <f t="shared" ref="C22:C33" si="34">B22-B21</f>
        <v>0</v>
      </c>
      <c r="D22" s="444">
        <f t="shared" si="25"/>
        <v>819196</v>
      </c>
      <c r="E22" s="248">
        <f t="shared" si="12"/>
        <v>0</v>
      </c>
      <c r="F22" s="248">
        <f t="shared" si="0"/>
        <v>0</v>
      </c>
      <c r="G22" s="185"/>
      <c r="H22" s="238">
        <f t="shared" si="13"/>
        <v>12231</v>
      </c>
      <c r="I22" s="248" t="str">
        <f t="shared" si="1"/>
        <v>ok</v>
      </c>
      <c r="J22" s="443">
        <f t="shared" si="14"/>
        <v>147</v>
      </c>
      <c r="K22" s="248">
        <f t="shared" si="2"/>
        <v>0</v>
      </c>
      <c r="L22" s="444">
        <f t="shared" si="29"/>
        <v>392191</v>
      </c>
      <c r="M22" s="248">
        <f t="shared" si="3"/>
        <v>0</v>
      </c>
      <c r="N22" s="248">
        <v>250</v>
      </c>
      <c r="O22" s="185"/>
      <c r="P22" s="249">
        <f t="shared" si="16"/>
        <v>10873</v>
      </c>
      <c r="Q22" s="248" t="str">
        <f t="shared" si="33"/>
        <v>ok</v>
      </c>
      <c r="R22" s="443">
        <f t="shared" si="17"/>
        <v>13920</v>
      </c>
      <c r="S22" s="248">
        <f t="shared" si="5"/>
        <v>0</v>
      </c>
      <c r="T22" s="444">
        <f t="shared" si="31"/>
        <v>419262</v>
      </c>
      <c r="U22" s="248">
        <f t="shared" si="32"/>
        <v>0</v>
      </c>
      <c r="V22" s="248">
        <v>250</v>
      </c>
      <c r="W22" s="185"/>
      <c r="X22" s="238">
        <f t="shared" si="18"/>
        <v>14773</v>
      </c>
      <c r="Y22" s="248" t="str">
        <f t="shared" si="19"/>
        <v>ok</v>
      </c>
      <c r="Z22" s="248">
        <f t="shared" si="8"/>
        <v>0</v>
      </c>
      <c r="AA22" s="248">
        <f t="shared" si="20"/>
        <v>0</v>
      </c>
      <c r="AB22" s="248">
        <f t="shared" si="21"/>
        <v>500</v>
      </c>
      <c r="AC22" s="248">
        <f t="shared" si="22"/>
        <v>0</v>
      </c>
      <c r="AD22" s="71">
        <f>ELEC!Q23</f>
        <v>0</v>
      </c>
      <c r="AE22" s="71" t="e">
        <f t="shared" si="26"/>
        <v>#DIV/0!</v>
      </c>
      <c r="AF22" s="345" t="e">
        <f t="shared" si="27"/>
        <v>#DIV/0!</v>
      </c>
      <c r="AG22" s="345" t="e">
        <f t="shared" si="27"/>
        <v>#DIV/0!</v>
      </c>
      <c r="AH22" s="346" t="e">
        <f t="shared" si="23"/>
        <v>#DIV/0!</v>
      </c>
      <c r="AI22" s="71">
        <f t="shared" si="28"/>
        <v>0</v>
      </c>
      <c r="AJ22" s="250">
        <f t="shared" si="9"/>
        <v>0.25738396624472576</v>
      </c>
      <c r="AK22" s="250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44947</v>
      </c>
      <c r="B23" s="523">
        <f t="shared" si="30"/>
        <v>1883</v>
      </c>
      <c r="C23" s="248">
        <f t="shared" si="34"/>
        <v>0</v>
      </c>
      <c r="D23" s="444">
        <f>D22+C23*85</f>
        <v>819196</v>
      </c>
      <c r="E23" s="248">
        <f t="shared" si="12"/>
        <v>0</v>
      </c>
      <c r="F23" s="248">
        <f t="shared" si="0"/>
        <v>0</v>
      </c>
      <c r="G23" s="185"/>
      <c r="H23" s="238">
        <f t="shared" si="13"/>
        <v>12231</v>
      </c>
      <c r="I23" s="248" t="str">
        <f t="shared" si="1"/>
        <v>ok</v>
      </c>
      <c r="J23" s="443">
        <f t="shared" si="14"/>
        <v>147</v>
      </c>
      <c r="K23" s="248">
        <f t="shared" si="2"/>
        <v>0</v>
      </c>
      <c r="L23" s="444">
        <f t="shared" si="29"/>
        <v>392191</v>
      </c>
      <c r="M23" s="248">
        <f t="shared" si="3"/>
        <v>0</v>
      </c>
      <c r="N23" s="248">
        <v>250</v>
      </c>
      <c r="O23" s="185"/>
      <c r="P23" s="249">
        <f t="shared" si="16"/>
        <v>10873</v>
      </c>
      <c r="Q23" s="248" t="str">
        <f t="shared" si="33"/>
        <v>ok</v>
      </c>
      <c r="R23" s="443">
        <f t="shared" si="17"/>
        <v>13920</v>
      </c>
      <c r="S23" s="248">
        <f>R23-R22</f>
        <v>0</v>
      </c>
      <c r="T23" s="444">
        <f t="shared" si="31"/>
        <v>419262</v>
      </c>
      <c r="U23" s="248">
        <f>V23*S23</f>
        <v>0</v>
      </c>
      <c r="V23" s="248">
        <v>250</v>
      </c>
      <c r="W23" s="185"/>
      <c r="X23" s="238">
        <f t="shared" si="18"/>
        <v>14773</v>
      </c>
      <c r="Y23" s="248" t="str">
        <f t="shared" si="19"/>
        <v>ok</v>
      </c>
      <c r="Z23" s="248">
        <f t="shared" si="8"/>
        <v>0</v>
      </c>
      <c r="AA23" s="248">
        <f t="shared" si="20"/>
        <v>0</v>
      </c>
      <c r="AB23" s="248">
        <f t="shared" si="21"/>
        <v>500</v>
      </c>
      <c r="AC23" s="248">
        <f t="shared" si="22"/>
        <v>0</v>
      </c>
      <c r="AD23" s="71">
        <f>ELEC!Q24</f>
        <v>0</v>
      </c>
      <c r="AE23" s="71" t="e">
        <f t="shared" si="26"/>
        <v>#DIV/0!</v>
      </c>
      <c r="AF23" s="345" t="e">
        <f t="shared" si="27"/>
        <v>#DIV/0!</v>
      </c>
      <c r="AG23" s="345" t="e">
        <f t="shared" si="27"/>
        <v>#DIV/0!</v>
      </c>
      <c r="AH23" s="346" t="e">
        <f t="shared" si="23"/>
        <v>#DIV/0!</v>
      </c>
      <c r="AI23" s="71">
        <f t="shared" si="28"/>
        <v>0</v>
      </c>
      <c r="AJ23" s="250">
        <f t="shared" si="9"/>
        <v>0.25738396624472576</v>
      </c>
      <c r="AK23" s="250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44948</v>
      </c>
      <c r="B24" s="523">
        <v>1894</v>
      </c>
      <c r="C24" s="248">
        <f t="shared" si="34"/>
        <v>11</v>
      </c>
      <c r="D24" s="444">
        <f t="shared" si="25"/>
        <v>820131</v>
      </c>
      <c r="E24" s="248">
        <f>SUM(D24-D23)</f>
        <v>935</v>
      </c>
      <c r="F24" s="248">
        <f t="shared" si="0"/>
        <v>85</v>
      </c>
      <c r="G24" s="185"/>
      <c r="H24" s="238">
        <f t="shared" si="13"/>
        <v>12231</v>
      </c>
      <c r="I24" s="248" t="str">
        <f t="shared" si="1"/>
        <v>ok</v>
      </c>
      <c r="J24" s="443">
        <v>148</v>
      </c>
      <c r="K24" s="248">
        <f t="shared" si="2"/>
        <v>1</v>
      </c>
      <c r="L24" s="444">
        <f t="shared" si="29"/>
        <v>392441</v>
      </c>
      <c r="M24" s="248">
        <f t="shared" si="3"/>
        <v>250</v>
      </c>
      <c r="N24" s="248">
        <v>250</v>
      </c>
      <c r="O24" s="185"/>
      <c r="P24" s="249">
        <f t="shared" si="16"/>
        <v>10873</v>
      </c>
      <c r="Q24" s="248" t="str">
        <f t="shared" si="33"/>
        <v>ok</v>
      </c>
      <c r="R24" s="443">
        <f t="shared" si="17"/>
        <v>13920</v>
      </c>
      <c r="S24" s="248">
        <f t="shared" si="5"/>
        <v>0</v>
      </c>
      <c r="T24" s="444">
        <f t="shared" si="31"/>
        <v>419262</v>
      </c>
      <c r="U24" s="248">
        <f t="shared" si="32"/>
        <v>0</v>
      </c>
      <c r="V24" s="248">
        <v>250</v>
      </c>
      <c r="W24" s="185"/>
      <c r="X24" s="238">
        <f t="shared" si="18"/>
        <v>14773</v>
      </c>
      <c r="Y24" s="248" t="str">
        <f t="shared" si="19"/>
        <v>ok</v>
      </c>
      <c r="Z24" s="248">
        <f t="shared" si="8"/>
        <v>12</v>
      </c>
      <c r="AA24" s="248">
        <f t="shared" si="20"/>
        <v>1185</v>
      </c>
      <c r="AB24" s="248">
        <f t="shared" si="21"/>
        <v>585</v>
      </c>
      <c r="AC24" s="248">
        <f t="shared" si="22"/>
        <v>98.75</v>
      </c>
      <c r="AD24" s="71">
        <f>ELEC!Q25</f>
        <v>2948.0000000003201</v>
      </c>
      <c r="AE24" s="71">
        <f t="shared" si="26"/>
        <v>245.66666666669335</v>
      </c>
      <c r="AF24" s="345">
        <f t="shared" si="27"/>
        <v>0.15354166666668334</v>
      </c>
      <c r="AG24" s="345">
        <f t="shared" si="27"/>
        <v>9.5963541666677091E-5</v>
      </c>
      <c r="AH24" s="346">
        <f t="shared" si="23"/>
        <v>98.749904036458332</v>
      </c>
      <c r="AI24" s="71">
        <f t="shared" si="28"/>
        <v>758.76793248953391</v>
      </c>
      <c r="AJ24" s="250">
        <f t="shared" si="9"/>
        <v>0.25738396624472576</v>
      </c>
      <c r="AK24" s="250">
        <f t="shared" si="10"/>
        <v>63.230661040794494</v>
      </c>
      <c r="AL24">
        <f t="shared" si="24"/>
        <v>1</v>
      </c>
    </row>
    <row r="25" spans="1:38" ht="15.75" thickBot="1">
      <c r="A25" s="4">
        <f>ELEC!C26</f>
        <v>44949</v>
      </c>
      <c r="B25" s="523">
        <f t="shared" si="30"/>
        <v>1894</v>
      </c>
      <c r="C25" s="248">
        <f t="shared" si="34"/>
        <v>0</v>
      </c>
      <c r="D25" s="444">
        <f t="shared" si="25"/>
        <v>820131</v>
      </c>
      <c r="E25" s="248">
        <f>SUM(D25-D24)</f>
        <v>0</v>
      </c>
      <c r="F25" s="248">
        <f t="shared" si="0"/>
        <v>0</v>
      </c>
      <c r="G25" s="185"/>
      <c r="H25" s="238">
        <f t="shared" si="13"/>
        <v>12231</v>
      </c>
      <c r="I25" s="248" t="str">
        <f t="shared" si="1"/>
        <v>ok</v>
      </c>
      <c r="J25" s="443">
        <f t="shared" si="14"/>
        <v>148</v>
      </c>
      <c r="K25" s="248">
        <f t="shared" si="2"/>
        <v>0</v>
      </c>
      <c r="L25" s="444">
        <f t="shared" si="29"/>
        <v>392441</v>
      </c>
      <c r="M25" s="248">
        <f t="shared" si="3"/>
        <v>0</v>
      </c>
      <c r="N25" s="248">
        <v>250</v>
      </c>
      <c r="O25" s="185"/>
      <c r="P25" s="249">
        <f t="shared" si="16"/>
        <v>10873</v>
      </c>
      <c r="Q25" s="248" t="str">
        <f t="shared" si="33"/>
        <v>ok</v>
      </c>
      <c r="R25" s="443">
        <f t="shared" si="17"/>
        <v>13920</v>
      </c>
      <c r="S25" s="248">
        <f t="shared" si="5"/>
        <v>0</v>
      </c>
      <c r="T25" s="444">
        <f t="shared" si="31"/>
        <v>419262</v>
      </c>
      <c r="U25" s="248">
        <f t="shared" si="32"/>
        <v>0</v>
      </c>
      <c r="V25" s="248">
        <v>250</v>
      </c>
      <c r="W25" s="185"/>
      <c r="X25" s="238">
        <f t="shared" si="18"/>
        <v>14773</v>
      </c>
      <c r="Y25" s="248" t="str">
        <f t="shared" si="19"/>
        <v>ok</v>
      </c>
      <c r="Z25" s="248">
        <f t="shared" si="8"/>
        <v>0</v>
      </c>
      <c r="AA25" s="248">
        <f t="shared" si="20"/>
        <v>0</v>
      </c>
      <c r="AB25" s="248">
        <f t="shared" si="21"/>
        <v>500</v>
      </c>
      <c r="AC25" s="248">
        <f t="shared" si="22"/>
        <v>0</v>
      </c>
      <c r="AD25" s="71">
        <f>ELEC!Q26</f>
        <v>0</v>
      </c>
      <c r="AE25" s="71" t="e">
        <f t="shared" si="26"/>
        <v>#DIV/0!</v>
      </c>
      <c r="AF25" s="345" t="e">
        <f t="shared" si="27"/>
        <v>#DIV/0!</v>
      </c>
      <c r="AG25" s="345" t="e">
        <f t="shared" si="27"/>
        <v>#DIV/0!</v>
      </c>
      <c r="AH25" s="346" t="e">
        <f t="shared" si="23"/>
        <v>#DIV/0!</v>
      </c>
      <c r="AI25" s="71">
        <f t="shared" si="28"/>
        <v>0</v>
      </c>
      <c r="AJ25" s="250">
        <f t="shared" si="9"/>
        <v>0.25738396624472576</v>
      </c>
      <c r="AK25" s="250" t="e">
        <f t="shared" si="10"/>
        <v>#DIV/0!</v>
      </c>
      <c r="AL25">
        <f t="shared" si="24"/>
        <v>0</v>
      </c>
    </row>
    <row r="26" spans="1:38" ht="15.75" thickBot="1">
      <c r="A26" s="4">
        <f>ELEC!C27</f>
        <v>44950</v>
      </c>
      <c r="B26" s="523">
        <f t="shared" si="30"/>
        <v>1894</v>
      </c>
      <c r="C26" s="248">
        <f t="shared" si="34"/>
        <v>0</v>
      </c>
      <c r="D26" s="444">
        <f t="shared" si="25"/>
        <v>820131</v>
      </c>
      <c r="E26" s="248">
        <f>SUM(D26-D25)</f>
        <v>0</v>
      </c>
      <c r="F26" s="248">
        <f>IF(C25&gt;0,E26/C25,0)</f>
        <v>0</v>
      </c>
      <c r="G26" s="185"/>
      <c r="H26" s="238">
        <f t="shared" si="13"/>
        <v>12231</v>
      </c>
      <c r="I26" s="248" t="str">
        <f t="shared" si="1"/>
        <v>ok</v>
      </c>
      <c r="J26" s="443">
        <f t="shared" si="14"/>
        <v>148</v>
      </c>
      <c r="K26" s="248">
        <f t="shared" si="2"/>
        <v>0</v>
      </c>
      <c r="L26" s="444">
        <f t="shared" si="29"/>
        <v>392441</v>
      </c>
      <c r="M26" s="248">
        <f t="shared" si="3"/>
        <v>0</v>
      </c>
      <c r="N26" s="248">
        <v>250</v>
      </c>
      <c r="O26" s="185"/>
      <c r="P26" s="249">
        <f t="shared" si="16"/>
        <v>10873</v>
      </c>
      <c r="Q26" s="248" t="str">
        <f t="shared" si="33"/>
        <v>ok</v>
      </c>
      <c r="R26" s="443">
        <f t="shared" si="17"/>
        <v>13920</v>
      </c>
      <c r="S26" s="248">
        <f>R26-R25</f>
        <v>0</v>
      </c>
      <c r="T26" s="444">
        <f t="shared" si="31"/>
        <v>419262</v>
      </c>
      <c r="U26" s="248">
        <f t="shared" si="32"/>
        <v>0</v>
      </c>
      <c r="V26" s="248">
        <v>250</v>
      </c>
      <c r="W26" s="185"/>
      <c r="X26" s="238">
        <f t="shared" si="18"/>
        <v>14773</v>
      </c>
      <c r="Y26" s="248" t="str">
        <f t="shared" si="19"/>
        <v>ok</v>
      </c>
      <c r="Z26" s="248">
        <f t="shared" si="8"/>
        <v>0</v>
      </c>
      <c r="AA26" s="248">
        <f t="shared" si="20"/>
        <v>0</v>
      </c>
      <c r="AB26" s="248">
        <f t="shared" si="21"/>
        <v>500</v>
      </c>
      <c r="AC26" s="248">
        <f t="shared" si="22"/>
        <v>0</v>
      </c>
      <c r="AD26" s="71">
        <f>ELEC!Q27</f>
        <v>0</v>
      </c>
      <c r="AE26" s="71" t="e">
        <f t="shared" si="26"/>
        <v>#DIV/0!</v>
      </c>
      <c r="AF26" s="345" t="e">
        <f t="shared" si="27"/>
        <v>#DIV/0!</v>
      </c>
      <c r="AG26" s="345" t="e">
        <f t="shared" si="27"/>
        <v>#DIV/0!</v>
      </c>
      <c r="AH26" s="346" t="e">
        <f t="shared" si="23"/>
        <v>#DIV/0!</v>
      </c>
      <c r="AI26" s="71">
        <f t="shared" si="28"/>
        <v>0</v>
      </c>
      <c r="AJ26" s="250">
        <f t="shared" si="9"/>
        <v>0.25738396624472576</v>
      </c>
      <c r="AK26" s="250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44951</v>
      </c>
      <c r="B27" s="523">
        <f t="shared" si="30"/>
        <v>1894</v>
      </c>
      <c r="C27" s="248">
        <f t="shared" si="34"/>
        <v>0</v>
      </c>
      <c r="D27" s="444">
        <f t="shared" si="25"/>
        <v>820131</v>
      </c>
      <c r="E27" s="248">
        <f>SUM(D27-D26)</f>
        <v>0</v>
      </c>
      <c r="F27" s="248">
        <f>IF(C26&gt;0,E27/C26,0)</f>
        <v>0</v>
      </c>
      <c r="G27" s="185"/>
      <c r="H27" s="238">
        <f t="shared" si="13"/>
        <v>12231</v>
      </c>
      <c r="I27" s="248" t="str">
        <f>IF(B26-H27&lt;=0,"ok","oil change")</f>
        <v>ok</v>
      </c>
      <c r="J27" s="443">
        <f t="shared" si="14"/>
        <v>148</v>
      </c>
      <c r="K27" s="248">
        <f t="shared" si="2"/>
        <v>0</v>
      </c>
      <c r="L27" s="444">
        <f t="shared" si="29"/>
        <v>392441</v>
      </c>
      <c r="M27" s="248">
        <f t="shared" si="3"/>
        <v>0</v>
      </c>
      <c r="N27" s="248">
        <v>250</v>
      </c>
      <c r="O27" s="185"/>
      <c r="P27" s="249">
        <f t="shared" si="16"/>
        <v>10873</v>
      </c>
      <c r="Q27" s="248" t="str">
        <f t="shared" si="33"/>
        <v>ok</v>
      </c>
      <c r="R27" s="443">
        <f t="shared" si="17"/>
        <v>13920</v>
      </c>
      <c r="S27" s="248">
        <f t="shared" si="5"/>
        <v>0</v>
      </c>
      <c r="T27" s="444">
        <f t="shared" si="31"/>
        <v>419262</v>
      </c>
      <c r="U27" s="248">
        <f t="shared" si="32"/>
        <v>0</v>
      </c>
      <c r="V27" s="248">
        <v>250</v>
      </c>
      <c r="W27" s="185"/>
      <c r="X27" s="238">
        <f t="shared" si="18"/>
        <v>14773</v>
      </c>
      <c r="Y27" s="248" t="str">
        <f t="shared" si="19"/>
        <v>ok</v>
      </c>
      <c r="Z27" s="248">
        <f t="shared" si="8"/>
        <v>0</v>
      </c>
      <c r="AA27" s="248">
        <f t="shared" si="20"/>
        <v>0</v>
      </c>
      <c r="AB27" s="248">
        <f t="shared" si="21"/>
        <v>500</v>
      </c>
      <c r="AC27" s="248">
        <f t="shared" si="22"/>
        <v>0</v>
      </c>
      <c r="AD27" s="71">
        <f>ELEC!Q28</f>
        <v>0</v>
      </c>
      <c r="AE27" s="71" t="e">
        <f t="shared" si="26"/>
        <v>#DIV/0!</v>
      </c>
      <c r="AF27" s="345" t="e">
        <f t="shared" si="27"/>
        <v>#DIV/0!</v>
      </c>
      <c r="AG27" s="345" t="e">
        <f t="shared" si="27"/>
        <v>#DIV/0!</v>
      </c>
      <c r="AH27" s="346" t="e">
        <f t="shared" si="23"/>
        <v>#DIV/0!</v>
      </c>
      <c r="AI27" s="71">
        <f t="shared" si="28"/>
        <v>0</v>
      </c>
      <c r="AJ27" s="250">
        <f t="shared" si="9"/>
        <v>0.25738396624472576</v>
      </c>
      <c r="AK27" s="250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44952</v>
      </c>
      <c r="B28" s="523">
        <f t="shared" si="30"/>
        <v>1894</v>
      </c>
      <c r="C28" s="248">
        <f t="shared" si="34"/>
        <v>0</v>
      </c>
      <c r="D28" s="444">
        <f t="shared" si="25"/>
        <v>820131</v>
      </c>
      <c r="E28" s="248">
        <f t="shared" si="12"/>
        <v>0</v>
      </c>
      <c r="F28" s="248">
        <f t="shared" si="0"/>
        <v>0</v>
      </c>
      <c r="G28" s="185"/>
      <c r="H28" s="238">
        <f t="shared" si="13"/>
        <v>12231</v>
      </c>
      <c r="I28" s="248" t="str">
        <f t="shared" si="1"/>
        <v>ok</v>
      </c>
      <c r="J28" s="443">
        <f t="shared" si="14"/>
        <v>148</v>
      </c>
      <c r="K28" s="248">
        <f t="shared" si="2"/>
        <v>0</v>
      </c>
      <c r="L28" s="444">
        <f t="shared" si="29"/>
        <v>392441</v>
      </c>
      <c r="M28" s="248">
        <f t="shared" si="3"/>
        <v>0</v>
      </c>
      <c r="N28" s="248">
        <v>250</v>
      </c>
      <c r="O28" s="185"/>
      <c r="P28" s="249">
        <f t="shared" si="16"/>
        <v>10873</v>
      </c>
      <c r="Q28" s="248" t="str">
        <f t="shared" si="33"/>
        <v>ok</v>
      </c>
      <c r="R28" s="443">
        <f t="shared" si="17"/>
        <v>13920</v>
      </c>
      <c r="S28" s="248">
        <f t="shared" si="5"/>
        <v>0</v>
      </c>
      <c r="T28" s="444">
        <f t="shared" si="31"/>
        <v>419262</v>
      </c>
      <c r="U28" s="248">
        <f t="shared" si="32"/>
        <v>0</v>
      </c>
      <c r="V28" s="248">
        <v>250</v>
      </c>
      <c r="W28" s="185"/>
      <c r="X28" s="238">
        <f t="shared" si="18"/>
        <v>14773</v>
      </c>
      <c r="Y28" s="248" t="str">
        <f t="shared" si="19"/>
        <v>ok</v>
      </c>
      <c r="Z28" s="248">
        <f t="shared" si="8"/>
        <v>0</v>
      </c>
      <c r="AA28" s="248">
        <f t="shared" si="20"/>
        <v>0</v>
      </c>
      <c r="AB28" s="248">
        <f t="shared" si="21"/>
        <v>500</v>
      </c>
      <c r="AC28" s="248">
        <f t="shared" si="22"/>
        <v>0</v>
      </c>
      <c r="AD28" s="71">
        <f>ELEC!Q29</f>
        <v>0</v>
      </c>
      <c r="AE28" s="71" t="e">
        <f t="shared" si="26"/>
        <v>#DIV/0!</v>
      </c>
      <c r="AF28" s="345" t="e">
        <f t="shared" si="27"/>
        <v>#DIV/0!</v>
      </c>
      <c r="AG28" s="345" t="e">
        <f t="shared" si="27"/>
        <v>#DIV/0!</v>
      </c>
      <c r="AH28" s="346" t="e">
        <f t="shared" si="23"/>
        <v>#DIV/0!</v>
      </c>
      <c r="AI28" s="71">
        <f t="shared" si="28"/>
        <v>0</v>
      </c>
      <c r="AJ28" s="250">
        <f t="shared" si="9"/>
        <v>0.25738396624472576</v>
      </c>
      <c r="AK28" s="250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44953</v>
      </c>
      <c r="B29" s="523">
        <f t="shared" si="30"/>
        <v>1894</v>
      </c>
      <c r="C29" s="248">
        <f t="shared" si="34"/>
        <v>0</v>
      </c>
      <c r="D29" s="444">
        <f t="shared" si="25"/>
        <v>820131</v>
      </c>
      <c r="E29" s="248">
        <f t="shared" si="12"/>
        <v>0</v>
      </c>
      <c r="F29" s="248">
        <f t="shared" si="0"/>
        <v>0</v>
      </c>
      <c r="G29" s="185"/>
      <c r="H29" s="238">
        <f t="shared" si="13"/>
        <v>12231</v>
      </c>
      <c r="I29" s="248" t="str">
        <f t="shared" si="1"/>
        <v>ok</v>
      </c>
      <c r="J29" s="443">
        <f t="shared" si="14"/>
        <v>148</v>
      </c>
      <c r="K29" s="248">
        <f t="shared" si="2"/>
        <v>0</v>
      </c>
      <c r="L29" s="444">
        <f t="shared" si="29"/>
        <v>392441</v>
      </c>
      <c r="M29" s="248">
        <f t="shared" si="3"/>
        <v>0</v>
      </c>
      <c r="N29" s="248">
        <v>250</v>
      </c>
      <c r="O29" s="185"/>
      <c r="P29" s="249">
        <f t="shared" si="16"/>
        <v>10873</v>
      </c>
      <c r="Q29" s="248" t="str">
        <f t="shared" si="33"/>
        <v>ok</v>
      </c>
      <c r="R29" s="443">
        <f t="shared" si="17"/>
        <v>13920</v>
      </c>
      <c r="S29" s="248">
        <f t="shared" si="5"/>
        <v>0</v>
      </c>
      <c r="T29" s="444">
        <f t="shared" si="31"/>
        <v>419262</v>
      </c>
      <c r="U29" s="248">
        <f>V29*S29</f>
        <v>0</v>
      </c>
      <c r="V29" s="248">
        <v>250</v>
      </c>
      <c r="W29" s="185"/>
      <c r="X29" s="238">
        <f t="shared" si="18"/>
        <v>14773</v>
      </c>
      <c r="Y29" s="248" t="str">
        <f t="shared" si="19"/>
        <v>ok</v>
      </c>
      <c r="Z29" s="248">
        <f t="shared" si="8"/>
        <v>0</v>
      </c>
      <c r="AA29" s="248">
        <f t="shared" si="20"/>
        <v>0</v>
      </c>
      <c r="AB29" s="248">
        <f t="shared" si="21"/>
        <v>500</v>
      </c>
      <c r="AC29" s="248">
        <f t="shared" si="22"/>
        <v>0</v>
      </c>
      <c r="AD29" s="71">
        <f>ELEC!Q30</f>
        <v>0</v>
      </c>
      <c r="AE29" s="71" t="e">
        <f t="shared" si="26"/>
        <v>#DIV/0!</v>
      </c>
      <c r="AF29" s="345" t="e">
        <f t="shared" si="27"/>
        <v>#DIV/0!</v>
      </c>
      <c r="AG29" s="345" t="e">
        <f t="shared" si="27"/>
        <v>#DIV/0!</v>
      </c>
      <c r="AH29" s="346" t="e">
        <f t="shared" si="23"/>
        <v>#DIV/0!</v>
      </c>
      <c r="AI29" s="71">
        <f t="shared" si="28"/>
        <v>0</v>
      </c>
      <c r="AJ29" s="250">
        <f t="shared" si="9"/>
        <v>0.25738396624472576</v>
      </c>
      <c r="AK29" s="250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44954</v>
      </c>
      <c r="B30" s="523">
        <f t="shared" si="30"/>
        <v>1894</v>
      </c>
      <c r="C30" s="248">
        <f t="shared" si="34"/>
        <v>0</v>
      </c>
      <c r="D30" s="444">
        <f t="shared" si="25"/>
        <v>820131</v>
      </c>
      <c r="E30" s="248">
        <f t="shared" si="12"/>
        <v>0</v>
      </c>
      <c r="F30" s="248">
        <f t="shared" si="0"/>
        <v>0</v>
      </c>
      <c r="G30" s="185"/>
      <c r="H30" s="238">
        <f t="shared" si="13"/>
        <v>12231</v>
      </c>
      <c r="I30" s="248" t="str">
        <f t="shared" si="1"/>
        <v>ok</v>
      </c>
      <c r="J30" s="443">
        <f t="shared" si="14"/>
        <v>148</v>
      </c>
      <c r="K30" s="248">
        <f t="shared" si="2"/>
        <v>0</v>
      </c>
      <c r="L30" s="444">
        <f t="shared" si="29"/>
        <v>392441</v>
      </c>
      <c r="M30" s="248">
        <f t="shared" si="3"/>
        <v>0</v>
      </c>
      <c r="N30" s="248">
        <v>250</v>
      </c>
      <c r="O30" s="185"/>
      <c r="P30" s="249">
        <f t="shared" si="16"/>
        <v>10873</v>
      </c>
      <c r="Q30" s="248" t="str">
        <f t="shared" si="33"/>
        <v>ok</v>
      </c>
      <c r="R30" s="443">
        <f t="shared" si="17"/>
        <v>13920</v>
      </c>
      <c r="S30" s="248">
        <f t="shared" si="5"/>
        <v>0</v>
      </c>
      <c r="T30" s="444">
        <f t="shared" si="31"/>
        <v>419262</v>
      </c>
      <c r="U30" s="248">
        <f t="shared" si="32"/>
        <v>0</v>
      </c>
      <c r="V30" s="248">
        <v>250</v>
      </c>
      <c r="W30" s="185"/>
      <c r="X30" s="238">
        <f t="shared" si="18"/>
        <v>14773</v>
      </c>
      <c r="Y30" s="248" t="str">
        <f t="shared" si="19"/>
        <v>ok</v>
      </c>
      <c r="Z30" s="248">
        <f t="shared" si="8"/>
        <v>0</v>
      </c>
      <c r="AA30" s="248">
        <f t="shared" si="20"/>
        <v>0</v>
      </c>
      <c r="AB30" s="248">
        <f t="shared" si="21"/>
        <v>500</v>
      </c>
      <c r="AC30" s="248">
        <f t="shared" si="22"/>
        <v>0</v>
      </c>
      <c r="AD30" s="71">
        <f>ELEC!Q31</f>
        <v>0</v>
      </c>
      <c r="AE30" s="71" t="e">
        <f t="shared" si="26"/>
        <v>#DIV/0!</v>
      </c>
      <c r="AF30" s="345" t="e">
        <f t="shared" si="27"/>
        <v>#DIV/0!</v>
      </c>
      <c r="AG30" s="345" t="e">
        <f t="shared" si="27"/>
        <v>#DIV/0!</v>
      </c>
      <c r="AH30" s="346" t="e">
        <f t="shared" si="23"/>
        <v>#DIV/0!</v>
      </c>
      <c r="AI30" s="71">
        <f t="shared" si="28"/>
        <v>0</v>
      </c>
      <c r="AJ30" s="250">
        <f t="shared" si="9"/>
        <v>0.25738396624472576</v>
      </c>
      <c r="AK30" s="250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44955</v>
      </c>
      <c r="B31" s="523">
        <f t="shared" si="30"/>
        <v>1894</v>
      </c>
      <c r="C31" s="248">
        <f t="shared" si="34"/>
        <v>0</v>
      </c>
      <c r="D31" s="444">
        <f t="shared" si="25"/>
        <v>820131</v>
      </c>
      <c r="E31" s="248">
        <f t="shared" si="12"/>
        <v>0</v>
      </c>
      <c r="F31" s="248">
        <f t="shared" ref="F31:F33" si="35">IF(C31&gt;0,E31/C31,0)</f>
        <v>0</v>
      </c>
      <c r="G31" s="185"/>
      <c r="H31" s="238">
        <f t="shared" si="13"/>
        <v>12231</v>
      </c>
      <c r="I31" s="248" t="str">
        <f t="shared" ref="I31:I33" si="36">IF(B31-H31&lt;=0,"ok","oil change")</f>
        <v>ok</v>
      </c>
      <c r="J31" s="443">
        <f t="shared" si="14"/>
        <v>148</v>
      </c>
      <c r="K31" s="248">
        <f t="shared" si="2"/>
        <v>0</v>
      </c>
      <c r="L31" s="444">
        <f t="shared" si="29"/>
        <v>392441</v>
      </c>
      <c r="M31" s="248">
        <f t="shared" si="3"/>
        <v>0</v>
      </c>
      <c r="N31" s="248">
        <v>250</v>
      </c>
      <c r="O31" s="185"/>
      <c r="P31" s="249">
        <f t="shared" si="16"/>
        <v>10873</v>
      </c>
      <c r="Q31" s="248" t="str">
        <f t="shared" ref="Q31:Q33" si="37">IF(J31-P31&lt;=0,"ok","oil change")</f>
        <v>ok</v>
      </c>
      <c r="R31" s="443">
        <f t="shared" si="17"/>
        <v>13920</v>
      </c>
      <c r="S31" s="248">
        <f t="shared" ref="S31:S33" si="38">R31-R30</f>
        <v>0</v>
      </c>
      <c r="T31" s="444">
        <f t="shared" si="31"/>
        <v>419262</v>
      </c>
      <c r="U31" s="248">
        <f t="shared" ref="U31:U33" si="39">V31*S31</f>
        <v>0</v>
      </c>
      <c r="V31" s="248">
        <v>250</v>
      </c>
      <c r="W31" s="185"/>
      <c r="X31" s="238">
        <f t="shared" si="18"/>
        <v>14773</v>
      </c>
      <c r="Y31" s="248" t="str">
        <f t="shared" si="19"/>
        <v>ok</v>
      </c>
      <c r="Z31" s="248">
        <f t="shared" si="8"/>
        <v>0</v>
      </c>
      <c r="AA31" s="248">
        <f t="shared" ref="AA31:AA33" si="40">U31+M31+E31</f>
        <v>0</v>
      </c>
      <c r="AB31" s="248">
        <f t="shared" ref="AB31:AB33" si="41">V31+N31+F31</f>
        <v>500</v>
      </c>
      <c r="AC31" s="248">
        <f t="shared" ref="AC31:AC33" si="42">IF(Z31&gt;0,AA31/Z31,0)</f>
        <v>0</v>
      </c>
      <c r="AD31" s="71">
        <f>ELEC!Q32</f>
        <v>0</v>
      </c>
      <c r="AE31" s="71" t="e">
        <f t="shared" ref="AE31:AE33" si="43">SUM(AD31/Z31)</f>
        <v>#DIV/0!</v>
      </c>
      <c r="AF31" s="345" t="e">
        <f t="shared" ref="AF31:AF33" si="44">SUM(AE31/1600)</f>
        <v>#DIV/0!</v>
      </c>
      <c r="AG31" s="345" t="e">
        <f t="shared" ref="AG31:AG33" si="45">SUM(AF31/1600)</f>
        <v>#DIV/0!</v>
      </c>
      <c r="AH31" s="346" t="e">
        <f t="shared" ref="AH31:AH33" si="46">SUM(AC31-AG31)</f>
        <v>#DIV/0!</v>
      </c>
      <c r="AI31" s="71">
        <f t="shared" ref="AI31:AI33" si="47">AD31*AJ31</f>
        <v>0</v>
      </c>
      <c r="AJ31" s="250">
        <f t="shared" si="9"/>
        <v>0.25738396624472576</v>
      </c>
      <c r="AK31" s="250" t="e">
        <f t="shared" ref="AK31:AK33" si="48">AI31/Z31</f>
        <v>#DIV/0!</v>
      </c>
      <c r="AL31">
        <f t="shared" ref="AL31:AL33" si="49">IF(Z31=0,0,1)</f>
        <v>0</v>
      </c>
    </row>
    <row r="32" spans="1:38" ht="15.75" thickBot="1">
      <c r="A32" s="4">
        <f>ELEC!C33</f>
        <v>44956</v>
      </c>
      <c r="B32" s="523">
        <f t="shared" si="30"/>
        <v>1894</v>
      </c>
      <c r="C32" s="248">
        <f t="shared" si="34"/>
        <v>0</v>
      </c>
      <c r="D32" s="444">
        <f t="shared" si="25"/>
        <v>820131</v>
      </c>
      <c r="E32" s="248">
        <f t="shared" si="12"/>
        <v>0</v>
      </c>
      <c r="F32" s="248">
        <f t="shared" si="35"/>
        <v>0</v>
      </c>
      <c r="G32" s="185"/>
      <c r="H32" s="238">
        <f t="shared" si="13"/>
        <v>12231</v>
      </c>
      <c r="I32" s="248" t="str">
        <f t="shared" si="36"/>
        <v>ok</v>
      </c>
      <c r="J32" s="443">
        <f t="shared" si="14"/>
        <v>148</v>
      </c>
      <c r="K32" s="248">
        <f t="shared" si="2"/>
        <v>0</v>
      </c>
      <c r="L32" s="444">
        <f t="shared" si="29"/>
        <v>392441</v>
      </c>
      <c r="M32" s="248">
        <f t="shared" si="3"/>
        <v>0</v>
      </c>
      <c r="N32" s="248">
        <v>250</v>
      </c>
      <c r="O32" s="185"/>
      <c r="P32" s="249">
        <f t="shared" si="16"/>
        <v>10873</v>
      </c>
      <c r="Q32" s="248" t="str">
        <f t="shared" si="37"/>
        <v>ok</v>
      </c>
      <c r="R32" s="443">
        <f t="shared" si="17"/>
        <v>13920</v>
      </c>
      <c r="S32" s="248">
        <f t="shared" si="38"/>
        <v>0</v>
      </c>
      <c r="T32" s="444">
        <f t="shared" si="31"/>
        <v>419262</v>
      </c>
      <c r="U32" s="248">
        <f t="shared" si="39"/>
        <v>0</v>
      </c>
      <c r="V32" s="248">
        <v>250</v>
      </c>
      <c r="W32" s="185"/>
      <c r="X32" s="238">
        <f t="shared" si="18"/>
        <v>14773</v>
      </c>
      <c r="Y32" s="248" t="str">
        <f t="shared" si="19"/>
        <v>ok</v>
      </c>
      <c r="Z32" s="248">
        <f t="shared" si="8"/>
        <v>0</v>
      </c>
      <c r="AA32" s="248">
        <f t="shared" si="40"/>
        <v>0</v>
      </c>
      <c r="AB32" s="248">
        <f t="shared" si="41"/>
        <v>500</v>
      </c>
      <c r="AC32" s="248">
        <f t="shared" si="42"/>
        <v>0</v>
      </c>
      <c r="AD32" s="71">
        <f>ELEC!Q33</f>
        <v>0</v>
      </c>
      <c r="AE32" s="71" t="e">
        <f t="shared" si="43"/>
        <v>#DIV/0!</v>
      </c>
      <c r="AF32" s="345" t="e">
        <f t="shared" si="44"/>
        <v>#DIV/0!</v>
      </c>
      <c r="AG32" s="345" t="e">
        <f t="shared" si="45"/>
        <v>#DIV/0!</v>
      </c>
      <c r="AH32" s="346" t="e">
        <f t="shared" si="46"/>
        <v>#DIV/0!</v>
      </c>
      <c r="AI32" s="71">
        <f t="shared" si="47"/>
        <v>0</v>
      </c>
      <c r="AJ32" s="250">
        <f t="shared" si="9"/>
        <v>0.25738396624472576</v>
      </c>
      <c r="AK32" s="250" t="e">
        <f t="shared" si="48"/>
        <v>#DIV/0!</v>
      </c>
      <c r="AL32">
        <f t="shared" si="49"/>
        <v>0</v>
      </c>
    </row>
    <row r="33" spans="1:38">
      <c r="A33" s="4">
        <f>ELEC!C34</f>
        <v>44957</v>
      </c>
      <c r="B33" s="523">
        <f t="shared" si="30"/>
        <v>1894</v>
      </c>
      <c r="C33" s="248">
        <f t="shared" si="34"/>
        <v>0</v>
      </c>
      <c r="D33" s="444">
        <f t="shared" si="25"/>
        <v>820131</v>
      </c>
      <c r="E33" s="248">
        <f t="shared" si="12"/>
        <v>0</v>
      </c>
      <c r="F33" s="248">
        <f t="shared" si="35"/>
        <v>0</v>
      </c>
      <c r="G33" s="185"/>
      <c r="H33" s="238">
        <f t="shared" si="13"/>
        <v>12231</v>
      </c>
      <c r="I33" s="248" t="str">
        <f t="shared" si="36"/>
        <v>ok</v>
      </c>
      <c r="J33" s="443">
        <f t="shared" si="14"/>
        <v>148</v>
      </c>
      <c r="K33" s="248">
        <f t="shared" si="2"/>
        <v>0</v>
      </c>
      <c r="L33" s="444">
        <f t="shared" si="29"/>
        <v>392441</v>
      </c>
      <c r="M33" s="248">
        <f t="shared" si="3"/>
        <v>0</v>
      </c>
      <c r="N33" s="248">
        <v>250</v>
      </c>
      <c r="O33" s="185"/>
      <c r="P33" s="249">
        <f t="shared" si="16"/>
        <v>10873</v>
      </c>
      <c r="Q33" s="248" t="str">
        <f t="shared" si="37"/>
        <v>ok</v>
      </c>
      <c r="R33" s="443">
        <f t="shared" si="17"/>
        <v>13920</v>
      </c>
      <c r="S33" s="248">
        <f t="shared" si="38"/>
        <v>0</v>
      </c>
      <c r="T33" s="444">
        <f t="shared" si="31"/>
        <v>419262</v>
      </c>
      <c r="U33" s="248">
        <f t="shared" si="39"/>
        <v>0</v>
      </c>
      <c r="V33" s="248">
        <v>250</v>
      </c>
      <c r="W33" s="185"/>
      <c r="X33" s="238">
        <f t="shared" si="18"/>
        <v>14773</v>
      </c>
      <c r="Y33" s="248" t="str">
        <f t="shared" si="19"/>
        <v>ok</v>
      </c>
      <c r="Z33" s="248">
        <f t="shared" si="8"/>
        <v>0</v>
      </c>
      <c r="AA33" s="248">
        <f t="shared" si="40"/>
        <v>0</v>
      </c>
      <c r="AB33" s="248">
        <f t="shared" si="41"/>
        <v>500</v>
      </c>
      <c r="AC33" s="248">
        <f t="shared" si="42"/>
        <v>0</v>
      </c>
      <c r="AD33" s="71">
        <f>ELEC!Q34</f>
        <v>0</v>
      </c>
      <c r="AE33" s="71" t="e">
        <f t="shared" si="43"/>
        <v>#DIV/0!</v>
      </c>
      <c r="AF33" s="345" t="e">
        <f t="shared" si="44"/>
        <v>#DIV/0!</v>
      </c>
      <c r="AG33" s="345" t="e">
        <f t="shared" si="45"/>
        <v>#DIV/0!</v>
      </c>
      <c r="AH33" s="346" t="e">
        <f t="shared" si="46"/>
        <v>#DIV/0!</v>
      </c>
      <c r="AI33" s="71">
        <f t="shared" si="47"/>
        <v>0</v>
      </c>
      <c r="AJ33" s="250">
        <f t="shared" si="9"/>
        <v>0.25738396624472576</v>
      </c>
      <c r="AK33" s="250" t="e">
        <f t="shared" si="48"/>
        <v>#DIV/0!</v>
      </c>
      <c r="AL33">
        <f t="shared" si="49"/>
        <v>0</v>
      </c>
    </row>
    <row r="34" spans="1:38">
      <c r="H34" s="38"/>
      <c r="I34" s="236"/>
      <c r="M34" s="38"/>
      <c r="N34" s="38"/>
      <c r="O34" s="38"/>
      <c r="P34" s="79">
        <f>+O34/3</f>
        <v>0</v>
      </c>
      <c r="S34" s="38"/>
      <c r="T34" s="38"/>
      <c r="U34" s="39">
        <f>SUM(C35:S35)</f>
        <v>174</v>
      </c>
      <c r="V34" s="39"/>
      <c r="X34">
        <v>341</v>
      </c>
      <c r="Z34" s="360">
        <f>SUM(Z3:Z33)</f>
        <v>174</v>
      </c>
      <c r="AF34" s="345">
        <f>SUM(AE34/1600)</f>
        <v>0</v>
      </c>
      <c r="AL34">
        <f>SUM(AL3:AL33)</f>
        <v>14</v>
      </c>
    </row>
    <row r="35" spans="1:38">
      <c r="C35" s="39">
        <f>SUM(C3:C33)</f>
        <v>170</v>
      </c>
      <c r="K35" s="39">
        <f>SUM(K3:K33)</f>
        <v>1</v>
      </c>
      <c r="S35" s="39">
        <f>SUM(S3:S33)</f>
        <v>3</v>
      </c>
      <c r="U35" s="39"/>
      <c r="V35" s="39"/>
      <c r="X35" s="39"/>
    </row>
    <row r="38" spans="1:38">
      <c r="T38">
        <v>14</v>
      </c>
    </row>
    <row r="39" spans="1:38">
      <c r="T39">
        <v>10</v>
      </c>
    </row>
    <row r="40" spans="1:38" ht="15.75" thickBot="1">
      <c r="D40" s="238">
        <v>193</v>
      </c>
      <c r="T40">
        <v>10</v>
      </c>
    </row>
    <row r="41" spans="1:38" ht="15.75" thickBot="1">
      <c r="D41" s="443">
        <f>193+10</f>
        <v>203</v>
      </c>
      <c r="T41">
        <v>0</v>
      </c>
    </row>
    <row r="42" spans="1:38" ht="15.75" thickBot="1">
      <c r="D42" s="443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43">
        <f t="shared" ref="D43:D44" si="50">D42</f>
        <v>213</v>
      </c>
      <c r="T43">
        <v>8</v>
      </c>
    </row>
    <row r="44" spans="1:38" ht="15.75" thickBot="1">
      <c r="D44" s="443">
        <f t="shared" si="50"/>
        <v>213</v>
      </c>
      <c r="T44">
        <v>9</v>
      </c>
    </row>
    <row r="45" spans="1:38" ht="15.75" thickBot="1">
      <c r="D45" s="443">
        <f>213+8</f>
        <v>221</v>
      </c>
      <c r="T45">
        <v>10</v>
      </c>
    </row>
    <row r="46" spans="1:38" ht="15.75" thickBot="1">
      <c r="D46" s="443">
        <f>221+9</f>
        <v>230</v>
      </c>
      <c r="T46">
        <v>9</v>
      </c>
    </row>
    <row r="47" spans="1:38" ht="15.75" thickBot="1">
      <c r="D47" s="443">
        <f>230+10</f>
        <v>240</v>
      </c>
      <c r="T47">
        <v>9</v>
      </c>
    </row>
    <row r="48" spans="1:38" ht="15.75" thickBot="1">
      <c r="D48" s="443">
        <f>240+9</f>
        <v>249</v>
      </c>
    </row>
    <row r="49" spans="4:4" ht="15.75" thickBot="1">
      <c r="D49" s="443">
        <f>249+9</f>
        <v>258</v>
      </c>
    </row>
    <row r="50" spans="4:4">
      <c r="D50" s="443">
        <v>266</v>
      </c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80"/>
  <sheetViews>
    <sheetView zoomScale="85" zoomScaleNormal="85" workbookViewId="0">
      <selection activeCell="G22" sqref="G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97" bestFit="1" customWidth="1"/>
    <col min="20" max="20" width="10.28515625" style="289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47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56" t="s">
        <v>126</v>
      </c>
      <c r="B1" s="156" t="s">
        <v>203</v>
      </c>
      <c r="C1" s="156" t="s">
        <v>204</v>
      </c>
      <c r="D1" s="156"/>
      <c r="E1" s="156"/>
      <c r="F1" s="156" t="s">
        <v>205</v>
      </c>
      <c r="G1" s="156">
        <v>320</v>
      </c>
      <c r="H1" s="156" t="s">
        <v>1</v>
      </c>
      <c r="I1" s="156">
        <v>112</v>
      </c>
      <c r="J1" s="156" t="s">
        <v>206</v>
      </c>
      <c r="K1" s="156">
        <v>80</v>
      </c>
      <c r="L1" s="156"/>
      <c r="M1" s="156"/>
      <c r="N1" s="156"/>
      <c r="O1" s="156"/>
      <c r="P1" s="156"/>
      <c r="Q1" s="156"/>
      <c r="R1" s="156"/>
      <c r="S1" s="256"/>
      <c r="T1" s="287"/>
    </row>
    <row r="2" spans="1:32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 t="s">
        <v>207</v>
      </c>
      <c r="M2" s="156" t="s">
        <v>208</v>
      </c>
      <c r="N2" s="156" t="s">
        <v>209</v>
      </c>
      <c r="O2" s="156" t="s">
        <v>210</v>
      </c>
      <c r="P2" s="156" t="s">
        <v>211</v>
      </c>
      <c r="Q2" s="156" t="s">
        <v>212</v>
      </c>
      <c r="R2" s="156" t="s">
        <v>213</v>
      </c>
      <c r="S2" s="256"/>
      <c r="T2" s="287"/>
    </row>
    <row r="3" spans="1:32" ht="20.100000000000001" customHeight="1" thickBot="1">
      <c r="A3" s="155">
        <v>44926</v>
      </c>
      <c r="B3" s="78">
        <v>1127523</v>
      </c>
      <c r="C3" s="78">
        <f>'[2]EDl log'!C33</f>
        <v>0</v>
      </c>
      <c r="D3" s="78">
        <f>'[2]EDl log'!D33</f>
        <v>0</v>
      </c>
      <c r="E3" s="78">
        <v>1127523</v>
      </c>
      <c r="F3" s="78">
        <v>161786</v>
      </c>
      <c r="G3" s="78">
        <f>'[2]EDl log'!G33</f>
        <v>0</v>
      </c>
      <c r="H3" s="78">
        <v>563797</v>
      </c>
      <c r="I3" s="78">
        <f>'[2]EDl log'!I33</f>
        <v>0</v>
      </c>
      <c r="J3" s="78">
        <v>401939</v>
      </c>
      <c r="K3" s="78">
        <f>'[2]EDl log'!K33</f>
        <v>0</v>
      </c>
      <c r="L3" s="78">
        <f>'[2]EDl log'!L33</f>
        <v>0</v>
      </c>
      <c r="M3" s="78">
        <f>'[2]EDl log'!M33</f>
        <v>0</v>
      </c>
      <c r="N3" s="78">
        <f>'[2]EDl log'!N33</f>
        <v>0</v>
      </c>
      <c r="O3" s="78">
        <f>'[2]EDl log'!O33</f>
        <v>159.96313985627418</v>
      </c>
      <c r="P3" s="78">
        <f>'[2]EDl log'!P33</f>
        <v>159.96313985627418</v>
      </c>
      <c r="Q3" s="78">
        <f>'[2]EDl log'!Q33</f>
        <v>-95.279709677430787</v>
      </c>
      <c r="R3" s="78">
        <f>'[2]EDl log'!R33</f>
        <v>64.683430178843395</v>
      </c>
      <c r="S3" s="78">
        <f>'[2]EDl log'!S33</f>
        <v>3572</v>
      </c>
      <c r="T3" s="78">
        <f>'[2]EDl log'!T33</f>
        <v>1.8108463095980794E-2</v>
      </c>
      <c r="Z3" t="s">
        <v>214</v>
      </c>
      <c r="AA3">
        <v>0.1</v>
      </c>
    </row>
    <row r="4" spans="1:32" ht="20.100000000000001" customHeight="1">
      <c r="A4" s="155">
        <f>ELEC!C4</f>
        <v>44927</v>
      </c>
      <c r="B4" s="78">
        <f>B3</f>
        <v>1127523</v>
      </c>
      <c r="C4" s="78">
        <f t="shared" ref="C4:C30" si="0">SUM(B4-B3)</f>
        <v>0</v>
      </c>
      <c r="D4" s="264">
        <f>SUM(G4+I4+K4)</f>
        <v>0</v>
      </c>
      <c r="E4" s="264">
        <f>B3+D4</f>
        <v>1127523</v>
      </c>
      <c r="F4" s="78">
        <v>161786</v>
      </c>
      <c r="G4" s="152">
        <f t="shared" ref="G4:G30" si="1">F4-F3</f>
        <v>0</v>
      </c>
      <c r="H4" s="78">
        <f>H3</f>
        <v>563797</v>
      </c>
      <c r="I4" s="153">
        <f t="shared" ref="I4:I30" si="2">H4-H3</f>
        <v>0</v>
      </c>
      <c r="J4" s="78">
        <f>J3</f>
        <v>401939</v>
      </c>
      <c r="K4" s="154">
        <f>J4-J3</f>
        <v>0</v>
      </c>
      <c r="L4" s="254">
        <f t="shared" ref="L4:L13" si="3">SUM(G4*$Y$28)/1507.5</f>
        <v>0</v>
      </c>
      <c r="M4" s="254">
        <f t="shared" ref="M4:M13" si="4">SUM(I4*$Y$27)/1507.5</f>
        <v>0</v>
      </c>
      <c r="N4" s="254">
        <f t="shared" ref="N4:N13" si="5">SUM(K4*$Y$26)/1507.5</f>
        <v>0</v>
      </c>
      <c r="O4" s="254">
        <f>($AC$29/$A$37)/1507.5</f>
        <v>154.80303857058792</v>
      </c>
      <c r="P4" s="255">
        <f>SUM(L4:O4)</f>
        <v>154.80303857058792</v>
      </c>
      <c r="Q4" s="255">
        <f>SUM(-tanks!AX6*tanks!$AU$37)</f>
        <v>0</v>
      </c>
      <c r="R4" s="255">
        <f>SUM(P4:Q4)</f>
        <v>154.80303857058792</v>
      </c>
      <c r="S4" s="257">
        <f>SUM(ELEC!N4)</f>
        <v>0</v>
      </c>
      <c r="T4" s="288">
        <f>IF(S4&gt;0,R4/S4,0)</f>
        <v>0</v>
      </c>
      <c r="U4" s="226"/>
      <c r="V4" s="157" t="s">
        <v>215</v>
      </c>
      <c r="W4" s="158">
        <f>'[2]EDl log'!$W$21</f>
        <v>44887</v>
      </c>
      <c r="X4" s="159"/>
      <c r="Y4" s="159"/>
      <c r="Z4" s="160" t="s">
        <v>216</v>
      </c>
      <c r="AA4" s="159"/>
      <c r="AB4" s="571"/>
      <c r="AC4" s="572"/>
    </row>
    <row r="5" spans="1:32" ht="20.100000000000001" customHeight="1">
      <c r="A5" s="155">
        <f>ELEC!C5</f>
        <v>44928</v>
      </c>
      <c r="B5" s="78">
        <f t="shared" ref="B5:B34" si="6">B4</f>
        <v>1127523</v>
      </c>
      <c r="C5" s="78">
        <f t="shared" si="0"/>
        <v>0</v>
      </c>
      <c r="D5" s="264">
        <f>SUM(G5+I5+K5)</f>
        <v>0</v>
      </c>
      <c r="E5" s="264">
        <f>B4+D5</f>
        <v>1127523</v>
      </c>
      <c r="F5" s="78">
        <f>F4</f>
        <v>161786</v>
      </c>
      <c r="G5" s="152">
        <f t="shared" si="1"/>
        <v>0</v>
      </c>
      <c r="H5" s="78">
        <f t="shared" ref="H5:H34" si="7">H4</f>
        <v>563797</v>
      </c>
      <c r="I5" s="153">
        <f t="shared" si="2"/>
        <v>0</v>
      </c>
      <c r="J5" s="78">
        <f t="shared" ref="J5:J34" si="8">J4</f>
        <v>401939</v>
      </c>
      <c r="K5" s="154">
        <f t="shared" ref="K5:K30" si="9">J5-J4</f>
        <v>0</v>
      </c>
      <c r="L5" s="254">
        <f t="shared" si="3"/>
        <v>0</v>
      </c>
      <c r="M5" s="254">
        <f t="shared" si="4"/>
        <v>0</v>
      </c>
      <c r="N5" s="254">
        <f t="shared" si="5"/>
        <v>0</v>
      </c>
      <c r="O5" s="254">
        <f t="shared" ref="O5:O34" si="10">($AC$29/$A$37)/1507.5</f>
        <v>154.80303857058792</v>
      </c>
      <c r="P5" s="255">
        <f t="shared" ref="P5:P30" si="11">SUM(L5:O5)</f>
        <v>154.80303857058792</v>
      </c>
      <c r="Q5" s="255">
        <f>SUM(-tanks!AX7*tanks!$AU$37)</f>
        <v>0</v>
      </c>
      <c r="R5" s="255">
        <f t="shared" ref="R5:R30" si="12">SUM(P5:Q5)</f>
        <v>154.80303857058792</v>
      </c>
      <c r="S5" s="257">
        <f>SUM(ELEC!N5)</f>
        <v>0</v>
      </c>
      <c r="T5" s="288">
        <f>IF(S5&gt;0,R5/S5,0)</f>
        <v>0</v>
      </c>
      <c r="U5" s="226"/>
      <c r="V5" s="565"/>
      <c r="W5" s="566"/>
      <c r="X5" s="566"/>
      <c r="Y5" s="567"/>
      <c r="Z5" s="25" t="s">
        <v>217</v>
      </c>
      <c r="AA5" s="25">
        <v>5000</v>
      </c>
      <c r="AB5" s="573"/>
      <c r="AC5" s="574"/>
    </row>
    <row r="6" spans="1:32" ht="20.100000000000001" customHeight="1">
      <c r="A6" s="155">
        <f>ELEC!C6</f>
        <v>44929</v>
      </c>
      <c r="B6" s="78">
        <f t="shared" si="6"/>
        <v>1127523</v>
      </c>
      <c r="C6" s="78">
        <f t="shared" si="0"/>
        <v>0</v>
      </c>
      <c r="D6" s="264">
        <f t="shared" ref="D6:D31" si="13">SUM(G6+I6+K6)</f>
        <v>0</v>
      </c>
      <c r="E6" s="264">
        <f t="shared" ref="E6:E34" si="14">B5+D6</f>
        <v>1127523</v>
      </c>
      <c r="F6" s="78">
        <f t="shared" ref="F6:F34" si="15">F5</f>
        <v>161786</v>
      </c>
      <c r="G6" s="152">
        <f t="shared" si="1"/>
        <v>0</v>
      </c>
      <c r="H6" s="78">
        <f t="shared" si="7"/>
        <v>563797</v>
      </c>
      <c r="I6" s="153">
        <f t="shared" si="2"/>
        <v>0</v>
      </c>
      <c r="J6" s="78">
        <f t="shared" si="8"/>
        <v>401939</v>
      </c>
      <c r="K6" s="154">
        <f t="shared" si="9"/>
        <v>0</v>
      </c>
      <c r="L6" s="254">
        <f t="shared" si="3"/>
        <v>0</v>
      </c>
      <c r="M6" s="254">
        <f t="shared" si="4"/>
        <v>0</v>
      </c>
      <c r="N6" s="254">
        <f t="shared" si="5"/>
        <v>0</v>
      </c>
      <c r="O6" s="254">
        <f t="shared" si="10"/>
        <v>154.80303857058792</v>
      </c>
      <c r="P6" s="255">
        <f t="shared" si="11"/>
        <v>154.80303857058792</v>
      </c>
      <c r="Q6" s="255">
        <f>SUM(-tanks!AX8*tanks!$AU$37)</f>
        <v>944.34208602149999</v>
      </c>
      <c r="R6" s="255">
        <f t="shared" si="12"/>
        <v>1099.145124592088</v>
      </c>
      <c r="S6" s="257">
        <f>SUM(ELEC!N6)</f>
        <v>2464</v>
      </c>
      <c r="T6" s="288">
        <f t="shared" ref="T6:T30" si="16">IF(S6&gt;0,R6/S6,0)</f>
        <v>0.44608162524029543</v>
      </c>
      <c r="V6" s="568"/>
      <c r="W6" s="569"/>
      <c r="X6" s="569"/>
      <c r="Y6" s="570"/>
      <c r="Z6" s="577"/>
      <c r="AA6" s="578"/>
      <c r="AB6" s="573"/>
      <c r="AC6" s="574"/>
    </row>
    <row r="7" spans="1:32" ht="20.100000000000001" customHeight="1">
      <c r="A7" s="155">
        <f>ELEC!C7</f>
        <v>44930</v>
      </c>
      <c r="B7" s="78">
        <f t="shared" si="6"/>
        <v>1127523</v>
      </c>
      <c r="C7" s="78">
        <f>SUM(B7-B6)</f>
        <v>0</v>
      </c>
      <c r="D7" s="264">
        <f>SUM(G7+I7+K7)</f>
        <v>0</v>
      </c>
      <c r="E7" s="264">
        <f t="shared" si="14"/>
        <v>1127523</v>
      </c>
      <c r="F7" s="78">
        <f t="shared" si="15"/>
        <v>161786</v>
      </c>
      <c r="G7" s="152">
        <f t="shared" si="1"/>
        <v>0</v>
      </c>
      <c r="H7" s="78">
        <f t="shared" si="7"/>
        <v>563797</v>
      </c>
      <c r="I7" s="153">
        <f t="shared" si="2"/>
        <v>0</v>
      </c>
      <c r="J7" s="78">
        <f t="shared" si="8"/>
        <v>401939</v>
      </c>
      <c r="K7" s="154">
        <f t="shared" si="9"/>
        <v>0</v>
      </c>
      <c r="L7" s="254">
        <f t="shared" si="3"/>
        <v>0</v>
      </c>
      <c r="M7" s="254">
        <f t="shared" si="4"/>
        <v>0</v>
      </c>
      <c r="N7" s="254">
        <f t="shared" si="5"/>
        <v>0</v>
      </c>
      <c r="O7" s="254">
        <f t="shared" si="10"/>
        <v>154.80303857058792</v>
      </c>
      <c r="P7" s="255">
        <f t="shared" si="11"/>
        <v>154.80303857058792</v>
      </c>
      <c r="Q7" s="255">
        <f>SUM(-tanks!AX9*tanks!$AU$37)</f>
        <v>97.773795698935885</v>
      </c>
      <c r="R7" s="255">
        <f t="shared" si="12"/>
        <v>252.5768342695238</v>
      </c>
      <c r="S7" s="257">
        <f>SUM(ELEC!N7)</f>
        <v>2763</v>
      </c>
      <c r="T7" s="288">
        <f t="shared" si="16"/>
        <v>9.1413982725126242E-2</v>
      </c>
      <c r="V7" s="560" t="s">
        <v>218</v>
      </c>
      <c r="W7" s="561"/>
      <c r="X7" s="562" t="s">
        <v>219</v>
      </c>
      <c r="Y7" s="563"/>
      <c r="Z7" s="564"/>
      <c r="AA7" s="161"/>
      <c r="AB7" s="575"/>
      <c r="AC7" s="576"/>
    </row>
    <row r="8" spans="1:32" ht="20.100000000000001" customHeight="1">
      <c r="A8" s="155">
        <f>ELEC!C8</f>
        <v>44931</v>
      </c>
      <c r="B8" s="78">
        <f t="shared" si="6"/>
        <v>1127523</v>
      </c>
      <c r="C8" s="78">
        <f t="shared" si="0"/>
        <v>0</v>
      </c>
      <c r="D8" s="264">
        <f t="shared" si="13"/>
        <v>0</v>
      </c>
      <c r="E8" s="264">
        <f t="shared" si="14"/>
        <v>1127523</v>
      </c>
      <c r="F8" s="78">
        <f t="shared" si="15"/>
        <v>161786</v>
      </c>
      <c r="G8" s="152">
        <f t="shared" si="1"/>
        <v>0</v>
      </c>
      <c r="H8" s="78">
        <f t="shared" si="7"/>
        <v>563797</v>
      </c>
      <c r="I8" s="153">
        <f t="shared" si="2"/>
        <v>0</v>
      </c>
      <c r="J8" s="78">
        <f t="shared" si="8"/>
        <v>401939</v>
      </c>
      <c r="K8" s="154">
        <f>J8-J7</f>
        <v>0</v>
      </c>
      <c r="L8" s="254">
        <f t="shared" si="3"/>
        <v>0</v>
      </c>
      <c r="M8" s="254">
        <f t="shared" si="4"/>
        <v>0</v>
      </c>
      <c r="N8" s="254">
        <f t="shared" si="5"/>
        <v>0</v>
      </c>
      <c r="O8" s="254">
        <f t="shared" si="10"/>
        <v>154.80303857058792</v>
      </c>
      <c r="P8" s="255">
        <f t="shared" si="11"/>
        <v>154.80303857058792</v>
      </c>
      <c r="Q8" s="255">
        <f>SUM(-tanks!AX10*tanks!$AU$37)</f>
        <v>710.45739784946147</v>
      </c>
      <c r="R8" s="255">
        <f t="shared" si="12"/>
        <v>865.26043642004936</v>
      </c>
      <c r="S8" s="257">
        <f>SUM(ELEC!N8)</f>
        <v>2299</v>
      </c>
      <c r="T8" s="288">
        <f>IF(S8&gt;0,R8/S8,0)</f>
        <v>0.37636382619401887</v>
      </c>
      <c r="V8" s="224" t="s">
        <v>220</v>
      </c>
      <c r="W8" s="184" t="s">
        <v>221</v>
      </c>
      <c r="X8" s="184"/>
      <c r="Y8" s="184" t="s">
        <v>222</v>
      </c>
      <c r="Z8" s="184" t="s">
        <v>223</v>
      </c>
      <c r="AA8" s="184" t="s">
        <v>224</v>
      </c>
      <c r="AB8" s="184" t="s">
        <v>225</v>
      </c>
      <c r="AC8" s="162" t="s">
        <v>226</v>
      </c>
    </row>
    <row r="9" spans="1:32" ht="20.100000000000001" customHeight="1">
      <c r="A9" s="155">
        <f>ELEC!C9</f>
        <v>44932</v>
      </c>
      <c r="B9" s="78">
        <f t="shared" si="6"/>
        <v>1127523</v>
      </c>
      <c r="C9" s="78">
        <f t="shared" si="0"/>
        <v>0</v>
      </c>
      <c r="D9" s="264">
        <f t="shared" si="13"/>
        <v>0</v>
      </c>
      <c r="E9" s="264">
        <f t="shared" si="14"/>
        <v>1127523</v>
      </c>
      <c r="F9" s="78">
        <f t="shared" si="15"/>
        <v>161786</v>
      </c>
      <c r="G9" s="152">
        <f t="shared" si="1"/>
        <v>0</v>
      </c>
      <c r="H9" s="78">
        <f t="shared" si="7"/>
        <v>563797</v>
      </c>
      <c r="I9" s="153">
        <f t="shared" si="2"/>
        <v>0</v>
      </c>
      <c r="J9" s="78">
        <f t="shared" si="8"/>
        <v>401939</v>
      </c>
      <c r="K9" s="154">
        <f>J9-J8</f>
        <v>0</v>
      </c>
      <c r="L9" s="254">
        <f t="shared" si="3"/>
        <v>0</v>
      </c>
      <c r="M9" s="254">
        <f t="shared" si="4"/>
        <v>0</v>
      </c>
      <c r="N9" s="254">
        <f t="shared" si="5"/>
        <v>0</v>
      </c>
      <c r="O9" s="254">
        <f t="shared" si="10"/>
        <v>154.80303857058792</v>
      </c>
      <c r="P9" s="255">
        <f t="shared" si="11"/>
        <v>154.80303857058792</v>
      </c>
      <c r="Q9" s="255">
        <f>SUM(-tanks!AX11*tanks!$AU$37)</f>
        <v>625.0650645161154</v>
      </c>
      <c r="R9" s="255">
        <f>SUM(P9:Q9)</f>
        <v>779.86810308670329</v>
      </c>
      <c r="S9" s="257">
        <f>SUM(ELEC!N9)</f>
        <v>0</v>
      </c>
      <c r="T9" s="288">
        <f t="shared" si="16"/>
        <v>0</v>
      </c>
      <c r="V9" s="227">
        <f>'[2]EDl log'!V26</f>
        <v>401934</v>
      </c>
      <c r="W9" s="227">
        <f>'[2]EDl log'!W26</f>
        <v>401934</v>
      </c>
      <c r="X9" s="227" t="str">
        <f>'[5]EDl log'!X26</f>
        <v>Night</v>
      </c>
      <c r="Y9" s="527">
        <f>'[2]EDl log'!Y26</f>
        <v>80</v>
      </c>
      <c r="Z9" s="527">
        <f>'[2]EDl log'!Z26</f>
        <v>1</v>
      </c>
      <c r="AA9" s="527">
        <f>'[2]EDl log'!AA26</f>
        <v>0</v>
      </c>
      <c r="AB9" s="527">
        <f>'[2]EDl log'!AB26</f>
        <v>0</v>
      </c>
      <c r="AC9" s="527">
        <f>'[2]EDl log'!AC26</f>
        <v>1033333</v>
      </c>
      <c r="AD9" s="511">
        <f>'[2]EDl log'!AD26</f>
        <v>0</v>
      </c>
      <c r="AE9" s="527">
        <f>'[2]EDl log'!AE26</f>
        <v>0</v>
      </c>
      <c r="AF9" s="527">
        <f>'[2]EDl log'!AF26</f>
        <v>0</v>
      </c>
    </row>
    <row r="10" spans="1:32" ht="20.100000000000001" customHeight="1">
      <c r="A10" s="155">
        <f>ELEC!C10</f>
        <v>44933</v>
      </c>
      <c r="B10" s="78">
        <f t="shared" si="6"/>
        <v>1127523</v>
      </c>
      <c r="C10" s="78">
        <f t="shared" si="0"/>
        <v>0</v>
      </c>
      <c r="D10" s="264">
        <f t="shared" si="13"/>
        <v>0</v>
      </c>
      <c r="E10" s="264">
        <f t="shared" si="14"/>
        <v>1127523</v>
      </c>
      <c r="F10" s="78">
        <f t="shared" si="15"/>
        <v>161786</v>
      </c>
      <c r="G10" s="152">
        <f t="shared" si="1"/>
        <v>0</v>
      </c>
      <c r="H10" s="78">
        <f t="shared" si="7"/>
        <v>563797</v>
      </c>
      <c r="I10" s="153">
        <f t="shared" si="2"/>
        <v>0</v>
      </c>
      <c r="J10" s="78">
        <f t="shared" si="8"/>
        <v>401939</v>
      </c>
      <c r="K10" s="154">
        <f t="shared" si="9"/>
        <v>0</v>
      </c>
      <c r="L10" s="254">
        <f t="shared" si="3"/>
        <v>0</v>
      </c>
      <c r="M10" s="254">
        <f t="shared" si="4"/>
        <v>0</v>
      </c>
      <c r="N10" s="254">
        <f t="shared" si="5"/>
        <v>0</v>
      </c>
      <c r="O10" s="254">
        <f t="shared" si="10"/>
        <v>154.80303857058792</v>
      </c>
      <c r="P10" s="255">
        <f t="shared" si="11"/>
        <v>154.80303857058792</v>
      </c>
      <c r="Q10" s="255">
        <f>SUM(-tanks!AX12*tanks!$AU$37)</f>
        <v>0</v>
      </c>
      <c r="R10" s="255">
        <f t="shared" si="12"/>
        <v>154.80303857058792</v>
      </c>
      <c r="S10" s="257">
        <f>SUM(ELEC!N10)</f>
        <v>0</v>
      </c>
      <c r="T10" s="288">
        <f t="shared" si="16"/>
        <v>0</v>
      </c>
      <c r="V10" s="227">
        <f>'[2]EDl log'!V27</f>
        <v>561453</v>
      </c>
      <c r="W10" s="227">
        <f>'[2]EDl log'!W27</f>
        <v>563190</v>
      </c>
      <c r="X10" s="227" t="str">
        <f>'[5]EDl log'!X27</f>
        <v>day</v>
      </c>
      <c r="Y10" s="527">
        <f>'[2]EDl log'!Y27</f>
        <v>112</v>
      </c>
      <c r="Z10" s="527">
        <f>'[2]EDl log'!Z27</f>
        <v>1</v>
      </c>
      <c r="AA10" s="527">
        <f>'[2]EDl log'!AA27</f>
        <v>1737</v>
      </c>
      <c r="AB10" s="527">
        <f>'[2]EDl log'!AB27</f>
        <v>194544</v>
      </c>
      <c r="AC10" s="527">
        <f>'[2]EDl log'!AC27</f>
        <v>6200000</v>
      </c>
      <c r="AD10" s="511">
        <f>'[2]EDl log'!AD27</f>
        <v>0.90563086548488003</v>
      </c>
      <c r="AE10" s="527">
        <f>'[2]EDl log'!AE27</f>
        <v>0</v>
      </c>
      <c r="AF10" s="527">
        <f>'[2]EDl log'!AF27</f>
        <v>0</v>
      </c>
    </row>
    <row r="11" spans="1:32" ht="20.100000000000001" customHeight="1">
      <c r="A11" s="155">
        <f>ELEC!C11</f>
        <v>44934</v>
      </c>
      <c r="B11" s="78">
        <f t="shared" si="6"/>
        <v>1127523</v>
      </c>
      <c r="C11" s="78">
        <f>SUM(B11-B10)</f>
        <v>0</v>
      </c>
      <c r="D11" s="264">
        <f>SUM(G11+I11+K11)</f>
        <v>0</v>
      </c>
      <c r="E11" s="264">
        <f t="shared" si="14"/>
        <v>1127523</v>
      </c>
      <c r="F11" s="78">
        <f t="shared" si="15"/>
        <v>161786</v>
      </c>
      <c r="G11" s="152">
        <f t="shared" si="1"/>
        <v>0</v>
      </c>
      <c r="H11" s="78">
        <f t="shared" si="7"/>
        <v>563797</v>
      </c>
      <c r="I11" s="153">
        <f t="shared" si="2"/>
        <v>0</v>
      </c>
      <c r="J11" s="78">
        <f t="shared" si="8"/>
        <v>401939</v>
      </c>
      <c r="K11" s="154">
        <f t="shared" si="9"/>
        <v>0</v>
      </c>
      <c r="L11" s="254">
        <f t="shared" si="3"/>
        <v>0</v>
      </c>
      <c r="M11" s="254">
        <f t="shared" si="4"/>
        <v>0</v>
      </c>
      <c r="N11" s="254">
        <f t="shared" si="5"/>
        <v>0</v>
      </c>
      <c r="O11" s="254">
        <f t="shared" si="10"/>
        <v>154.80303857058792</v>
      </c>
      <c r="P11" s="255">
        <f t="shared" si="11"/>
        <v>154.80303857058792</v>
      </c>
      <c r="Q11" s="255">
        <f>SUM(-tanks!AX13*tanks!$AU$37)</f>
        <v>651.47506451612821</v>
      </c>
      <c r="R11" s="255">
        <f t="shared" si="12"/>
        <v>806.2781030867161</v>
      </c>
      <c r="S11" s="257">
        <f>SUM(ELEC!N11)</f>
        <v>2330</v>
      </c>
      <c r="T11" s="288">
        <f t="shared" si="16"/>
        <v>0.34604210432906268</v>
      </c>
      <c r="V11" s="227">
        <f>'[2]EDl log'!V28</f>
        <v>161459</v>
      </c>
      <c r="W11" s="227">
        <f>'[2]EDl log'!W28</f>
        <v>161640</v>
      </c>
      <c r="X11" s="227" t="str">
        <f>'[5]EDl log'!X28</f>
        <v>Peak</v>
      </c>
      <c r="Y11" s="527">
        <f>'[2]EDl log'!Y28</f>
        <v>320</v>
      </c>
      <c r="Z11" s="527">
        <f>'[2]EDl log'!Z28</f>
        <v>1</v>
      </c>
      <c r="AA11" s="527">
        <f>'[2]EDl log'!AA28</f>
        <v>181</v>
      </c>
      <c r="AB11" s="527">
        <f>'[2]EDl log'!AB28</f>
        <v>57920</v>
      </c>
      <c r="AC11" s="527">
        <f>'[2]EDl log'!AC28</f>
        <v>1000</v>
      </c>
      <c r="AD11" s="511">
        <f>'[2]EDl log'!AD28</f>
        <v>9.4369134515119912E-2</v>
      </c>
      <c r="AE11" s="527">
        <f>'[2]EDl log'!AE28</f>
        <v>2896</v>
      </c>
      <c r="AF11" s="527">
        <f>'[2]EDl log'!AF28</f>
        <v>12825.142857142857</v>
      </c>
    </row>
    <row r="12" spans="1:32" ht="20.100000000000001" customHeight="1">
      <c r="A12" s="155">
        <f>ELEC!C12</f>
        <v>44935</v>
      </c>
      <c r="B12" s="78">
        <f t="shared" si="6"/>
        <v>1127523</v>
      </c>
      <c r="C12" s="78">
        <f t="shared" si="0"/>
        <v>0</v>
      </c>
      <c r="D12" s="264">
        <f t="shared" si="13"/>
        <v>0</v>
      </c>
      <c r="E12" s="264">
        <f t="shared" si="14"/>
        <v>1127523</v>
      </c>
      <c r="F12" s="78">
        <f t="shared" si="15"/>
        <v>161786</v>
      </c>
      <c r="G12" s="152">
        <f t="shared" si="1"/>
        <v>0</v>
      </c>
      <c r="H12" s="78">
        <f t="shared" si="7"/>
        <v>563797</v>
      </c>
      <c r="I12" s="153">
        <f t="shared" si="2"/>
        <v>0</v>
      </c>
      <c r="J12" s="78">
        <f t="shared" si="8"/>
        <v>401939</v>
      </c>
      <c r="K12" s="154">
        <f t="shared" si="9"/>
        <v>0</v>
      </c>
      <c r="L12" s="254">
        <f t="shared" si="3"/>
        <v>0</v>
      </c>
      <c r="M12" s="254">
        <f t="shared" si="4"/>
        <v>0</v>
      </c>
      <c r="N12" s="254">
        <f t="shared" si="5"/>
        <v>0</v>
      </c>
      <c r="O12" s="254">
        <f t="shared" si="10"/>
        <v>154.80303857058792</v>
      </c>
      <c r="P12" s="255">
        <f t="shared" si="11"/>
        <v>154.80303857058792</v>
      </c>
      <c r="Q12" s="255">
        <f>SUM(-tanks!AX14*tanks!$AU$37)</f>
        <v>296.54454301074361</v>
      </c>
      <c r="R12" s="255">
        <f t="shared" si="12"/>
        <v>451.3475815813315</v>
      </c>
      <c r="S12" s="257">
        <f>SUM(ELEC!N12)</f>
        <v>3064</v>
      </c>
      <c r="T12" s="288">
        <f t="shared" si="16"/>
        <v>0.14730665195213169</v>
      </c>
      <c r="V12" s="200"/>
      <c r="X12" s="201"/>
      <c r="Y12" s="145"/>
      <c r="Z12" s="3"/>
      <c r="AA12" s="527">
        <f>'[2]EDl log'!AA29</f>
        <v>1918</v>
      </c>
      <c r="AB12" s="527">
        <f>'[2]EDl log'!AB29</f>
        <v>252464</v>
      </c>
      <c r="AC12" s="527">
        <f>'[2]EDl log'!AC29</f>
        <v>7234333</v>
      </c>
      <c r="AD12" s="524"/>
    </row>
    <row r="13" spans="1:32" ht="20.100000000000001" customHeight="1">
      <c r="A13" s="155">
        <f>ELEC!C13</f>
        <v>44936</v>
      </c>
      <c r="B13" s="78">
        <f t="shared" si="6"/>
        <v>1127523</v>
      </c>
      <c r="C13" s="78">
        <f t="shared" si="0"/>
        <v>0</v>
      </c>
      <c r="D13" s="264">
        <f t="shared" si="13"/>
        <v>0</v>
      </c>
      <c r="E13" s="264">
        <f t="shared" si="14"/>
        <v>1127523</v>
      </c>
      <c r="F13" s="78">
        <f t="shared" si="15"/>
        <v>161786</v>
      </c>
      <c r="G13" s="152">
        <f t="shared" si="1"/>
        <v>0</v>
      </c>
      <c r="H13" s="78">
        <f t="shared" si="7"/>
        <v>563797</v>
      </c>
      <c r="I13" s="153">
        <f t="shared" si="2"/>
        <v>0</v>
      </c>
      <c r="J13" s="78">
        <f t="shared" si="8"/>
        <v>401939</v>
      </c>
      <c r="K13" s="154">
        <f t="shared" si="9"/>
        <v>0</v>
      </c>
      <c r="L13" s="254">
        <f t="shared" si="3"/>
        <v>0</v>
      </c>
      <c r="M13" s="254">
        <f t="shared" si="4"/>
        <v>0</v>
      </c>
      <c r="N13" s="254">
        <f t="shared" si="5"/>
        <v>0</v>
      </c>
      <c r="O13" s="254">
        <f t="shared" si="10"/>
        <v>154.80303857058792</v>
      </c>
      <c r="P13" s="255">
        <f t="shared" si="11"/>
        <v>154.80303857058792</v>
      </c>
      <c r="Q13" s="255">
        <f>SUM(-tanks!AX15*tanks!$AU$37)</f>
        <v>750.95273118282046</v>
      </c>
      <c r="R13" s="255">
        <f t="shared" si="12"/>
        <v>905.75576975340834</v>
      </c>
      <c r="S13" s="257">
        <f>SUM(ELEC!N13)</f>
        <v>2908</v>
      </c>
      <c r="T13" s="288">
        <f>IF(S13&gt;0,R13/S13,0)</f>
        <v>0.31147034723294648</v>
      </c>
      <c r="V13" s="202" t="s">
        <v>227</v>
      </c>
      <c r="W13" s="511">
        <f>'[2]EDl log'!$W$30</f>
        <v>0</v>
      </c>
      <c r="Y13" s="203" t="s">
        <v>228</v>
      </c>
      <c r="Z13" s="3"/>
      <c r="AA13" s="527">
        <f>'[2]EDl log'!AA30</f>
        <v>0</v>
      </c>
      <c r="AB13" s="527">
        <f>'[2]EDl log'!AB30</f>
        <v>7486797</v>
      </c>
      <c r="AC13" s="527">
        <f>'[2]EDl log'!AC30</f>
        <v>0</v>
      </c>
      <c r="AD13" s="524"/>
    </row>
    <row r="14" spans="1:32" ht="20.100000000000001" customHeight="1">
      <c r="A14" s="155">
        <f>ELEC!C14</f>
        <v>44937</v>
      </c>
      <c r="B14" s="78">
        <v>1127801</v>
      </c>
      <c r="C14" s="78">
        <f>SUM(B14-B13)</f>
        <v>278</v>
      </c>
      <c r="D14" s="264">
        <f>SUM(G14+I14+K14)</f>
        <v>281</v>
      </c>
      <c r="E14" s="264">
        <f t="shared" si="14"/>
        <v>1127804</v>
      </c>
      <c r="F14" s="78">
        <v>161786</v>
      </c>
      <c r="G14" s="152">
        <f>F14-F13</f>
        <v>0</v>
      </c>
      <c r="H14" s="78">
        <v>564078</v>
      </c>
      <c r="I14" s="153">
        <f>H14-H13</f>
        <v>281</v>
      </c>
      <c r="J14" s="78">
        <f t="shared" si="8"/>
        <v>401939</v>
      </c>
      <c r="K14" s="154">
        <f>J14-J13</f>
        <v>0</v>
      </c>
      <c r="L14" s="254">
        <f>SUM(G14*$Y$28)/1507.5</f>
        <v>0</v>
      </c>
      <c r="M14" s="254">
        <f>SUM(I14*$Y$27)/1507.5</f>
        <v>20.876948590381428</v>
      </c>
      <c r="N14" s="254">
        <f>SUM(K14*$Y$26)/1507.5</f>
        <v>0</v>
      </c>
      <c r="O14" s="254">
        <f t="shared" si="10"/>
        <v>154.80303857058792</v>
      </c>
      <c r="P14" s="255">
        <f>SUM(L14:O14)</f>
        <v>175.67998716096935</v>
      </c>
      <c r="Q14" s="255">
        <f>SUM(-tanks!AX16*tanks!$AU$37)</f>
        <v>629.46673118279489</v>
      </c>
      <c r="R14" s="255">
        <f>SUM(P14:Q14)</f>
        <v>805.14671834376418</v>
      </c>
      <c r="S14" s="257">
        <f>SUM(ELEC!N14)</f>
        <v>1839</v>
      </c>
      <c r="T14" s="288">
        <f>IF(S14&gt;0,R14/S14,0)</f>
        <v>0.43781768262303655</v>
      </c>
      <c r="V14" s="202"/>
      <c r="Y14" s="203"/>
      <c r="Z14" s="3"/>
      <c r="AA14" s="527">
        <f>'[2]EDl log'!AA31</f>
        <v>0</v>
      </c>
      <c r="AB14" s="527">
        <f>'[2]EDl log'!AB31</f>
        <v>0</v>
      </c>
      <c r="AC14" s="527">
        <f>'[2]EDl log'!AC31</f>
        <v>0</v>
      </c>
      <c r="AD14" s="524"/>
    </row>
    <row r="15" spans="1:32" ht="20.100000000000001" customHeight="1">
      <c r="A15" s="155">
        <f>ELEC!C15</f>
        <v>44938</v>
      </c>
      <c r="B15" s="78">
        <f t="shared" si="6"/>
        <v>1127801</v>
      </c>
      <c r="C15" s="78">
        <f t="shared" si="0"/>
        <v>0</v>
      </c>
      <c r="D15" s="264">
        <f t="shared" si="13"/>
        <v>0</v>
      </c>
      <c r="E15" s="264">
        <f t="shared" si="14"/>
        <v>1127801</v>
      </c>
      <c r="F15" s="78">
        <f t="shared" si="15"/>
        <v>161786</v>
      </c>
      <c r="G15" s="152">
        <f t="shared" si="1"/>
        <v>0</v>
      </c>
      <c r="H15" s="78">
        <f t="shared" si="7"/>
        <v>564078</v>
      </c>
      <c r="I15" s="153">
        <f t="shared" si="2"/>
        <v>0</v>
      </c>
      <c r="J15" s="78">
        <f t="shared" si="8"/>
        <v>401939</v>
      </c>
      <c r="K15" s="154">
        <f>J15-J14</f>
        <v>0</v>
      </c>
      <c r="L15" s="254">
        <f>SUM(G15*$Y$28)/1507.5</f>
        <v>0</v>
      </c>
      <c r="M15" s="254">
        <f>SUM(I15*$Y$27)/1507.5</f>
        <v>0</v>
      </c>
      <c r="N15" s="254">
        <f>SUM(K15*$Y$26)/1507.5</f>
        <v>0</v>
      </c>
      <c r="O15" s="254">
        <f t="shared" si="10"/>
        <v>154.80303857058792</v>
      </c>
      <c r="P15" s="255">
        <f>SUM(L15:O15)</f>
        <v>154.80303857058792</v>
      </c>
      <c r="Q15" s="255">
        <f>SUM(-tanks!AX17*tanks!$AU$37)</f>
        <v>1090.3354301075128</v>
      </c>
      <c r="R15" s="255">
        <f>SUM(P15:Q15)</f>
        <v>1245.1384686781007</v>
      </c>
      <c r="S15" s="257">
        <f>SUM(ELEC!N15)</f>
        <v>4552</v>
      </c>
      <c r="T15" s="288">
        <f>IF(S15&gt;0,R15/S15,0)</f>
        <v>0.27353657044773744</v>
      </c>
      <c r="V15" s="202" t="s">
        <v>229</v>
      </c>
      <c r="W15" s="528">
        <f>'[2]EDl log'!$W$32</f>
        <v>238</v>
      </c>
      <c r="X15" s="227">
        <f>'[2]EDl log'!$X$32</f>
        <v>59.5</v>
      </c>
      <c r="Y15" s="527">
        <f>'[2]EDl log'!$Y$32</f>
        <v>59.5</v>
      </c>
      <c r="Z15" s="3"/>
      <c r="AA15" s="527">
        <f>'[2]EDl log'!AA32</f>
        <v>0</v>
      </c>
      <c r="AB15" s="527">
        <f>'[2]EDl log'!AB32</f>
        <v>0</v>
      </c>
      <c r="AC15" s="527">
        <f>'[2]EDl log'!AC32</f>
        <v>0</v>
      </c>
      <c r="AD15" s="524"/>
    </row>
    <row r="16" spans="1:32" ht="20.100000000000001" customHeight="1">
      <c r="A16" s="155">
        <f>ELEC!C16</f>
        <v>44939</v>
      </c>
      <c r="B16" s="78">
        <f>B15</f>
        <v>1127801</v>
      </c>
      <c r="C16" s="78">
        <f t="shared" si="0"/>
        <v>0</v>
      </c>
      <c r="D16" s="264">
        <f t="shared" si="13"/>
        <v>0</v>
      </c>
      <c r="E16" s="264">
        <f t="shared" si="14"/>
        <v>1127801</v>
      </c>
      <c r="F16" s="78">
        <f t="shared" si="15"/>
        <v>161786</v>
      </c>
      <c r="G16" s="152">
        <f t="shared" si="1"/>
        <v>0</v>
      </c>
      <c r="H16" s="78">
        <f t="shared" si="7"/>
        <v>564078</v>
      </c>
      <c r="I16" s="153">
        <f t="shared" si="2"/>
        <v>0</v>
      </c>
      <c r="J16" s="78">
        <f t="shared" si="8"/>
        <v>401939</v>
      </c>
      <c r="K16" s="154">
        <f>J16-J15</f>
        <v>0</v>
      </c>
      <c r="L16" s="254">
        <f>SUM(G16*$Y$28)/1507.5</f>
        <v>0</v>
      </c>
      <c r="M16" s="254">
        <f>SUM(I16*$Y$27)/1507.5</f>
        <v>0</v>
      </c>
      <c r="N16" s="254">
        <f>SUM(K16*$Y$26)/1507.5</f>
        <v>0</v>
      </c>
      <c r="O16" s="254">
        <f t="shared" si="10"/>
        <v>154.80303857058792</v>
      </c>
      <c r="P16" s="255">
        <f>SUM(L16:O16)</f>
        <v>154.80303857058792</v>
      </c>
      <c r="Q16" s="255">
        <f>SUM(-tanks!AX18*tanks!$AU$37)</f>
        <v>0</v>
      </c>
      <c r="R16" s="255">
        <f>SUM(P16:Q16)</f>
        <v>154.80303857058792</v>
      </c>
      <c r="S16" s="257">
        <f>SUM(ELEC!N16)</f>
        <v>0</v>
      </c>
      <c r="T16" s="288">
        <f>IF(S16&gt;0,R16/S16,0)</f>
        <v>0</v>
      </c>
      <c r="V16" s="202" t="s">
        <v>230</v>
      </c>
      <c r="X16" s="207"/>
      <c r="Y16" s="231"/>
      <c r="Z16" s="3" t="s">
        <v>231</v>
      </c>
      <c r="AA16" s="527">
        <f>'[2]EDl log'!AA33</f>
        <v>0.11</v>
      </c>
      <c r="AB16" s="527">
        <f>'[2]EDl log'!AB33</f>
        <v>823547.67</v>
      </c>
      <c r="AC16" s="527">
        <f>'[2]EDl log'!AC33</f>
        <v>7234333</v>
      </c>
      <c r="AD16" s="524"/>
    </row>
    <row r="17" spans="1:32" ht="20.100000000000001" customHeight="1">
      <c r="A17" s="155">
        <f>ELEC!C17</f>
        <v>44940</v>
      </c>
      <c r="B17" s="78">
        <f>B16</f>
        <v>1127801</v>
      </c>
      <c r="C17" s="78">
        <f t="shared" si="0"/>
        <v>0</v>
      </c>
      <c r="D17" s="264">
        <f t="shared" si="13"/>
        <v>0</v>
      </c>
      <c r="E17" s="264">
        <f t="shared" si="14"/>
        <v>1127801</v>
      </c>
      <c r="F17" s="78">
        <f t="shared" si="15"/>
        <v>161786</v>
      </c>
      <c r="G17" s="152">
        <f>F17-F16</f>
        <v>0</v>
      </c>
      <c r="H17" s="78">
        <f t="shared" si="7"/>
        <v>564078</v>
      </c>
      <c r="I17" s="153">
        <f t="shared" si="2"/>
        <v>0</v>
      </c>
      <c r="J17" s="78">
        <v>401939</v>
      </c>
      <c r="K17" s="154">
        <f>J17-J16</f>
        <v>0</v>
      </c>
      <c r="L17" s="254">
        <f>SUM(G17*$Y$28)/1507.5</f>
        <v>0</v>
      </c>
      <c r="M17" s="254">
        <f>SUM(I17*$Y$27)/1507.5</f>
        <v>0</v>
      </c>
      <c r="N17" s="254">
        <f>SUM(K17*$Y$26)/1507.5</f>
        <v>0</v>
      </c>
      <c r="O17" s="254">
        <f t="shared" si="10"/>
        <v>154.80303857058792</v>
      </c>
      <c r="P17" s="255">
        <f>SUM(L17:O17)</f>
        <v>154.80303857058792</v>
      </c>
      <c r="Q17" s="255">
        <f>SUM(-tanks!AX19*tanks!$AU$37)</f>
        <v>0</v>
      </c>
      <c r="R17" s="255">
        <f>SUM(P17:Q17)</f>
        <v>154.80303857058792</v>
      </c>
      <c r="S17" s="257">
        <f>SUM(ELEC!N17)</f>
        <v>0</v>
      </c>
      <c r="T17" s="288">
        <f>IF(S17&gt;0,R17/S17,0)</f>
        <v>0</v>
      </c>
      <c r="V17" s="202" t="s">
        <v>232</v>
      </c>
      <c r="Z17" s="3"/>
      <c r="AA17" s="527">
        <f>'[2]EDl log'!AA34</f>
        <v>0</v>
      </c>
      <c r="AB17" s="527">
        <f>'[2]EDl log'!AB34</f>
        <v>8310344.6699999999</v>
      </c>
      <c r="AC17" s="527">
        <f>'[2]EDl log'!AC34</f>
        <v>0</v>
      </c>
      <c r="AD17" s="524"/>
    </row>
    <row r="18" spans="1:32" ht="20.100000000000001" customHeight="1" thickBot="1">
      <c r="A18" s="155">
        <f>ELEC!C18</f>
        <v>44941</v>
      </c>
      <c r="B18" s="78">
        <v>1128021</v>
      </c>
      <c r="C18" s="78">
        <f>SUM(B18-B17)</f>
        <v>220</v>
      </c>
      <c r="D18" s="264">
        <f>SUM(G18+I18+K18)</f>
        <v>217</v>
      </c>
      <c r="E18" s="264">
        <f t="shared" si="14"/>
        <v>1128018</v>
      </c>
      <c r="F18" s="78">
        <f t="shared" si="15"/>
        <v>161786</v>
      </c>
      <c r="G18" s="152">
        <f t="shared" si="1"/>
        <v>0</v>
      </c>
      <c r="H18" s="78">
        <v>564295</v>
      </c>
      <c r="I18" s="153">
        <f t="shared" si="2"/>
        <v>217</v>
      </c>
      <c r="J18" s="78">
        <v>401939</v>
      </c>
      <c r="K18" s="154">
        <f t="shared" si="9"/>
        <v>0</v>
      </c>
      <c r="L18" s="254">
        <f t="shared" ref="L18:L30" si="17">SUM(G18*$Y$28)/1507.5</f>
        <v>0</v>
      </c>
      <c r="M18" s="254">
        <f t="shared" ref="M18:M30" si="18">SUM(I18*$Y$27)/1507.5</f>
        <v>16.122056384742951</v>
      </c>
      <c r="N18" s="254">
        <f t="shared" ref="N18:N30" si="19">SUM(K18*$Y$26)/1507.5</f>
        <v>0</v>
      </c>
      <c r="O18" s="254">
        <f t="shared" si="10"/>
        <v>154.80303857058792</v>
      </c>
      <c r="P18" s="255">
        <f t="shared" si="11"/>
        <v>170.92509495533088</v>
      </c>
      <c r="Q18" s="255">
        <f>SUM(-tanks!AX20*tanks!$AU$37)</f>
        <v>664.80785483871796</v>
      </c>
      <c r="R18" s="255">
        <f t="shared" si="12"/>
        <v>835.73294979404886</v>
      </c>
      <c r="S18" s="257">
        <f>SUM(ELEC!N18)</f>
        <v>2647</v>
      </c>
      <c r="T18" s="288">
        <f t="shared" si="16"/>
        <v>0.31572835277448014</v>
      </c>
      <c r="V18" s="211"/>
      <c r="W18" s="204"/>
      <c r="X18" s="204"/>
      <c r="Y18" s="204"/>
      <c r="Z18" s="3"/>
      <c r="AA18" s="527">
        <f>'[2]EDl log'!AA35</f>
        <v>0</v>
      </c>
      <c r="AB18" s="527">
        <f>'[2]EDl log'!AB35</f>
        <v>0</v>
      </c>
      <c r="AC18" s="527">
        <f>'[2]EDl log'!AC35</f>
        <v>0</v>
      </c>
      <c r="AD18" s="524"/>
    </row>
    <row r="19" spans="1:32" ht="20.100000000000001" customHeight="1" thickBot="1">
      <c r="A19" s="155">
        <f>ELEC!C19</f>
        <v>44942</v>
      </c>
      <c r="B19" s="78">
        <f t="shared" ref="B19:B25" si="20">B18</f>
        <v>1128021</v>
      </c>
      <c r="C19" s="78">
        <f t="shared" si="0"/>
        <v>0</v>
      </c>
      <c r="D19" s="264">
        <f t="shared" si="13"/>
        <v>0</v>
      </c>
      <c r="E19" s="264">
        <f t="shared" si="14"/>
        <v>1128021</v>
      </c>
      <c r="F19" s="78">
        <f t="shared" si="15"/>
        <v>161786</v>
      </c>
      <c r="G19" s="152">
        <f t="shared" si="1"/>
        <v>0</v>
      </c>
      <c r="H19" s="78">
        <f t="shared" si="7"/>
        <v>564295</v>
      </c>
      <c r="I19" s="153">
        <f t="shared" si="2"/>
        <v>0</v>
      </c>
      <c r="J19" s="78">
        <f t="shared" si="8"/>
        <v>401939</v>
      </c>
      <c r="K19" s="154">
        <f t="shared" si="9"/>
        <v>0</v>
      </c>
      <c r="L19" s="254">
        <f>SUM(G19*$Y$28)/1507.5</f>
        <v>0</v>
      </c>
      <c r="M19" s="254">
        <f>SUM(I19*$Y$27)/1507.5</f>
        <v>0</v>
      </c>
      <c r="N19" s="254">
        <f>SUM(K19*$Y$26)/1507.5</f>
        <v>0</v>
      </c>
      <c r="O19" s="254">
        <f>($AC$29/$A$37)/1507.5</f>
        <v>154.80303857058792</v>
      </c>
      <c r="P19" s="255">
        <f>SUM(L19:O19)</f>
        <v>154.80303857058792</v>
      </c>
      <c r="Q19" s="255">
        <f>SUM(-tanks!AX21*tanks!$AU$37)</f>
        <v>711.33773118278202</v>
      </c>
      <c r="R19" s="255">
        <f>SUM(P19:Q19)</f>
        <v>866.14076975336991</v>
      </c>
      <c r="S19" s="257">
        <f>SUM(ELEC!N19)</f>
        <v>3310</v>
      </c>
      <c r="T19" s="288">
        <f>IF(S19&gt;0,R19/S19,0)</f>
        <v>0.26167394856597276</v>
      </c>
      <c r="V19" s="211"/>
      <c r="W19" s="204"/>
      <c r="X19" s="204"/>
      <c r="Y19" s="204"/>
      <c r="Z19" s="204"/>
      <c r="AA19" s="527" t="str">
        <f>'[2]EDl log'!AA36</f>
        <v>$ without VAT</v>
      </c>
      <c r="AB19" s="527">
        <f>'[2]EDl log'!AB36</f>
        <v>4966.3661691542293</v>
      </c>
      <c r="AC19" s="527">
        <f>'[2]EDl log'!AC36</f>
        <v>0</v>
      </c>
    </row>
    <row r="20" spans="1:32" ht="20.100000000000001" customHeight="1" thickBot="1">
      <c r="A20" s="155">
        <f>ELEC!C20</f>
        <v>44943</v>
      </c>
      <c r="B20" s="78">
        <f t="shared" si="20"/>
        <v>1128021</v>
      </c>
      <c r="C20" s="78">
        <f t="shared" si="0"/>
        <v>0</v>
      </c>
      <c r="D20" s="264">
        <f t="shared" si="13"/>
        <v>0</v>
      </c>
      <c r="E20" s="264">
        <f t="shared" si="14"/>
        <v>1128021</v>
      </c>
      <c r="F20" s="78">
        <f t="shared" si="15"/>
        <v>161786</v>
      </c>
      <c r="G20" s="152">
        <f t="shared" si="1"/>
        <v>0</v>
      </c>
      <c r="H20" s="78">
        <f t="shared" si="7"/>
        <v>564295</v>
      </c>
      <c r="I20" s="153">
        <f t="shared" si="2"/>
        <v>0</v>
      </c>
      <c r="J20" s="78">
        <f t="shared" si="8"/>
        <v>401939</v>
      </c>
      <c r="K20" s="154">
        <f t="shared" si="9"/>
        <v>0</v>
      </c>
      <c r="L20" s="254">
        <f t="shared" si="17"/>
        <v>0</v>
      </c>
      <c r="M20" s="254">
        <f t="shared" si="18"/>
        <v>0</v>
      </c>
      <c r="N20" s="254">
        <f t="shared" si="19"/>
        <v>0</v>
      </c>
      <c r="O20" s="254">
        <f t="shared" si="10"/>
        <v>154.80303857058792</v>
      </c>
      <c r="P20" s="255">
        <f t="shared" si="11"/>
        <v>154.80303857058792</v>
      </c>
      <c r="Q20" s="255">
        <f>SUM(-tanks!AX22*tanks!$AU$37)</f>
        <v>1187.0301075268974</v>
      </c>
      <c r="R20" s="255">
        <f t="shared" si="12"/>
        <v>1341.8331460974853</v>
      </c>
      <c r="S20" s="257">
        <f>SUM(ELEC!N20)</f>
        <v>3279</v>
      </c>
      <c r="T20" s="288">
        <f t="shared" si="16"/>
        <v>0.40922023363753746</v>
      </c>
      <c r="AB20" s="414"/>
    </row>
    <row r="21" spans="1:32" ht="20.100000000000001" customHeight="1">
      <c r="A21" s="155">
        <f>ELEC!C21</f>
        <v>44944</v>
      </c>
      <c r="B21" s="78">
        <f t="shared" si="20"/>
        <v>1128021</v>
      </c>
      <c r="C21" s="78">
        <f t="shared" si="0"/>
        <v>0</v>
      </c>
      <c r="D21" s="264">
        <f t="shared" si="13"/>
        <v>0</v>
      </c>
      <c r="E21" s="264">
        <f t="shared" si="14"/>
        <v>1128021</v>
      </c>
      <c r="F21" s="78">
        <f t="shared" si="15"/>
        <v>161786</v>
      </c>
      <c r="G21" s="152">
        <f t="shared" si="1"/>
        <v>0</v>
      </c>
      <c r="H21" s="78">
        <f t="shared" si="7"/>
        <v>564295</v>
      </c>
      <c r="I21" s="153">
        <f t="shared" si="2"/>
        <v>0</v>
      </c>
      <c r="J21" s="78">
        <f t="shared" si="8"/>
        <v>401939</v>
      </c>
      <c r="K21" s="154">
        <f t="shared" si="9"/>
        <v>0</v>
      </c>
      <c r="L21" s="254">
        <f t="shared" si="17"/>
        <v>0</v>
      </c>
      <c r="M21" s="254">
        <f t="shared" si="18"/>
        <v>0</v>
      </c>
      <c r="N21" s="254">
        <f t="shared" si="19"/>
        <v>0</v>
      </c>
      <c r="O21" s="254">
        <f t="shared" si="10"/>
        <v>154.80303857058792</v>
      </c>
      <c r="P21" s="255">
        <f t="shared" si="11"/>
        <v>154.80303857058792</v>
      </c>
      <c r="Q21" s="255">
        <f>SUM(-tanks!AX23*tanks!$AU$37)</f>
        <v>422.70198924729488</v>
      </c>
      <c r="R21" s="255">
        <f t="shared" si="12"/>
        <v>577.50502781788282</v>
      </c>
      <c r="S21" s="257">
        <f>SUM(ELEC!N21)</f>
        <v>3504</v>
      </c>
      <c r="T21" s="288">
        <f t="shared" si="16"/>
        <v>0.16481307871514922</v>
      </c>
      <c r="V21" s="157" t="s">
        <v>215</v>
      </c>
      <c r="W21" s="158">
        <v>44917</v>
      </c>
      <c r="X21" s="159"/>
      <c r="Y21" s="159"/>
      <c r="Z21" s="160" t="s">
        <v>216</v>
      </c>
      <c r="AA21" s="159"/>
      <c r="AB21" s="571"/>
      <c r="AC21" s="572"/>
    </row>
    <row r="22" spans="1:32" ht="20.100000000000001" customHeight="1">
      <c r="A22" s="155">
        <f>ELEC!C22</f>
        <v>44945</v>
      </c>
      <c r="B22" s="78">
        <f t="shared" si="20"/>
        <v>1128021</v>
      </c>
      <c r="C22" s="78">
        <f t="shared" si="0"/>
        <v>0</v>
      </c>
      <c r="D22" s="264">
        <f t="shared" si="13"/>
        <v>0</v>
      </c>
      <c r="E22" s="264">
        <v>1124846</v>
      </c>
      <c r="F22" s="78">
        <f t="shared" si="15"/>
        <v>161786</v>
      </c>
      <c r="G22" s="152">
        <f t="shared" si="1"/>
        <v>0</v>
      </c>
      <c r="H22" s="78">
        <f t="shared" si="7"/>
        <v>564295</v>
      </c>
      <c r="I22" s="153">
        <f t="shared" si="2"/>
        <v>0</v>
      </c>
      <c r="J22" s="78">
        <f t="shared" si="8"/>
        <v>401939</v>
      </c>
      <c r="K22" s="154">
        <f t="shared" si="9"/>
        <v>0</v>
      </c>
      <c r="L22" s="254">
        <f t="shared" si="17"/>
        <v>0</v>
      </c>
      <c r="M22" s="254">
        <f t="shared" si="18"/>
        <v>0</v>
      </c>
      <c r="N22" s="254">
        <f t="shared" si="19"/>
        <v>0</v>
      </c>
      <c r="O22" s="254">
        <f t="shared" si="10"/>
        <v>154.80303857058792</v>
      </c>
      <c r="P22" s="255">
        <f t="shared" si="11"/>
        <v>154.80303857058792</v>
      </c>
      <c r="Q22" s="255">
        <f>SUM(-tanks!AX24*tanks!$AU$37)</f>
        <v>947.86341935485893</v>
      </c>
      <c r="R22" s="255">
        <f t="shared" si="12"/>
        <v>1102.6664579254468</v>
      </c>
      <c r="S22" s="257">
        <f>SUM(ELEC!N22)</f>
        <v>3229</v>
      </c>
      <c r="T22" s="288">
        <f t="shared" si="16"/>
        <v>0.34148852831385779</v>
      </c>
      <c r="V22" s="565"/>
      <c r="W22" s="566"/>
      <c r="X22" s="566"/>
      <c r="Y22" s="567"/>
      <c r="Z22" s="25" t="s">
        <v>217</v>
      </c>
      <c r="AA22" s="25">
        <v>5000</v>
      </c>
      <c r="AB22" s="573"/>
      <c r="AC22" s="574"/>
    </row>
    <row r="23" spans="1:32" ht="21" customHeight="1">
      <c r="A23" s="155">
        <f>ELEC!C23</f>
        <v>44946</v>
      </c>
      <c r="B23" s="78">
        <f t="shared" si="20"/>
        <v>1128021</v>
      </c>
      <c r="C23" s="78">
        <f t="shared" si="0"/>
        <v>0</v>
      </c>
      <c r="D23" s="264">
        <f t="shared" si="13"/>
        <v>0</v>
      </c>
      <c r="E23" s="264">
        <f t="shared" si="14"/>
        <v>1128021</v>
      </c>
      <c r="F23" s="78">
        <f t="shared" si="15"/>
        <v>161786</v>
      </c>
      <c r="G23" s="152">
        <f t="shared" si="1"/>
        <v>0</v>
      </c>
      <c r="H23" s="78">
        <f t="shared" si="7"/>
        <v>564295</v>
      </c>
      <c r="I23" s="153">
        <f t="shared" si="2"/>
        <v>0</v>
      </c>
      <c r="J23" s="78">
        <f t="shared" si="8"/>
        <v>401939</v>
      </c>
      <c r="K23" s="154">
        <f t="shared" si="9"/>
        <v>0</v>
      </c>
      <c r="L23" s="254">
        <f t="shared" si="17"/>
        <v>0</v>
      </c>
      <c r="M23" s="254">
        <f t="shared" si="18"/>
        <v>0</v>
      </c>
      <c r="N23" s="254">
        <f t="shared" si="19"/>
        <v>0</v>
      </c>
      <c r="O23" s="254">
        <f t="shared" si="10"/>
        <v>154.80303857058792</v>
      </c>
      <c r="P23" s="255">
        <f t="shared" si="11"/>
        <v>154.80303857058792</v>
      </c>
      <c r="Q23" s="255">
        <f>SUM(-tanks!AX25*tanks!$AU$37)</f>
        <v>0</v>
      </c>
      <c r="R23" s="255">
        <f t="shared" si="12"/>
        <v>154.80303857058792</v>
      </c>
      <c r="S23" s="257">
        <f>SUM(ELEC!N23)</f>
        <v>0</v>
      </c>
      <c r="T23" s="288">
        <f t="shared" si="16"/>
        <v>0</v>
      </c>
      <c r="V23" s="568"/>
      <c r="W23" s="569"/>
      <c r="X23" s="569"/>
      <c r="Y23" s="570"/>
      <c r="Z23" s="577"/>
      <c r="AA23" s="578"/>
      <c r="AB23" s="573"/>
      <c r="AC23" s="574"/>
    </row>
    <row r="24" spans="1:32" ht="20.100000000000001" customHeight="1">
      <c r="A24" s="155">
        <f>ELEC!C24</f>
        <v>44947</v>
      </c>
      <c r="B24" s="78">
        <f t="shared" si="20"/>
        <v>1128021</v>
      </c>
      <c r="C24" s="78">
        <f t="shared" si="0"/>
        <v>0</v>
      </c>
      <c r="D24" s="264">
        <f t="shared" si="13"/>
        <v>0</v>
      </c>
      <c r="E24" s="264">
        <f t="shared" si="14"/>
        <v>1128021</v>
      </c>
      <c r="F24" s="78">
        <f t="shared" si="15"/>
        <v>161786</v>
      </c>
      <c r="G24" s="152">
        <f t="shared" si="1"/>
        <v>0</v>
      </c>
      <c r="H24" s="78">
        <f t="shared" si="7"/>
        <v>564295</v>
      </c>
      <c r="I24" s="153">
        <f t="shared" si="2"/>
        <v>0</v>
      </c>
      <c r="J24" s="78">
        <f t="shared" si="8"/>
        <v>401939</v>
      </c>
      <c r="K24" s="154">
        <f t="shared" si="9"/>
        <v>0</v>
      </c>
      <c r="L24" s="254">
        <f t="shared" si="17"/>
        <v>0</v>
      </c>
      <c r="M24" s="254">
        <f t="shared" si="18"/>
        <v>0</v>
      </c>
      <c r="N24" s="254">
        <f t="shared" si="19"/>
        <v>0</v>
      </c>
      <c r="O24" s="254">
        <f t="shared" si="10"/>
        <v>154.80303857058792</v>
      </c>
      <c r="P24" s="255">
        <f t="shared" si="11"/>
        <v>154.80303857058792</v>
      </c>
      <c r="Q24" s="255">
        <f>SUM(-tanks!AX26*tanks!$AU$37)</f>
        <v>0</v>
      </c>
      <c r="R24" s="255">
        <f t="shared" si="12"/>
        <v>154.80303857058792</v>
      </c>
      <c r="S24" s="257">
        <f>SUM(ELEC!N24)</f>
        <v>0</v>
      </c>
      <c r="T24" s="288">
        <f t="shared" si="16"/>
        <v>0</v>
      </c>
      <c r="V24" s="560" t="s">
        <v>218</v>
      </c>
      <c r="W24" s="561"/>
      <c r="X24" s="562" t="s">
        <v>219</v>
      </c>
      <c r="Y24" s="563"/>
      <c r="Z24" s="564"/>
      <c r="AA24" s="161"/>
      <c r="AB24" s="575"/>
      <c r="AC24" s="576"/>
    </row>
    <row r="25" spans="1:32" ht="20.100000000000001" customHeight="1">
      <c r="A25" s="155">
        <f>ELEC!C25</f>
        <v>44948</v>
      </c>
      <c r="B25" s="78">
        <f t="shared" si="20"/>
        <v>1128021</v>
      </c>
      <c r="C25" s="78">
        <f t="shared" si="0"/>
        <v>0</v>
      </c>
      <c r="D25" s="264">
        <f t="shared" si="13"/>
        <v>0</v>
      </c>
      <c r="E25" s="264">
        <f t="shared" si="14"/>
        <v>1128021</v>
      </c>
      <c r="F25" s="78">
        <f t="shared" si="15"/>
        <v>161786</v>
      </c>
      <c r="G25" s="152">
        <f t="shared" si="1"/>
        <v>0</v>
      </c>
      <c r="H25" s="78">
        <f t="shared" si="7"/>
        <v>564295</v>
      </c>
      <c r="I25" s="153">
        <f t="shared" si="2"/>
        <v>0</v>
      </c>
      <c r="J25" s="78">
        <f t="shared" si="8"/>
        <v>401939</v>
      </c>
      <c r="K25" s="154">
        <f t="shared" si="9"/>
        <v>0</v>
      </c>
      <c r="L25" s="254">
        <f t="shared" si="17"/>
        <v>0</v>
      </c>
      <c r="M25" s="254">
        <f t="shared" si="18"/>
        <v>0</v>
      </c>
      <c r="N25" s="254">
        <f t="shared" si="19"/>
        <v>0</v>
      </c>
      <c r="O25" s="254">
        <f t="shared" si="10"/>
        <v>154.80303857058792</v>
      </c>
      <c r="P25" s="255">
        <f t="shared" si="11"/>
        <v>154.80303857058792</v>
      </c>
      <c r="Q25" s="255">
        <f>SUM(-tanks!AX27*tanks!$AU$37)</f>
        <v>788.52308602149992</v>
      </c>
      <c r="R25" s="255">
        <f t="shared" si="12"/>
        <v>943.32612459208781</v>
      </c>
      <c r="S25" s="257">
        <f>SUM(ELEC!N25)</f>
        <v>2894</v>
      </c>
      <c r="T25" s="288">
        <f t="shared" si="16"/>
        <v>0.32595926903665784</v>
      </c>
      <c r="V25" s="224" t="s">
        <v>220</v>
      </c>
      <c r="W25" s="184" t="s">
        <v>221</v>
      </c>
      <c r="X25" s="184"/>
      <c r="Y25" s="184" t="s">
        <v>222</v>
      </c>
      <c r="Z25" s="184" t="s">
        <v>223</v>
      </c>
      <c r="AA25" s="184" t="s">
        <v>224</v>
      </c>
      <c r="AB25" s="184" t="s">
        <v>225</v>
      </c>
      <c r="AC25" s="162" t="s">
        <v>226</v>
      </c>
    </row>
    <row r="26" spans="1:32" ht="20.100000000000001" customHeight="1">
      <c r="A26" s="155">
        <f>ELEC!C26</f>
        <v>44949</v>
      </c>
      <c r="B26" s="78">
        <f t="shared" si="6"/>
        <v>1128021</v>
      </c>
      <c r="C26" s="78">
        <f t="shared" si="0"/>
        <v>0</v>
      </c>
      <c r="D26" s="264">
        <f t="shared" si="13"/>
        <v>0</v>
      </c>
      <c r="E26" s="264">
        <f t="shared" si="14"/>
        <v>1128021</v>
      </c>
      <c r="F26" s="78">
        <f t="shared" si="15"/>
        <v>161786</v>
      </c>
      <c r="G26" s="152">
        <f t="shared" si="1"/>
        <v>0</v>
      </c>
      <c r="H26" s="78">
        <f t="shared" si="7"/>
        <v>564295</v>
      </c>
      <c r="I26" s="153">
        <f t="shared" si="2"/>
        <v>0</v>
      </c>
      <c r="J26" s="78">
        <f t="shared" si="8"/>
        <v>401939</v>
      </c>
      <c r="K26" s="154">
        <f t="shared" si="9"/>
        <v>0</v>
      </c>
      <c r="L26" s="254">
        <f t="shared" si="17"/>
        <v>0</v>
      </c>
      <c r="M26" s="254">
        <f t="shared" si="18"/>
        <v>0</v>
      </c>
      <c r="N26" s="254">
        <f t="shared" si="19"/>
        <v>0</v>
      </c>
      <c r="O26" s="254">
        <f t="shared" si="10"/>
        <v>154.80303857058792</v>
      </c>
      <c r="P26" s="255">
        <f t="shared" si="11"/>
        <v>154.80303857058792</v>
      </c>
      <c r="Q26" s="255">
        <f>SUM(-tanks!AX28*tanks!$AU$37)</f>
        <v>0</v>
      </c>
      <c r="R26" s="255">
        <f t="shared" si="12"/>
        <v>154.80303857058792</v>
      </c>
      <c r="S26" s="257">
        <f>SUM(ELEC!N26)</f>
        <v>0</v>
      </c>
      <c r="T26" s="288">
        <f t="shared" si="16"/>
        <v>0</v>
      </c>
      <c r="V26" s="227">
        <f>W9</f>
        <v>401934</v>
      </c>
      <c r="W26" s="161">
        <f>J34</f>
        <v>401939</v>
      </c>
      <c r="X26" s="163" t="s">
        <v>206</v>
      </c>
      <c r="Y26" s="163">
        <v>80</v>
      </c>
      <c r="Z26" s="163">
        <v>1</v>
      </c>
      <c r="AA26" s="185">
        <f>(W26-V26)*Z26</f>
        <v>5</v>
      </c>
      <c r="AB26" s="185">
        <f>AA26*Y26</f>
        <v>400</v>
      </c>
      <c r="AC26" s="225">
        <f>AC9</f>
        <v>1033333</v>
      </c>
      <c r="AD26" s="424">
        <f>SUM(K36)</f>
        <v>0</v>
      </c>
    </row>
    <row r="27" spans="1:32" ht="20.100000000000001" customHeight="1">
      <c r="A27" s="155">
        <f>ELEC!C27</f>
        <v>44950</v>
      </c>
      <c r="B27" s="78">
        <f t="shared" si="6"/>
        <v>1128021</v>
      </c>
      <c r="C27" s="78">
        <f t="shared" si="0"/>
        <v>0</v>
      </c>
      <c r="D27" s="264">
        <f t="shared" si="13"/>
        <v>0</v>
      </c>
      <c r="E27" s="264">
        <f t="shared" si="14"/>
        <v>1128021</v>
      </c>
      <c r="F27" s="78">
        <f t="shared" si="15"/>
        <v>161786</v>
      </c>
      <c r="G27" s="152">
        <f t="shared" si="1"/>
        <v>0</v>
      </c>
      <c r="H27" s="78">
        <f t="shared" si="7"/>
        <v>564295</v>
      </c>
      <c r="I27" s="153">
        <f t="shared" si="2"/>
        <v>0</v>
      </c>
      <c r="J27" s="78">
        <f t="shared" si="8"/>
        <v>401939</v>
      </c>
      <c r="K27" s="154">
        <f t="shared" si="9"/>
        <v>0</v>
      </c>
      <c r="L27" s="254">
        <f t="shared" si="17"/>
        <v>0</v>
      </c>
      <c r="M27" s="254">
        <f t="shared" si="18"/>
        <v>0</v>
      </c>
      <c r="N27" s="254">
        <f t="shared" si="19"/>
        <v>0</v>
      </c>
      <c r="O27" s="254">
        <f t="shared" si="10"/>
        <v>154.80303857058792</v>
      </c>
      <c r="P27" s="255">
        <f t="shared" si="11"/>
        <v>154.80303857058792</v>
      </c>
      <c r="Q27" s="255">
        <f>SUM(-tanks!AX29*tanks!$AU$37)</f>
        <v>0</v>
      </c>
      <c r="R27" s="255">
        <f t="shared" si="12"/>
        <v>154.80303857058792</v>
      </c>
      <c r="S27" s="257">
        <f>SUM(ELEC!N27)</f>
        <v>0</v>
      </c>
      <c r="T27" s="288">
        <f t="shared" si="16"/>
        <v>0</v>
      </c>
      <c r="V27" s="227">
        <f>W10</f>
        <v>563190</v>
      </c>
      <c r="W27" s="161">
        <f>H34</f>
        <v>564295</v>
      </c>
      <c r="X27" s="163" t="s">
        <v>233</v>
      </c>
      <c r="Y27" s="163">
        <v>112</v>
      </c>
      <c r="Z27" s="163">
        <v>1</v>
      </c>
      <c r="AA27" s="185">
        <f>(W27-V27)*Z27</f>
        <v>1105</v>
      </c>
      <c r="AB27" s="185">
        <f>SUM(AA27*Y27)</f>
        <v>123760</v>
      </c>
      <c r="AC27" s="225">
        <f>AC10</f>
        <v>6200000</v>
      </c>
      <c r="AD27" s="424">
        <f>SUM(I36)</f>
        <v>1</v>
      </c>
    </row>
    <row r="28" spans="1:32" ht="20.100000000000001" customHeight="1">
      <c r="A28" s="155">
        <f>ELEC!C28</f>
        <v>44951</v>
      </c>
      <c r="B28" s="78">
        <f t="shared" si="6"/>
        <v>1128021</v>
      </c>
      <c r="C28" s="78">
        <f t="shared" si="0"/>
        <v>0</v>
      </c>
      <c r="D28" s="264">
        <f t="shared" si="13"/>
        <v>0</v>
      </c>
      <c r="E28" s="264">
        <f t="shared" si="14"/>
        <v>1128021</v>
      </c>
      <c r="F28" s="78">
        <f t="shared" si="15"/>
        <v>161786</v>
      </c>
      <c r="G28" s="152">
        <f t="shared" si="1"/>
        <v>0</v>
      </c>
      <c r="H28" s="78">
        <f t="shared" si="7"/>
        <v>564295</v>
      </c>
      <c r="I28" s="153">
        <f t="shared" si="2"/>
        <v>0</v>
      </c>
      <c r="J28" s="78">
        <f t="shared" si="8"/>
        <v>401939</v>
      </c>
      <c r="K28" s="154">
        <f t="shared" si="9"/>
        <v>0</v>
      </c>
      <c r="L28" s="254">
        <f t="shared" si="17"/>
        <v>0</v>
      </c>
      <c r="M28" s="254">
        <f t="shared" si="18"/>
        <v>0</v>
      </c>
      <c r="N28" s="254">
        <f t="shared" si="19"/>
        <v>0</v>
      </c>
      <c r="O28" s="254">
        <f t="shared" si="10"/>
        <v>154.80303857058792</v>
      </c>
      <c r="P28" s="255">
        <f t="shared" si="11"/>
        <v>154.80303857058792</v>
      </c>
      <c r="Q28" s="255">
        <f>SUM(-tanks!AX30*tanks!$AU$37)</f>
        <v>0</v>
      </c>
      <c r="R28" s="255">
        <f t="shared" si="12"/>
        <v>154.80303857058792</v>
      </c>
      <c r="S28" s="257">
        <f>SUM(ELEC!N28)</f>
        <v>0</v>
      </c>
      <c r="T28" s="288">
        <f t="shared" si="16"/>
        <v>0</v>
      </c>
      <c r="V28" s="227">
        <f>W11</f>
        <v>161640</v>
      </c>
      <c r="W28" s="161">
        <f>F34</f>
        <v>161786</v>
      </c>
      <c r="X28" s="163" t="s">
        <v>205</v>
      </c>
      <c r="Y28" s="163">
        <v>320</v>
      </c>
      <c r="Z28" s="163">
        <v>1</v>
      </c>
      <c r="AA28" s="185">
        <f>(W28-V28)*Z28</f>
        <v>146</v>
      </c>
      <c r="AB28" s="185">
        <f>SUM(AA28*Y28)</f>
        <v>46720</v>
      </c>
      <c r="AC28" s="225">
        <f>AC11</f>
        <v>1000</v>
      </c>
      <c r="AD28" s="424">
        <f>SUM(G36)</f>
        <v>0</v>
      </c>
      <c r="AE28" s="39">
        <f>SUM(AB28*5%)</f>
        <v>2336</v>
      </c>
      <c r="AF28" s="79">
        <f>SUM(AE28/7)*31</f>
        <v>10345.142857142857</v>
      </c>
    </row>
    <row r="29" spans="1:32" ht="20.100000000000001" customHeight="1">
      <c r="A29" s="155">
        <f>ELEC!C29</f>
        <v>44952</v>
      </c>
      <c r="B29" s="78">
        <f t="shared" si="6"/>
        <v>1128021</v>
      </c>
      <c r="C29" s="78">
        <f t="shared" si="0"/>
        <v>0</v>
      </c>
      <c r="D29" s="264">
        <f t="shared" si="13"/>
        <v>0</v>
      </c>
      <c r="E29" s="264">
        <f t="shared" si="14"/>
        <v>1128021</v>
      </c>
      <c r="F29" s="78">
        <f t="shared" si="15"/>
        <v>161786</v>
      </c>
      <c r="G29" s="152">
        <f t="shared" si="1"/>
        <v>0</v>
      </c>
      <c r="H29" s="78">
        <f t="shared" si="7"/>
        <v>564295</v>
      </c>
      <c r="I29" s="153">
        <f t="shared" si="2"/>
        <v>0</v>
      </c>
      <c r="J29" s="78">
        <f t="shared" si="8"/>
        <v>401939</v>
      </c>
      <c r="K29" s="154">
        <f t="shared" si="9"/>
        <v>0</v>
      </c>
      <c r="L29" s="254">
        <f t="shared" si="17"/>
        <v>0</v>
      </c>
      <c r="M29" s="254">
        <f t="shared" si="18"/>
        <v>0</v>
      </c>
      <c r="N29" s="254">
        <f t="shared" si="19"/>
        <v>0</v>
      </c>
      <c r="O29" s="254">
        <f t="shared" si="10"/>
        <v>154.80303857058792</v>
      </c>
      <c r="P29" s="255">
        <f t="shared" si="11"/>
        <v>154.80303857058792</v>
      </c>
      <c r="Q29" s="255">
        <f>SUM(-tanks!AX31*tanks!$AU$37)</f>
        <v>0</v>
      </c>
      <c r="R29" s="255">
        <f t="shared" si="12"/>
        <v>154.80303857058792</v>
      </c>
      <c r="S29" s="257">
        <f>SUM(ELEC!N29)</f>
        <v>0</v>
      </c>
      <c r="T29" s="288">
        <f t="shared" si="16"/>
        <v>0</v>
      </c>
      <c r="V29" s="200"/>
      <c r="W29" s="201"/>
      <c r="X29" s="201"/>
      <c r="Y29" s="145"/>
      <c r="Z29" s="3"/>
      <c r="AA29" s="185">
        <f>SUM(AA26:AA28)</f>
        <v>1256</v>
      </c>
      <c r="AB29" s="185">
        <f>SUM(AB26:AB28)</f>
        <v>170880</v>
      </c>
      <c r="AC29" s="225">
        <f>SUM(AC26:AC28)</f>
        <v>7234333</v>
      </c>
    </row>
    <row r="30" spans="1:32" ht="20.100000000000001" customHeight="1">
      <c r="A30" s="155">
        <f>ELEC!C30</f>
        <v>44953</v>
      </c>
      <c r="B30" s="78">
        <f t="shared" si="6"/>
        <v>1128021</v>
      </c>
      <c r="C30" s="78">
        <f t="shared" si="0"/>
        <v>0</v>
      </c>
      <c r="D30" s="264">
        <f t="shared" si="13"/>
        <v>0</v>
      </c>
      <c r="E30" s="264">
        <f t="shared" si="14"/>
        <v>1128021</v>
      </c>
      <c r="F30" s="78">
        <f t="shared" si="15"/>
        <v>161786</v>
      </c>
      <c r="G30" s="152">
        <f t="shared" si="1"/>
        <v>0</v>
      </c>
      <c r="H30" s="78">
        <f t="shared" si="7"/>
        <v>564295</v>
      </c>
      <c r="I30" s="153">
        <f t="shared" si="2"/>
        <v>0</v>
      </c>
      <c r="J30" s="78">
        <f t="shared" si="8"/>
        <v>401939</v>
      </c>
      <c r="K30" s="154">
        <f t="shared" si="9"/>
        <v>0</v>
      </c>
      <c r="L30" s="254">
        <f t="shared" si="17"/>
        <v>0</v>
      </c>
      <c r="M30" s="254">
        <f t="shared" si="18"/>
        <v>0</v>
      </c>
      <c r="N30" s="254">
        <f t="shared" si="19"/>
        <v>0</v>
      </c>
      <c r="O30" s="254">
        <f t="shared" si="10"/>
        <v>154.80303857058792</v>
      </c>
      <c r="P30" s="255">
        <f t="shared" si="11"/>
        <v>154.80303857058792</v>
      </c>
      <c r="Q30" s="255">
        <f>SUM(-tanks!AX32*tanks!$AU$37)</f>
        <v>0</v>
      </c>
      <c r="R30" s="255">
        <f t="shared" si="12"/>
        <v>154.80303857058792</v>
      </c>
      <c r="S30" s="257">
        <f>SUM(ELEC!N30)</f>
        <v>0</v>
      </c>
      <c r="T30" s="288">
        <f t="shared" si="16"/>
        <v>0</v>
      </c>
      <c r="V30" s="202" t="s">
        <v>227</v>
      </c>
      <c r="W30" s="378">
        <f>'General information '!F36</f>
        <v>0</v>
      </c>
      <c r="Y30" s="203" t="s">
        <v>228</v>
      </c>
      <c r="Z30" s="3"/>
      <c r="AA30" s="185"/>
      <c r="AB30" s="185">
        <f>AB29+AC29</f>
        <v>7405213</v>
      </c>
      <c r="AC30" s="225"/>
    </row>
    <row r="31" spans="1:32" ht="20.100000000000001" customHeight="1">
      <c r="A31" s="155">
        <f>ELEC!C31</f>
        <v>44954</v>
      </c>
      <c r="B31" s="78">
        <f t="shared" si="6"/>
        <v>1128021</v>
      </c>
      <c r="C31" s="78">
        <f>SUM(B31-B30)</f>
        <v>0</v>
      </c>
      <c r="D31" s="264">
        <f t="shared" si="13"/>
        <v>0</v>
      </c>
      <c r="E31" s="264">
        <f t="shared" si="14"/>
        <v>1128021</v>
      </c>
      <c r="F31" s="78">
        <f t="shared" si="15"/>
        <v>161786</v>
      </c>
      <c r="G31" s="152">
        <f>F31-F30</f>
        <v>0</v>
      </c>
      <c r="H31" s="78">
        <f t="shared" si="7"/>
        <v>564295</v>
      </c>
      <c r="I31" s="153">
        <f>H31-H30</f>
        <v>0</v>
      </c>
      <c r="J31" s="78">
        <f t="shared" si="8"/>
        <v>401939</v>
      </c>
      <c r="K31" s="154">
        <f>J31-J30</f>
        <v>0</v>
      </c>
      <c r="L31" s="254">
        <f>SUM(G31*$Y$28)/1507.5</f>
        <v>0</v>
      </c>
      <c r="M31" s="254">
        <f>SUM(I31*$Y$27)/1507.5</f>
        <v>0</v>
      </c>
      <c r="N31" s="254">
        <f>SUM(K31*$Y$26)/1507.5</f>
        <v>0</v>
      </c>
      <c r="O31" s="254">
        <f t="shared" si="10"/>
        <v>154.80303857058792</v>
      </c>
      <c r="P31" s="255">
        <f>SUM(L31:O31)</f>
        <v>154.80303857058792</v>
      </c>
      <c r="Q31" s="255">
        <f>SUM(-tanks!AX33*tanks!$AU$37)</f>
        <v>0</v>
      </c>
      <c r="R31" s="255">
        <f>SUM(P31:Q31)</f>
        <v>154.80303857058792</v>
      </c>
      <c r="S31" s="257">
        <f>SUM(ELEC!N31)</f>
        <v>0</v>
      </c>
      <c r="T31" s="288">
        <f>IF(S31&gt;0,R31/S31,0)</f>
        <v>0</v>
      </c>
      <c r="V31" s="202"/>
      <c r="W31" s="450"/>
      <c r="Y31" s="203"/>
      <c r="Z31" s="3"/>
      <c r="AA31" s="185"/>
      <c r="AB31" s="185"/>
      <c r="AC31" s="225"/>
    </row>
    <row r="32" spans="1:32" ht="20.100000000000001" customHeight="1">
      <c r="A32" s="155">
        <f>ELEC!C32</f>
        <v>44955</v>
      </c>
      <c r="B32" s="78">
        <f t="shared" si="6"/>
        <v>1128021</v>
      </c>
      <c r="C32" s="78">
        <f t="shared" ref="C32:C34" si="21">SUM(B32-B31)</f>
        <v>0</v>
      </c>
      <c r="D32" s="264">
        <f t="shared" ref="D32:D34" si="22">SUM(G32+I32+K32)</f>
        <v>0</v>
      </c>
      <c r="E32" s="264">
        <f t="shared" si="14"/>
        <v>1128021</v>
      </c>
      <c r="F32" s="78">
        <f t="shared" si="15"/>
        <v>161786</v>
      </c>
      <c r="G32" s="152">
        <f t="shared" ref="G32:G34" si="23">F32-F31</f>
        <v>0</v>
      </c>
      <c r="H32" s="78">
        <f t="shared" si="7"/>
        <v>564295</v>
      </c>
      <c r="I32" s="153">
        <f t="shared" ref="I32:I34" si="24">H32-H31</f>
        <v>0</v>
      </c>
      <c r="J32" s="78">
        <f t="shared" si="8"/>
        <v>401939</v>
      </c>
      <c r="K32" s="154">
        <f t="shared" ref="K32:K34" si="25">J32-J31</f>
        <v>0</v>
      </c>
      <c r="L32" s="254">
        <f t="shared" ref="L32:L34" si="26">SUM(G32*$Y$28)/1507.5</f>
        <v>0</v>
      </c>
      <c r="M32" s="254">
        <f t="shared" ref="M32:M34" si="27">SUM(I32*$Y$27)/1507.5</f>
        <v>0</v>
      </c>
      <c r="N32" s="254">
        <f t="shared" ref="N32:N34" si="28">SUM(K32*$Y$26)/1507.5</f>
        <v>0</v>
      </c>
      <c r="O32" s="254">
        <f t="shared" si="10"/>
        <v>154.80303857058792</v>
      </c>
      <c r="P32" s="255">
        <f t="shared" ref="P32:P34" si="29">SUM(L32:O32)</f>
        <v>154.80303857058792</v>
      </c>
      <c r="Q32" s="255">
        <f>SUM(-tanks!AX34*tanks!$AU$37)</f>
        <v>0</v>
      </c>
      <c r="R32" s="255">
        <f t="shared" ref="R32:R34" si="30">SUM(P32:Q32)</f>
        <v>154.80303857058792</v>
      </c>
      <c r="S32" s="257">
        <f>SUM(ELEC!N32)</f>
        <v>0</v>
      </c>
      <c r="T32" s="288">
        <f t="shared" ref="T32:T34" si="31">IF(S32&gt;0,R32/S32,0)</f>
        <v>0</v>
      </c>
      <c r="V32" s="202" t="s">
        <v>229</v>
      </c>
      <c r="W32" s="360">
        <f>'Utility Cost '!B18</f>
        <v>174</v>
      </c>
      <c r="X32" s="207">
        <f>SUM(W32/A35)</f>
        <v>58</v>
      </c>
      <c r="Y32" s="231">
        <f>SUM(X32/1)</f>
        <v>58</v>
      </c>
      <c r="Z32" s="3"/>
      <c r="AA32" s="185"/>
      <c r="AB32" s="185"/>
      <c r="AC32" s="225"/>
    </row>
    <row r="33" spans="1:30" ht="20.100000000000001" customHeight="1">
      <c r="A33" s="155">
        <f>ELEC!C33</f>
        <v>44956</v>
      </c>
      <c r="B33" s="78">
        <f t="shared" si="6"/>
        <v>1128021</v>
      </c>
      <c r="C33" s="78">
        <f t="shared" si="21"/>
        <v>0</v>
      </c>
      <c r="D33" s="264">
        <f t="shared" si="22"/>
        <v>0</v>
      </c>
      <c r="E33" s="264">
        <f t="shared" si="14"/>
        <v>1128021</v>
      </c>
      <c r="F33" s="78">
        <f t="shared" si="15"/>
        <v>161786</v>
      </c>
      <c r="G33" s="152">
        <f t="shared" si="23"/>
        <v>0</v>
      </c>
      <c r="H33" s="78">
        <f t="shared" si="7"/>
        <v>564295</v>
      </c>
      <c r="I33" s="153">
        <f t="shared" si="24"/>
        <v>0</v>
      </c>
      <c r="J33" s="78">
        <f t="shared" si="8"/>
        <v>401939</v>
      </c>
      <c r="K33" s="154">
        <f t="shared" si="25"/>
        <v>0</v>
      </c>
      <c r="L33" s="254">
        <f t="shared" si="26"/>
        <v>0</v>
      </c>
      <c r="M33" s="254">
        <f t="shared" si="27"/>
        <v>0</v>
      </c>
      <c r="N33" s="254">
        <f t="shared" si="28"/>
        <v>0</v>
      </c>
      <c r="O33" s="254">
        <f t="shared" si="10"/>
        <v>154.80303857058792</v>
      </c>
      <c r="P33" s="255">
        <f t="shared" si="29"/>
        <v>154.80303857058792</v>
      </c>
      <c r="Q33" s="255">
        <f>SUM(-tanks!AX35*tanks!$AU$37)</f>
        <v>0</v>
      </c>
      <c r="R33" s="255">
        <f t="shared" si="30"/>
        <v>154.80303857058792</v>
      </c>
      <c r="S33" s="257">
        <f>SUM(ELEC!N33)</f>
        <v>0</v>
      </c>
      <c r="T33" s="288">
        <f t="shared" si="31"/>
        <v>0</v>
      </c>
      <c r="V33" s="202" t="s">
        <v>230</v>
      </c>
      <c r="W33" s="360"/>
      <c r="X33" s="207"/>
      <c r="Y33" s="231"/>
      <c r="Z33" s="3" t="s">
        <v>231</v>
      </c>
      <c r="AA33" s="501">
        <v>0.11</v>
      </c>
      <c r="AB33" s="178">
        <f>AB30*AA33</f>
        <v>814573.43</v>
      </c>
      <c r="AC33" s="225">
        <f>SUM(AC29)</f>
        <v>7234333</v>
      </c>
    </row>
    <row r="34" spans="1:30" ht="20.100000000000001" customHeight="1">
      <c r="A34" s="155">
        <f>ELEC!C34</f>
        <v>44957</v>
      </c>
      <c r="B34" s="78">
        <f t="shared" si="6"/>
        <v>1128021</v>
      </c>
      <c r="C34" s="78">
        <f t="shared" si="21"/>
        <v>0</v>
      </c>
      <c r="D34" s="264">
        <f t="shared" si="22"/>
        <v>0</v>
      </c>
      <c r="E34" s="264">
        <f t="shared" si="14"/>
        <v>1128021</v>
      </c>
      <c r="F34" s="78">
        <f t="shared" si="15"/>
        <v>161786</v>
      </c>
      <c r="G34" s="152">
        <f t="shared" si="23"/>
        <v>0</v>
      </c>
      <c r="H34" s="78">
        <f t="shared" si="7"/>
        <v>564295</v>
      </c>
      <c r="I34" s="153">
        <f t="shared" si="24"/>
        <v>0</v>
      </c>
      <c r="J34" s="78">
        <f t="shared" si="8"/>
        <v>401939</v>
      </c>
      <c r="K34" s="154">
        <f t="shared" si="25"/>
        <v>0</v>
      </c>
      <c r="L34" s="254">
        <f t="shared" si="26"/>
        <v>0</v>
      </c>
      <c r="M34" s="254">
        <f t="shared" si="27"/>
        <v>0</v>
      </c>
      <c r="N34" s="254">
        <f t="shared" si="28"/>
        <v>0</v>
      </c>
      <c r="O34" s="254">
        <f t="shared" si="10"/>
        <v>154.80303857058792</v>
      </c>
      <c r="P34" s="255">
        <f t="shared" si="29"/>
        <v>154.80303857058792</v>
      </c>
      <c r="Q34" s="255">
        <f>SUM(-tanks!AX36*tanks!$AU$37)</f>
        <v>0</v>
      </c>
      <c r="R34" s="255">
        <f t="shared" si="30"/>
        <v>154.80303857058792</v>
      </c>
      <c r="S34" s="257">
        <f>SUM(ELEC!N34)</f>
        <v>0</v>
      </c>
      <c r="T34" s="288">
        <f t="shared" si="31"/>
        <v>0</v>
      </c>
      <c r="V34" s="202" t="s">
        <v>232</v>
      </c>
      <c r="Z34" s="3"/>
      <c r="AA34" s="3"/>
      <c r="AB34" s="445">
        <f>AB30+AB33</f>
        <v>8219786.4299999997</v>
      </c>
      <c r="AC34" s="225">
        <f>SUM(AC30)</f>
        <v>0</v>
      </c>
    </row>
    <row r="35" spans="1:30" ht="15.75" thickBot="1">
      <c r="A35" s="442">
        <f>A37-COUNTIF(C4:C33,0)</f>
        <v>3</v>
      </c>
      <c r="C35" s="164">
        <f>SUM(C4:C34)/A35</f>
        <v>166</v>
      </c>
      <c r="D35" s="164"/>
      <c r="E35" s="164"/>
      <c r="F35" s="487"/>
      <c r="G35" s="487">
        <f>SUM(G4:G34)/A35</f>
        <v>0</v>
      </c>
      <c r="H35" s="164"/>
      <c r="I35" s="164">
        <f>SUM(I4:I34)/A35</f>
        <v>166</v>
      </c>
      <c r="K35" s="164">
        <f>SUM(K4:K34)/A35</f>
        <v>0</v>
      </c>
      <c r="L35" s="164">
        <f>SUM(L34*1507.5)</f>
        <v>0</v>
      </c>
      <c r="M35" s="164">
        <f>SUM(M34*1507.5)</f>
        <v>0</v>
      </c>
      <c r="N35" s="164">
        <f>SUM(N34*1507.5)</f>
        <v>0</v>
      </c>
      <c r="O35" s="164">
        <f>SUM(O34*1507.5)</f>
        <v>233365.58064516127</v>
      </c>
      <c r="P35" s="164"/>
      <c r="Q35" s="164"/>
      <c r="R35" s="164"/>
      <c r="S35" s="258"/>
      <c r="V35" s="211"/>
      <c r="W35" s="204"/>
      <c r="X35" s="204"/>
      <c r="Y35" s="204"/>
      <c r="Z35" s="3"/>
      <c r="AA35" s="44"/>
      <c r="AB35" s="252"/>
      <c r="AC35" s="463"/>
    </row>
    <row r="36" spans="1:30" ht="15.75" thickBot="1">
      <c r="A36" s="197"/>
      <c r="C36" s="199">
        <f>SUM(G36:K36)</f>
        <v>1</v>
      </c>
      <c r="G36" s="210">
        <f>IF(C35&gt;0,G35/C35,0)</f>
        <v>0</v>
      </c>
      <c r="H36" s="199"/>
      <c r="I36" s="210">
        <f>SUM(I35/C35)</f>
        <v>1</v>
      </c>
      <c r="J36" s="199"/>
      <c r="K36" s="210">
        <f>SUM(K35/C35)</f>
        <v>0</v>
      </c>
      <c r="L36" s="210"/>
      <c r="M36" s="210"/>
      <c r="N36" s="210"/>
      <c r="O36" s="210"/>
      <c r="P36" s="210"/>
      <c r="Q36" s="210"/>
      <c r="R36" s="210"/>
      <c r="S36" s="259"/>
      <c r="V36" s="211"/>
      <c r="W36" s="204"/>
      <c r="X36" s="204"/>
      <c r="Y36" s="204"/>
      <c r="Z36" s="204"/>
      <c r="AA36" s="204" t="s">
        <v>234</v>
      </c>
      <c r="AB36" s="464">
        <f>AB30/1507.5</f>
        <v>4912.2474295190714</v>
      </c>
      <c r="AC36" s="465"/>
    </row>
    <row r="37" spans="1:30" ht="15.75" thickBot="1">
      <c r="A37">
        <v>31</v>
      </c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V37" s="211"/>
      <c r="W37" s="204"/>
      <c r="X37" s="204"/>
      <c r="Y37" s="205"/>
      <c r="Z37" s="460"/>
      <c r="AA37" s="460"/>
      <c r="AB37" s="461"/>
      <c r="AC37" s="462"/>
    </row>
    <row r="38" spans="1:30">
      <c r="W38" s="79"/>
      <c r="Z38" s="39"/>
      <c r="AA38" s="67"/>
      <c r="AB38" s="165">
        <f>SUM(AB36)</f>
        <v>4912.2474295190714</v>
      </c>
    </row>
    <row r="39" spans="1:30">
      <c r="W39" s="79"/>
      <c r="X39" s="446"/>
      <c r="Z39" s="165"/>
      <c r="AA39" s="97"/>
      <c r="AB39" s="97"/>
    </row>
    <row r="40" spans="1:30">
      <c r="W40" s="79"/>
      <c r="X40" s="446"/>
      <c r="Y40" s="79"/>
      <c r="Z40" s="165"/>
      <c r="AA40" s="97"/>
      <c r="AB40" s="297"/>
    </row>
    <row r="41" spans="1:30" ht="18.75">
      <c r="W41" s="79"/>
      <c r="Z41" s="241"/>
      <c r="AA41" s="97"/>
      <c r="AB41" s="296"/>
    </row>
    <row r="42" spans="1:30">
      <c r="D42" s="424"/>
      <c r="E42" s="424"/>
      <c r="F42" s="424"/>
      <c r="W42" s="79"/>
      <c r="Z42" s="253"/>
    </row>
    <row r="43" spans="1:30">
      <c r="Z43" s="97"/>
    </row>
    <row r="44" spans="1:30">
      <c r="AD44" s="471"/>
    </row>
    <row r="45" spans="1:30">
      <c r="V45" s="368"/>
      <c r="W45" s="447"/>
      <c r="Z45" s="226"/>
      <c r="AB45" s="579"/>
      <c r="AC45" s="579"/>
      <c r="AD45" s="471"/>
    </row>
    <row r="46" spans="1:30">
      <c r="V46" s="579"/>
      <c r="W46" s="579"/>
      <c r="X46" s="579"/>
      <c r="Y46" s="579"/>
      <c r="Z46" s="226"/>
      <c r="AA46" s="226"/>
      <c r="AB46" s="579"/>
      <c r="AC46" s="579"/>
      <c r="AD46" s="471"/>
    </row>
    <row r="47" spans="1:30">
      <c r="V47" s="579"/>
      <c r="W47" s="579"/>
      <c r="X47" s="579"/>
      <c r="Y47" s="579"/>
      <c r="Z47" s="579"/>
      <c r="AA47" s="579"/>
      <c r="AB47" s="579"/>
      <c r="AC47" s="579"/>
      <c r="AD47" s="471"/>
    </row>
    <row r="48" spans="1:30">
      <c r="V48" s="580"/>
      <c r="W48" s="580"/>
      <c r="X48" s="581"/>
      <c r="Y48" s="581"/>
      <c r="Z48" s="581"/>
      <c r="AA48" s="1"/>
      <c r="AB48" s="579"/>
      <c r="AC48" s="579"/>
      <c r="AD48" s="471"/>
    </row>
    <row r="49" spans="22:32">
      <c r="V49" s="368"/>
      <c r="W49" s="368"/>
      <c r="X49" s="368"/>
      <c r="Y49" s="368"/>
      <c r="Z49" s="368"/>
      <c r="AA49" s="368"/>
      <c r="AB49" s="368"/>
      <c r="AC49" s="448"/>
      <c r="AD49" s="471"/>
    </row>
    <row r="50" spans="22:32">
      <c r="V50" s="1"/>
      <c r="W50" s="1"/>
      <c r="X50" s="449"/>
      <c r="Y50" s="449"/>
      <c r="Z50" s="449"/>
      <c r="AA50" s="71"/>
      <c r="AB50" s="71"/>
      <c r="AC50" s="71"/>
      <c r="AD50" s="471"/>
    </row>
    <row r="51" spans="22:32">
      <c r="V51" s="1"/>
      <c r="W51" s="1"/>
      <c r="X51" s="449"/>
      <c r="Y51" s="449"/>
      <c r="Z51" s="449"/>
      <c r="AA51" s="71"/>
      <c r="AB51" s="71"/>
      <c r="AC51" s="71"/>
      <c r="AD51" s="471"/>
    </row>
    <row r="52" spans="22:32">
      <c r="V52" s="1"/>
      <c r="W52" s="1"/>
      <c r="X52" s="449"/>
      <c r="Y52" s="449"/>
      <c r="Z52" s="449"/>
      <c r="AA52" s="71"/>
      <c r="AB52" s="71"/>
      <c r="AC52" s="71"/>
      <c r="AD52" s="471"/>
      <c r="AE52" s="39"/>
      <c r="AF52" s="79"/>
    </row>
    <row r="53" spans="22:32">
      <c r="AA53" s="71"/>
      <c r="AB53" s="71"/>
      <c r="AC53" s="71"/>
      <c r="AD53" s="471"/>
    </row>
    <row r="54" spans="22:32">
      <c r="W54" s="450"/>
      <c r="AA54" s="71"/>
      <c r="AB54" s="236"/>
      <c r="AC54" s="71"/>
      <c r="AD54" s="471"/>
    </row>
    <row r="55" spans="22:32">
      <c r="X55" s="207"/>
      <c r="Y55" s="79"/>
      <c r="AB55" s="71"/>
      <c r="AC55" s="71"/>
      <c r="AD55" s="471"/>
    </row>
    <row r="56" spans="22:32">
      <c r="AD56" s="471"/>
    </row>
    <row r="57" spans="22:32">
      <c r="AD57" s="471"/>
    </row>
    <row r="58" spans="22:32">
      <c r="AD58" s="471"/>
    </row>
    <row r="59" spans="22:32">
      <c r="AA59" s="451"/>
      <c r="AB59" s="452"/>
      <c r="AC59" s="453"/>
      <c r="AD59" s="471"/>
    </row>
    <row r="60" spans="22:32">
      <c r="AA60" s="41"/>
      <c r="AB60" s="452"/>
      <c r="AC60" s="453"/>
      <c r="AD60" s="471"/>
    </row>
    <row r="61" spans="22:32">
      <c r="AB61" s="452"/>
      <c r="AC61" s="453"/>
      <c r="AD61" s="471"/>
    </row>
    <row r="62" spans="22:32">
      <c r="AB62" s="454"/>
      <c r="AD62" s="471"/>
    </row>
    <row r="63" spans="22:32">
      <c r="W63" s="79"/>
      <c r="Z63" s="39"/>
      <c r="AA63" s="455"/>
      <c r="AB63" s="449"/>
      <c r="AD63" s="471"/>
    </row>
    <row r="64" spans="22:32">
      <c r="W64" s="79"/>
      <c r="Z64" s="361"/>
      <c r="AA64" s="449"/>
      <c r="AB64" s="449"/>
      <c r="AD64" s="471"/>
    </row>
    <row r="65" spans="23:30">
      <c r="W65" s="79"/>
      <c r="Y65" s="79"/>
      <c r="Z65" s="361"/>
      <c r="AA65" s="449"/>
      <c r="AB65" s="456"/>
      <c r="AD65" s="471"/>
    </row>
    <row r="66" spans="23:30" ht="18.75">
      <c r="W66" s="79"/>
      <c r="Z66" s="241"/>
      <c r="AA66" s="449"/>
      <c r="AB66" s="457"/>
      <c r="AD66" s="471"/>
    </row>
    <row r="67" spans="23:30">
      <c r="W67" s="79"/>
      <c r="Z67" s="71"/>
      <c r="AD67" s="471"/>
    </row>
    <row r="68" spans="23:30">
      <c r="Z68" s="449"/>
      <c r="AD68" s="471"/>
    </row>
    <row r="69" spans="23:30">
      <c r="AD69" s="471"/>
    </row>
    <row r="70" spans="23:30">
      <c r="AD70" s="471"/>
    </row>
    <row r="71" spans="23:30">
      <c r="AD71" s="471"/>
    </row>
    <row r="72" spans="23:30">
      <c r="AD72" s="471"/>
    </row>
    <row r="73" spans="23:30">
      <c r="AD73" s="471"/>
    </row>
    <row r="74" spans="23:30">
      <c r="AD74" s="471"/>
    </row>
    <row r="75" spans="23:30">
      <c r="AD75" s="471"/>
    </row>
    <row r="76" spans="23:30">
      <c r="AD76" s="471"/>
    </row>
    <row r="77" spans="23:30">
      <c r="AD77" s="471"/>
    </row>
    <row r="78" spans="23:30">
      <c r="AD78" s="471"/>
    </row>
    <row r="79" spans="23:30">
      <c r="AD79" s="471"/>
    </row>
    <row r="80" spans="23:30">
      <c r="AD80" s="471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19"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16" t="s">
        <v>241</v>
      </c>
      <c r="H1" s="16" t="s">
        <v>242</v>
      </c>
      <c r="I1" s="16" t="s">
        <v>243</v>
      </c>
      <c r="J1" t="s">
        <v>126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14</v>
      </c>
      <c r="G2" s="3">
        <f>WATER!C5+WATER!H5</f>
        <v>0</v>
      </c>
      <c r="H2" s="3">
        <f>WATER!L5</f>
        <v>0</v>
      </c>
      <c r="I2" s="15">
        <f>WATER!BC5+WATER!BD5+WATER!BE6-Sheet1!G2</f>
        <v>0</v>
      </c>
      <c r="J2" s="9">
        <f>'B5'!A4</f>
        <v>44926</v>
      </c>
    </row>
    <row r="3" spans="1:10">
      <c r="A3" s="3">
        <f>ELEC!T5+ELEC!X3+ELEC!AB5</f>
        <v>0</v>
      </c>
      <c r="B3" s="3">
        <f>ELEC!AF5</f>
        <v>1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44927</v>
      </c>
    </row>
    <row r="4" spans="1:10">
      <c r="A4" s="3">
        <f>ELEC!T6+ELEC!X6+ELEC!AB6</f>
        <v>0</v>
      </c>
      <c r="B4" s="3">
        <f>ELEC!AF6</f>
        <v>1</v>
      </c>
      <c r="C4" s="3">
        <f>ELEC!N6</f>
        <v>2464</v>
      </c>
      <c r="D4" s="3">
        <f t="shared" si="0"/>
        <v>-955.00000000168802</v>
      </c>
      <c r="E4" s="3">
        <f>ELEC!Q6</f>
        <v>3419.000000001688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-17.699999999999974</v>
      </c>
      <c r="J4" s="9">
        <f>'B5'!A6</f>
        <v>44928</v>
      </c>
    </row>
    <row r="5" spans="1:10">
      <c r="A5" s="3">
        <f>ELEC!T7+ELEC!X7+ELEC!AB7</f>
        <v>0</v>
      </c>
      <c r="B5" s="3">
        <f>ELEC!AF7</f>
        <v>1</v>
      </c>
      <c r="C5" s="3">
        <f>ELEC!N7</f>
        <v>2763</v>
      </c>
      <c r="D5" s="3">
        <f t="shared" si="0"/>
        <v>25.99999999901047</v>
      </c>
      <c r="E5" s="3">
        <f>ELEC!Q7</f>
        <v>2737.0000000009895</v>
      </c>
      <c r="F5" s="3">
        <f>GEN!Z5</f>
        <v>10</v>
      </c>
      <c r="G5" s="3">
        <f>WATER!C8+WATER!H8</f>
        <v>0</v>
      </c>
      <c r="H5" s="3">
        <f>WATER!L8</f>
        <v>0</v>
      </c>
      <c r="I5" s="15">
        <f>WATER!BC8+WATER!BD8+WATER!BE9-Sheet1!G5</f>
        <v>-14.599999999999966</v>
      </c>
      <c r="J5" s="9">
        <f>'B5'!A7</f>
        <v>44929</v>
      </c>
    </row>
    <row r="6" spans="1:10">
      <c r="A6" s="3">
        <f>ELEC!T8+ELEC!X8+ELEC!AB8</f>
        <v>0</v>
      </c>
      <c r="B6" s="3">
        <f>ELEC!AF8</f>
        <v>1</v>
      </c>
      <c r="C6" s="3">
        <f>ELEC!N8</f>
        <v>2299</v>
      </c>
      <c r="D6" s="3">
        <f t="shared" si="0"/>
        <v>-649.00000000032014</v>
      </c>
      <c r="E6" s="3">
        <f>ELEC!Q25</f>
        <v>2948.0000000003201</v>
      </c>
      <c r="F6" s="3">
        <f>GEN!Z6</f>
        <v>17</v>
      </c>
      <c r="G6" s="3">
        <f>WATER!C9+WATER!H9</f>
        <v>0</v>
      </c>
      <c r="H6" s="3">
        <f>WATER!L9</f>
        <v>0</v>
      </c>
      <c r="I6" s="15">
        <f>WATER!BC9+WATER!BD9+WATER!BE10-Sheet1!G6</f>
        <v>-16.399999999999991</v>
      </c>
      <c r="J6" s="9">
        <f>'B5'!A8</f>
        <v>44930</v>
      </c>
    </row>
    <row r="7" spans="1:10">
      <c r="A7" s="3">
        <f>ELEC!T9+ELEC!X9+ELEC!AB9</f>
        <v>0</v>
      </c>
      <c r="B7" s="3">
        <f>ELEC!AF9</f>
        <v>1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10</v>
      </c>
      <c r="G7" s="3">
        <f>WATER!C10+WATER!H10</f>
        <v>0</v>
      </c>
      <c r="H7" s="3">
        <f>WATER!L10</f>
        <v>0</v>
      </c>
      <c r="I7" s="15">
        <f>WATER!BC10+WATER!BD10+WATER!BE11-Sheet1!G7</f>
        <v>-6.9000000000000057</v>
      </c>
      <c r="J7" s="9">
        <f>'B5'!A9</f>
        <v>44931</v>
      </c>
    </row>
    <row r="8" spans="1:10">
      <c r="A8" s="3">
        <f>ELEC!T10+ELEC!X10+ELEC!AB10</f>
        <v>0</v>
      </c>
      <c r="B8" s="3">
        <f>ELEC!AF10</f>
        <v>1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44932</v>
      </c>
    </row>
    <row r="9" spans="1:10">
      <c r="A9" s="3">
        <f>ELEC!T11+ELEC!X11+ELEC!AB11</f>
        <v>1</v>
      </c>
      <c r="B9" s="3">
        <f>ELEC!AF11</f>
        <v>245</v>
      </c>
      <c r="C9" s="3">
        <f>ELEC!N11</f>
        <v>2330</v>
      </c>
      <c r="D9" s="3">
        <f t="shared" si="0"/>
        <v>-32.00000000098953</v>
      </c>
      <c r="E9" s="3">
        <f>ELEC!Q11</f>
        <v>2362.0000000009895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-9.7999999999999972</v>
      </c>
      <c r="J9" s="9">
        <f>'B5'!A11</f>
        <v>44933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3064</v>
      </c>
      <c r="D10" s="3">
        <f t="shared" si="0"/>
        <v>-69.000000001629815</v>
      </c>
      <c r="E10" s="3">
        <f>ELEC!Q12</f>
        <v>3133.0000000016298</v>
      </c>
      <c r="F10" s="3">
        <f>GEN!Z10</f>
        <v>12</v>
      </c>
      <c r="G10" s="3">
        <f>WATER!C13+WATER!H13</f>
        <v>5</v>
      </c>
      <c r="H10" s="3">
        <f>WATER!L13</f>
        <v>0</v>
      </c>
      <c r="I10" s="15">
        <f>WATER!BC13+WATER!BD13+WATER!BE14-Sheet1!G10</f>
        <v>-24.300000000000026</v>
      </c>
      <c r="J10" s="9">
        <f>'B5'!A12</f>
        <v>44934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2908</v>
      </c>
      <c r="D11" s="3">
        <f t="shared" si="0"/>
        <v>-49.999999998719431</v>
      </c>
      <c r="E11" s="3">
        <f>ELEC!Q13</f>
        <v>2957.9999999987194</v>
      </c>
      <c r="F11" s="3">
        <f>GEN!Z11</f>
        <v>15</v>
      </c>
      <c r="G11" s="3">
        <f>WATER!C14+WATER!H14</f>
        <v>0</v>
      </c>
      <c r="H11" s="3">
        <f>WATER!L14</f>
        <v>0</v>
      </c>
      <c r="I11" s="15">
        <f>WATER!BC14+WATER!BD14+WATER!BE15-Sheet1!G11</f>
        <v>-41.400000000000006</v>
      </c>
      <c r="J11" s="9">
        <f>'B5'!A13</f>
        <v>44935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1839</v>
      </c>
      <c r="D12" s="3">
        <f t="shared" si="0"/>
        <v>381.99999999784632</v>
      </c>
      <c r="E12" s="3">
        <f>ELEC!Q14</f>
        <v>1457.0000000021537</v>
      </c>
      <c r="F12" s="3">
        <f>GEN!Z12</f>
        <v>13</v>
      </c>
      <c r="G12" s="3">
        <f>WATER!C15+WATER!H15</f>
        <v>0</v>
      </c>
      <c r="H12" s="3">
        <f>WATER!L15</f>
        <v>0</v>
      </c>
      <c r="I12" s="15">
        <f>WATER!BC15+WATER!BD15+WATER!BE16-Sheet1!G12</f>
        <v>-10.899999999999991</v>
      </c>
      <c r="J12" s="9">
        <f>'B5'!A14</f>
        <v>44936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4552</v>
      </c>
      <c r="D13" s="3">
        <f t="shared" si="0"/>
        <v>1311.0000000018335</v>
      </c>
      <c r="E13" s="3">
        <f>ELEC!Q15</f>
        <v>3240.9999999981665</v>
      </c>
      <c r="F13" s="3">
        <f>GEN!Z13</f>
        <v>9</v>
      </c>
      <c r="G13" s="3">
        <f>WATER!C16+WATER!H16</f>
        <v>0</v>
      </c>
      <c r="H13" s="3">
        <f>WATER!L16</f>
        <v>0</v>
      </c>
      <c r="I13" s="15">
        <f>WATER!BC16+WATER!BD16+WATER!BE17-Sheet1!G13</f>
        <v>11.5</v>
      </c>
      <c r="J13" s="9">
        <f>'B5'!A15</f>
        <v>44937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14</v>
      </c>
      <c r="G14" s="3">
        <f>WATER!C17+WATER!H17</f>
        <v>63</v>
      </c>
      <c r="H14" s="3">
        <f>WATER!L17</f>
        <v>0</v>
      </c>
      <c r="I14" s="15">
        <f>WATER!BC17+WATER!BD17+WATER!BE18-Sheet1!G14</f>
        <v>-76.09999999999998</v>
      </c>
      <c r="J14" s="9">
        <f>'B5'!A16</f>
        <v>44938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44939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2647</v>
      </c>
      <c r="D16" s="3">
        <f t="shared" si="0"/>
        <v>-1449.0000000013679</v>
      </c>
      <c r="E16" s="3">
        <f>ELEC!Q18</f>
        <v>4096.0000000013679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-17.100000000000023</v>
      </c>
      <c r="J16" s="9">
        <f>'B5'!A18</f>
        <v>44940</v>
      </c>
    </row>
    <row r="17" spans="1:10">
      <c r="A17" s="3">
        <f>ELEC!T19+ELEC!X19+ELEC!AB19</f>
        <v>1</v>
      </c>
      <c r="B17" s="3">
        <f>ELEC!AF19</f>
        <v>278</v>
      </c>
      <c r="C17" s="3">
        <f>ELEC!N19</f>
        <v>3310</v>
      </c>
      <c r="D17" s="3">
        <f t="shared" si="0"/>
        <v>-21.999999998515705</v>
      </c>
      <c r="E17" s="3">
        <f>ELEC!Q19</f>
        <v>3331.9999999985157</v>
      </c>
      <c r="F17" s="3">
        <f>GEN!Z17</f>
        <v>14</v>
      </c>
      <c r="G17" s="3">
        <f>WATER!C20+WATER!H20</f>
        <v>0</v>
      </c>
      <c r="H17" s="3">
        <f>WATER!L20</f>
        <v>0</v>
      </c>
      <c r="I17" s="15">
        <f>WATER!BC20+WATER!BD20+WATER!BE21-Sheet1!G17</f>
        <v>-32</v>
      </c>
      <c r="J17" s="9">
        <f>'B5'!A19</f>
        <v>44941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3279</v>
      </c>
      <c r="D18" s="3">
        <f t="shared" si="0"/>
        <v>106.00000000113505</v>
      </c>
      <c r="E18" s="3">
        <f>ELEC!Q20</f>
        <v>3172.999999998865</v>
      </c>
      <c r="F18" s="3">
        <f>GEN!Z18</f>
        <v>13</v>
      </c>
      <c r="G18" s="3">
        <f>WATER!C21+WATER!H21</f>
        <v>0</v>
      </c>
      <c r="H18" s="3">
        <f>WATER!L21</f>
        <v>0</v>
      </c>
      <c r="I18" s="15">
        <f>WATER!BC21+WATER!BD21+WATER!BE22-Sheet1!G18</f>
        <v>-28.699999999999989</v>
      </c>
      <c r="J18" s="9">
        <f>'B5'!A20</f>
        <v>44942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3504</v>
      </c>
      <c r="D19" s="3">
        <f t="shared" si="0"/>
        <v>-76.00000000174623</v>
      </c>
      <c r="E19" s="3">
        <f>ELEC!Q21</f>
        <v>3580.0000000017462</v>
      </c>
      <c r="F19" s="3">
        <f>GEN!Z19</f>
        <v>10</v>
      </c>
      <c r="G19" s="3">
        <f>WATER!C22+WATER!H22</f>
        <v>0</v>
      </c>
      <c r="H19" s="3">
        <f>WATER!L22</f>
        <v>0</v>
      </c>
      <c r="I19" s="15">
        <f>WATER!BC22+WATER!BD22+WATER!BE23-Sheet1!G19</f>
        <v>-13.800000000000011</v>
      </c>
      <c r="J19" s="9">
        <f>'B5'!A21</f>
        <v>44943</v>
      </c>
    </row>
    <row r="20" spans="1:10">
      <c r="A20" s="3">
        <f>ELEC!T22+ELEC!X22+ELEC!AB22</f>
        <v>0</v>
      </c>
      <c r="B20" s="3">
        <f>ELEC!AF22</f>
        <v>108</v>
      </c>
      <c r="C20" s="3">
        <f>ELEC!N22</f>
        <v>3229</v>
      </c>
      <c r="D20" s="3">
        <f t="shared" si="0"/>
        <v>-61.000000000873115</v>
      </c>
      <c r="E20" s="3">
        <f>ELEC!Q22</f>
        <v>3290.0000000008731</v>
      </c>
      <c r="F20" s="3">
        <f>GEN!Z20</f>
        <v>14</v>
      </c>
      <c r="G20" s="3">
        <f>WATER!C23+WATER!H23</f>
        <v>0</v>
      </c>
      <c r="H20" s="3">
        <f>WATER!L23</f>
        <v>0</v>
      </c>
      <c r="I20" s="15">
        <f>WATER!BC23+WATER!BD23+WATER!BE24-Sheet1!G20</f>
        <v>-20.300000000000011</v>
      </c>
      <c r="J20" s="9">
        <f>'B5'!A22</f>
        <v>44944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11</v>
      </c>
      <c r="G21" s="3">
        <f>WATER!C24+WATER!H24</f>
        <v>0</v>
      </c>
      <c r="H21" s="3">
        <f>WATER!L24</f>
        <v>0</v>
      </c>
      <c r="I21" s="15">
        <f>WATER!BC24+WATER!BD24+WATER!BE25-Sheet1!G21</f>
        <v>-20.300000000000011</v>
      </c>
      <c r="J21" s="9">
        <f>'B5'!A23</f>
        <v>44945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44946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2894</v>
      </c>
      <c r="D23" s="3">
        <f t="shared" si="0"/>
        <v>-54.000000000320142</v>
      </c>
      <c r="E23" s="3">
        <f>ELEC!Q25</f>
        <v>2948.0000000003201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-11.300000000000026</v>
      </c>
      <c r="J23" s="9">
        <f>'B5'!A25</f>
        <v>44947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12</v>
      </c>
      <c r="G24" s="3">
        <f>WATER!C27+WATER!H27</f>
        <v>0</v>
      </c>
      <c r="H24" s="3">
        <f>WATER!L27</f>
        <v>0</v>
      </c>
      <c r="I24" s="15">
        <f>WATER!BC27+WATER!BD27+WATER!BE28-Sheet1!G24</f>
        <v>-11.300000000000026</v>
      </c>
      <c r="J24" s="9">
        <f>'B5'!A26</f>
        <v>44948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44949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44950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44951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44952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44953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44954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0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2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588"/>
      <c r="B1" s="586" t="s">
        <v>244</v>
      </c>
      <c r="C1" s="586" t="s">
        <v>245</v>
      </c>
      <c r="D1" s="590" t="s">
        <v>246</v>
      </c>
      <c r="E1" s="590" t="s">
        <v>247</v>
      </c>
      <c r="F1" s="591" t="s">
        <v>248</v>
      </c>
      <c r="G1" s="592" t="s">
        <v>249</v>
      </c>
      <c r="H1" s="583" t="s">
        <v>250</v>
      </c>
      <c r="I1" s="584" t="s">
        <v>251</v>
      </c>
      <c r="J1" s="583" t="s">
        <v>252</v>
      </c>
      <c r="K1" s="582" t="s">
        <v>253</v>
      </c>
      <c r="L1" s="582" t="s">
        <v>254</v>
      </c>
      <c r="M1" s="582" t="s">
        <v>255</v>
      </c>
      <c r="N1" s="582" t="s">
        <v>256</v>
      </c>
    </row>
    <row r="2" spans="1:14">
      <c r="A2" s="589"/>
      <c r="B2" s="587"/>
      <c r="C2" s="587"/>
      <c r="D2" s="590"/>
      <c r="E2" s="590"/>
      <c r="F2" s="591"/>
      <c r="G2" s="592"/>
      <c r="H2" s="583"/>
      <c r="I2" s="585"/>
      <c r="J2" s="583"/>
      <c r="K2" s="582"/>
      <c r="L2" s="582"/>
      <c r="M2" s="582"/>
      <c r="N2" s="582"/>
    </row>
    <row r="3" spans="1:14">
      <c r="A3" s="42"/>
      <c r="B3" s="74">
        <f>'B5'!V3</f>
        <v>0</v>
      </c>
      <c r="C3" s="74">
        <f>'B5'!AH3</f>
        <v>0</v>
      </c>
      <c r="D3" s="74"/>
      <c r="E3" s="75">
        <f>B3+C3+D3</f>
        <v>0</v>
      </c>
      <c r="F3" s="73"/>
      <c r="G3" s="76"/>
      <c r="H3" s="77"/>
      <c r="I3" s="77"/>
      <c r="J3" s="77"/>
      <c r="K3" s="3"/>
      <c r="L3" s="3"/>
      <c r="M3" s="3"/>
      <c r="N3" s="3"/>
    </row>
    <row r="4" spans="1:14">
      <c r="A4" s="62">
        <v>42704</v>
      </c>
      <c r="B4" s="233">
        <v>810</v>
      </c>
      <c r="C4" s="233">
        <v>-606.10000000000582</v>
      </c>
      <c r="D4" s="233">
        <v>1420.5021097047013</v>
      </c>
      <c r="E4" s="233">
        <v>1624.4021097046955</v>
      </c>
      <c r="F4" s="233">
        <v>106</v>
      </c>
      <c r="G4" s="233">
        <v>-58.399999999999977</v>
      </c>
      <c r="H4" s="233">
        <v>6284</v>
      </c>
      <c r="I4" s="233">
        <v>2398.9999999994325</v>
      </c>
      <c r="J4" s="233">
        <v>23932.000000000568</v>
      </c>
      <c r="K4" s="233">
        <v>0</v>
      </c>
      <c r="L4" s="233">
        <v>0</v>
      </c>
      <c r="M4" s="233">
        <v>0</v>
      </c>
      <c r="N4" s="233">
        <v>0</v>
      </c>
    </row>
    <row r="5" spans="1:14">
      <c r="A5" s="62">
        <f>'B5'!A5</f>
        <v>44927</v>
      </c>
      <c r="B5" s="74">
        <f>'B5'!V5</f>
        <v>0</v>
      </c>
      <c r="C5" s="74">
        <f>'B5'!AH5</f>
        <v>0</v>
      </c>
      <c r="D5" s="74">
        <f>GEN!AI3</f>
        <v>0</v>
      </c>
      <c r="E5" s="223">
        <f t="shared" ref="E5:E33" si="0">B5+C5+D5</f>
        <v>0</v>
      </c>
      <c r="F5" s="73">
        <f>WATER!L5</f>
        <v>0</v>
      </c>
      <c r="G5" s="76">
        <f>WATER!BG5</f>
        <v>0</v>
      </c>
      <c r="H5" s="77">
        <f>ELEC!AF4</f>
        <v>0</v>
      </c>
      <c r="I5" s="77">
        <f>ELEC!Q4</f>
        <v>0</v>
      </c>
      <c r="J5" s="77">
        <f>ELEC!R4</f>
        <v>0</v>
      </c>
      <c r="K5" s="78"/>
      <c r="L5" s="3"/>
      <c r="M5" s="3"/>
      <c r="N5" s="3"/>
    </row>
    <row r="6" spans="1:14">
      <c r="A6" s="62">
        <f>'B5'!A6</f>
        <v>44928</v>
      </c>
      <c r="B6" s="74">
        <f>'B5'!V6</f>
        <v>0</v>
      </c>
      <c r="C6" s="74">
        <f>'B5'!AH6</f>
        <v>0</v>
      </c>
      <c r="D6" s="74">
        <f>GEN!AI4</f>
        <v>0</v>
      </c>
      <c r="E6" s="223">
        <f t="shared" si="0"/>
        <v>0</v>
      </c>
      <c r="F6" s="73">
        <f>WATER!L6</f>
        <v>0</v>
      </c>
      <c r="G6" s="76">
        <f>WATER!BG6</f>
        <v>0</v>
      </c>
      <c r="H6" s="77">
        <f>ELEC!AF5</f>
        <v>1</v>
      </c>
      <c r="I6" s="77">
        <f>ELEC!Q5</f>
        <v>0</v>
      </c>
      <c r="J6" s="77">
        <f>ELEC!R5</f>
        <v>0</v>
      </c>
      <c r="K6" s="3"/>
      <c r="L6" s="3"/>
      <c r="M6" s="3"/>
      <c r="N6" s="3"/>
    </row>
    <row r="7" spans="1:14">
      <c r="A7" s="62">
        <f>'B5'!A7</f>
        <v>44929</v>
      </c>
      <c r="B7" s="74">
        <f>'B5'!V7</f>
        <v>84</v>
      </c>
      <c r="C7" s="74">
        <f>'B5'!AH7</f>
        <v>0</v>
      </c>
      <c r="D7" s="74">
        <f>GEN!AI5</f>
        <v>879.99578059115186</v>
      </c>
      <c r="E7" s="223">
        <f t="shared" si="0"/>
        <v>963.99578059115186</v>
      </c>
      <c r="F7" s="73">
        <f>WATER!L7</f>
        <v>0</v>
      </c>
      <c r="G7" s="76">
        <f>WATER!BG7</f>
        <v>0</v>
      </c>
      <c r="H7" s="77">
        <f>ELEC!AF6</f>
        <v>1</v>
      </c>
      <c r="I7" s="77">
        <f>ELEC!Q6</f>
        <v>3419.000000001688</v>
      </c>
      <c r="J7" s="77">
        <f>ELEC!R6</f>
        <v>-955.00000000168802</v>
      </c>
      <c r="K7" s="3"/>
      <c r="L7" s="3"/>
      <c r="M7" s="3"/>
      <c r="N7" s="3"/>
    </row>
    <row r="8" spans="1:14">
      <c r="A8" s="62">
        <f>'B5'!A8</f>
        <v>44930</v>
      </c>
      <c r="B8" s="74">
        <f>'B5'!V8</f>
        <v>206</v>
      </c>
      <c r="C8" s="74">
        <f>'B5'!AH8</f>
        <v>91</v>
      </c>
      <c r="D8" s="74">
        <f>GEN!AI6</f>
        <v>704.45991561206904</v>
      </c>
      <c r="E8" s="223">
        <f t="shared" si="0"/>
        <v>1001.459915612069</v>
      </c>
      <c r="F8" s="73">
        <f>WATER!L8</f>
        <v>0</v>
      </c>
      <c r="G8" s="76">
        <f>WATER!BG8</f>
        <v>-17.699999999999974</v>
      </c>
      <c r="H8" s="77">
        <f>ELEC!AF7</f>
        <v>1</v>
      </c>
      <c r="I8" s="77">
        <f>ELEC!Q7</f>
        <v>2737.0000000009895</v>
      </c>
      <c r="J8" s="77">
        <f>ELEC!R7</f>
        <v>25.99999999901047</v>
      </c>
      <c r="K8" s="3"/>
      <c r="L8" s="3"/>
      <c r="M8" s="3"/>
      <c r="N8" s="3"/>
    </row>
    <row r="9" spans="1:14">
      <c r="A9" s="62">
        <f>'B5'!A9</f>
        <v>44931</v>
      </c>
      <c r="B9" s="74">
        <f>'B5'!V9</f>
        <v>113</v>
      </c>
      <c r="C9" s="74">
        <f>'B5'!AH9</f>
        <v>0</v>
      </c>
      <c r="D9" s="74">
        <f>GEN!AI7</f>
        <v>602.79324894435365</v>
      </c>
      <c r="E9" s="223">
        <f t="shared" si="0"/>
        <v>715.79324894435365</v>
      </c>
      <c r="F9" s="73">
        <f>WATER!L9</f>
        <v>0</v>
      </c>
      <c r="G9" s="76">
        <f>WATER!BG9</f>
        <v>-9.4999999999999858</v>
      </c>
      <c r="H9" s="77">
        <f>ELEC!AF8</f>
        <v>1</v>
      </c>
      <c r="I9" s="77">
        <f>ELEC!Q8</f>
        <v>2341.999999996915</v>
      </c>
      <c r="J9" s="77">
        <f>ELEC!R8</f>
        <v>-42.999999996914994</v>
      </c>
      <c r="K9" s="3"/>
      <c r="L9" s="3"/>
      <c r="M9" s="3"/>
      <c r="N9" s="3"/>
    </row>
    <row r="10" spans="1:14">
      <c r="A10" s="62">
        <f>'B5'!A10</f>
        <v>44932</v>
      </c>
      <c r="B10" s="74">
        <f>'B5'!V10</f>
        <v>0</v>
      </c>
      <c r="C10" s="74">
        <f>'B5'!AH10</f>
        <v>0</v>
      </c>
      <c r="D10" s="74">
        <f>GEN!AI8</f>
        <v>0</v>
      </c>
      <c r="E10" s="223">
        <f t="shared" si="0"/>
        <v>0</v>
      </c>
      <c r="F10" s="73">
        <f>WATER!L10</f>
        <v>0</v>
      </c>
      <c r="G10" s="76">
        <f>WATER!BG10</f>
        <v>-6.9000000000000057</v>
      </c>
      <c r="H10" s="77">
        <f>ELEC!AF9</f>
        <v>1</v>
      </c>
      <c r="I10" s="77">
        <f>ELEC!Q9</f>
        <v>0</v>
      </c>
      <c r="J10" s="77">
        <f>ELEC!R9</f>
        <v>0</v>
      </c>
      <c r="K10" s="3"/>
      <c r="L10" s="3"/>
      <c r="M10" s="3"/>
      <c r="N10" s="3"/>
    </row>
    <row r="11" spans="1:14">
      <c r="A11" s="62">
        <f>'B5'!A11</f>
        <v>44933</v>
      </c>
      <c r="B11" s="74">
        <f>'B5'!V11</f>
        <v>0</v>
      </c>
      <c r="C11" s="74">
        <f>'B5'!AH11</f>
        <v>0</v>
      </c>
      <c r="D11" s="74">
        <f>GEN!AI9</f>
        <v>0</v>
      </c>
      <c r="E11" s="223">
        <f t="shared" si="0"/>
        <v>0</v>
      </c>
      <c r="F11" s="73">
        <f>WATER!L11</f>
        <v>0</v>
      </c>
      <c r="G11" s="76">
        <f>WATER!BG11</f>
        <v>0</v>
      </c>
      <c r="H11" s="77">
        <f>ELEC!AF10</f>
        <v>1</v>
      </c>
      <c r="I11" s="77">
        <f>ELEC!Q10</f>
        <v>0</v>
      </c>
      <c r="J11" s="77">
        <f>ELEC!R10</f>
        <v>0</v>
      </c>
      <c r="K11" s="3"/>
      <c r="L11" s="3"/>
      <c r="M11" s="3"/>
      <c r="N11" s="3"/>
    </row>
    <row r="12" spans="1:14">
      <c r="A12" s="62">
        <f>'B5'!A12</f>
        <v>44934</v>
      </c>
      <c r="B12" s="74">
        <f>'B5'!V12</f>
        <v>180</v>
      </c>
      <c r="C12" s="74">
        <f>'B5'!AH12</f>
        <v>0</v>
      </c>
      <c r="D12" s="74">
        <f>GEN!AI10</f>
        <v>607.94092827029692</v>
      </c>
      <c r="E12" s="223">
        <f t="shared" si="0"/>
        <v>787.94092827029692</v>
      </c>
      <c r="F12" s="73">
        <f>WATER!L12</f>
        <v>0</v>
      </c>
      <c r="G12" s="76">
        <f>WATER!BG12</f>
        <v>0</v>
      </c>
      <c r="H12" s="77">
        <f>ELEC!AF11</f>
        <v>245</v>
      </c>
      <c r="I12" s="77">
        <f>ELEC!Q11</f>
        <v>2362.0000000009895</v>
      </c>
      <c r="J12" s="77">
        <f>ELEC!R11</f>
        <v>-32.00000000098953</v>
      </c>
      <c r="K12" s="3"/>
      <c r="L12" s="3"/>
      <c r="M12" s="3"/>
      <c r="N12" s="3"/>
    </row>
    <row r="13" spans="1:14">
      <c r="A13" s="62">
        <f>'B5'!A13</f>
        <v>44935</v>
      </c>
      <c r="B13" s="74">
        <f>'B5'!V13</f>
        <v>207</v>
      </c>
      <c r="C13" s="74">
        <f>'B5'!AH13</f>
        <v>69.5</v>
      </c>
      <c r="D13" s="74">
        <f>GEN!AI11</f>
        <v>806.3839662451453</v>
      </c>
      <c r="E13" s="223">
        <f t="shared" si="0"/>
        <v>1082.8839662451453</v>
      </c>
      <c r="F13" s="73">
        <f>WATER!L13</f>
        <v>0</v>
      </c>
      <c r="G13" s="76">
        <f>WATER!BG13</f>
        <v>-9.7999999999999972</v>
      </c>
      <c r="H13" s="77">
        <f>ELEC!AF12</f>
        <v>0</v>
      </c>
      <c r="I13" s="77">
        <f>ELEC!Q12</f>
        <v>3133.0000000016298</v>
      </c>
      <c r="J13" s="77">
        <f>ELEC!R12</f>
        <v>-69.000000001629815</v>
      </c>
      <c r="K13" s="3"/>
      <c r="L13" s="3"/>
      <c r="M13" s="3"/>
      <c r="N13" s="3"/>
    </row>
    <row r="14" spans="1:14">
      <c r="A14" s="62">
        <f>'B5'!A14</f>
        <v>44936</v>
      </c>
      <c r="B14" s="74">
        <f>'B5'!V14</f>
        <v>67</v>
      </c>
      <c r="C14" s="74">
        <f>'B5'!AH14</f>
        <v>0</v>
      </c>
      <c r="D14" s="74">
        <f>GEN!AI12</f>
        <v>761.34177215156922</v>
      </c>
      <c r="E14" s="223">
        <f t="shared" si="0"/>
        <v>828.34177215156922</v>
      </c>
      <c r="F14" s="73">
        <f>WATER!L14</f>
        <v>0</v>
      </c>
      <c r="G14" s="76">
        <f>WATER!BG14</f>
        <v>-9.5000000000000284</v>
      </c>
      <c r="H14" s="77">
        <f>ELEC!AF13</f>
        <v>0</v>
      </c>
      <c r="I14" s="77">
        <f>ELEC!Q13</f>
        <v>2957.9999999987194</v>
      </c>
      <c r="J14" s="77">
        <f>ELEC!R13</f>
        <v>-49.999999998719431</v>
      </c>
      <c r="K14" s="3"/>
      <c r="L14" s="3"/>
      <c r="M14" s="3"/>
      <c r="N14" s="3"/>
    </row>
    <row r="15" spans="1:14">
      <c r="A15" s="62">
        <f>'B5'!A15</f>
        <v>44937</v>
      </c>
      <c r="B15" s="74">
        <f>'B5'!V15</f>
        <v>205</v>
      </c>
      <c r="C15" s="74">
        <f>'B5'!AH15</f>
        <v>0</v>
      </c>
      <c r="D15" s="74">
        <f>GEN!AI13</f>
        <v>375.00843881911976</v>
      </c>
      <c r="E15" s="223">
        <f t="shared" si="0"/>
        <v>580.00843881911976</v>
      </c>
      <c r="F15" s="73">
        <f>WATER!L15</f>
        <v>0</v>
      </c>
      <c r="G15" s="76">
        <f>WATER!BG15</f>
        <v>-31.899999999999977</v>
      </c>
      <c r="H15" s="77">
        <f>ELEC!AF14</f>
        <v>0</v>
      </c>
      <c r="I15" s="77">
        <f>ELEC!Q14</f>
        <v>1457.0000000021537</v>
      </c>
      <c r="J15" s="77">
        <f>ELEC!R14</f>
        <v>381.99999999784632</v>
      </c>
      <c r="K15" s="3"/>
      <c r="L15" s="3"/>
      <c r="M15" s="3"/>
      <c r="N15" s="3"/>
    </row>
    <row r="16" spans="1:14">
      <c r="A16" s="62">
        <f>'B5'!A16</f>
        <v>44938</v>
      </c>
      <c r="B16" s="74">
        <f>'B5'!V16</f>
        <v>86</v>
      </c>
      <c r="C16" s="74">
        <f>'B5'!AH16</f>
        <v>55.5</v>
      </c>
      <c r="D16" s="74">
        <f>GEN!AI14</f>
        <v>834.18143459868429</v>
      </c>
      <c r="E16" s="223">
        <f t="shared" si="0"/>
        <v>975.68143459868429</v>
      </c>
      <c r="F16" s="73">
        <f>WATER!L16</f>
        <v>0</v>
      </c>
      <c r="G16" s="76">
        <f>WATER!BG16</f>
        <v>-6.9000000000000199</v>
      </c>
      <c r="H16" s="77">
        <f>ELEC!AF15</f>
        <v>0</v>
      </c>
      <c r="I16" s="77">
        <f>ELEC!Q15</f>
        <v>3240.9999999981665</v>
      </c>
      <c r="J16" s="77">
        <f>ELEC!R15</f>
        <v>1311.0000000018335</v>
      </c>
      <c r="K16" s="3"/>
      <c r="L16" s="3"/>
      <c r="M16" s="3"/>
      <c r="N16" s="3"/>
    </row>
    <row r="17" spans="1:14">
      <c r="A17" s="62">
        <f>'B5'!A17</f>
        <v>44939</v>
      </c>
      <c r="B17" s="74">
        <f>'B5'!V17</f>
        <v>0</v>
      </c>
      <c r="C17" s="74">
        <f>'B5'!AH17</f>
        <v>0</v>
      </c>
      <c r="D17" s="74">
        <f>GEN!AI15</f>
        <v>0</v>
      </c>
      <c r="E17" s="223">
        <f t="shared" si="0"/>
        <v>0</v>
      </c>
      <c r="F17" s="73">
        <f>WATER!L17</f>
        <v>0</v>
      </c>
      <c r="G17" s="76">
        <f>WATER!BG17</f>
        <v>18.40000000000002</v>
      </c>
      <c r="H17" s="77">
        <f>ELEC!AF16</f>
        <v>0</v>
      </c>
      <c r="I17" s="77">
        <f>ELEC!Q16</f>
        <v>0</v>
      </c>
      <c r="J17" s="77">
        <f>ELEC!R16</f>
        <v>0</v>
      </c>
      <c r="K17" s="3"/>
      <c r="L17" s="3"/>
      <c r="M17" s="3"/>
      <c r="N17" s="3"/>
    </row>
    <row r="18" spans="1:14">
      <c r="A18" s="62">
        <f>'B5'!A18</f>
        <v>44940</v>
      </c>
      <c r="B18" s="74">
        <f>'B5'!V18</f>
        <v>0</v>
      </c>
      <c r="C18" s="74">
        <f>'B5'!AH18</f>
        <v>0</v>
      </c>
      <c r="D18" s="74">
        <f>GEN!AI16</f>
        <v>0</v>
      </c>
      <c r="E18" s="223">
        <f t="shared" si="0"/>
        <v>0</v>
      </c>
      <c r="F18" s="73">
        <f>WATER!L18</f>
        <v>0</v>
      </c>
      <c r="G18" s="76">
        <f>WATER!BG18</f>
        <v>0</v>
      </c>
      <c r="H18" s="77">
        <f>ELEC!AF17</f>
        <v>0</v>
      </c>
      <c r="I18" s="77">
        <f>ELEC!Q17</f>
        <v>0</v>
      </c>
      <c r="J18" s="77">
        <f>ELEC!R17</f>
        <v>0</v>
      </c>
      <c r="K18" s="3"/>
      <c r="L18" s="3"/>
      <c r="M18" s="3"/>
      <c r="N18" s="3"/>
    </row>
    <row r="19" spans="1:14">
      <c r="A19" s="62">
        <f>'B5'!A19</f>
        <v>44941</v>
      </c>
      <c r="B19" s="74">
        <f>'B5'!V19</f>
        <v>258</v>
      </c>
      <c r="C19" s="74">
        <f>'B5'!AH19</f>
        <v>0</v>
      </c>
      <c r="D19" s="74">
        <f>GEN!AI17</f>
        <v>1054.2447257387487</v>
      </c>
      <c r="E19" s="223">
        <f t="shared" si="0"/>
        <v>1312.2447257387487</v>
      </c>
      <c r="F19" s="73">
        <f>WATER!L19</f>
        <v>0</v>
      </c>
      <c r="G19" s="76">
        <f>WATER!BG19</f>
        <v>0</v>
      </c>
      <c r="H19" s="77">
        <f>ELEC!AF18</f>
        <v>0</v>
      </c>
      <c r="I19" s="77">
        <f>ELEC!Q18</f>
        <v>4096.0000000013679</v>
      </c>
      <c r="J19" s="77">
        <f>ELEC!R18</f>
        <v>-1449.0000000013679</v>
      </c>
      <c r="K19" s="3"/>
      <c r="L19" s="3"/>
      <c r="M19" s="3"/>
      <c r="N19" s="3"/>
    </row>
    <row r="20" spans="1:14">
      <c r="A20" s="62">
        <f>'B5'!A20</f>
        <v>44942</v>
      </c>
      <c r="B20" s="74">
        <f>'B5'!V20</f>
        <v>115</v>
      </c>
      <c r="C20" s="74">
        <f>'B5'!AH20</f>
        <v>67</v>
      </c>
      <c r="D20" s="74">
        <f>GEN!AI18</f>
        <v>857.60337552704425</v>
      </c>
      <c r="E20" s="223">
        <f t="shared" si="0"/>
        <v>1039.6033755270441</v>
      </c>
      <c r="F20" s="73">
        <f>WATER!L20</f>
        <v>0</v>
      </c>
      <c r="G20" s="76">
        <f>WATER!BG20</f>
        <v>-17.100000000000023</v>
      </c>
      <c r="H20" s="77">
        <f>ELEC!AF19</f>
        <v>278</v>
      </c>
      <c r="I20" s="77">
        <f>ELEC!Q19</f>
        <v>3331.9999999985157</v>
      </c>
      <c r="J20" s="77">
        <f>ELEC!R19</f>
        <v>-21.999999998515705</v>
      </c>
      <c r="K20" s="3"/>
      <c r="L20" s="3"/>
      <c r="M20" s="3"/>
      <c r="N20" s="3"/>
    </row>
    <row r="21" spans="1:14">
      <c r="A21" s="62">
        <f>'B5'!A21</f>
        <v>44943</v>
      </c>
      <c r="B21" s="74">
        <f>'B5'!V21</f>
        <v>185</v>
      </c>
      <c r="C21" s="74">
        <f>'B5'!AH21</f>
        <v>0</v>
      </c>
      <c r="D21" s="74">
        <f>GEN!AI19</f>
        <v>816.67932489422265</v>
      </c>
      <c r="E21" s="223">
        <f t="shared" si="0"/>
        <v>1001.6793248942226</v>
      </c>
      <c r="F21" s="73">
        <f>WATER!L21</f>
        <v>0</v>
      </c>
      <c r="G21" s="76">
        <f>WATER!BG21</f>
        <v>-14.899999999999977</v>
      </c>
      <c r="H21" s="77">
        <f>ELEC!AF20</f>
        <v>0</v>
      </c>
      <c r="I21" s="77">
        <f>ELEC!Q20</f>
        <v>3172.999999998865</v>
      </c>
      <c r="J21" s="77">
        <f>ELEC!R20</f>
        <v>106.00000000113505</v>
      </c>
      <c r="K21" s="3"/>
      <c r="L21" s="3"/>
      <c r="M21" s="3"/>
      <c r="N21" s="3"/>
    </row>
    <row r="22" spans="1:14">
      <c r="A22" s="62">
        <f>'B5'!A22</f>
        <v>44944</v>
      </c>
      <c r="B22" s="74">
        <f>'B5'!V22</f>
        <v>143</v>
      </c>
      <c r="C22" s="74">
        <f>'B5'!AH22</f>
        <v>0</v>
      </c>
      <c r="D22" s="74">
        <f>GEN!AI20</f>
        <v>921.43459915656763</v>
      </c>
      <c r="E22" s="223">
        <f t="shared" si="0"/>
        <v>1064.4345991565676</v>
      </c>
      <c r="F22" s="73">
        <f>WATER!L22</f>
        <v>0</v>
      </c>
      <c r="G22" s="76">
        <f>WATER!BG22</f>
        <v>-13.800000000000011</v>
      </c>
      <c r="H22" s="77">
        <f>ELEC!AF21</f>
        <v>0</v>
      </c>
      <c r="I22" s="77">
        <f>ELEC!Q21</f>
        <v>3580.0000000017462</v>
      </c>
      <c r="J22" s="77">
        <f>ELEC!R21</f>
        <v>-76.00000000174623</v>
      </c>
      <c r="K22" s="3"/>
      <c r="L22" s="3"/>
      <c r="M22" s="3"/>
      <c r="N22" s="3"/>
    </row>
    <row r="23" spans="1:14">
      <c r="A23" s="62">
        <f>'B5'!A23</f>
        <v>44945</v>
      </c>
      <c r="B23" s="74">
        <f>'B5'!V23</f>
        <v>83</v>
      </c>
      <c r="C23" s="74">
        <f>'B5'!AH23</f>
        <v>67</v>
      </c>
      <c r="D23" s="74">
        <f>GEN!AI21</f>
        <v>846.79324894537251</v>
      </c>
      <c r="E23" s="223">
        <f t="shared" si="0"/>
        <v>996.79324894537251</v>
      </c>
      <c r="F23" s="73">
        <f>WATER!L23</f>
        <v>0</v>
      </c>
      <c r="G23" s="76">
        <f>WATER!BG23</f>
        <v>0</v>
      </c>
      <c r="H23" s="77">
        <f>ELEC!AF22</f>
        <v>108</v>
      </c>
      <c r="I23" s="77">
        <f>ELEC!Q22</f>
        <v>3290.0000000008731</v>
      </c>
      <c r="J23" s="77">
        <f>ELEC!R22</f>
        <v>-61.000000000873115</v>
      </c>
      <c r="K23" s="3"/>
      <c r="L23" s="3"/>
      <c r="M23" s="3"/>
      <c r="N23" s="3"/>
    </row>
    <row r="24" spans="1:14">
      <c r="A24" s="62">
        <f>'B5'!A24</f>
        <v>44946</v>
      </c>
      <c r="B24" s="74">
        <f>'B5'!V24</f>
        <v>0</v>
      </c>
      <c r="C24" s="74">
        <f>'B5'!AH24</f>
        <v>0</v>
      </c>
      <c r="D24" s="74">
        <f>GEN!AI22</f>
        <v>0</v>
      </c>
      <c r="E24" s="223">
        <f t="shared" si="0"/>
        <v>0</v>
      </c>
      <c r="F24" s="73">
        <f>WATER!L24</f>
        <v>0</v>
      </c>
      <c r="G24" s="76">
        <f>WATER!BG24</f>
        <v>-20.300000000000011</v>
      </c>
      <c r="H24" s="77">
        <f>ELEC!AF23</f>
        <v>0</v>
      </c>
      <c r="I24" s="77">
        <f>ELEC!Q23</f>
        <v>0</v>
      </c>
      <c r="J24" s="77">
        <f>ELEC!R23</f>
        <v>0</v>
      </c>
      <c r="K24" s="3"/>
      <c r="L24" s="3"/>
      <c r="M24" s="3"/>
      <c r="N24" s="3"/>
    </row>
    <row r="25" spans="1:14">
      <c r="A25" s="62">
        <f>'B5'!A25</f>
        <v>44947</v>
      </c>
      <c r="B25" s="74">
        <f>'B5'!V25</f>
        <v>0</v>
      </c>
      <c r="C25" s="74">
        <f>'B5'!AH25</f>
        <v>0</v>
      </c>
      <c r="D25" s="74">
        <f>GEN!AI23</f>
        <v>0</v>
      </c>
      <c r="E25" s="223">
        <f t="shared" si="0"/>
        <v>0</v>
      </c>
      <c r="F25" s="73">
        <f>WATER!L25</f>
        <v>0</v>
      </c>
      <c r="G25" s="76">
        <f>WATER!BG25</f>
        <v>0</v>
      </c>
      <c r="H25" s="77">
        <f>ELEC!AF24</f>
        <v>0</v>
      </c>
      <c r="I25" s="77">
        <f>ELEC!Q24</f>
        <v>0</v>
      </c>
      <c r="J25" s="77">
        <f>ELEC!R24</f>
        <v>0</v>
      </c>
      <c r="K25" s="3"/>
      <c r="L25" s="3"/>
      <c r="M25" s="3"/>
      <c r="N25" s="3"/>
    </row>
    <row r="26" spans="1:14">
      <c r="A26" s="62">
        <f>'B5'!A26</f>
        <v>44948</v>
      </c>
      <c r="B26" s="74">
        <f>'B5'!V26</f>
        <v>261</v>
      </c>
      <c r="C26" s="74">
        <f>'B5'!AH26</f>
        <v>0</v>
      </c>
      <c r="D26" s="74">
        <f>GEN!AI24</f>
        <v>758.76793248953391</v>
      </c>
      <c r="E26" s="223">
        <f t="shared" si="0"/>
        <v>1019.7679324895339</v>
      </c>
      <c r="F26" s="73">
        <f>WATER!L26</f>
        <v>0</v>
      </c>
      <c r="G26" s="76">
        <f>WATER!BG26</f>
        <v>0</v>
      </c>
      <c r="H26" s="77">
        <f>ELEC!AF25</f>
        <v>0</v>
      </c>
      <c r="I26" s="77">
        <f>ELEC!Q25</f>
        <v>2948.0000000003201</v>
      </c>
      <c r="J26" s="77">
        <f>ELEC!R25</f>
        <v>-54.000000000320142</v>
      </c>
      <c r="K26" s="3"/>
      <c r="L26" s="3"/>
      <c r="M26" s="3"/>
      <c r="N26" s="3"/>
    </row>
    <row r="27" spans="1:14">
      <c r="A27" s="62">
        <f>'B5'!A27</f>
        <v>44949</v>
      </c>
      <c r="B27" s="74">
        <f>'B5'!V27</f>
        <v>0</v>
      </c>
      <c r="C27" s="74">
        <f>'B5'!AH27</f>
        <v>0</v>
      </c>
      <c r="D27" s="74">
        <f>GEN!AI25</f>
        <v>0</v>
      </c>
      <c r="E27" s="223">
        <f t="shared" si="0"/>
        <v>0</v>
      </c>
      <c r="F27" s="73">
        <f>WATER!L27</f>
        <v>0</v>
      </c>
      <c r="G27" s="76">
        <f>WATER!BG27</f>
        <v>-11.300000000000026</v>
      </c>
      <c r="H27" s="77">
        <f>ELEC!AF26</f>
        <v>0</v>
      </c>
      <c r="I27" s="77">
        <f>ELEC!Q26</f>
        <v>0</v>
      </c>
      <c r="J27" s="77">
        <f>ELEC!R26</f>
        <v>0</v>
      </c>
      <c r="K27" s="3"/>
      <c r="L27" s="3"/>
      <c r="M27" s="3"/>
      <c r="N27" s="3"/>
    </row>
    <row r="28" spans="1:14">
      <c r="A28" s="62">
        <f>'B5'!A28</f>
        <v>44950</v>
      </c>
      <c r="B28" s="74">
        <f>'B5'!V28</f>
        <v>0</v>
      </c>
      <c r="C28" s="74">
        <f>'B5'!AH28</f>
        <v>0</v>
      </c>
      <c r="D28" s="74">
        <f>GEN!AI26</f>
        <v>0</v>
      </c>
      <c r="E28" s="223">
        <f t="shared" si="0"/>
        <v>0</v>
      </c>
      <c r="F28" s="73">
        <f>WATER!L28</f>
        <v>0</v>
      </c>
      <c r="G28" s="76">
        <f>WATER!BG28</f>
        <v>0</v>
      </c>
      <c r="H28" s="77">
        <f>ELEC!AF27</f>
        <v>0</v>
      </c>
      <c r="I28" s="77">
        <f>ELEC!Q27</f>
        <v>0</v>
      </c>
      <c r="J28" s="77">
        <f>ELEC!R27</f>
        <v>0</v>
      </c>
      <c r="K28" s="3"/>
      <c r="L28" s="3"/>
      <c r="M28" s="3"/>
      <c r="N28" s="3"/>
    </row>
    <row r="29" spans="1:14">
      <c r="A29" s="62">
        <f>'B5'!A29</f>
        <v>44951</v>
      </c>
      <c r="B29" s="74">
        <f>'B5'!V29</f>
        <v>0</v>
      </c>
      <c r="C29" s="74">
        <f>'B5'!AH29</f>
        <v>0</v>
      </c>
      <c r="D29" s="74">
        <f>GEN!AI27</f>
        <v>0</v>
      </c>
      <c r="E29" s="75">
        <f t="shared" si="0"/>
        <v>0</v>
      </c>
      <c r="F29" s="73">
        <f>WATER!L29</f>
        <v>0</v>
      </c>
      <c r="G29" s="76">
        <f>WATER!BG29</f>
        <v>0</v>
      </c>
      <c r="H29" s="77">
        <f>ELEC!AF28</f>
        <v>0</v>
      </c>
      <c r="I29" s="77">
        <f>ELEC!Q28</f>
        <v>0</v>
      </c>
      <c r="J29" s="77">
        <f>ELEC!R28</f>
        <v>0</v>
      </c>
      <c r="K29" s="3"/>
      <c r="L29" s="3"/>
      <c r="M29" s="3"/>
      <c r="N29" s="3"/>
    </row>
    <row r="30" spans="1:14">
      <c r="A30" s="62">
        <f>'B5'!A30</f>
        <v>44952</v>
      </c>
      <c r="B30" s="74">
        <f>'B5'!V30</f>
        <v>0</v>
      </c>
      <c r="C30" s="74">
        <f>'B5'!AH30</f>
        <v>0</v>
      </c>
      <c r="D30" s="74">
        <f>GEN!AI28</f>
        <v>0</v>
      </c>
      <c r="E30" s="75">
        <f t="shared" si="0"/>
        <v>0</v>
      </c>
      <c r="F30" s="73">
        <f>WATER!L30</f>
        <v>0</v>
      </c>
      <c r="G30" s="76">
        <f>WATER!BG30</f>
        <v>0</v>
      </c>
      <c r="H30" s="77">
        <f>ELEC!AF29</f>
        <v>0</v>
      </c>
      <c r="I30" s="77">
        <f>ELEC!Q29</f>
        <v>0</v>
      </c>
      <c r="J30" s="77">
        <f>ELEC!R29</f>
        <v>0</v>
      </c>
      <c r="K30" s="3"/>
      <c r="L30" s="3"/>
      <c r="M30" s="3"/>
      <c r="N30" s="3"/>
    </row>
    <row r="31" spans="1:14">
      <c r="A31" s="62">
        <f>'B5'!A31</f>
        <v>44953</v>
      </c>
      <c r="B31" s="74">
        <f>'B5'!V31</f>
        <v>0</v>
      </c>
      <c r="C31" s="74">
        <f>'B5'!AH31</f>
        <v>0</v>
      </c>
      <c r="D31" s="74">
        <f>GEN!AI29</f>
        <v>0</v>
      </c>
      <c r="E31" s="75">
        <f t="shared" si="0"/>
        <v>0</v>
      </c>
      <c r="F31" s="73">
        <f>WATER!L31</f>
        <v>0</v>
      </c>
      <c r="G31" s="76">
        <f>WATER!BG31</f>
        <v>0</v>
      </c>
      <c r="H31" s="77">
        <f>ELEC!AF30</f>
        <v>0</v>
      </c>
      <c r="I31" s="77">
        <f>ELEC!Q30</f>
        <v>0</v>
      </c>
      <c r="J31" s="77">
        <f>ELEC!R30</f>
        <v>0</v>
      </c>
      <c r="K31" s="3"/>
      <c r="L31" s="3"/>
      <c r="M31" s="3"/>
      <c r="N31" s="3"/>
    </row>
    <row r="32" spans="1:14">
      <c r="A32" s="62">
        <f>'B5'!A32</f>
        <v>44954</v>
      </c>
      <c r="B32" s="74">
        <f>'B5'!V32</f>
        <v>0</v>
      </c>
      <c r="C32" s="74">
        <f>'B5'!AH32</f>
        <v>0</v>
      </c>
      <c r="D32" s="74">
        <f>GEN!AI30</f>
        <v>0</v>
      </c>
      <c r="E32" s="75">
        <f t="shared" si="0"/>
        <v>0</v>
      </c>
      <c r="F32" s="73">
        <f>WATER!L32</f>
        <v>0</v>
      </c>
      <c r="G32" s="76">
        <f>WATER!BG32</f>
        <v>0</v>
      </c>
      <c r="H32" s="77">
        <f>ELEC!AF31</f>
        <v>0</v>
      </c>
      <c r="I32" s="77">
        <f>ELEC!Q31</f>
        <v>0</v>
      </c>
      <c r="J32" s="77">
        <f>ELEC!R31</f>
        <v>0</v>
      </c>
      <c r="K32" s="3"/>
      <c r="L32" s="3"/>
      <c r="M32" s="3"/>
      <c r="N32" s="3"/>
    </row>
    <row r="33" spans="1:14">
      <c r="A33" s="62" t="e">
        <f>'B5'!#REF!</f>
        <v>#REF!</v>
      </c>
      <c r="B33" s="74" t="e">
        <f>'B5'!#REF!</f>
        <v>#REF!</v>
      </c>
      <c r="C33" s="74" t="e">
        <f>'B5'!#REF!</f>
        <v>#REF!</v>
      </c>
      <c r="D33" s="74" t="e">
        <f>GEN!#REF!</f>
        <v>#REF!</v>
      </c>
      <c r="E33" s="75" t="e">
        <f t="shared" si="0"/>
        <v>#REF!</v>
      </c>
      <c r="F33" s="73">
        <f>WATER!L33</f>
        <v>0</v>
      </c>
      <c r="G33" s="76">
        <f>WATER!BG33</f>
        <v>0</v>
      </c>
      <c r="H33" s="77" t="e">
        <f>ELEC!#REF!</f>
        <v>#REF!</v>
      </c>
      <c r="I33" s="77" t="e">
        <f>ELEC!#REF!</f>
        <v>#REF!</v>
      </c>
      <c r="J33" s="77" t="e">
        <f>ELEC!#REF!</f>
        <v>#REF!</v>
      </c>
      <c r="K33" s="3"/>
      <c r="L33" s="3"/>
      <c r="M33" s="3"/>
      <c r="N33" s="3"/>
    </row>
    <row r="34" spans="1:14">
      <c r="A34" s="62" t="e">
        <f>'B5'!#REF!</f>
        <v>#REF!</v>
      </c>
      <c r="B34" s="74" t="e">
        <f>'B5'!#REF!</f>
        <v>#REF!</v>
      </c>
      <c r="C34" s="74" t="e">
        <f>'B5'!#REF!</f>
        <v>#REF!</v>
      </c>
      <c r="D34" s="74" t="e">
        <f>GEN!#REF!</f>
        <v>#REF!</v>
      </c>
      <c r="E34" s="75" t="e">
        <f>B34+C34+D34</f>
        <v>#REF!</v>
      </c>
      <c r="F34" s="73" t="e">
        <f>WATER!#REF!</f>
        <v>#REF!</v>
      </c>
      <c r="G34" s="76" t="e">
        <f>WATER!#REF!</f>
        <v>#REF!</v>
      </c>
      <c r="H34" s="77" t="e">
        <f>ELEC!#REF!</f>
        <v>#REF!</v>
      </c>
      <c r="I34" s="77" t="e">
        <f>ELEC!#REF!</f>
        <v>#REF!</v>
      </c>
      <c r="J34" s="77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579" t="s">
        <v>257</v>
      </c>
      <c r="U3" s="579"/>
    </row>
    <row r="4" spans="3:21" ht="45">
      <c r="C4" s="3" t="s">
        <v>258</v>
      </c>
      <c r="D4" s="94" t="s">
        <v>259</v>
      </c>
      <c r="E4" s="93" t="s">
        <v>260</v>
      </c>
      <c r="F4" s="93" t="s">
        <v>261</v>
      </c>
      <c r="G4" s="93" t="s">
        <v>260</v>
      </c>
      <c r="H4" s="93" t="s">
        <v>262</v>
      </c>
      <c r="I4" s="93" t="s">
        <v>260</v>
      </c>
      <c r="J4" s="93" t="s">
        <v>263</v>
      </c>
      <c r="K4" s="93" t="s">
        <v>264</v>
      </c>
      <c r="L4" s="93" t="s">
        <v>265</v>
      </c>
      <c r="M4" s="93" t="s">
        <v>266</v>
      </c>
      <c r="N4" s="93" t="s">
        <v>267</v>
      </c>
      <c r="O4" s="93" t="s">
        <v>268</v>
      </c>
      <c r="P4" s="93" t="s">
        <v>269</v>
      </c>
      <c r="Q4" s="93" t="s">
        <v>270</v>
      </c>
      <c r="R4" s="93" t="s">
        <v>271</v>
      </c>
      <c r="S4" s="93" t="s">
        <v>118</v>
      </c>
      <c r="T4" s="93" t="s">
        <v>272</v>
      </c>
      <c r="U4" s="93" t="s">
        <v>273</v>
      </c>
    </row>
    <row r="5" spans="3:21">
      <c r="C5" s="95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5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5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5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5">
        <v>42433</v>
      </c>
      <c r="D9">
        <f>'B5'!AL8</f>
        <v>4</v>
      </c>
      <c r="E9">
        <f t="shared" si="0"/>
        <v>360</v>
      </c>
      <c r="F9">
        <f>'B5'!AM8</f>
        <v>1</v>
      </c>
      <c r="G9">
        <f t="shared" si="1"/>
        <v>107</v>
      </c>
    </row>
    <row r="10" spans="3:21">
      <c r="C10" s="95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5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5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5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5">
        <v>42438</v>
      </c>
      <c r="D14">
        <f>'B5'!AL13</f>
        <v>2</v>
      </c>
      <c r="E14">
        <f t="shared" si="0"/>
        <v>180</v>
      </c>
      <c r="F14">
        <f>'B5'!AM13</f>
        <v>1</v>
      </c>
      <c r="G14">
        <f t="shared" si="1"/>
        <v>107</v>
      </c>
    </row>
    <row r="15" spans="3:21">
      <c r="C15" s="95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5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5">
        <v>42441</v>
      </c>
      <c r="D17">
        <f>'B5'!AL16</f>
        <v>1</v>
      </c>
      <c r="E17">
        <f t="shared" si="0"/>
        <v>90</v>
      </c>
      <c r="F17">
        <f>'B5'!AM16</f>
        <v>1</v>
      </c>
      <c r="G17">
        <f t="shared" si="1"/>
        <v>107</v>
      </c>
    </row>
    <row r="18" spans="3:7">
      <c r="C18" s="95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5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5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5">
        <v>42445</v>
      </c>
      <c r="D21">
        <f>'B5'!AL20</f>
        <v>1</v>
      </c>
      <c r="E21">
        <f t="shared" si="0"/>
        <v>90</v>
      </c>
      <c r="F21">
        <f>'B5'!AM20</f>
        <v>1</v>
      </c>
      <c r="G21">
        <f t="shared" si="1"/>
        <v>107</v>
      </c>
    </row>
    <row r="22" spans="3:7">
      <c r="C22" s="95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5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5">
        <v>42448</v>
      </c>
      <c r="D24">
        <f>'B5'!AL23</f>
        <v>1</v>
      </c>
      <c r="E24">
        <f t="shared" si="0"/>
        <v>90</v>
      </c>
      <c r="F24">
        <f>'B5'!AM23</f>
        <v>1</v>
      </c>
      <c r="G24">
        <f t="shared" si="1"/>
        <v>107</v>
      </c>
    </row>
    <row r="25" spans="3:7">
      <c r="C25" s="95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5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5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95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5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5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5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5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5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5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5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5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5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6"/>
  <sheetViews>
    <sheetView zoomScale="70" zoomScaleNormal="70" workbookViewId="0">
      <pane ySplit="1" topLeftCell="A6" activePane="bottomLeft" state="frozen"/>
      <selection pane="bottomLeft" activeCell="A6" sqref="A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2" customWidth="1"/>
    <col min="9" max="9" width="25.7109375" customWidth="1"/>
    <col min="10" max="10" width="25.42578125" style="416" customWidth="1"/>
    <col min="12" max="12" width="26.42578125" bestFit="1" customWidth="1"/>
    <col min="14" max="14" width="14.28515625" customWidth="1"/>
  </cols>
  <sheetData>
    <row r="1" spans="1:18" ht="39.75" customHeight="1" thickBot="1">
      <c r="A1" s="602" t="s">
        <v>126</v>
      </c>
      <c r="B1" s="614" t="s">
        <v>274</v>
      </c>
      <c r="C1" s="615"/>
      <c r="D1" s="617"/>
      <c r="E1" s="614" t="s">
        <v>275</v>
      </c>
      <c r="F1" s="615"/>
      <c r="G1" s="616"/>
      <c r="H1" s="611" t="s">
        <v>276</v>
      </c>
      <c r="I1" s="608" t="s">
        <v>277</v>
      </c>
      <c r="J1" s="605" t="s">
        <v>278</v>
      </c>
    </row>
    <row r="2" spans="1:18" ht="38.25" thickBot="1">
      <c r="A2" s="603"/>
      <c r="B2" s="228" t="s">
        <v>279</v>
      </c>
      <c r="C2" s="229" t="s">
        <v>280</v>
      </c>
      <c r="D2" s="216"/>
      <c r="E2" s="217">
        <v>3.5</v>
      </c>
      <c r="F2" s="230" t="s">
        <v>280</v>
      </c>
      <c r="G2" s="218"/>
      <c r="H2" s="612"/>
      <c r="I2" s="609"/>
      <c r="J2" s="606"/>
    </row>
    <row r="3" spans="1:18" ht="24" customHeight="1" thickBot="1">
      <c r="A3" s="604"/>
      <c r="B3" s="219" t="s">
        <v>281</v>
      </c>
      <c r="C3" s="220" t="s">
        <v>282</v>
      </c>
      <c r="D3" s="220" t="s">
        <v>283</v>
      </c>
      <c r="E3" s="221" t="s">
        <v>281</v>
      </c>
      <c r="F3" s="220" t="s">
        <v>282</v>
      </c>
      <c r="G3" s="221" t="s">
        <v>283</v>
      </c>
      <c r="H3" s="613"/>
      <c r="I3" s="610"/>
      <c r="J3" s="607"/>
    </row>
    <row r="4" spans="1:18" ht="19.5" thickBot="1">
      <c r="A4" s="499"/>
      <c r="B4" s="502" t="s">
        <v>281</v>
      </c>
      <c r="C4" s="503" t="s">
        <v>282</v>
      </c>
      <c r="D4" s="504" t="s">
        <v>283</v>
      </c>
      <c r="E4" s="505" t="s">
        <v>281</v>
      </c>
      <c r="F4" s="504" t="s">
        <v>282</v>
      </c>
      <c r="G4" s="505" t="s">
        <v>283</v>
      </c>
      <c r="H4" s="491">
        <v>0</v>
      </c>
      <c r="I4" s="492"/>
      <c r="J4" s="493"/>
      <c r="L4" s="3"/>
      <c r="M4" s="3" t="s">
        <v>284</v>
      </c>
      <c r="N4" s="3" t="s">
        <v>285</v>
      </c>
      <c r="O4" s="3" t="s">
        <v>286</v>
      </c>
    </row>
    <row r="5" spans="1:18" ht="16.5" customHeight="1" thickBot="1">
      <c r="A5" s="519"/>
      <c r="B5" s="593" t="s">
        <v>287</v>
      </c>
      <c r="C5" s="594"/>
      <c r="D5" s="594"/>
      <c r="E5" s="594"/>
      <c r="F5" s="594"/>
      <c r="G5" s="595"/>
      <c r="H5" s="520"/>
      <c r="I5" s="521"/>
      <c r="J5" s="508"/>
      <c r="K5" s="500"/>
      <c r="L5" s="441"/>
      <c r="M5" s="3"/>
      <c r="N5" s="3"/>
      <c r="O5" s="3"/>
    </row>
    <row r="6" spans="1:18" ht="15.75" customHeight="1">
      <c r="A6" s="513">
        <f>ELEC!C4</f>
        <v>44927</v>
      </c>
      <c r="B6" s="596"/>
      <c r="C6" s="597"/>
      <c r="D6" s="597"/>
      <c r="E6" s="597"/>
      <c r="F6" s="597"/>
      <c r="G6" s="598"/>
      <c r="H6" s="512">
        <f>H5</f>
        <v>0</v>
      </c>
      <c r="I6" s="518">
        <f>H6-H5</f>
        <v>0</v>
      </c>
      <c r="J6" s="507">
        <v>0.29166666666666669</v>
      </c>
      <c r="L6" s="95">
        <f t="shared" ref="L6:L33" si="0">A6</f>
        <v>44927</v>
      </c>
      <c r="M6" s="3">
        <f>M5</f>
        <v>0</v>
      </c>
      <c r="N6" s="3"/>
      <c r="O6" s="3">
        <f>M6+N6</f>
        <v>0</v>
      </c>
    </row>
    <row r="7" spans="1:18">
      <c r="A7" s="514">
        <f>ELEC!C5</f>
        <v>44928</v>
      </c>
      <c r="B7" s="596"/>
      <c r="C7" s="597"/>
      <c r="D7" s="597"/>
      <c r="E7" s="597"/>
      <c r="F7" s="597"/>
      <c r="G7" s="598"/>
      <c r="H7" s="512">
        <f t="shared" ref="H7:H36" si="1">H6</f>
        <v>0</v>
      </c>
      <c r="I7" s="3">
        <f>H7-H6</f>
        <v>0</v>
      </c>
      <c r="J7" s="415">
        <v>0.29166666666666669</v>
      </c>
      <c r="L7" s="95">
        <f t="shared" si="0"/>
        <v>44928</v>
      </c>
      <c r="M7" s="3">
        <f t="shared" ref="M7:M36" si="2">M6</f>
        <v>0</v>
      </c>
      <c r="N7" s="3"/>
      <c r="O7" s="3">
        <f t="shared" ref="O7:O33" si="3">M7+N7</f>
        <v>0</v>
      </c>
    </row>
    <row r="8" spans="1:18">
      <c r="A8" s="514">
        <f>ELEC!C6</f>
        <v>44929</v>
      </c>
      <c r="B8" s="596"/>
      <c r="C8" s="597"/>
      <c r="D8" s="597"/>
      <c r="E8" s="597"/>
      <c r="F8" s="597"/>
      <c r="G8" s="598"/>
      <c r="H8" s="512">
        <f t="shared" si="1"/>
        <v>0</v>
      </c>
      <c r="I8" s="3">
        <f t="shared" ref="I8:I33" si="4">H8-H7</f>
        <v>0</v>
      </c>
      <c r="J8" s="415">
        <v>0.29166666666666669</v>
      </c>
      <c r="L8" s="95">
        <f t="shared" si="0"/>
        <v>44929</v>
      </c>
      <c r="M8" s="3">
        <f t="shared" si="2"/>
        <v>0</v>
      </c>
      <c r="N8" s="3"/>
      <c r="O8" s="3">
        <f t="shared" si="3"/>
        <v>0</v>
      </c>
    </row>
    <row r="9" spans="1:18">
      <c r="A9" s="514">
        <f>ELEC!C7</f>
        <v>44930</v>
      </c>
      <c r="B9" s="596"/>
      <c r="C9" s="597"/>
      <c r="D9" s="597"/>
      <c r="E9" s="597"/>
      <c r="F9" s="597"/>
      <c r="G9" s="598"/>
      <c r="H9" s="512">
        <v>7082</v>
      </c>
      <c r="I9" s="3">
        <f t="shared" si="4"/>
        <v>7082</v>
      </c>
      <c r="J9" s="415">
        <v>0.25</v>
      </c>
      <c r="L9" s="95">
        <f t="shared" si="0"/>
        <v>44930</v>
      </c>
      <c r="M9" s="3">
        <f t="shared" si="2"/>
        <v>0</v>
      </c>
      <c r="N9" s="3"/>
      <c r="O9" s="3">
        <f t="shared" si="3"/>
        <v>0</v>
      </c>
    </row>
    <row r="10" spans="1:18">
      <c r="A10" s="514">
        <f>ELEC!C8</f>
        <v>44931</v>
      </c>
      <c r="B10" s="596"/>
      <c r="C10" s="597"/>
      <c r="D10" s="597"/>
      <c r="E10" s="597"/>
      <c r="F10" s="597"/>
      <c r="G10" s="598"/>
      <c r="H10" s="512">
        <f t="shared" si="1"/>
        <v>7082</v>
      </c>
      <c r="I10" s="3">
        <f t="shared" si="4"/>
        <v>0</v>
      </c>
      <c r="J10" s="415">
        <v>0.29166666666666669</v>
      </c>
      <c r="L10" s="95">
        <f t="shared" si="0"/>
        <v>44931</v>
      </c>
      <c r="M10" s="3">
        <f t="shared" si="2"/>
        <v>0</v>
      </c>
      <c r="N10" s="3"/>
      <c r="O10" s="3">
        <f t="shared" si="3"/>
        <v>0</v>
      </c>
    </row>
    <row r="11" spans="1:18">
      <c r="A11" s="514">
        <f>ELEC!C9</f>
        <v>44932</v>
      </c>
      <c r="B11" s="596"/>
      <c r="C11" s="597"/>
      <c r="D11" s="597"/>
      <c r="E11" s="597"/>
      <c r="F11" s="597"/>
      <c r="G11" s="598"/>
      <c r="H11" s="512">
        <f t="shared" si="1"/>
        <v>7082</v>
      </c>
      <c r="I11" s="3">
        <f t="shared" si="4"/>
        <v>0</v>
      </c>
      <c r="J11" s="415">
        <v>0.29166666666666669</v>
      </c>
      <c r="L11" s="95">
        <f t="shared" si="0"/>
        <v>44932</v>
      </c>
      <c r="M11" s="3">
        <f t="shared" si="2"/>
        <v>0</v>
      </c>
      <c r="N11" s="3"/>
      <c r="O11" s="3">
        <f t="shared" si="3"/>
        <v>0</v>
      </c>
    </row>
    <row r="12" spans="1:18" ht="15.75">
      <c r="A12" s="514">
        <f>ELEC!C10</f>
        <v>44933</v>
      </c>
      <c r="B12" s="596"/>
      <c r="C12" s="597"/>
      <c r="D12" s="597"/>
      <c r="E12" s="597"/>
      <c r="F12" s="597"/>
      <c r="G12" s="598"/>
      <c r="H12" s="512">
        <f t="shared" si="1"/>
        <v>7082</v>
      </c>
      <c r="I12" s="3">
        <f t="shared" si="4"/>
        <v>0</v>
      </c>
      <c r="J12" s="415">
        <v>0.29166666666666669</v>
      </c>
      <c r="L12" s="95">
        <f t="shared" si="0"/>
        <v>44933</v>
      </c>
      <c r="M12" s="3">
        <f t="shared" si="2"/>
        <v>0</v>
      </c>
      <c r="N12" s="3"/>
      <c r="O12" s="3">
        <f t="shared" si="3"/>
        <v>0</v>
      </c>
      <c r="P12" s="373"/>
      <c r="Q12" s="304"/>
      <c r="R12" s="304"/>
    </row>
    <row r="13" spans="1:18">
      <c r="A13" s="514">
        <f>ELEC!C11</f>
        <v>44934</v>
      </c>
      <c r="B13" s="596"/>
      <c r="C13" s="597"/>
      <c r="D13" s="597"/>
      <c r="E13" s="597"/>
      <c r="F13" s="597"/>
      <c r="G13" s="598"/>
      <c r="H13" s="512">
        <f t="shared" si="1"/>
        <v>7082</v>
      </c>
      <c r="I13" s="3">
        <f t="shared" si="4"/>
        <v>0</v>
      </c>
      <c r="J13" s="415">
        <v>0.29166666666666669</v>
      </c>
      <c r="L13" s="95">
        <f t="shared" si="0"/>
        <v>44934</v>
      </c>
      <c r="M13" s="3">
        <f t="shared" si="2"/>
        <v>0</v>
      </c>
      <c r="N13" s="3"/>
      <c r="O13" s="3">
        <f t="shared" si="3"/>
        <v>0</v>
      </c>
    </row>
    <row r="14" spans="1:18">
      <c r="A14" s="514">
        <f>ELEC!C12</f>
        <v>44935</v>
      </c>
      <c r="B14" s="596"/>
      <c r="C14" s="597"/>
      <c r="D14" s="597"/>
      <c r="E14" s="597"/>
      <c r="F14" s="597"/>
      <c r="G14" s="598"/>
      <c r="H14" s="512">
        <v>7088</v>
      </c>
      <c r="I14" s="3">
        <f t="shared" si="4"/>
        <v>6</v>
      </c>
      <c r="J14" s="415">
        <v>0.29166666666666669</v>
      </c>
      <c r="L14" s="95">
        <f t="shared" si="0"/>
        <v>44935</v>
      </c>
      <c r="M14" s="3">
        <f t="shared" si="2"/>
        <v>0</v>
      </c>
      <c r="N14" s="3"/>
      <c r="O14" s="3">
        <f t="shared" si="3"/>
        <v>0</v>
      </c>
    </row>
    <row r="15" spans="1:18">
      <c r="A15" s="514">
        <f>ELEC!C13</f>
        <v>44936</v>
      </c>
      <c r="B15" s="596"/>
      <c r="C15" s="597"/>
      <c r="D15" s="597"/>
      <c r="E15" s="597"/>
      <c r="F15" s="597"/>
      <c r="G15" s="598"/>
      <c r="H15" s="512">
        <f t="shared" si="1"/>
        <v>7088</v>
      </c>
      <c r="I15" s="3">
        <f t="shared" si="4"/>
        <v>0</v>
      </c>
      <c r="J15" s="415">
        <v>0.29166666666666669</v>
      </c>
      <c r="L15" s="95">
        <f t="shared" si="0"/>
        <v>44936</v>
      </c>
      <c r="M15" s="3">
        <f t="shared" si="2"/>
        <v>0</v>
      </c>
      <c r="N15" s="3"/>
      <c r="O15" s="3">
        <f t="shared" si="3"/>
        <v>0</v>
      </c>
    </row>
    <row r="16" spans="1:18">
      <c r="A16" s="514">
        <f>ELEC!C14</f>
        <v>44937</v>
      </c>
      <c r="B16" s="596"/>
      <c r="C16" s="597"/>
      <c r="D16" s="597"/>
      <c r="E16" s="597"/>
      <c r="F16" s="597"/>
      <c r="G16" s="598"/>
      <c r="H16" s="512">
        <v>7089</v>
      </c>
      <c r="I16" s="3">
        <f t="shared" si="4"/>
        <v>1</v>
      </c>
      <c r="J16" s="415">
        <v>0.29166666666666669</v>
      </c>
      <c r="L16" s="95">
        <f t="shared" si="0"/>
        <v>44937</v>
      </c>
      <c r="M16" s="3">
        <f t="shared" si="2"/>
        <v>0</v>
      </c>
      <c r="N16" s="3"/>
      <c r="O16" s="3">
        <f t="shared" si="3"/>
        <v>0</v>
      </c>
    </row>
    <row r="17" spans="1:15">
      <c r="A17" s="514">
        <f>ELEC!C15</f>
        <v>44938</v>
      </c>
      <c r="B17" s="596"/>
      <c r="C17" s="597"/>
      <c r="D17" s="597"/>
      <c r="E17" s="597"/>
      <c r="F17" s="597"/>
      <c r="G17" s="598"/>
      <c r="H17" s="512">
        <f t="shared" si="1"/>
        <v>7089</v>
      </c>
      <c r="I17" s="3">
        <f t="shared" si="4"/>
        <v>0</v>
      </c>
      <c r="J17" s="415">
        <v>0.29166666666666669</v>
      </c>
      <c r="L17" s="95">
        <f t="shared" si="0"/>
        <v>44938</v>
      </c>
      <c r="M17" s="3">
        <f t="shared" si="2"/>
        <v>0</v>
      </c>
      <c r="N17" s="3"/>
      <c r="O17" s="3">
        <f t="shared" si="3"/>
        <v>0</v>
      </c>
    </row>
    <row r="18" spans="1:15">
      <c r="A18" s="514">
        <f>ELEC!C16</f>
        <v>44939</v>
      </c>
      <c r="B18" s="596"/>
      <c r="C18" s="597"/>
      <c r="D18" s="597"/>
      <c r="E18" s="597"/>
      <c r="F18" s="597"/>
      <c r="G18" s="598"/>
      <c r="H18" s="512">
        <f t="shared" si="1"/>
        <v>7089</v>
      </c>
      <c r="I18" s="3">
        <f t="shared" si="4"/>
        <v>0</v>
      </c>
      <c r="J18" s="415">
        <v>0.29166666666666669</v>
      </c>
      <c r="L18" s="95">
        <f t="shared" si="0"/>
        <v>44939</v>
      </c>
      <c r="M18" s="3">
        <f t="shared" si="2"/>
        <v>0</v>
      </c>
      <c r="N18" s="3"/>
      <c r="O18" s="3">
        <f t="shared" si="3"/>
        <v>0</v>
      </c>
    </row>
    <row r="19" spans="1:15">
      <c r="A19" s="514">
        <f>ELEC!C17</f>
        <v>44940</v>
      </c>
      <c r="B19" s="596"/>
      <c r="C19" s="597"/>
      <c r="D19" s="597"/>
      <c r="E19" s="597"/>
      <c r="F19" s="597"/>
      <c r="G19" s="598"/>
      <c r="H19" s="512">
        <f t="shared" si="1"/>
        <v>7089</v>
      </c>
      <c r="I19" s="3">
        <f t="shared" si="4"/>
        <v>0</v>
      </c>
      <c r="J19" s="415">
        <v>0.29166666666666669</v>
      </c>
      <c r="L19" s="95">
        <f t="shared" si="0"/>
        <v>44940</v>
      </c>
      <c r="M19" s="3">
        <f t="shared" si="2"/>
        <v>0</v>
      </c>
      <c r="N19" s="3"/>
      <c r="O19" s="3">
        <f t="shared" si="3"/>
        <v>0</v>
      </c>
    </row>
    <row r="20" spans="1:15">
      <c r="A20" s="514">
        <f>ELEC!C18</f>
        <v>44941</v>
      </c>
      <c r="B20" s="596"/>
      <c r="C20" s="597"/>
      <c r="D20" s="597"/>
      <c r="E20" s="597"/>
      <c r="F20" s="597"/>
      <c r="G20" s="598"/>
      <c r="H20" s="512">
        <f t="shared" si="1"/>
        <v>7089</v>
      </c>
      <c r="I20" s="3">
        <f t="shared" si="4"/>
        <v>0</v>
      </c>
      <c r="J20" s="415">
        <v>0.29166666666666669</v>
      </c>
      <c r="L20" s="95">
        <f t="shared" si="0"/>
        <v>44941</v>
      </c>
      <c r="M20" s="3">
        <f t="shared" si="2"/>
        <v>0</v>
      </c>
      <c r="N20" s="3"/>
      <c r="O20" s="3">
        <f t="shared" si="3"/>
        <v>0</v>
      </c>
    </row>
    <row r="21" spans="1:15">
      <c r="A21" s="514">
        <f>ELEC!C19</f>
        <v>44942</v>
      </c>
      <c r="B21" s="596"/>
      <c r="C21" s="597"/>
      <c r="D21" s="597"/>
      <c r="E21" s="597"/>
      <c r="F21" s="597"/>
      <c r="G21" s="598"/>
      <c r="H21" s="512">
        <f t="shared" si="1"/>
        <v>7089</v>
      </c>
      <c r="I21" s="3">
        <f t="shared" si="4"/>
        <v>0</v>
      </c>
      <c r="J21" s="467" t="s">
        <v>288</v>
      </c>
      <c r="L21" s="95">
        <f t="shared" si="0"/>
        <v>44942</v>
      </c>
      <c r="M21" s="3">
        <f t="shared" si="2"/>
        <v>0</v>
      </c>
      <c r="N21" s="3"/>
      <c r="O21" s="3">
        <f t="shared" si="3"/>
        <v>0</v>
      </c>
    </row>
    <row r="22" spans="1:15">
      <c r="A22" s="514">
        <f>ELEC!C20</f>
        <v>44943</v>
      </c>
      <c r="B22" s="596"/>
      <c r="C22" s="597"/>
      <c r="D22" s="597"/>
      <c r="E22" s="597"/>
      <c r="F22" s="597"/>
      <c r="G22" s="598"/>
      <c r="H22" s="512">
        <f t="shared" si="1"/>
        <v>7089</v>
      </c>
      <c r="I22" s="3">
        <f t="shared" si="4"/>
        <v>0</v>
      </c>
      <c r="J22" s="415">
        <v>0.29166666666666669</v>
      </c>
      <c r="L22" s="95">
        <f t="shared" si="0"/>
        <v>44943</v>
      </c>
      <c r="M22" s="3">
        <f t="shared" si="2"/>
        <v>0</v>
      </c>
      <c r="N22" s="3"/>
      <c r="O22" s="3">
        <f t="shared" si="3"/>
        <v>0</v>
      </c>
    </row>
    <row r="23" spans="1:15">
      <c r="A23" s="514">
        <f>ELEC!C21</f>
        <v>44944</v>
      </c>
      <c r="B23" s="596"/>
      <c r="C23" s="597"/>
      <c r="D23" s="597"/>
      <c r="E23" s="597"/>
      <c r="F23" s="597"/>
      <c r="G23" s="598"/>
      <c r="H23" s="512">
        <f t="shared" si="1"/>
        <v>7089</v>
      </c>
      <c r="I23" s="3">
        <f t="shared" si="4"/>
        <v>0</v>
      </c>
      <c r="J23" s="415">
        <v>0.29166666666666669</v>
      </c>
      <c r="L23" s="95">
        <f t="shared" si="0"/>
        <v>44944</v>
      </c>
      <c r="M23" s="3">
        <f t="shared" si="2"/>
        <v>0</v>
      </c>
      <c r="N23" s="3"/>
      <c r="O23" s="3">
        <f t="shared" si="3"/>
        <v>0</v>
      </c>
    </row>
    <row r="24" spans="1:15">
      <c r="A24" s="514">
        <f>ELEC!C22</f>
        <v>44945</v>
      </c>
      <c r="B24" s="596"/>
      <c r="C24" s="597"/>
      <c r="D24" s="597"/>
      <c r="E24" s="597"/>
      <c r="F24" s="597"/>
      <c r="G24" s="598"/>
      <c r="H24" s="512">
        <f t="shared" si="1"/>
        <v>7089</v>
      </c>
      <c r="I24" s="3">
        <f t="shared" si="4"/>
        <v>0</v>
      </c>
      <c r="J24" s="415">
        <v>0.29166666666666702</v>
      </c>
      <c r="L24" s="95">
        <f t="shared" si="0"/>
        <v>44945</v>
      </c>
      <c r="M24" s="3">
        <f t="shared" si="2"/>
        <v>0</v>
      </c>
      <c r="N24" s="3"/>
      <c r="O24" s="3">
        <f t="shared" si="3"/>
        <v>0</v>
      </c>
    </row>
    <row r="25" spans="1:15">
      <c r="A25" s="514">
        <f>ELEC!C23</f>
        <v>44946</v>
      </c>
      <c r="B25" s="596"/>
      <c r="C25" s="597"/>
      <c r="D25" s="597"/>
      <c r="E25" s="597"/>
      <c r="F25" s="597"/>
      <c r="G25" s="598"/>
      <c r="H25" s="512">
        <f t="shared" si="1"/>
        <v>7089</v>
      </c>
      <c r="I25" s="3">
        <f t="shared" si="4"/>
        <v>0</v>
      </c>
      <c r="J25" s="415">
        <v>0.29166666666666702</v>
      </c>
      <c r="L25" s="95">
        <f t="shared" si="0"/>
        <v>44946</v>
      </c>
      <c r="M25" s="3">
        <f t="shared" si="2"/>
        <v>0</v>
      </c>
      <c r="N25" s="3"/>
      <c r="O25" s="3">
        <f t="shared" si="3"/>
        <v>0</v>
      </c>
    </row>
    <row r="26" spans="1:15">
      <c r="A26" s="514">
        <f>ELEC!C24</f>
        <v>44947</v>
      </c>
      <c r="B26" s="596"/>
      <c r="C26" s="597"/>
      <c r="D26" s="597"/>
      <c r="E26" s="597"/>
      <c r="F26" s="597"/>
      <c r="G26" s="598"/>
      <c r="H26" s="512">
        <f t="shared" si="1"/>
        <v>7089</v>
      </c>
      <c r="I26" s="3">
        <f t="shared" si="4"/>
        <v>0</v>
      </c>
      <c r="J26" s="415">
        <v>0.29166666666666702</v>
      </c>
      <c r="L26" s="95">
        <f t="shared" si="0"/>
        <v>44947</v>
      </c>
      <c r="M26" s="3">
        <f t="shared" si="2"/>
        <v>0</v>
      </c>
      <c r="N26" s="3"/>
      <c r="O26" s="3">
        <f t="shared" si="3"/>
        <v>0</v>
      </c>
    </row>
    <row r="27" spans="1:15">
      <c r="A27" s="514">
        <f>ELEC!C25</f>
        <v>44948</v>
      </c>
      <c r="B27" s="596"/>
      <c r="C27" s="597"/>
      <c r="D27" s="597"/>
      <c r="E27" s="597"/>
      <c r="F27" s="597"/>
      <c r="G27" s="598"/>
      <c r="H27" s="512">
        <f t="shared" si="1"/>
        <v>7089</v>
      </c>
      <c r="I27" s="3">
        <f t="shared" si="4"/>
        <v>0</v>
      </c>
      <c r="J27" s="415">
        <v>0.29166666666666702</v>
      </c>
      <c r="L27" s="95">
        <f t="shared" si="0"/>
        <v>44948</v>
      </c>
      <c r="M27" s="3">
        <f t="shared" si="2"/>
        <v>0</v>
      </c>
      <c r="N27" s="3"/>
      <c r="O27" s="3">
        <f t="shared" si="3"/>
        <v>0</v>
      </c>
    </row>
    <row r="28" spans="1:15">
      <c r="A28" s="514">
        <f>ELEC!C26</f>
        <v>44949</v>
      </c>
      <c r="B28" s="596"/>
      <c r="C28" s="597"/>
      <c r="D28" s="597"/>
      <c r="E28" s="597"/>
      <c r="F28" s="597"/>
      <c r="G28" s="598"/>
      <c r="H28" s="512">
        <f t="shared" si="1"/>
        <v>7089</v>
      </c>
      <c r="I28" s="3">
        <f t="shared" si="4"/>
        <v>0</v>
      </c>
      <c r="J28" s="415">
        <v>0.29166666666666702</v>
      </c>
      <c r="L28" s="95">
        <f t="shared" si="0"/>
        <v>44949</v>
      </c>
      <c r="M28" s="3">
        <f t="shared" si="2"/>
        <v>0</v>
      </c>
      <c r="N28" s="3"/>
      <c r="O28" s="3">
        <f t="shared" si="3"/>
        <v>0</v>
      </c>
    </row>
    <row r="29" spans="1:15">
      <c r="A29" s="514">
        <f>ELEC!C27</f>
        <v>44950</v>
      </c>
      <c r="B29" s="596"/>
      <c r="C29" s="597"/>
      <c r="D29" s="597"/>
      <c r="E29" s="597"/>
      <c r="F29" s="597"/>
      <c r="G29" s="598"/>
      <c r="H29" s="512">
        <f t="shared" si="1"/>
        <v>7089</v>
      </c>
      <c r="I29" s="3">
        <f t="shared" si="4"/>
        <v>0</v>
      </c>
      <c r="J29" s="415">
        <v>0.29166666666666702</v>
      </c>
      <c r="L29" s="95">
        <f t="shared" si="0"/>
        <v>44950</v>
      </c>
      <c r="M29" s="3">
        <f t="shared" si="2"/>
        <v>0</v>
      </c>
      <c r="N29" s="3"/>
      <c r="O29" s="3">
        <f t="shared" si="3"/>
        <v>0</v>
      </c>
    </row>
    <row r="30" spans="1:15">
      <c r="A30" s="514">
        <f>ELEC!C28</f>
        <v>44951</v>
      </c>
      <c r="B30" s="596"/>
      <c r="C30" s="597"/>
      <c r="D30" s="597"/>
      <c r="E30" s="597"/>
      <c r="F30" s="597"/>
      <c r="G30" s="598"/>
      <c r="H30" s="512">
        <f t="shared" si="1"/>
        <v>7089</v>
      </c>
      <c r="I30" s="3">
        <f t="shared" si="4"/>
        <v>0</v>
      </c>
      <c r="J30" s="415">
        <v>0.29166666666666702</v>
      </c>
      <c r="L30" s="95">
        <f t="shared" si="0"/>
        <v>44951</v>
      </c>
      <c r="M30" s="3">
        <f t="shared" si="2"/>
        <v>0</v>
      </c>
      <c r="N30" s="3"/>
      <c r="O30" s="3">
        <f t="shared" si="3"/>
        <v>0</v>
      </c>
    </row>
    <row r="31" spans="1:15">
      <c r="A31" s="514">
        <f>ELEC!C29</f>
        <v>44952</v>
      </c>
      <c r="B31" s="596"/>
      <c r="C31" s="597"/>
      <c r="D31" s="597"/>
      <c r="E31" s="597"/>
      <c r="F31" s="597"/>
      <c r="G31" s="598"/>
      <c r="H31" s="512">
        <f t="shared" si="1"/>
        <v>7089</v>
      </c>
      <c r="I31" s="3">
        <f t="shared" si="4"/>
        <v>0</v>
      </c>
      <c r="J31" s="415">
        <v>0.29166666666666702</v>
      </c>
      <c r="L31" s="95">
        <f t="shared" si="0"/>
        <v>44952</v>
      </c>
      <c r="M31" s="3">
        <f t="shared" si="2"/>
        <v>0</v>
      </c>
      <c r="N31" s="3"/>
      <c r="O31" s="3">
        <f t="shared" si="3"/>
        <v>0</v>
      </c>
    </row>
    <row r="32" spans="1:15">
      <c r="A32" s="514">
        <f>ELEC!C30</f>
        <v>44953</v>
      </c>
      <c r="B32" s="596"/>
      <c r="C32" s="597"/>
      <c r="D32" s="597"/>
      <c r="E32" s="597"/>
      <c r="F32" s="597"/>
      <c r="G32" s="598"/>
      <c r="H32" s="512">
        <f t="shared" si="1"/>
        <v>7089</v>
      </c>
      <c r="I32" s="3">
        <f t="shared" si="4"/>
        <v>0</v>
      </c>
      <c r="J32" s="415">
        <v>0.29166666666666702</v>
      </c>
      <c r="L32" s="95">
        <f t="shared" si="0"/>
        <v>44953</v>
      </c>
      <c r="M32" s="3">
        <f t="shared" si="2"/>
        <v>0</v>
      </c>
      <c r="N32" s="3"/>
      <c r="O32" s="3">
        <v>6879</v>
      </c>
    </row>
    <row r="33" spans="1:15">
      <c r="A33" s="514">
        <f>ELEC!C31</f>
        <v>44954</v>
      </c>
      <c r="B33" s="596"/>
      <c r="C33" s="597"/>
      <c r="D33" s="597"/>
      <c r="E33" s="597"/>
      <c r="F33" s="597"/>
      <c r="G33" s="598"/>
      <c r="H33" s="512">
        <f t="shared" si="1"/>
        <v>7089</v>
      </c>
      <c r="I33" s="3">
        <f t="shared" si="4"/>
        <v>0</v>
      </c>
      <c r="J33" s="415">
        <v>0.29166666666666702</v>
      </c>
      <c r="L33" s="95">
        <f t="shared" si="0"/>
        <v>44954</v>
      </c>
      <c r="M33" s="3">
        <f t="shared" si="2"/>
        <v>0</v>
      </c>
      <c r="N33" s="3"/>
      <c r="O33" s="3">
        <f t="shared" si="3"/>
        <v>0</v>
      </c>
    </row>
    <row r="34" spans="1:15">
      <c r="A34" s="514">
        <f>ELEC!C32</f>
        <v>44955</v>
      </c>
      <c r="B34" s="596"/>
      <c r="C34" s="597"/>
      <c r="D34" s="597"/>
      <c r="E34" s="597"/>
      <c r="F34" s="597"/>
      <c r="G34" s="598"/>
      <c r="H34" s="512">
        <f t="shared" si="1"/>
        <v>7089</v>
      </c>
      <c r="I34" s="3">
        <f t="shared" ref="I34:I36" si="5">H34-H33</f>
        <v>0</v>
      </c>
      <c r="J34" s="415">
        <v>0.33333333333333398</v>
      </c>
      <c r="L34" s="95">
        <f t="shared" ref="L34:L36" si="6">A34</f>
        <v>44955</v>
      </c>
      <c r="M34" s="3">
        <f t="shared" si="2"/>
        <v>0</v>
      </c>
      <c r="N34" s="3"/>
      <c r="O34" s="3">
        <f t="shared" ref="O34:O36" si="7">M34+N34</f>
        <v>0</v>
      </c>
    </row>
    <row r="35" spans="1:15">
      <c r="A35" s="514">
        <f>ELEC!C33</f>
        <v>44956</v>
      </c>
      <c r="B35" s="596"/>
      <c r="C35" s="597"/>
      <c r="D35" s="597"/>
      <c r="E35" s="597"/>
      <c r="F35" s="597"/>
      <c r="G35" s="598"/>
      <c r="H35" s="512">
        <f t="shared" si="1"/>
        <v>7089</v>
      </c>
      <c r="I35" s="3">
        <f t="shared" si="5"/>
        <v>0</v>
      </c>
      <c r="J35" s="415">
        <v>0.375</v>
      </c>
      <c r="L35" s="95">
        <f t="shared" si="6"/>
        <v>44956</v>
      </c>
      <c r="M35" s="3">
        <f t="shared" si="2"/>
        <v>0</v>
      </c>
      <c r="N35" s="3"/>
      <c r="O35" s="3">
        <f t="shared" si="7"/>
        <v>0</v>
      </c>
    </row>
    <row r="36" spans="1:15" ht="15.75" thickBot="1">
      <c r="A36" s="515">
        <f>ELEC!C34</f>
        <v>44957</v>
      </c>
      <c r="B36" s="599"/>
      <c r="C36" s="600"/>
      <c r="D36" s="600"/>
      <c r="E36" s="600"/>
      <c r="F36" s="600"/>
      <c r="G36" s="601"/>
      <c r="H36" s="512">
        <f t="shared" si="1"/>
        <v>7089</v>
      </c>
      <c r="I36" s="516">
        <f t="shared" si="5"/>
        <v>0</v>
      </c>
      <c r="J36" s="517">
        <v>0.41666666666666702</v>
      </c>
      <c r="L36" s="95">
        <f t="shared" si="6"/>
        <v>44957</v>
      </c>
      <c r="M36" s="3">
        <f t="shared" si="2"/>
        <v>0</v>
      </c>
      <c r="N36" s="3"/>
      <c r="O36" s="3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96"/>
  <sheetViews>
    <sheetView topLeftCell="I52" zoomScale="80" zoomScaleNormal="80" workbookViewId="0">
      <selection activeCell="P71" sqref="P71"/>
    </sheetView>
  </sheetViews>
  <sheetFormatPr defaultRowHeight="15"/>
  <cols>
    <col min="1" max="1" width="9.28515625" style="100" customWidth="1"/>
    <col min="4" max="4" width="9.28515625" style="10" customWidth="1"/>
    <col min="5" max="5" width="9.28515625" style="100" customWidth="1"/>
    <col min="8" max="8" width="9.28515625" style="10" customWidth="1"/>
    <col min="9" max="9" width="9.28515625" style="100" customWidth="1"/>
    <col min="12" max="12" width="9.28515625" style="10" customWidth="1"/>
    <col min="13" max="13" width="9.28515625" style="100" customWidth="1"/>
    <col min="16" max="16" width="9.28515625" style="10" customWidth="1"/>
    <col min="17" max="17" width="9.28515625" style="100" customWidth="1"/>
    <col min="20" max="20" width="9.28515625" style="10" customWidth="1"/>
    <col min="21" max="21" width="9.28515625" style="100" customWidth="1"/>
    <col min="24" max="24" width="9.28515625" style="10" customWidth="1"/>
  </cols>
  <sheetData>
    <row r="1" spans="1:28" ht="18.75">
      <c r="A1" s="629" t="s">
        <v>289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29"/>
      <c r="P1" s="629"/>
      <c r="Q1" s="629"/>
      <c r="R1" s="629"/>
      <c r="S1" s="629"/>
      <c r="T1" s="629"/>
      <c r="U1" s="629"/>
      <c r="V1" s="629"/>
      <c r="W1" s="629"/>
      <c r="X1" s="629"/>
    </row>
    <row r="2" spans="1:28" ht="19.5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  <c r="S2" s="630"/>
      <c r="T2" s="630"/>
      <c r="U2" s="630"/>
      <c r="V2" s="630"/>
      <c r="W2" s="630"/>
      <c r="X2" s="630"/>
    </row>
    <row r="3" spans="1:28" ht="19.5">
      <c r="A3" s="630" t="s">
        <v>290</v>
      </c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  <c r="M3" s="630"/>
      <c r="N3" s="630"/>
      <c r="O3" s="630"/>
      <c r="P3" s="630"/>
      <c r="Q3" s="630"/>
      <c r="R3" s="630"/>
      <c r="S3" s="630"/>
      <c r="T3" s="630"/>
      <c r="U3" s="630"/>
      <c r="V3" s="630"/>
      <c r="W3" s="630"/>
      <c r="X3" s="630"/>
    </row>
    <row r="4" spans="1:28" ht="19.5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</row>
    <row r="5" spans="1:28" ht="19.5">
      <c r="A5" s="630" t="s">
        <v>291</v>
      </c>
      <c r="B5" s="630"/>
      <c r="C5" s="630"/>
      <c r="D5" s="630"/>
      <c r="E5" s="630"/>
      <c r="F5" s="630"/>
      <c r="G5" s="630"/>
      <c r="H5" s="630"/>
      <c r="I5" s="630"/>
      <c r="J5" s="630"/>
      <c r="K5" s="630"/>
      <c r="L5" s="630"/>
      <c r="M5" s="630"/>
      <c r="N5" s="630"/>
      <c r="O5" s="630"/>
      <c r="P5" s="630"/>
      <c r="Q5" s="630"/>
      <c r="R5" s="630"/>
      <c r="S5" s="630"/>
      <c r="T5" s="630"/>
      <c r="U5" s="630"/>
      <c r="V5" s="630"/>
      <c r="W5" s="630"/>
      <c r="X5" s="630"/>
    </row>
    <row r="6" spans="1:28" ht="15.75" thickBot="1">
      <c r="A6" s="631"/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  <c r="R6" s="631"/>
      <c r="S6" s="631"/>
      <c r="T6" s="631"/>
      <c r="U6" s="631"/>
      <c r="V6" s="631"/>
      <c r="W6" s="631"/>
      <c r="X6" s="631"/>
    </row>
    <row r="7" spans="1:28" ht="15.75" thickBot="1">
      <c r="A7" s="619" t="s">
        <v>292</v>
      </c>
      <c r="B7" s="620"/>
      <c r="C7" s="621" t="s">
        <v>293</v>
      </c>
      <c r="D7" s="622"/>
      <c r="E7" s="622"/>
      <c r="F7" s="622"/>
      <c r="G7" s="622"/>
      <c r="H7" s="622"/>
      <c r="I7" s="622"/>
      <c r="J7" s="622"/>
      <c r="K7" s="623"/>
    </row>
    <row r="8" spans="1:28" ht="15.75">
      <c r="A8" s="101"/>
      <c r="B8" s="102"/>
      <c r="C8" s="103"/>
      <c r="D8" s="104"/>
      <c r="E8" s="101"/>
      <c r="F8" s="102"/>
      <c r="G8" s="103"/>
      <c r="H8" s="104"/>
      <c r="I8" s="101"/>
      <c r="J8" s="105"/>
      <c r="K8" s="102"/>
      <c r="L8" s="106"/>
      <c r="M8" s="101"/>
      <c r="N8" s="102"/>
      <c r="O8" s="103"/>
      <c r="P8" s="104"/>
      <c r="Q8" s="107"/>
      <c r="R8" s="105"/>
      <c r="S8" s="102"/>
      <c r="T8" s="106"/>
      <c r="U8" s="107"/>
      <c r="V8" s="105"/>
      <c r="W8" s="102"/>
      <c r="X8" s="106"/>
    </row>
    <row r="9" spans="1:28" s="112" customFormat="1" ht="33.75">
      <c r="A9" s="108" t="s">
        <v>294</v>
      </c>
      <c r="B9" s="109" t="s">
        <v>295</v>
      </c>
      <c r="C9" s="109" t="s">
        <v>296</v>
      </c>
      <c r="D9" s="110" t="s">
        <v>297</v>
      </c>
      <c r="E9" s="108" t="s">
        <v>298</v>
      </c>
      <c r="F9" s="109" t="s">
        <v>295</v>
      </c>
      <c r="G9" s="109" t="s">
        <v>296</v>
      </c>
      <c r="H9" s="111" t="s">
        <v>297</v>
      </c>
      <c r="I9" s="108" t="s">
        <v>299</v>
      </c>
      <c r="J9" s="109" t="s">
        <v>295</v>
      </c>
      <c r="K9" s="109" t="s">
        <v>296</v>
      </c>
      <c r="L9" s="111" t="s">
        <v>297</v>
      </c>
      <c r="M9" s="108" t="s">
        <v>300</v>
      </c>
      <c r="N9" s="109" t="s">
        <v>295</v>
      </c>
      <c r="O9" s="109" t="s">
        <v>296</v>
      </c>
      <c r="P9" s="111" t="s">
        <v>297</v>
      </c>
      <c r="Q9" s="108" t="s">
        <v>301</v>
      </c>
      <c r="R9" s="109" t="s">
        <v>295</v>
      </c>
      <c r="S9" s="109" t="s">
        <v>296</v>
      </c>
      <c r="T9" s="111" t="s">
        <v>297</v>
      </c>
      <c r="U9" s="108" t="s">
        <v>302</v>
      </c>
      <c r="V9" s="109" t="s">
        <v>295</v>
      </c>
      <c r="W9" s="109" t="s">
        <v>296</v>
      </c>
      <c r="X9" s="111" t="s">
        <v>297</v>
      </c>
      <c r="AA9" s="150" t="s">
        <v>303</v>
      </c>
      <c r="AB9" s="150" t="s">
        <v>304</v>
      </c>
    </row>
    <row r="10" spans="1:28">
      <c r="A10" s="113">
        <v>1</v>
      </c>
      <c r="B10" s="239">
        <f>'[6]Degree Days 2022'!B10</f>
        <v>0</v>
      </c>
      <c r="C10" s="239">
        <f>'General information '!C5</f>
        <v>13</v>
      </c>
      <c r="D10" s="239">
        <f>'[7]Degree Days 2020'!D10</f>
        <v>-0.80000000000000071</v>
      </c>
      <c r="E10" s="3">
        <v>1</v>
      </c>
      <c r="F10" s="239">
        <f>'[8]Degree Days 2022'!F10</f>
        <v>17</v>
      </c>
      <c r="G10" s="239">
        <f>'[8]Degree Days 2022'!G10</f>
        <v>12</v>
      </c>
      <c r="H10" s="239">
        <f>'[7]Degree Days 2020'!H10</f>
        <v>0.19999999999999929</v>
      </c>
      <c r="I10" s="3">
        <f>'[7]Degree Days 2020'!I10</f>
        <v>1</v>
      </c>
      <c r="J10" s="239">
        <f>'[9]Degree Days 2022'!J10</f>
        <v>17</v>
      </c>
      <c r="K10" s="239">
        <f>'[9]Degree Days 2022'!K10</f>
        <v>14</v>
      </c>
      <c r="L10" s="239">
        <f>'[7]Degree Days 2020'!L10</f>
        <v>-2.3000000000000007</v>
      </c>
      <c r="M10" s="3">
        <f>'[10]Degree Days 2020'!M10</f>
        <v>1</v>
      </c>
      <c r="N10" s="239">
        <f>'[11]Degree Days 2022'!N10</f>
        <v>0</v>
      </c>
      <c r="O10" s="239">
        <f>'[11]Degree Days 2022'!O10</f>
        <v>0</v>
      </c>
      <c r="P10" s="239">
        <f>(N10+O10)/2-18.3</f>
        <v>-18.3</v>
      </c>
      <c r="Q10" s="3">
        <v>1</v>
      </c>
      <c r="R10" s="239">
        <f>'[12]Degree Days 2022'!R10</f>
        <v>0</v>
      </c>
      <c r="S10" s="239">
        <f>'[12]Degree Days 2022'!S10</f>
        <v>0</v>
      </c>
      <c r="T10" s="239">
        <f>(R10+S10)/2-18.3</f>
        <v>-18.3</v>
      </c>
      <c r="U10" s="3">
        <v>1</v>
      </c>
      <c r="V10" s="239">
        <f>'[13]Degree Days 2022'!V10</f>
        <v>25</v>
      </c>
      <c r="W10" s="239">
        <f>'[13]Degree Days 2022'!W10</f>
        <v>21</v>
      </c>
      <c r="X10" s="239">
        <f>(V10+W10)/2-18.3</f>
        <v>4.6999999999999993</v>
      </c>
      <c r="Z10" t="s">
        <v>305</v>
      </c>
      <c r="AA10" s="239">
        <f>'[7]Degree Days 2020'!AA10</f>
        <v>-92.59999999999998</v>
      </c>
      <c r="AB10" s="239">
        <f>'[7]Degree Days 2020'!AB10</f>
        <v>2.7999999999999936</v>
      </c>
    </row>
    <row r="11" spans="1:28">
      <c r="A11" s="113">
        <v>2</v>
      </c>
      <c r="B11" s="239">
        <f>'[6]Degree Days 2022'!B11</f>
        <v>0</v>
      </c>
      <c r="C11" s="239">
        <f>'General information '!C6</f>
        <v>14</v>
      </c>
      <c r="D11" s="239">
        <f>'[7]Degree Days 2020'!D11</f>
        <v>-0.30000000000000071</v>
      </c>
      <c r="E11" s="3">
        <v>2</v>
      </c>
      <c r="F11" s="239">
        <f>'[8]Degree Days 2022'!F11</f>
        <v>19</v>
      </c>
      <c r="G11" s="239">
        <f>'[8]Degree Days 2022'!G11</f>
        <v>11</v>
      </c>
      <c r="H11" s="239">
        <f>'[7]Degree Days 2020'!H11</f>
        <v>1.6999999999999993</v>
      </c>
      <c r="I11" s="3">
        <f>'[7]Degree Days 2020'!I11</f>
        <v>2</v>
      </c>
      <c r="J11" s="239">
        <f>'[9]Degree Days 2022'!J11</f>
        <v>24</v>
      </c>
      <c r="K11" s="239">
        <f>'[9]Degree Days 2022'!K11</f>
        <v>15</v>
      </c>
      <c r="L11" s="239">
        <f>'[7]Degree Days 2020'!L11</f>
        <v>-2.8000000000000007</v>
      </c>
      <c r="M11" s="3">
        <f>'[10]Degree Days 2020'!M11</f>
        <v>2</v>
      </c>
      <c r="N11" s="239">
        <f>'[11]Degree Days 2022'!N11</f>
        <v>0</v>
      </c>
      <c r="O11" s="239">
        <f>'[11]Degree Days 2022'!O11</f>
        <v>0</v>
      </c>
      <c r="P11" s="239">
        <f t="shared" ref="P11:P39" si="0">(N11+O11)/2-18.3</f>
        <v>-18.3</v>
      </c>
      <c r="Q11" s="3">
        <v>2</v>
      </c>
      <c r="R11" s="239">
        <f>'[12]Degree Days 2022'!R11</f>
        <v>0</v>
      </c>
      <c r="S11" s="239">
        <f>'[12]Degree Days 2022'!S11</f>
        <v>0</v>
      </c>
      <c r="T11" s="239">
        <f t="shared" ref="T11:T40" si="1">(R11+S11)/2-18.3</f>
        <v>-18.3</v>
      </c>
      <c r="U11" s="3">
        <v>2</v>
      </c>
      <c r="V11" s="239">
        <f>'[13]Degree Days 2022'!V11</f>
        <v>25</v>
      </c>
      <c r="W11" s="239">
        <f>'[13]Degree Days 2022'!W11</f>
        <v>22</v>
      </c>
      <c r="X11" s="239">
        <f t="shared" ref="X11:X39" si="2">(V11+W11)/2-18.3</f>
        <v>5.1999999999999993</v>
      </c>
      <c r="Z11" t="s">
        <v>298</v>
      </c>
      <c r="AA11" s="239">
        <f>'[7]Degree Days 2020'!AA11</f>
        <v>-75.899999999999977</v>
      </c>
      <c r="AB11" s="239">
        <f>'[7]Degree Days 2020'!AB11</f>
        <v>6.4999999999999964</v>
      </c>
    </row>
    <row r="12" spans="1:28">
      <c r="A12" s="113">
        <v>3</v>
      </c>
      <c r="B12" s="239">
        <f>'[6]Degree Days 2022'!B12</f>
        <v>0</v>
      </c>
      <c r="C12" s="239">
        <f>'General information '!C7</f>
        <v>18</v>
      </c>
      <c r="D12" s="239">
        <f>'[7]Degree Days 2020'!D12</f>
        <v>0.19999999999999929</v>
      </c>
      <c r="E12" s="3">
        <v>3</v>
      </c>
      <c r="F12" s="239">
        <f>'[8]Degree Days 2022'!F12</f>
        <v>19</v>
      </c>
      <c r="G12" s="239">
        <f>'[8]Degree Days 2022'!G12</f>
        <v>11</v>
      </c>
      <c r="H12" s="239">
        <f>'[7]Degree Days 2020'!H12</f>
        <v>-0.80000000000000071</v>
      </c>
      <c r="I12" s="3">
        <f>'[7]Degree Days 2020'!I12</f>
        <v>3</v>
      </c>
      <c r="J12" s="239">
        <f>'[9]Degree Days 2022'!J12</f>
        <v>20</v>
      </c>
      <c r="K12" s="239">
        <f>'[9]Degree Days 2022'!K12</f>
        <v>13</v>
      </c>
      <c r="L12" s="239">
        <f>'[7]Degree Days 2020'!L12</f>
        <v>-2.8000000000000007</v>
      </c>
      <c r="M12" s="3">
        <f>'[10]Degree Days 2020'!M12</f>
        <v>3</v>
      </c>
      <c r="N12" s="239">
        <f>'[11]Degree Days 2022'!N12</f>
        <v>24</v>
      </c>
      <c r="O12" s="239">
        <f>'[11]Degree Days 2022'!O12</f>
        <v>17</v>
      </c>
      <c r="P12" s="239">
        <f t="shared" si="0"/>
        <v>2.1999999999999993</v>
      </c>
      <c r="Q12" s="3">
        <v>3</v>
      </c>
      <c r="R12" s="239">
        <f>'[12]Degree Days 2022'!R12</f>
        <v>0</v>
      </c>
      <c r="S12" s="239">
        <f>'[12]Degree Days 2022'!S12</f>
        <v>0</v>
      </c>
      <c r="T12" s="239">
        <f t="shared" si="1"/>
        <v>-18.3</v>
      </c>
      <c r="U12" s="3">
        <v>3</v>
      </c>
      <c r="V12" s="239">
        <f>'[13]Degree Days 2022'!V12</f>
        <v>0</v>
      </c>
      <c r="W12" s="239">
        <f>'[13]Degree Days 2022'!W12</f>
        <v>0</v>
      </c>
      <c r="X12" s="239">
        <f t="shared" si="2"/>
        <v>-18.3</v>
      </c>
      <c r="Z12" t="s">
        <v>299</v>
      </c>
      <c r="AA12" s="239">
        <f>'[7]Degree Days 2020'!AA12</f>
        <v>-56.899999999999991</v>
      </c>
      <c r="AB12" s="239">
        <f>'[7]Degree Days 2020'!AB12</f>
        <v>11.499999999999996</v>
      </c>
    </row>
    <row r="13" spans="1:28">
      <c r="A13" s="113">
        <v>4</v>
      </c>
      <c r="B13" s="239">
        <f>'[6]Degree Days 2022'!B13</f>
        <v>18</v>
      </c>
      <c r="C13" s="239">
        <f>'General information '!C8</f>
        <v>13</v>
      </c>
      <c r="D13" s="239">
        <f>'[7]Degree Days 2020'!D13</f>
        <v>0.19999999999999929</v>
      </c>
      <c r="E13" s="3">
        <f>'[7]Degree Days 2020'!E13</f>
        <v>4</v>
      </c>
      <c r="F13" s="239">
        <f>'[8]Degree Days 2022'!F13</f>
        <v>0</v>
      </c>
      <c r="G13" s="239">
        <f>'[8]Degree Days 2022'!G13</f>
        <v>0</v>
      </c>
      <c r="H13" s="239">
        <f>'[7]Degree Days 2020'!H13</f>
        <v>-0.80000000000000071</v>
      </c>
      <c r="I13" s="3">
        <f>'[7]Degree Days 2020'!I13</f>
        <v>4</v>
      </c>
      <c r="J13" s="239">
        <f>'[9]Degree Days 2022'!J13</f>
        <v>0</v>
      </c>
      <c r="K13" s="239">
        <f>'[9]Degree Days 2022'!K13</f>
        <v>0</v>
      </c>
      <c r="L13" s="239">
        <f>'[7]Degree Days 2020'!L13</f>
        <v>-2.8000000000000007</v>
      </c>
      <c r="M13" s="3">
        <f>'[10]Degree Days 2020'!M13</f>
        <v>4</v>
      </c>
      <c r="N13" s="239">
        <f>'[11]Degree Days 2022'!N13</f>
        <v>24</v>
      </c>
      <c r="O13" s="239">
        <f>'[11]Degree Days 2022'!O13</f>
        <v>16</v>
      </c>
      <c r="P13" s="239">
        <f t="shared" si="0"/>
        <v>1.6999999999999993</v>
      </c>
      <c r="Q13" s="3">
        <v>4</v>
      </c>
      <c r="R13" s="239">
        <f>'[12]Degree Days 2022'!R13</f>
        <v>23</v>
      </c>
      <c r="S13" s="239">
        <f>'[12]Degree Days 2022'!S13</f>
        <v>19</v>
      </c>
      <c r="T13" s="239">
        <f t="shared" si="1"/>
        <v>2.6999999999999993</v>
      </c>
      <c r="U13" s="3">
        <v>4</v>
      </c>
      <c r="V13" s="239">
        <f>'[13]Degree Days 2022'!V13</f>
        <v>0</v>
      </c>
      <c r="W13" s="239">
        <f>'[13]Degree Days 2022'!W13</f>
        <v>0</v>
      </c>
      <c r="X13" s="239">
        <f t="shared" si="2"/>
        <v>-18.3</v>
      </c>
      <c r="Z13" t="s">
        <v>300</v>
      </c>
      <c r="AA13" s="239">
        <f>N43</f>
        <v>-220.20000000000007</v>
      </c>
      <c r="AB13" s="239">
        <f>O43</f>
        <v>34.299999999999997</v>
      </c>
    </row>
    <row r="14" spans="1:28">
      <c r="A14" s="113">
        <v>5</v>
      </c>
      <c r="B14" s="239">
        <f>'[6]Degree Days 2022'!B14</f>
        <v>19</v>
      </c>
      <c r="C14" s="239">
        <f>'General information '!C9</f>
        <v>14</v>
      </c>
      <c r="D14" s="239">
        <f>'[7]Degree Days 2020'!D14</f>
        <v>0.69999999999999929</v>
      </c>
      <c r="E14" s="3">
        <f>'[7]Degree Days 2020'!E14</f>
        <v>5</v>
      </c>
      <c r="F14" s="239">
        <f>'[8]Degree Days 2022'!F14</f>
        <v>0</v>
      </c>
      <c r="G14" s="239">
        <f>'[8]Degree Days 2022'!G14</f>
        <v>0</v>
      </c>
      <c r="H14" s="239">
        <f>'[7]Degree Days 2020'!H14</f>
        <v>-0.80000000000000071</v>
      </c>
      <c r="I14" s="3">
        <f>'[7]Degree Days 2020'!I14</f>
        <v>5</v>
      </c>
      <c r="J14" s="239">
        <f>'[9]Degree Days 2022'!J14</f>
        <v>0</v>
      </c>
      <c r="K14" s="239">
        <f>'[9]Degree Days 2022'!K14</f>
        <v>0</v>
      </c>
      <c r="L14" s="239">
        <f>'[7]Degree Days 2020'!L14</f>
        <v>-2.8000000000000007</v>
      </c>
      <c r="M14" s="3">
        <f>'[10]Degree Days 2020'!M14</f>
        <v>5</v>
      </c>
      <c r="N14" s="239">
        <f>'[11]Degree Days 2022'!N14</f>
        <v>30</v>
      </c>
      <c r="O14" s="239">
        <f>'[11]Degree Days 2022'!O14</f>
        <v>16</v>
      </c>
      <c r="P14" s="239">
        <f t="shared" si="0"/>
        <v>4.6999999999999993</v>
      </c>
      <c r="Q14" s="3">
        <v>5</v>
      </c>
      <c r="R14" s="239">
        <f>'[12]Degree Days 2022'!R14</f>
        <v>22</v>
      </c>
      <c r="S14" s="239">
        <f>'[12]Degree Days 2022'!S14</f>
        <v>18</v>
      </c>
      <c r="T14" s="239">
        <f t="shared" si="1"/>
        <v>1.6999999999999993</v>
      </c>
      <c r="U14" s="3">
        <v>5</v>
      </c>
      <c r="V14" s="239">
        <f>'[13]Degree Days 2022'!V14</f>
        <v>27</v>
      </c>
      <c r="W14" s="239">
        <f>'[13]Degree Days 2022'!W14</f>
        <v>21</v>
      </c>
      <c r="X14" s="239">
        <f t="shared" si="2"/>
        <v>5.6999999999999993</v>
      </c>
      <c r="Z14" t="s">
        <v>301</v>
      </c>
      <c r="AA14" s="239">
        <f>R43</f>
        <v>-201.30000000000004</v>
      </c>
      <c r="AB14" s="239">
        <f>S43</f>
        <v>43.399999999999991</v>
      </c>
    </row>
    <row r="15" spans="1:28">
      <c r="A15" s="113">
        <v>6</v>
      </c>
      <c r="B15" s="239">
        <f>'[6]Degree Days 2022'!B15</f>
        <v>21</v>
      </c>
      <c r="C15" s="239">
        <f>'General information '!C10</f>
        <v>0</v>
      </c>
      <c r="D15" s="239">
        <f>'[7]Degree Days 2020'!D15</f>
        <v>0.19999999999999929</v>
      </c>
      <c r="E15" s="3">
        <f>'[7]Degree Days 2020'!E15</f>
        <v>6</v>
      </c>
      <c r="F15" s="239">
        <f>'[8]Degree Days 2022'!F15</f>
        <v>17</v>
      </c>
      <c r="G15" s="239">
        <f>'[8]Degree Days 2022'!G15</f>
        <v>12</v>
      </c>
      <c r="H15" s="239">
        <f>'[7]Degree Days 2020'!H15</f>
        <v>-1.3000000000000007</v>
      </c>
      <c r="I15" s="3">
        <f>'[7]Degree Days 2020'!I15</f>
        <v>6</v>
      </c>
      <c r="J15" s="239">
        <f>'[9]Degree Days 2022'!J15</f>
        <v>22</v>
      </c>
      <c r="K15" s="239">
        <f>'[9]Degree Days 2022'!K15</f>
        <v>13</v>
      </c>
      <c r="L15" s="239">
        <f>'[7]Degree Days 2020'!L15</f>
        <v>-2.3000000000000007</v>
      </c>
      <c r="M15" s="3">
        <f>'[10]Degree Days 2020'!M15</f>
        <v>6</v>
      </c>
      <c r="N15" s="239">
        <f>'[11]Degree Days 2022'!N15</f>
        <v>34</v>
      </c>
      <c r="O15" s="239">
        <f>'[11]Degree Days 2022'!O15</f>
        <v>18</v>
      </c>
      <c r="P15" s="239">
        <f t="shared" si="0"/>
        <v>7.6999999999999993</v>
      </c>
      <c r="Q15" s="3">
        <v>6</v>
      </c>
      <c r="R15" s="239">
        <f>'[12]Degree Days 2022'!R15</f>
        <v>0</v>
      </c>
      <c r="S15" s="239">
        <f>'[12]Degree Days 2022'!S15</f>
        <v>0</v>
      </c>
      <c r="T15" s="239">
        <f t="shared" si="1"/>
        <v>-18.3</v>
      </c>
      <c r="U15" s="3">
        <v>6</v>
      </c>
      <c r="V15" s="239">
        <f>'[13]Degree Days 2022'!V15</f>
        <v>26</v>
      </c>
      <c r="W15" s="239">
        <f>'[13]Degree Days 2022'!W15</f>
        <v>21</v>
      </c>
      <c r="X15" s="239">
        <f t="shared" si="2"/>
        <v>5.1999999999999993</v>
      </c>
      <c r="Z15" t="s">
        <v>302</v>
      </c>
      <c r="AA15" s="239"/>
      <c r="AB15" s="239"/>
    </row>
    <row r="16" spans="1:28">
      <c r="A16" s="113">
        <v>7</v>
      </c>
      <c r="B16" s="239">
        <f>'[6]Degree Days 2022'!B16</f>
        <v>0</v>
      </c>
      <c r="C16" s="239">
        <f>'General information '!C11</f>
        <v>0</v>
      </c>
      <c r="D16" s="239">
        <f>'[7]Degree Days 2020'!D16</f>
        <v>-1.3000000000000007</v>
      </c>
      <c r="E16" s="3">
        <f>'[7]Degree Days 2020'!E16</f>
        <v>7</v>
      </c>
      <c r="F16" s="239">
        <f>'[8]Degree Days 2022'!F16</f>
        <v>17</v>
      </c>
      <c r="G16" s="239">
        <f>'[8]Degree Days 2022'!G16</f>
        <v>13</v>
      </c>
      <c r="H16" s="239">
        <f>'[7]Degree Days 2020'!H16</f>
        <v>0.69999999999999929</v>
      </c>
      <c r="I16" s="3">
        <f>'[7]Degree Days 2020'!I16</f>
        <v>7</v>
      </c>
      <c r="J16" s="239">
        <f>'[9]Degree Days 2022'!J16</f>
        <v>17</v>
      </c>
      <c r="K16" s="239">
        <f>'[9]Degree Days 2022'!K16</f>
        <v>13</v>
      </c>
      <c r="L16" s="239">
        <f>'[7]Degree Days 2020'!L16</f>
        <v>-1.8000000000000007</v>
      </c>
      <c r="M16" s="3">
        <f>'[10]Degree Days 2020'!M16</f>
        <v>7</v>
      </c>
      <c r="N16" s="239">
        <f>'[11]Degree Days 2022'!N16</f>
        <v>21</v>
      </c>
      <c r="O16" s="239">
        <f>'[11]Degree Days 2022'!O16</f>
        <v>16</v>
      </c>
      <c r="P16" s="239">
        <f t="shared" si="0"/>
        <v>0.19999999999999929</v>
      </c>
      <c r="Q16" s="3">
        <v>7</v>
      </c>
      <c r="R16" s="239">
        <f>'[12]Degree Days 2022'!R16</f>
        <v>0</v>
      </c>
      <c r="S16" s="239">
        <f>'[12]Degree Days 2022'!S16</f>
        <v>0</v>
      </c>
      <c r="T16" s="239">
        <f t="shared" si="1"/>
        <v>-18.3</v>
      </c>
      <c r="U16" s="3">
        <v>7</v>
      </c>
      <c r="V16" s="239">
        <f>'[13]Degree Days 2022'!V16</f>
        <v>27</v>
      </c>
      <c r="W16" s="239">
        <f>'[13]Degree Days 2022'!W16</f>
        <v>22</v>
      </c>
      <c r="X16" s="239">
        <f t="shared" si="2"/>
        <v>6.1999999999999993</v>
      </c>
      <c r="Z16" t="s">
        <v>306</v>
      </c>
      <c r="AA16" s="239"/>
      <c r="AB16" s="239"/>
    </row>
    <row r="17" spans="1:28">
      <c r="A17" s="113">
        <v>8</v>
      </c>
      <c r="B17" s="239">
        <f>'[6]Degree Days 2022'!B17</f>
        <v>0</v>
      </c>
      <c r="C17" s="239">
        <f>'General information '!C12</f>
        <v>16</v>
      </c>
      <c r="D17" s="239">
        <f>'[7]Degree Days 2020'!D17</f>
        <v>-0.80000000000000071</v>
      </c>
      <c r="E17" s="3">
        <f>'[7]Degree Days 2020'!E17</f>
        <v>8</v>
      </c>
      <c r="F17" s="239">
        <f>'[8]Degree Days 2022'!F17</f>
        <v>0</v>
      </c>
      <c r="G17" s="239">
        <f>'[8]Degree Days 2022'!G17</f>
        <v>0</v>
      </c>
      <c r="H17" s="239">
        <f>'[7]Degree Days 2020'!H17</f>
        <v>2.6999999999999993</v>
      </c>
      <c r="I17" s="3">
        <f>'[7]Degree Days 2020'!I17</f>
        <v>8</v>
      </c>
      <c r="J17" s="239">
        <f>'[9]Degree Days 2022'!J17</f>
        <v>8</v>
      </c>
      <c r="K17" s="239">
        <f>'[9]Degree Days 2022'!K17</f>
        <v>13</v>
      </c>
      <c r="L17" s="239">
        <f>'[7]Degree Days 2020'!L17</f>
        <v>-0.30000000000000071</v>
      </c>
      <c r="M17" s="3">
        <f>'[10]Degree Days 2020'!M17</f>
        <v>8</v>
      </c>
      <c r="N17" s="239">
        <f>'[11]Degree Days 2022'!N17</f>
        <v>0</v>
      </c>
      <c r="O17" s="239">
        <f>'[11]Degree Days 2022'!O17</f>
        <v>0</v>
      </c>
      <c r="P17" s="239">
        <f t="shared" si="0"/>
        <v>-18.3</v>
      </c>
      <c r="Q17" s="3">
        <v>8</v>
      </c>
      <c r="R17" s="239">
        <f>'[12]Degree Days 2022'!R17</f>
        <v>22</v>
      </c>
      <c r="S17" s="239">
        <f>'[12]Degree Days 2022'!S17</f>
        <v>17</v>
      </c>
      <c r="T17" s="239">
        <f t="shared" si="1"/>
        <v>1.1999999999999993</v>
      </c>
      <c r="U17" s="3">
        <v>8</v>
      </c>
      <c r="V17" s="239">
        <f>'[13]Degree Days 2022'!V17</f>
        <v>27</v>
      </c>
      <c r="W17" s="239">
        <f>'[13]Degree Days 2022'!W17</f>
        <v>23</v>
      </c>
      <c r="X17" s="239">
        <f t="shared" si="2"/>
        <v>6.6999999999999993</v>
      </c>
      <c r="Z17" t="s">
        <v>307</v>
      </c>
      <c r="AA17" s="239"/>
      <c r="AB17" s="239"/>
    </row>
    <row r="18" spans="1:28">
      <c r="A18" s="113">
        <v>9</v>
      </c>
      <c r="B18" s="239">
        <f>'[6]Degree Days 2022'!B18</f>
        <v>23</v>
      </c>
      <c r="C18" s="239">
        <f>'General information '!C13</f>
        <v>13</v>
      </c>
      <c r="D18" s="239">
        <f>'[7]Degree Days 2020'!D18</f>
        <v>0.19999999999999929</v>
      </c>
      <c r="E18" s="3">
        <f>'[7]Degree Days 2020'!E18</f>
        <v>9</v>
      </c>
      <c r="F18" s="239">
        <f>'[8]Degree Days 2022'!F18</f>
        <v>21</v>
      </c>
      <c r="G18" s="239">
        <f>'[8]Degree Days 2022'!G18</f>
        <v>10</v>
      </c>
      <c r="H18" s="239">
        <f>'[7]Degree Days 2020'!H18</f>
        <v>1.1999999999999993</v>
      </c>
      <c r="I18" s="3">
        <f>'[7]Degree Days 2020'!I18</f>
        <v>9</v>
      </c>
      <c r="J18" s="239">
        <f>'[9]Degree Days 2022'!J18</f>
        <v>16</v>
      </c>
      <c r="K18" s="239">
        <f>'[9]Degree Days 2022'!K18</f>
        <v>14</v>
      </c>
      <c r="L18" s="239">
        <f>'[7]Degree Days 2020'!L18</f>
        <v>1.6999999999999993</v>
      </c>
      <c r="M18" s="3">
        <f>'[10]Degree Days 2020'!M18</f>
        <v>9</v>
      </c>
      <c r="N18" s="239">
        <f>'[11]Degree Days 2022'!N18</f>
        <v>0</v>
      </c>
      <c r="O18" s="239">
        <f>'[11]Degree Days 2022'!O18</f>
        <v>0</v>
      </c>
      <c r="P18" s="239">
        <f t="shared" si="0"/>
        <v>-18.3</v>
      </c>
      <c r="Q18" s="3">
        <v>9</v>
      </c>
      <c r="R18" s="239">
        <f>'[12]Degree Days 2022'!R18</f>
        <v>23</v>
      </c>
      <c r="S18" s="239">
        <f>'[12]Degree Days 2022'!S18</f>
        <v>18</v>
      </c>
      <c r="T18" s="239">
        <f t="shared" si="1"/>
        <v>2.1999999999999993</v>
      </c>
      <c r="U18" s="3">
        <v>9</v>
      </c>
      <c r="V18" s="239">
        <f>'[13]Degree Days 2022'!V18</f>
        <v>0</v>
      </c>
      <c r="W18" s="239">
        <f>'[13]Degree Days 2022'!W18</f>
        <v>0</v>
      </c>
      <c r="X18" s="239">
        <f t="shared" si="2"/>
        <v>-18.3</v>
      </c>
      <c r="Z18" t="s">
        <v>308</v>
      </c>
      <c r="AA18" s="239"/>
      <c r="AB18" s="239"/>
    </row>
    <row r="19" spans="1:28">
      <c r="A19" s="113">
        <v>10</v>
      </c>
      <c r="B19" s="239">
        <f>'[6]Degree Days 2022'!B19</f>
        <v>18</v>
      </c>
      <c r="C19" s="239">
        <f>'General information '!C14</f>
        <v>13</v>
      </c>
      <c r="D19" s="239">
        <f>'[7]Degree Days 2020'!D19</f>
        <v>0.19999999999999929</v>
      </c>
      <c r="E19" s="3">
        <f>'[7]Degree Days 2020'!E19</f>
        <v>10</v>
      </c>
      <c r="F19" s="239">
        <f>'[8]Degree Days 2022'!F19</f>
        <v>0</v>
      </c>
      <c r="G19" s="239">
        <f>'[8]Degree Days 2022'!G19</f>
        <v>0</v>
      </c>
      <c r="H19" s="239">
        <f>'[7]Degree Days 2020'!H19</f>
        <v>-1.8000000000000007</v>
      </c>
      <c r="I19" s="3">
        <f>'[7]Degree Days 2020'!I19</f>
        <v>10</v>
      </c>
      <c r="J19" s="239">
        <f>'[9]Degree Days 2022'!J19</f>
        <v>14</v>
      </c>
      <c r="K19" s="239">
        <f>'[9]Degree Days 2022'!K19</f>
        <v>11</v>
      </c>
      <c r="L19" s="239">
        <f>'[7]Degree Days 2020'!L19</f>
        <v>-2.3000000000000007</v>
      </c>
      <c r="M19" s="3">
        <f>'[10]Degree Days 2020'!M19</f>
        <v>10</v>
      </c>
      <c r="N19" s="239">
        <f>'[11]Degree Days 2022'!N19</f>
        <v>22</v>
      </c>
      <c r="O19" s="239">
        <f>'[11]Degree Days 2022'!O19</f>
        <v>15</v>
      </c>
      <c r="P19" s="239">
        <f t="shared" si="0"/>
        <v>0.19999999999999929</v>
      </c>
      <c r="Q19" s="3">
        <v>10</v>
      </c>
      <c r="R19" s="239">
        <f>'[12]Degree Days 2022'!R19</f>
        <v>23</v>
      </c>
      <c r="S19" s="239">
        <f>'[12]Degree Days 2022'!S19</f>
        <v>17</v>
      </c>
      <c r="T19" s="239">
        <f t="shared" si="1"/>
        <v>1.6999999999999993</v>
      </c>
      <c r="U19" s="3">
        <v>10</v>
      </c>
      <c r="V19" s="239">
        <f>'[13]Degree Days 2022'!V19</f>
        <v>0</v>
      </c>
      <c r="W19" s="239">
        <f>'[13]Degree Days 2022'!W19</f>
        <v>0</v>
      </c>
      <c r="X19" s="239">
        <f t="shared" si="2"/>
        <v>-18.3</v>
      </c>
      <c r="Z19" t="s">
        <v>309</v>
      </c>
      <c r="AA19" s="239"/>
      <c r="AB19" s="239"/>
    </row>
    <row r="20" spans="1:28">
      <c r="A20" s="113">
        <v>11</v>
      </c>
      <c r="B20" s="239">
        <f>'[6]Degree Days 2022'!B20</f>
        <v>19</v>
      </c>
      <c r="C20" s="239">
        <f>'General information '!C15</f>
        <v>13</v>
      </c>
      <c r="D20" s="239">
        <f>'[7]Degree Days 2020'!D20</f>
        <v>0.69999999999999929</v>
      </c>
      <c r="E20" s="3">
        <f>'[7]Degree Days 2020'!E20</f>
        <v>11</v>
      </c>
      <c r="F20" s="239">
        <f>'[8]Degree Days 2022'!F20</f>
        <v>0</v>
      </c>
      <c r="G20" s="239">
        <f>'[8]Degree Days 2022'!G20</f>
        <v>0</v>
      </c>
      <c r="H20" s="239">
        <f>'[7]Degree Days 2020'!H20</f>
        <v>-2.8000000000000007</v>
      </c>
      <c r="I20" s="3">
        <f>'[7]Degree Days 2020'!I20</f>
        <v>11</v>
      </c>
      <c r="J20" s="239">
        <f>'[9]Degree Days 2022'!J20</f>
        <v>14</v>
      </c>
      <c r="K20" s="239">
        <f>'[9]Degree Days 2022'!K20</f>
        <v>9</v>
      </c>
      <c r="L20" s="239">
        <f>'[7]Degree Days 2020'!L20</f>
        <v>-3.8000000000000007</v>
      </c>
      <c r="M20" s="3">
        <f>'[10]Degree Days 2020'!M20</f>
        <v>11</v>
      </c>
      <c r="N20" s="239">
        <f>'[11]Degree Days 2022'!N20</f>
        <v>21</v>
      </c>
      <c r="O20" s="239">
        <f>'[11]Degree Days 2022'!O20</f>
        <v>16</v>
      </c>
      <c r="P20" s="239">
        <f t="shared" si="0"/>
        <v>0.19999999999999929</v>
      </c>
      <c r="Q20" s="3">
        <v>11</v>
      </c>
      <c r="R20" s="239">
        <f>'[12]Degree Days 2022'!R20</f>
        <v>23</v>
      </c>
      <c r="S20" s="239">
        <f>'[12]Degree Days 2022'!S20</f>
        <v>17</v>
      </c>
      <c r="T20" s="239">
        <f t="shared" si="1"/>
        <v>1.6999999999999993</v>
      </c>
      <c r="U20" s="3">
        <v>11</v>
      </c>
      <c r="V20" s="239">
        <f>'[13]Degree Days 2022'!V20</f>
        <v>0</v>
      </c>
      <c r="W20" s="239">
        <f>'[13]Degree Days 2022'!W20</f>
        <v>0</v>
      </c>
      <c r="X20" s="239">
        <f t="shared" si="2"/>
        <v>-18.3</v>
      </c>
      <c r="Z20" t="s">
        <v>310</v>
      </c>
      <c r="AA20" s="239"/>
      <c r="AB20" s="239"/>
    </row>
    <row r="21" spans="1:28">
      <c r="A21" s="113">
        <v>12</v>
      </c>
      <c r="B21" s="239">
        <f>'[6]Degree Days 2022'!B21</f>
        <v>0</v>
      </c>
      <c r="C21" s="239">
        <f>'General information '!C16</f>
        <v>0</v>
      </c>
      <c r="D21" s="239">
        <f>'[7]Degree Days 2020'!D21</f>
        <v>0.19999999999999929</v>
      </c>
      <c r="E21" s="3">
        <f>'[7]Degree Days 2020'!E21</f>
        <v>12</v>
      </c>
      <c r="F21" s="239">
        <f>'[8]Degree Days 2022'!F21</f>
        <v>0</v>
      </c>
      <c r="G21" s="239">
        <f>'[8]Degree Days 2022'!G21</f>
        <v>0</v>
      </c>
      <c r="H21" s="239">
        <f>'[7]Degree Days 2020'!H21</f>
        <v>-2.8000000000000007</v>
      </c>
      <c r="I21" s="3">
        <f>'[7]Degree Days 2020'!I21</f>
        <v>12</v>
      </c>
      <c r="J21" s="239">
        <f>'[9]Degree Days 2022'!J21</f>
        <v>0</v>
      </c>
      <c r="K21" s="239">
        <f>'[9]Degree Days 2022'!K21</f>
        <v>0</v>
      </c>
      <c r="L21" s="239">
        <f>'[7]Degree Days 2020'!L21</f>
        <v>-2.8000000000000007</v>
      </c>
      <c r="M21" s="3">
        <f>'[10]Degree Days 2020'!M21</f>
        <v>12</v>
      </c>
      <c r="N21" s="239">
        <f>'[11]Degree Days 2022'!N21</f>
        <v>20</v>
      </c>
      <c r="O21" s="239">
        <f>'[11]Degree Days 2022'!O21</f>
        <v>16</v>
      </c>
      <c r="P21" s="239">
        <f t="shared" si="0"/>
        <v>-0.30000000000000071</v>
      </c>
      <c r="Q21" s="3">
        <v>12</v>
      </c>
      <c r="R21" s="239">
        <f>'[12]Degree Days 2022'!R21</f>
        <v>22</v>
      </c>
      <c r="S21" s="239">
        <f>'[12]Degree Days 2022'!S21</f>
        <v>17</v>
      </c>
      <c r="T21" s="239">
        <f t="shared" si="1"/>
        <v>1.1999999999999993</v>
      </c>
      <c r="U21" s="3">
        <v>12</v>
      </c>
      <c r="V21" s="239">
        <f>'[13]Degree Days 2022'!V21</f>
        <v>0</v>
      </c>
      <c r="W21" s="239">
        <f>'[13]Degree Days 2022'!W21</f>
        <v>0</v>
      </c>
      <c r="X21" s="239">
        <f t="shared" si="2"/>
        <v>-18.3</v>
      </c>
      <c r="Z21" t="s">
        <v>311</v>
      </c>
      <c r="AA21" s="130">
        <f>SUM(B54)</f>
        <v>0</v>
      </c>
      <c r="AB21" s="130">
        <f>SUM(C54)</f>
        <v>0</v>
      </c>
    </row>
    <row r="22" spans="1:28">
      <c r="A22" s="113">
        <v>13</v>
      </c>
      <c r="B22" s="239">
        <f>'[6]Degree Days 2022'!B22</f>
        <v>16</v>
      </c>
      <c r="C22" s="239">
        <f>'General information '!C17</f>
        <v>0</v>
      </c>
      <c r="D22" s="239">
        <f>'[7]Degree Days 2020'!D22</f>
        <v>-3.3000000000000007</v>
      </c>
      <c r="E22" s="3">
        <f>'[7]Degree Days 2020'!E22</f>
        <v>13</v>
      </c>
      <c r="F22" s="239">
        <f>'[8]Degree Days 2022'!F22</f>
        <v>17</v>
      </c>
      <c r="G22" s="239">
        <f>'[8]Degree Days 2022'!G22</f>
        <v>12</v>
      </c>
      <c r="H22" s="239">
        <f>'[7]Degree Days 2020'!H22</f>
        <v>-1.8000000000000007</v>
      </c>
      <c r="I22" s="3">
        <f>'[7]Degree Days 2020'!I22</f>
        <v>13</v>
      </c>
      <c r="J22" s="239">
        <f>'[9]Degree Days 2022'!J22</f>
        <v>13</v>
      </c>
      <c r="K22" s="239">
        <f>'[9]Degree Days 2022'!K22</f>
        <v>9</v>
      </c>
      <c r="L22" s="239">
        <f>'[7]Degree Days 2020'!L22</f>
        <v>-1.3000000000000007</v>
      </c>
      <c r="M22" s="3">
        <f>'[10]Degree Days 2020'!M22</f>
        <v>13</v>
      </c>
      <c r="N22" s="239">
        <f>'[11]Degree Days 2022'!N22</f>
        <v>20</v>
      </c>
      <c r="O22" s="239">
        <f>'[11]Degree Days 2022'!O22</f>
        <v>17</v>
      </c>
      <c r="P22" s="239">
        <f t="shared" si="0"/>
        <v>0.19999999999999929</v>
      </c>
      <c r="Q22" s="3">
        <v>13</v>
      </c>
      <c r="R22" s="239">
        <f>'[12]Degree Days 2022'!R22</f>
        <v>0</v>
      </c>
      <c r="S22" s="239">
        <f>'[12]Degree Days 2022'!S22</f>
        <v>0</v>
      </c>
      <c r="T22" s="239">
        <f t="shared" si="1"/>
        <v>-18.3</v>
      </c>
      <c r="U22" s="3">
        <v>13</v>
      </c>
      <c r="V22" s="239">
        <f>'[13]Degree Days 2022'!V22</f>
        <v>0</v>
      </c>
      <c r="W22" s="239">
        <f>'[13]Degree Days 2022'!W22</f>
        <v>0</v>
      </c>
      <c r="X22" s="239">
        <f t="shared" si="2"/>
        <v>-18.3</v>
      </c>
    </row>
    <row r="23" spans="1:28">
      <c r="A23" s="113">
        <v>14</v>
      </c>
      <c r="B23" s="239">
        <f>'[6]Degree Days 2022'!B23</f>
        <v>0</v>
      </c>
      <c r="C23" s="239">
        <f>'General information '!C18</f>
        <v>13</v>
      </c>
      <c r="D23" s="239">
        <f>'[7]Degree Days 2020'!D23</f>
        <v>-3.8000000000000007</v>
      </c>
      <c r="E23" s="3">
        <f>'[7]Degree Days 2020'!E23</f>
        <v>14</v>
      </c>
      <c r="F23" s="239">
        <f>'[8]Degree Days 2022'!F23</f>
        <v>18</v>
      </c>
      <c r="G23" s="239">
        <f>'[8]Degree Days 2022'!G23</f>
        <v>12</v>
      </c>
      <c r="H23" s="239">
        <f>'[7]Degree Days 2020'!H23</f>
        <v>-2.8000000000000007</v>
      </c>
      <c r="I23" s="3">
        <f>'[7]Degree Days 2020'!I23</f>
        <v>14</v>
      </c>
      <c r="J23" s="239">
        <f>'[9]Degree Days 2022'!J23</f>
        <v>12</v>
      </c>
      <c r="K23" s="239">
        <f>'[9]Degree Days 2022'!K23</f>
        <v>8</v>
      </c>
      <c r="L23" s="239">
        <f>'[7]Degree Days 2020'!L23</f>
        <v>-1.3000000000000007</v>
      </c>
      <c r="M23" s="3">
        <f>'[10]Degree Days 2020'!M23</f>
        <v>14</v>
      </c>
      <c r="N23" s="239">
        <f>'[11]Degree Days 2022'!N23</f>
        <v>0</v>
      </c>
      <c r="O23" s="239">
        <f>'[11]Degree Days 2022'!O23</f>
        <v>0</v>
      </c>
      <c r="P23" s="239">
        <f t="shared" si="0"/>
        <v>-18.3</v>
      </c>
      <c r="Q23" s="3">
        <v>14</v>
      </c>
      <c r="R23" s="239">
        <f>'[12]Degree Days 2022'!R23</f>
        <v>0</v>
      </c>
      <c r="S23" s="239">
        <f>'[12]Degree Days 2022'!S23</f>
        <v>0</v>
      </c>
      <c r="T23" s="239">
        <f t="shared" si="1"/>
        <v>-18.3</v>
      </c>
      <c r="U23" s="3">
        <v>14</v>
      </c>
      <c r="V23" s="239">
        <f>'[13]Degree Days 2022'!V23</f>
        <v>27</v>
      </c>
      <c r="W23" s="239">
        <f>'[13]Degree Days 2022'!W23</f>
        <v>23</v>
      </c>
      <c r="X23" s="239">
        <f t="shared" si="2"/>
        <v>6.6999999999999993</v>
      </c>
      <c r="AA23" s="130">
        <f>SUM(AA10:AA22)</f>
        <v>-646.90000000000009</v>
      </c>
      <c r="AB23" s="130">
        <f>SUM(AB10:AB22)</f>
        <v>98.499999999999972</v>
      </c>
    </row>
    <row r="24" spans="1:28">
      <c r="A24" s="113">
        <v>15</v>
      </c>
      <c r="B24" s="239">
        <f>'[6]Degree Days 2022'!B24</f>
        <v>0</v>
      </c>
      <c r="C24" s="239">
        <f>'General information '!C19</f>
        <v>12</v>
      </c>
      <c r="D24" s="239">
        <f>'[7]Degree Days 2020'!D24</f>
        <v>-2.3000000000000007</v>
      </c>
      <c r="E24" s="3">
        <f>'[7]Degree Days 2020'!E24</f>
        <v>15</v>
      </c>
      <c r="F24" s="239">
        <f>'[8]Degree Days 2022'!F24</f>
        <v>17</v>
      </c>
      <c r="G24" s="239">
        <f>'[8]Degree Days 2022'!G24</f>
        <v>14</v>
      </c>
      <c r="H24" s="239">
        <f>'[7]Degree Days 2020'!H24</f>
        <v>-3.3000000000000007</v>
      </c>
      <c r="I24" s="3">
        <f>'[7]Degree Days 2020'!I24</f>
        <v>15</v>
      </c>
      <c r="J24" s="239">
        <f>'[9]Degree Days 2022'!J24</f>
        <v>10</v>
      </c>
      <c r="K24" s="239">
        <f>'[9]Degree Days 2022'!K24</f>
        <v>5</v>
      </c>
      <c r="L24" s="239">
        <f>'[7]Degree Days 2020'!L24</f>
        <v>-1.3000000000000007</v>
      </c>
      <c r="M24" s="3">
        <f>'[10]Degree Days 2020'!M24</f>
        <v>15</v>
      </c>
      <c r="N24" s="239">
        <f>'[11]Degree Days 2022'!N24</f>
        <v>0</v>
      </c>
      <c r="O24" s="239">
        <f>'[11]Degree Days 2022'!O24</f>
        <v>0</v>
      </c>
      <c r="P24" s="239">
        <f t="shared" si="0"/>
        <v>-18.3</v>
      </c>
      <c r="Q24" s="3">
        <v>15</v>
      </c>
      <c r="R24" s="239">
        <f>'[12]Degree Days 2022'!R24</f>
        <v>22</v>
      </c>
      <c r="S24" s="239">
        <f>'[12]Degree Days 2022'!S24</f>
        <v>18</v>
      </c>
      <c r="T24" s="239">
        <f t="shared" si="1"/>
        <v>1.6999999999999993</v>
      </c>
      <c r="U24" s="3">
        <v>15</v>
      </c>
      <c r="V24" s="239">
        <f>'[13]Degree Days 2022'!V24</f>
        <v>28</v>
      </c>
      <c r="W24" s="239">
        <f>'[13]Degree Days 2022'!W24</f>
        <v>23</v>
      </c>
      <c r="X24" s="239">
        <f t="shared" si="2"/>
        <v>7.1999999999999993</v>
      </c>
    </row>
    <row r="25" spans="1:28">
      <c r="A25" s="113">
        <v>16</v>
      </c>
      <c r="B25" s="239">
        <f>'[6]Degree Days 2022'!B25</f>
        <v>14</v>
      </c>
      <c r="C25" s="239">
        <f>'General information '!C20</f>
        <v>13</v>
      </c>
      <c r="D25" s="239">
        <f>'[7]Degree Days 2020'!D25</f>
        <v>-6.3000000000000007</v>
      </c>
      <c r="E25" s="3">
        <f>'[7]Degree Days 2020'!E25</f>
        <v>16</v>
      </c>
      <c r="F25" s="239">
        <f>'[8]Degree Days 2022'!F25</f>
        <v>17</v>
      </c>
      <c r="G25" s="239">
        <f>'[8]Degree Days 2022'!G25</f>
        <v>13</v>
      </c>
      <c r="H25" s="239">
        <f>'[7]Degree Days 2020'!H25</f>
        <v>-9.3000000000000007</v>
      </c>
      <c r="I25" s="3">
        <f>'[7]Degree Days 2020'!I25</f>
        <v>16</v>
      </c>
      <c r="J25" s="239">
        <f>'[9]Degree Days 2022'!J25</f>
        <v>0</v>
      </c>
      <c r="K25" s="239">
        <f>'[9]Degree Days 2022'!K25</f>
        <v>0</v>
      </c>
      <c r="L25" s="239">
        <f>'[7]Degree Days 2020'!L25</f>
        <v>-1.8000000000000007</v>
      </c>
      <c r="M25" s="3">
        <f>'[10]Degree Days 2020'!M25</f>
        <v>16</v>
      </c>
      <c r="N25" s="239">
        <f>'[11]Degree Days 2022'!N25</f>
        <v>0</v>
      </c>
      <c r="O25" s="239">
        <f>'[11]Degree Days 2022'!O25</f>
        <v>0</v>
      </c>
      <c r="P25" s="239">
        <f t="shared" si="0"/>
        <v>-18.3</v>
      </c>
      <c r="Q25" s="3">
        <v>16</v>
      </c>
      <c r="R25" s="239">
        <f>'[12]Degree Days 2022'!R25</f>
        <v>22</v>
      </c>
      <c r="S25" s="239">
        <f>'[12]Degree Days 2022'!S25</f>
        <v>18</v>
      </c>
      <c r="T25" s="239">
        <f t="shared" si="1"/>
        <v>1.6999999999999993</v>
      </c>
      <c r="U25" s="3">
        <v>16</v>
      </c>
      <c r="V25" s="239">
        <f>'[13]Degree Days 2022'!V25</f>
        <v>30</v>
      </c>
      <c r="W25" s="239">
        <f>'[13]Degree Days 2022'!W25</f>
        <v>23</v>
      </c>
      <c r="X25" s="239">
        <f t="shared" si="2"/>
        <v>8.1999999999999993</v>
      </c>
    </row>
    <row r="26" spans="1:28">
      <c r="A26" s="113">
        <v>17</v>
      </c>
      <c r="B26" s="239">
        <f>'[6]Degree Days 2022'!B26</f>
        <v>12</v>
      </c>
      <c r="C26" s="239">
        <f>'General information '!C21</f>
        <v>13</v>
      </c>
      <c r="D26" s="239">
        <f>'[7]Degree Days 2020'!D26</f>
        <v>-4.8000000000000007</v>
      </c>
      <c r="E26" s="3">
        <f>'[7]Degree Days 2020'!E26</f>
        <v>17</v>
      </c>
      <c r="F26" s="239">
        <f>'[8]Degree Days 2022'!F26</f>
        <v>18</v>
      </c>
      <c r="G26" s="239">
        <f>'[8]Degree Days 2022'!G26</f>
        <v>12</v>
      </c>
      <c r="H26" s="239">
        <f>'[7]Degree Days 2020'!H26</f>
        <v>-8.3000000000000007</v>
      </c>
      <c r="I26" s="3">
        <f>'[7]Degree Days 2020'!I26</f>
        <v>17</v>
      </c>
      <c r="J26" s="239">
        <f>'[9]Degree Days 2022'!J26</f>
        <v>16</v>
      </c>
      <c r="K26" s="239">
        <f>'[9]Degree Days 2022'!K26</f>
        <v>9</v>
      </c>
      <c r="L26" s="239">
        <f>'[7]Degree Days 2020'!L26</f>
        <v>-0.80000000000000071</v>
      </c>
      <c r="M26" s="3">
        <f>'[10]Degree Days 2020'!M26</f>
        <v>17</v>
      </c>
      <c r="N26" s="239">
        <f>'[11]Degree Days 2022'!N26</f>
        <v>0</v>
      </c>
      <c r="O26" s="239">
        <f>'[11]Degree Days 2022'!O26</f>
        <v>0</v>
      </c>
      <c r="P26" s="239">
        <f t="shared" si="0"/>
        <v>-18.3</v>
      </c>
      <c r="Q26" s="3">
        <v>17</v>
      </c>
      <c r="R26" s="239">
        <f>'[12]Degree Days 2022'!R26</f>
        <v>23</v>
      </c>
      <c r="S26" s="239">
        <f>'[12]Degree Days 2022'!S26</f>
        <v>18</v>
      </c>
      <c r="T26" s="239">
        <f t="shared" si="1"/>
        <v>2.1999999999999993</v>
      </c>
      <c r="U26" s="3">
        <v>17</v>
      </c>
      <c r="V26" s="239">
        <f>'[13]Degree Days 2022'!V26</f>
        <v>0</v>
      </c>
      <c r="W26" s="239">
        <f>'[13]Degree Days 2022'!W26</f>
        <v>0</v>
      </c>
      <c r="X26" s="239">
        <f t="shared" si="2"/>
        <v>-18.3</v>
      </c>
    </row>
    <row r="27" spans="1:28">
      <c r="A27" s="113">
        <v>18</v>
      </c>
      <c r="B27" s="239">
        <f>'[6]Degree Days 2022'!B27</f>
        <v>15</v>
      </c>
      <c r="C27" s="239">
        <f>'General information '!C22</f>
        <v>14</v>
      </c>
      <c r="D27" s="239">
        <f>'[7]Degree Days 2020'!D27</f>
        <v>-7.3000000000000007</v>
      </c>
      <c r="E27" s="3">
        <f>'[7]Degree Days 2020'!E27</f>
        <v>18</v>
      </c>
      <c r="F27" s="239">
        <f>'[8]Degree Days 2022'!F27</f>
        <v>0</v>
      </c>
      <c r="G27" s="239">
        <f>'[8]Degree Days 2022'!G27</f>
        <v>0</v>
      </c>
      <c r="H27" s="239">
        <f>'[7]Degree Days 2020'!H27</f>
        <v>-8.3000000000000007</v>
      </c>
      <c r="I27" s="3">
        <f>'[7]Degree Days 2020'!I27</f>
        <v>18</v>
      </c>
      <c r="J27" s="239">
        <f>'[9]Degree Days 2022'!J27</f>
        <v>0</v>
      </c>
      <c r="K27" s="239">
        <f>'[9]Degree Days 2022'!K27</f>
        <v>0</v>
      </c>
      <c r="L27" s="239">
        <f>'[7]Degree Days 2020'!L27</f>
        <v>-0.80000000000000071</v>
      </c>
      <c r="M27" s="3">
        <f>'[10]Degree Days 2020'!M27</f>
        <v>18</v>
      </c>
      <c r="N27" s="239">
        <f>'[11]Degree Days 2022'!N27</f>
        <v>35</v>
      </c>
      <c r="O27" s="239">
        <f>'[11]Degree Days 2022'!O27</f>
        <v>19</v>
      </c>
      <c r="P27" s="239">
        <f t="shared" si="0"/>
        <v>8.6999999999999993</v>
      </c>
      <c r="Q27" s="3">
        <v>18</v>
      </c>
      <c r="R27" s="239">
        <f>'[12]Degree Days 2022'!R27</f>
        <v>23</v>
      </c>
      <c r="S27" s="239">
        <f>'[12]Degree Days 2022'!S27</f>
        <v>17</v>
      </c>
      <c r="T27" s="239">
        <f t="shared" si="1"/>
        <v>1.6999999999999993</v>
      </c>
      <c r="U27" s="3">
        <v>18</v>
      </c>
      <c r="V27" s="239">
        <f>'[13]Degree Days 2022'!V27</f>
        <v>0</v>
      </c>
      <c r="W27" s="239">
        <f>'[13]Degree Days 2022'!W27</f>
        <v>0</v>
      </c>
      <c r="X27" s="239">
        <f t="shared" si="2"/>
        <v>-18.3</v>
      </c>
    </row>
    <row r="28" spans="1:28">
      <c r="A28" s="113">
        <v>19</v>
      </c>
      <c r="B28" s="239">
        <f>'[6]Degree Days 2022'!B28</f>
        <v>14</v>
      </c>
      <c r="C28" s="239">
        <f>'General information '!C23</f>
        <v>13</v>
      </c>
      <c r="D28" s="239">
        <f>'[7]Degree Days 2020'!D28</f>
        <v>-4.8000000000000007</v>
      </c>
      <c r="E28" s="3">
        <f>'[7]Degree Days 2020'!E28</f>
        <v>19</v>
      </c>
      <c r="F28" s="239">
        <f>'[8]Degree Days 2022'!F28</f>
        <v>0</v>
      </c>
      <c r="G28" s="239">
        <f>'[8]Degree Days 2022'!G28</f>
        <v>0</v>
      </c>
      <c r="H28" s="239">
        <f>'[7]Degree Days 2020'!H28</f>
        <v>-7.8000000000000007</v>
      </c>
      <c r="I28" s="3">
        <f>'[7]Degree Days 2020'!I28</f>
        <v>19</v>
      </c>
      <c r="J28" s="239">
        <f>'[9]Degree Days 2022'!J28</f>
        <v>0</v>
      </c>
      <c r="K28" s="239">
        <f>'[9]Degree Days 2022'!K28</f>
        <v>0</v>
      </c>
      <c r="L28" s="239">
        <f>'[7]Degree Days 2020'!L28</f>
        <v>-0.30000000000000071</v>
      </c>
      <c r="M28" s="3">
        <f>'[10]Degree Days 2020'!M28</f>
        <v>19</v>
      </c>
      <c r="N28" s="239">
        <f>'[11]Degree Days 2022'!N28</f>
        <v>21</v>
      </c>
      <c r="O28" s="239">
        <f>'[11]Degree Days 2022'!O28</f>
        <v>16</v>
      </c>
      <c r="P28" s="239">
        <f t="shared" si="0"/>
        <v>0.19999999999999929</v>
      </c>
      <c r="Q28" s="3">
        <v>19</v>
      </c>
      <c r="R28" s="239">
        <f>'[12]Degree Days 2022'!R28</f>
        <v>24</v>
      </c>
      <c r="S28" s="239">
        <f>'[12]Degree Days 2022'!S28</f>
        <v>19</v>
      </c>
      <c r="T28" s="239">
        <f t="shared" si="1"/>
        <v>3.1999999999999993</v>
      </c>
      <c r="U28" s="3">
        <v>19</v>
      </c>
      <c r="V28" s="239">
        <f>'[13]Degree Days 2022'!V28</f>
        <v>0</v>
      </c>
      <c r="W28" s="239">
        <f>'[13]Degree Days 2022'!W28</f>
        <v>0</v>
      </c>
      <c r="X28" s="239">
        <f t="shared" si="2"/>
        <v>-18.3</v>
      </c>
    </row>
    <row r="29" spans="1:28">
      <c r="A29" s="113">
        <v>20</v>
      </c>
      <c r="B29" s="239">
        <f>'[6]Degree Days 2022'!B29</f>
        <v>11</v>
      </c>
      <c r="C29" s="239">
        <f>'General information '!C24</f>
        <v>0</v>
      </c>
      <c r="D29" s="239">
        <f>'[7]Degree Days 2020'!D29</f>
        <v>-4.8000000000000007</v>
      </c>
      <c r="E29" s="3">
        <f>'[7]Degree Days 2020'!E29</f>
        <v>20</v>
      </c>
      <c r="F29" s="239">
        <f>'[8]Degree Days 2022'!F29</f>
        <v>18</v>
      </c>
      <c r="G29" s="239">
        <f>'[8]Degree Days 2022'!G29</f>
        <v>13</v>
      </c>
      <c r="H29" s="239">
        <f>'[7]Degree Days 2020'!H29</f>
        <v>-1.8000000000000007</v>
      </c>
      <c r="I29" s="3">
        <f>'[7]Degree Days 2020'!I29</f>
        <v>20</v>
      </c>
      <c r="J29" s="239">
        <f>'[9]Degree Days 2022'!J29</f>
        <v>11</v>
      </c>
      <c r="K29" s="239">
        <f>'[9]Degree Days 2022'!K29</f>
        <v>9</v>
      </c>
      <c r="L29" s="239">
        <f>'[7]Degree Days 2020'!L29</f>
        <v>1.1999999999999993</v>
      </c>
      <c r="M29" s="3">
        <f>'[10]Degree Days 2020'!M29</f>
        <v>20</v>
      </c>
      <c r="N29" s="239">
        <f>'[11]Degree Days 2022'!N29</f>
        <v>20</v>
      </c>
      <c r="O29" s="239">
        <f>'[11]Degree Days 2022'!O29</f>
        <v>16</v>
      </c>
      <c r="P29" s="239">
        <f t="shared" si="0"/>
        <v>-0.30000000000000071</v>
      </c>
      <c r="Q29" s="3">
        <v>20</v>
      </c>
      <c r="R29" s="239">
        <f>'[12]Degree Days 2022'!R29</f>
        <v>0</v>
      </c>
      <c r="S29" s="239">
        <f>'[12]Degree Days 2022'!S29</f>
        <v>0</v>
      </c>
      <c r="T29" s="239">
        <f t="shared" si="1"/>
        <v>-18.3</v>
      </c>
      <c r="U29" s="3">
        <v>20</v>
      </c>
      <c r="V29" s="239">
        <f>'[13]Degree Days 2022'!V29</f>
        <v>27</v>
      </c>
      <c r="W29" s="239">
        <f>'[13]Degree Days 2022'!W29</f>
        <v>23</v>
      </c>
      <c r="X29" s="239">
        <f t="shared" si="2"/>
        <v>6.6999999999999993</v>
      </c>
    </row>
    <row r="30" spans="1:28">
      <c r="A30" s="113">
        <v>21</v>
      </c>
      <c r="B30" s="239">
        <f>'[6]Degree Days 2022'!B30</f>
        <v>0</v>
      </c>
      <c r="C30" s="239">
        <f>'General information '!C25</f>
        <v>0</v>
      </c>
      <c r="D30" s="239">
        <f>'[7]Degree Days 2020'!D30</f>
        <v>-5.8000000000000007</v>
      </c>
      <c r="E30" s="3">
        <f>'[7]Degree Days 2020'!E30</f>
        <v>21</v>
      </c>
      <c r="F30" s="239">
        <f>'[8]Degree Days 2022'!F30</f>
        <v>19</v>
      </c>
      <c r="G30" s="239">
        <f>'[8]Degree Days 2022'!G30</f>
        <v>13</v>
      </c>
      <c r="H30" s="239">
        <f>'[7]Degree Days 2020'!H30</f>
        <v>-2.8000000000000007</v>
      </c>
      <c r="I30" s="3">
        <f>'[7]Degree Days 2020'!I30</f>
        <v>21</v>
      </c>
      <c r="J30" s="239">
        <f>'[9]Degree Days 2022'!J30</f>
        <v>14</v>
      </c>
      <c r="K30" s="239">
        <f>'[9]Degree Days 2022'!K30</f>
        <v>8</v>
      </c>
      <c r="L30" s="239">
        <f>'[7]Degree Days 2020'!L30</f>
        <v>0.19999999999999929</v>
      </c>
      <c r="M30" s="3">
        <f>'[10]Degree Days 2020'!M30</f>
        <v>21</v>
      </c>
      <c r="N30" s="239">
        <f>'[11]Degree Days 2022'!N30</f>
        <v>0</v>
      </c>
      <c r="O30" s="239">
        <f>'[11]Degree Days 2022'!O30</f>
        <v>0</v>
      </c>
      <c r="P30" s="239">
        <f t="shared" si="0"/>
        <v>-18.3</v>
      </c>
      <c r="Q30" s="3">
        <v>21</v>
      </c>
      <c r="R30" s="239">
        <f>'[12]Degree Days 2022'!R30</f>
        <v>0</v>
      </c>
      <c r="S30" s="239">
        <f>'[12]Degree Days 2022'!S30</f>
        <v>0</v>
      </c>
      <c r="T30" s="239">
        <f t="shared" si="1"/>
        <v>-18.3</v>
      </c>
      <c r="U30" s="3">
        <v>21</v>
      </c>
      <c r="V30" s="239">
        <f>'[13]Degree Days 2022'!V30</f>
        <v>28</v>
      </c>
      <c r="W30" s="239">
        <f>'[13]Degree Days 2022'!W30</f>
        <v>23</v>
      </c>
      <c r="X30" s="239">
        <f t="shared" si="2"/>
        <v>7.1999999999999993</v>
      </c>
    </row>
    <row r="31" spans="1:28">
      <c r="A31" s="113">
        <v>22</v>
      </c>
      <c r="B31" s="239">
        <f>'[6]Degree Days 2022'!B31</f>
        <v>0</v>
      </c>
      <c r="C31" s="239">
        <f>'General information '!C26</f>
        <v>23</v>
      </c>
      <c r="D31" s="239">
        <f>'[7]Degree Days 2020'!D31</f>
        <v>-4.8000000000000007</v>
      </c>
      <c r="E31" s="3">
        <f>'[7]Degree Days 2020'!E31</f>
        <v>22</v>
      </c>
      <c r="F31" s="239">
        <f>'[8]Degree Days 2022'!F31</f>
        <v>23</v>
      </c>
      <c r="G31" s="239">
        <f>'[8]Degree Days 2022'!G31</f>
        <v>14</v>
      </c>
      <c r="H31" s="239">
        <f>'[7]Degree Days 2020'!H31</f>
        <v>-1.8000000000000007</v>
      </c>
      <c r="I31" s="3">
        <f>'[7]Degree Days 2020'!I31</f>
        <v>22</v>
      </c>
      <c r="J31" s="239">
        <f>'[9]Degree Days 2022'!J31</f>
        <v>15</v>
      </c>
      <c r="K31" s="239">
        <f>'[9]Degree Days 2022'!K31</f>
        <v>11</v>
      </c>
      <c r="L31" s="239">
        <f>'[7]Degree Days 2020'!L31</f>
        <v>1.6999999999999993</v>
      </c>
      <c r="M31" s="3">
        <f>'[10]Degree Days 2020'!M31</f>
        <v>22</v>
      </c>
      <c r="N31" s="239">
        <f>'[11]Degree Days 2022'!N31</f>
        <v>0</v>
      </c>
      <c r="O31" s="239">
        <f>'[11]Degree Days 2022'!O31</f>
        <v>0</v>
      </c>
      <c r="P31" s="239">
        <f t="shared" si="0"/>
        <v>-18.3</v>
      </c>
      <c r="Q31" s="3">
        <v>22</v>
      </c>
      <c r="R31" s="239">
        <f>'[12]Degree Days 2022'!R31</f>
        <v>24</v>
      </c>
      <c r="S31" s="239">
        <f>'[12]Degree Days 2022'!S31</f>
        <v>21</v>
      </c>
      <c r="T31" s="239">
        <f t="shared" si="1"/>
        <v>4.1999999999999993</v>
      </c>
      <c r="U31" s="3">
        <v>22</v>
      </c>
      <c r="V31" s="239">
        <f>'[13]Degree Days 2022'!V31</f>
        <v>0</v>
      </c>
      <c r="W31" s="239">
        <f>'[13]Degree Days 2022'!W31</f>
        <v>0</v>
      </c>
      <c r="X31" s="239">
        <f t="shared" si="2"/>
        <v>-18.3</v>
      </c>
    </row>
    <row r="32" spans="1:28">
      <c r="A32" s="113">
        <v>23</v>
      </c>
      <c r="B32" s="239">
        <f>'[6]Degree Days 2022'!B32</f>
        <v>0</v>
      </c>
      <c r="C32" s="239">
        <f>'General information '!C27</f>
        <v>0</v>
      </c>
      <c r="D32" s="239">
        <f>'[7]Degree Days 2020'!D32</f>
        <v>-3.3000000000000007</v>
      </c>
      <c r="E32" s="3">
        <f>'[7]Degree Days 2020'!E32</f>
        <v>23</v>
      </c>
      <c r="F32" s="239">
        <f>'[8]Degree Days 2022'!F32</f>
        <v>25</v>
      </c>
      <c r="G32" s="239">
        <f>'[8]Degree Days 2022'!G32</f>
        <v>14</v>
      </c>
      <c r="H32" s="239">
        <f>'[7]Degree Days 2020'!H32</f>
        <v>-2.3000000000000007</v>
      </c>
      <c r="I32" s="3">
        <f>'[7]Degree Days 2020'!I32</f>
        <v>23</v>
      </c>
      <c r="J32" s="239">
        <f>'[9]Degree Days 2022'!J32</f>
        <v>15</v>
      </c>
      <c r="K32" s="239">
        <f>'[9]Degree Days 2022'!K32</f>
        <v>9</v>
      </c>
      <c r="L32" s="239">
        <f>'[7]Degree Days 2020'!L32</f>
        <v>6.6999999999999993</v>
      </c>
      <c r="M32" s="3">
        <f>'[10]Degree Days 2020'!M32</f>
        <v>23</v>
      </c>
      <c r="N32" s="239">
        <f>'[11]Degree Days 2022'!N32</f>
        <v>0</v>
      </c>
      <c r="O32" s="239">
        <f>'[11]Degree Days 2022'!O32</f>
        <v>0</v>
      </c>
      <c r="P32" s="239">
        <f t="shared" si="0"/>
        <v>-18.3</v>
      </c>
      <c r="Q32" s="3">
        <v>23</v>
      </c>
      <c r="R32" s="239">
        <f>'[12]Degree Days 2022'!R32</f>
        <v>24</v>
      </c>
      <c r="S32" s="239">
        <f>'[12]Degree Days 2022'!S32</f>
        <v>20</v>
      </c>
      <c r="T32" s="239">
        <f t="shared" si="1"/>
        <v>3.6999999999999993</v>
      </c>
      <c r="U32" s="3">
        <v>23</v>
      </c>
      <c r="V32" s="239">
        <f>'[13]Degree Days 2022'!V32</f>
        <v>0</v>
      </c>
      <c r="W32" s="239">
        <f>'[13]Degree Days 2022'!W32</f>
        <v>0</v>
      </c>
      <c r="X32" s="239">
        <f t="shared" si="2"/>
        <v>-18.3</v>
      </c>
    </row>
    <row r="33" spans="1:24">
      <c r="A33" s="113">
        <v>24</v>
      </c>
      <c r="B33" s="239">
        <f>'[6]Degree Days 2022'!B33</f>
        <v>13</v>
      </c>
      <c r="C33" s="239">
        <f>'General information '!C28</f>
        <v>0</v>
      </c>
      <c r="D33" s="239">
        <f>'[7]Degree Days 2020'!D33</f>
        <v>-4.3000000000000007</v>
      </c>
      <c r="E33" s="3">
        <f>'[7]Degree Days 2020'!E33</f>
        <v>24</v>
      </c>
      <c r="F33" s="239">
        <f>'[8]Degree Days 2022'!F33</f>
        <v>26</v>
      </c>
      <c r="G33" s="239">
        <f>'[8]Degree Days 2022'!G33</f>
        <v>12</v>
      </c>
      <c r="H33" s="239">
        <f>'[7]Degree Days 2020'!H33</f>
        <v>-2.8000000000000007</v>
      </c>
      <c r="I33" s="3">
        <f>'[7]Degree Days 2020'!I33</f>
        <v>24</v>
      </c>
      <c r="J33" s="239">
        <f>'[9]Degree Days 2022'!J33</f>
        <v>13</v>
      </c>
      <c r="K33" s="239">
        <f>'[9]Degree Days 2022'!K33</f>
        <v>9</v>
      </c>
      <c r="L33" s="239">
        <f>'[7]Degree Days 2020'!L33</f>
        <v>-4.8000000000000007</v>
      </c>
      <c r="M33" s="3">
        <f>'[10]Degree Days 2020'!M33</f>
        <v>24</v>
      </c>
      <c r="N33" s="239">
        <f>'[11]Degree Days 2022'!N33</f>
        <v>0</v>
      </c>
      <c r="O33" s="239">
        <f>'[11]Degree Days 2022'!O33</f>
        <v>0</v>
      </c>
      <c r="P33" s="239">
        <f t="shared" si="0"/>
        <v>-18.3</v>
      </c>
      <c r="Q33" s="3">
        <v>24</v>
      </c>
      <c r="R33" s="239">
        <f>'[12]Degree Days 2022'!R33</f>
        <v>24</v>
      </c>
      <c r="S33" s="239">
        <f>'[12]Degree Days 2022'!S33</f>
        <v>20</v>
      </c>
      <c r="T33" s="239">
        <f t="shared" si="1"/>
        <v>3.6999999999999993</v>
      </c>
      <c r="U33" s="3">
        <v>24</v>
      </c>
      <c r="V33" s="239">
        <f>'[13]Degree Days 2022'!V33</f>
        <v>0</v>
      </c>
      <c r="W33" s="239">
        <f>'[13]Degree Days 2022'!W33</f>
        <v>0</v>
      </c>
      <c r="X33" s="239">
        <f t="shared" si="2"/>
        <v>-18.3</v>
      </c>
    </row>
    <row r="34" spans="1:24">
      <c r="A34" s="113">
        <v>25</v>
      </c>
      <c r="B34" s="239">
        <f>'[6]Degree Days 2022'!B34</f>
        <v>16</v>
      </c>
      <c r="C34" s="239">
        <f>'General information '!C29</f>
        <v>0</v>
      </c>
      <c r="D34" s="239">
        <f>'[7]Degree Days 2020'!D34</f>
        <v>-1.8000000000000007</v>
      </c>
      <c r="E34" s="3">
        <f>'[7]Degree Days 2020'!E34</f>
        <v>25</v>
      </c>
      <c r="F34" s="239">
        <f>'[8]Degree Days 2022'!F34</f>
        <v>0</v>
      </c>
      <c r="G34" s="239">
        <f>'[8]Degree Days 2022'!G34</f>
        <v>0</v>
      </c>
      <c r="H34" s="239">
        <f>'[7]Degree Days 2020'!H34</f>
        <v>-2.8000000000000007</v>
      </c>
      <c r="I34" s="3">
        <f>'[7]Degree Days 2020'!I34</f>
        <v>25</v>
      </c>
      <c r="J34" s="239">
        <f>'[9]Degree Days 2022'!J34</f>
        <v>0</v>
      </c>
      <c r="K34" s="239">
        <f>'[9]Degree Days 2022'!K34</f>
        <v>0</v>
      </c>
      <c r="L34" s="239">
        <f>'[7]Degree Days 2020'!L34</f>
        <v>-4.8000000000000007</v>
      </c>
      <c r="M34" s="3">
        <f>'[10]Degree Days 2020'!M34</f>
        <v>25</v>
      </c>
      <c r="N34" s="239">
        <f>'[11]Degree Days 2022'!N34</f>
        <v>23</v>
      </c>
      <c r="O34" s="239">
        <f>'[11]Degree Days 2022'!O34</f>
        <v>18</v>
      </c>
      <c r="P34" s="239">
        <f t="shared" si="0"/>
        <v>2.1999999999999993</v>
      </c>
      <c r="Q34" s="3">
        <v>25</v>
      </c>
      <c r="R34" s="239">
        <f>'[12]Degree Days 2022'!R34</f>
        <v>24</v>
      </c>
      <c r="S34" s="239">
        <f>'[12]Degree Days 2022'!S34</f>
        <v>20</v>
      </c>
      <c r="T34" s="239">
        <f t="shared" si="1"/>
        <v>3.6999999999999993</v>
      </c>
      <c r="U34" s="3">
        <v>25</v>
      </c>
      <c r="V34" s="239">
        <f>'[13]Degree Days 2022'!V34</f>
        <v>0</v>
      </c>
      <c r="W34" s="239">
        <f>'[13]Degree Days 2022'!W34</f>
        <v>0</v>
      </c>
      <c r="X34" s="239">
        <f t="shared" si="2"/>
        <v>-18.3</v>
      </c>
    </row>
    <row r="35" spans="1:24">
      <c r="A35" s="113">
        <v>26</v>
      </c>
      <c r="B35" s="239">
        <f>'[6]Degree Days 2022'!B35</f>
        <v>12</v>
      </c>
      <c r="C35" s="239">
        <f>'General information '!C30</f>
        <v>0</v>
      </c>
      <c r="D35" s="239">
        <f>'[7]Degree Days 2020'!D35</f>
        <v>-3.8000000000000007</v>
      </c>
      <c r="E35" s="3">
        <f>'[7]Degree Days 2020'!E35</f>
        <v>26</v>
      </c>
      <c r="F35" s="239">
        <f>'[8]Degree Days 2022'!F35</f>
        <v>0</v>
      </c>
      <c r="G35" s="239">
        <f>'[8]Degree Days 2022'!G35</f>
        <v>0</v>
      </c>
      <c r="H35" s="239">
        <f>'[7]Degree Days 2020'!H35</f>
        <v>-2.8000000000000007</v>
      </c>
      <c r="I35" s="3">
        <f>'[7]Degree Days 2020'!I35</f>
        <v>26</v>
      </c>
      <c r="J35" s="239">
        <f>'[9]Degree Days 2022'!J35</f>
        <v>0</v>
      </c>
      <c r="K35" s="239">
        <f>'[9]Degree Days 2022'!K35</f>
        <v>0</v>
      </c>
      <c r="L35" s="239">
        <f>'[7]Degree Days 2020'!L35</f>
        <v>-5.3000000000000007</v>
      </c>
      <c r="M35" s="3">
        <f>'[10]Degree Days 2020'!M35</f>
        <v>26</v>
      </c>
      <c r="N35" s="239">
        <f>'[11]Degree Days 2022'!N35</f>
        <v>25</v>
      </c>
      <c r="O35" s="239">
        <f>'[11]Degree Days 2022'!O35</f>
        <v>16</v>
      </c>
      <c r="P35" s="239">
        <f t="shared" si="0"/>
        <v>2.1999999999999993</v>
      </c>
      <c r="Q35" s="3">
        <v>26</v>
      </c>
      <c r="R35" s="239">
        <f>'[12]Degree Days 2022'!R35</f>
        <v>28</v>
      </c>
      <c r="S35" s="239">
        <f>'[12]Degree Days 2022'!S35</f>
        <v>19</v>
      </c>
      <c r="T35" s="239">
        <f t="shared" si="1"/>
        <v>5.1999999999999993</v>
      </c>
      <c r="U35" s="3">
        <v>26</v>
      </c>
      <c r="V35" s="239">
        <f>'[13]Degree Days 2022'!V35</f>
        <v>29</v>
      </c>
      <c r="W35" s="239">
        <f>'[13]Degree Days 2022'!W35</f>
        <v>24</v>
      </c>
      <c r="X35" s="239">
        <f t="shared" si="2"/>
        <v>8.1999999999999993</v>
      </c>
    </row>
    <row r="36" spans="1:24">
      <c r="A36" s="113">
        <v>27</v>
      </c>
      <c r="B36" s="239">
        <f>'[6]Degree Days 2022'!B36</f>
        <v>14</v>
      </c>
      <c r="C36" s="239">
        <f>'General information '!C31</f>
        <v>0</v>
      </c>
      <c r="D36" s="239">
        <f>'[7]Degree Days 2020'!D36</f>
        <v>-6.3000000000000007</v>
      </c>
      <c r="E36" s="3">
        <f>'[7]Degree Days 2020'!E36</f>
        <v>27</v>
      </c>
      <c r="F36" s="239">
        <f>'[8]Degree Days 2022'!F36</f>
        <v>18</v>
      </c>
      <c r="G36" s="239">
        <f>'[8]Degree Days 2022'!G36</f>
        <v>14</v>
      </c>
      <c r="H36" s="239">
        <f>'[7]Degree Days 2020'!H36</f>
        <v>-2.8000000000000007</v>
      </c>
      <c r="I36" s="3">
        <f>'[7]Degree Days 2020'!I36</f>
        <v>27</v>
      </c>
      <c r="J36" s="239">
        <f>'[9]Degree Days 2022'!J36</f>
        <v>18</v>
      </c>
      <c r="K36" s="239">
        <f>'[9]Degree Days 2022'!K36</f>
        <v>11</v>
      </c>
      <c r="L36" s="239">
        <f>'[7]Degree Days 2020'!L36</f>
        <v>-4.3000000000000007</v>
      </c>
      <c r="M36" s="3">
        <f>'[10]Degree Days 2020'!M36</f>
        <v>27</v>
      </c>
      <c r="N36" s="239">
        <f>'[11]Degree Days 2022'!N36</f>
        <v>23</v>
      </c>
      <c r="O36" s="239">
        <f>'[11]Degree Days 2022'!O36</f>
        <v>17</v>
      </c>
      <c r="P36" s="239">
        <f t="shared" si="0"/>
        <v>1.6999999999999993</v>
      </c>
      <c r="Q36" s="3">
        <v>27</v>
      </c>
      <c r="R36" s="239">
        <f>'[12]Degree Days 2022'!R36</f>
        <v>0</v>
      </c>
      <c r="S36" s="239">
        <f>'[12]Degree Days 2022'!S36</f>
        <v>0</v>
      </c>
      <c r="T36" s="239">
        <f t="shared" si="1"/>
        <v>-18.3</v>
      </c>
      <c r="U36" s="3">
        <v>27</v>
      </c>
      <c r="V36" s="239">
        <f>'[13]Degree Days 2022'!V36</f>
        <v>29</v>
      </c>
      <c r="W36" s="239">
        <f>'[13]Degree Days 2022'!W36</f>
        <v>24</v>
      </c>
      <c r="X36" s="239">
        <f t="shared" si="2"/>
        <v>8.1999999999999993</v>
      </c>
    </row>
    <row r="37" spans="1:24">
      <c r="A37" s="113">
        <v>28</v>
      </c>
      <c r="B37" s="239">
        <f>'[6]Degree Days 2022'!B37</f>
        <v>0</v>
      </c>
      <c r="C37" s="239">
        <f>'General information '!C32</f>
        <v>0</v>
      </c>
      <c r="D37" s="239">
        <f>'[7]Degree Days 2020'!D37</f>
        <v>-6.3000000000000007</v>
      </c>
      <c r="E37" s="3">
        <f>'[7]Degree Days 2020'!E37</f>
        <v>28</v>
      </c>
      <c r="F37" s="239">
        <f>'[8]Degree Days 2022'!F37</f>
        <v>17</v>
      </c>
      <c r="G37" s="239">
        <f>'[8]Degree Days 2022'!G37</f>
        <v>12</v>
      </c>
      <c r="H37" s="239">
        <f>'[7]Degree Days 2020'!H37</f>
        <v>-3.3000000000000007</v>
      </c>
      <c r="I37" s="3">
        <f>'[7]Degree Days 2020'!I37</f>
        <v>28</v>
      </c>
      <c r="J37" s="239">
        <f>'[9]Degree Days 2022'!J37</f>
        <v>18</v>
      </c>
      <c r="K37" s="239">
        <f>'[9]Degree Days 2022'!K37</f>
        <v>11</v>
      </c>
      <c r="L37" s="239">
        <f>'[7]Degree Days 2020'!L37</f>
        <v>-3.3000000000000007</v>
      </c>
      <c r="M37" s="3">
        <f>'[10]Degree Days 2020'!M37</f>
        <v>28</v>
      </c>
      <c r="N37" s="239">
        <f>'[11]Degree Days 2022'!N37</f>
        <v>22</v>
      </c>
      <c r="O37" s="239">
        <f>'[11]Degree Days 2022'!O37</f>
        <v>19</v>
      </c>
      <c r="P37" s="239">
        <f t="shared" si="0"/>
        <v>2.1999999999999993</v>
      </c>
      <c r="Q37" s="3">
        <v>28</v>
      </c>
      <c r="R37" s="239">
        <f>'[12]Degree Days 2022'!R37</f>
        <v>0</v>
      </c>
      <c r="S37" s="239">
        <f>'[12]Degree Days 2022'!S37</f>
        <v>0</v>
      </c>
      <c r="T37" s="239">
        <f t="shared" si="1"/>
        <v>-18.3</v>
      </c>
      <c r="U37" s="3">
        <v>28</v>
      </c>
      <c r="V37" s="239">
        <f>'[13]Degree Days 2022'!V37</f>
        <v>28</v>
      </c>
      <c r="W37" s="239">
        <f>'[13]Degree Days 2022'!W37</f>
        <v>24</v>
      </c>
      <c r="X37" s="239">
        <f t="shared" si="2"/>
        <v>7.6999999999999993</v>
      </c>
    </row>
    <row r="38" spans="1:24">
      <c r="A38" s="113">
        <v>29</v>
      </c>
      <c r="B38" s="239">
        <f>'[6]Degree Days 2022'!B38</f>
        <v>0</v>
      </c>
      <c r="C38" s="239">
        <f>'General information '!C33</f>
        <v>0</v>
      </c>
      <c r="D38" s="239">
        <f>'[7]Degree Days 2020'!D38</f>
        <v>-4.3000000000000007</v>
      </c>
      <c r="E38" s="3"/>
      <c r="F38" s="239"/>
      <c r="G38" s="239"/>
      <c r="H38" s="239"/>
      <c r="I38" s="3">
        <f>'[7]Degree Days 2020'!I38</f>
        <v>29</v>
      </c>
      <c r="J38" s="239">
        <f>'[9]Degree Days 2022'!J38</f>
        <v>22</v>
      </c>
      <c r="K38" s="239">
        <f>'[9]Degree Days 2022'!K38</f>
        <v>12</v>
      </c>
      <c r="L38" s="239">
        <f>'[7]Degree Days 2020'!L38</f>
        <v>-2.8000000000000007</v>
      </c>
      <c r="M38" s="3">
        <f>'[10]Degree Days 2020'!M38</f>
        <v>29</v>
      </c>
      <c r="N38" s="239">
        <f>'[11]Degree Days 2022'!N38</f>
        <v>0</v>
      </c>
      <c r="O38" s="239">
        <f>'[11]Degree Days 2022'!O38</f>
        <v>0</v>
      </c>
      <c r="P38" s="239">
        <f t="shared" si="0"/>
        <v>-18.3</v>
      </c>
      <c r="Q38" s="3">
        <v>29</v>
      </c>
      <c r="R38" s="239">
        <f>'[12]Degree Days 2022'!R38</f>
        <v>0</v>
      </c>
      <c r="S38" s="239">
        <f>'[12]Degree Days 2022'!S38</f>
        <v>0</v>
      </c>
      <c r="T38" s="239">
        <f t="shared" si="1"/>
        <v>-18.3</v>
      </c>
      <c r="U38" s="3">
        <v>29</v>
      </c>
      <c r="V38" s="239">
        <f>'[13]Degree Days 2022'!V38</f>
        <v>29</v>
      </c>
      <c r="W38" s="239">
        <f>'[13]Degree Days 2022'!W38</f>
        <v>24</v>
      </c>
      <c r="X38" s="239">
        <f t="shared" si="2"/>
        <v>8.1999999999999993</v>
      </c>
    </row>
    <row r="39" spans="1:24">
      <c r="A39" s="113">
        <v>30</v>
      </c>
      <c r="B39" s="239">
        <f>'[6]Degree Days 2022'!B39</f>
        <v>17</v>
      </c>
      <c r="C39" s="239">
        <f>'General information '!C34</f>
        <v>0</v>
      </c>
      <c r="D39" s="239">
        <f>'[7]Degree Days 2020'!D39</f>
        <v>-11.3</v>
      </c>
      <c r="E39" s="3"/>
      <c r="F39" s="239"/>
      <c r="G39" s="239"/>
      <c r="H39" s="239"/>
      <c r="I39" s="3">
        <f>'[7]Degree Days 2020'!I39</f>
        <v>30</v>
      </c>
      <c r="J39" s="239">
        <f>'[9]Degree Days 2022'!J39</f>
        <v>19</v>
      </c>
      <c r="K39" s="239">
        <f>'[9]Degree Days 2022'!K39</f>
        <v>15</v>
      </c>
      <c r="L39" s="239">
        <f>'[7]Degree Days 2020'!L39</f>
        <v>-2.3000000000000007</v>
      </c>
      <c r="M39" s="3">
        <f>'[10]Degree Days 2020'!M39</f>
        <v>30</v>
      </c>
      <c r="N39" s="239">
        <f>'[11]Degree Days 2022'!N39</f>
        <v>0</v>
      </c>
      <c r="O39" s="239">
        <f>'[11]Degree Days 2022'!O39</f>
        <v>0</v>
      </c>
      <c r="P39" s="239">
        <f t="shared" si="0"/>
        <v>-18.3</v>
      </c>
      <c r="Q39" s="3">
        <v>30</v>
      </c>
      <c r="R39" s="239">
        <f>'[12]Degree Days 2022'!R39</f>
        <v>27</v>
      </c>
      <c r="S39" s="239">
        <f>'[12]Degree Days 2022'!S39</f>
        <v>22</v>
      </c>
      <c r="T39" s="239">
        <f t="shared" si="1"/>
        <v>6.1999999999999993</v>
      </c>
      <c r="U39" s="3">
        <v>30</v>
      </c>
      <c r="V39" s="239">
        <f>'[13]Degree Days 2022'!V39</f>
        <v>29</v>
      </c>
      <c r="W39" s="239">
        <f>'[13]Degree Days 2022'!W39</f>
        <v>23</v>
      </c>
      <c r="X39" s="239">
        <f t="shared" si="2"/>
        <v>7.6999999999999993</v>
      </c>
    </row>
    <row r="40" spans="1:24">
      <c r="A40" s="113">
        <v>31</v>
      </c>
      <c r="B40" s="239">
        <f>'[6]Degree Days 2022'!B40</f>
        <v>17</v>
      </c>
      <c r="C40" s="239">
        <f>'General information '!C35</f>
        <v>0</v>
      </c>
      <c r="D40" s="239">
        <f>'[7]Degree Days 2020'!D40</f>
        <v>0.19999999999999929</v>
      </c>
      <c r="E40" s="3"/>
      <c r="F40" s="239"/>
      <c r="G40" s="239"/>
      <c r="H40" s="239"/>
      <c r="I40" s="3">
        <f>'[7]Degree Days 2020'!I40</f>
        <v>31</v>
      </c>
      <c r="J40" s="239">
        <f>'[9]Degree Days 2022'!J40</f>
        <v>21</v>
      </c>
      <c r="K40" s="239">
        <f>'[9]Degree Days 2022'!K40</f>
        <v>13</v>
      </c>
      <c r="L40" s="239">
        <f>'[7]Degree Days 2020'!L40</f>
        <v>-2.8000000000000007</v>
      </c>
      <c r="M40" s="3"/>
      <c r="N40" s="239"/>
      <c r="O40" s="239"/>
      <c r="P40" s="239"/>
      <c r="Q40" s="3">
        <v>31</v>
      </c>
      <c r="R40" s="239">
        <f>'[12]Degree Days 2022'!R40</f>
        <v>26</v>
      </c>
      <c r="S40" s="239">
        <f>'[12]Degree Days 2022'!S40</f>
        <v>22</v>
      </c>
      <c r="T40" s="239">
        <f t="shared" si="1"/>
        <v>5.6999999999999993</v>
      </c>
      <c r="U40" s="239"/>
      <c r="V40" s="239"/>
      <c r="W40" s="239"/>
      <c r="X40" s="239"/>
    </row>
    <row r="41" spans="1:24">
      <c r="A41" s="119"/>
      <c r="B41" s="120"/>
      <c r="C41" s="120"/>
      <c r="D41" s="117"/>
      <c r="E41" s="119"/>
      <c r="F41" s="120"/>
      <c r="G41" s="120"/>
      <c r="H41" s="117"/>
      <c r="I41" s="119"/>
      <c r="J41" s="120"/>
      <c r="K41" s="120"/>
      <c r="L41" s="117"/>
      <c r="M41" s="119"/>
      <c r="N41" s="120"/>
      <c r="O41" s="120"/>
      <c r="P41" s="117"/>
      <c r="Q41" s="119"/>
      <c r="R41" s="120"/>
      <c r="S41" s="120"/>
      <c r="T41" s="117"/>
      <c r="U41" s="119"/>
      <c r="V41" s="120"/>
      <c r="W41" s="120"/>
      <c r="X41" s="117"/>
    </row>
    <row r="42" spans="1:24" s="124" customFormat="1" ht="21">
      <c r="A42" s="121"/>
      <c r="B42" s="122" t="s">
        <v>303</v>
      </c>
      <c r="C42" s="122" t="s">
        <v>304</v>
      </c>
      <c r="D42" s="123"/>
      <c r="E42" s="121"/>
      <c r="F42" s="122" t="s">
        <v>303</v>
      </c>
      <c r="G42" s="122" t="s">
        <v>304</v>
      </c>
      <c r="H42" s="123"/>
      <c r="I42" s="121"/>
      <c r="J42" s="122" t="s">
        <v>303</v>
      </c>
      <c r="K42" s="122" t="s">
        <v>304</v>
      </c>
      <c r="L42" s="123"/>
      <c r="M42" s="121"/>
      <c r="N42" s="122" t="s">
        <v>303</v>
      </c>
      <c r="O42" s="122" t="s">
        <v>304</v>
      </c>
      <c r="P42" s="123"/>
      <c r="Q42" s="121"/>
      <c r="R42" s="122" t="s">
        <v>303</v>
      </c>
      <c r="S42" s="122" t="s">
        <v>304</v>
      </c>
      <c r="T42" s="123"/>
      <c r="U42" s="121"/>
      <c r="V42" s="122" t="s">
        <v>303</v>
      </c>
      <c r="W42" s="122" t="s">
        <v>304</v>
      </c>
      <c r="X42" s="123"/>
    </row>
    <row r="43" spans="1:24">
      <c r="A43" s="125"/>
      <c r="B43" s="115">
        <f>SUMIF(D10:D37,"&lt;0")</f>
        <v>-76.999999999999986</v>
      </c>
      <c r="C43" s="115">
        <f>SUMIF(D10:D37,"&gt;0")</f>
        <v>2.5999999999999943</v>
      </c>
      <c r="D43" s="126"/>
      <c r="E43" s="125"/>
      <c r="F43" s="115">
        <f>SUMIF(H10:H37,"&lt;0")</f>
        <v>-75.899999999999977</v>
      </c>
      <c r="G43" s="115">
        <f>SUMIF(H10:H37,"&gt;0")</f>
        <v>6.4999999999999964</v>
      </c>
      <c r="H43" s="126"/>
      <c r="I43" s="125"/>
      <c r="J43" s="115">
        <f>SUMIF(L10:L37,"&lt;0")</f>
        <v>-56.899999999999991</v>
      </c>
      <c r="K43" s="115">
        <f>SUMIF(L10:L37,"&gt;0")</f>
        <v>11.499999999999996</v>
      </c>
      <c r="L43" s="126"/>
      <c r="M43" s="125"/>
      <c r="N43" s="115">
        <f>SUMIF(P10:P37,"&lt;0")</f>
        <v>-220.20000000000007</v>
      </c>
      <c r="O43" s="115">
        <f>SUMIF(P10:P37,"&gt;0")</f>
        <v>34.299999999999997</v>
      </c>
      <c r="P43" s="126"/>
      <c r="Q43" s="125"/>
      <c r="R43" s="115">
        <f>SUMIF(T10:T37,"&lt;0")</f>
        <v>-201.30000000000004</v>
      </c>
      <c r="S43" s="115">
        <f>SUMIF(T10:T37,"&gt;0")</f>
        <v>43.399999999999991</v>
      </c>
      <c r="T43" s="126"/>
      <c r="U43" s="125"/>
      <c r="V43" s="115">
        <f>SUMIF(X10:X37,"&lt;0")</f>
        <v>-256.20000000000005</v>
      </c>
      <c r="W43" s="115">
        <f>SUMIF(X10:X37,"&gt;0")</f>
        <v>93.800000000000011</v>
      </c>
      <c r="X43" s="126"/>
    </row>
    <row r="44" spans="1:24">
      <c r="A44" s="127"/>
      <c r="B44" s="128"/>
      <c r="C44" s="128"/>
      <c r="D44" s="129"/>
      <c r="E44" s="127"/>
      <c r="F44" s="128"/>
      <c r="G44" s="128"/>
      <c r="H44" s="129"/>
      <c r="I44" s="127"/>
      <c r="J44" s="128"/>
      <c r="K44" s="128"/>
      <c r="L44" s="129"/>
      <c r="M44" s="127"/>
      <c r="N44" s="128"/>
      <c r="O44" s="128"/>
      <c r="P44" s="129"/>
      <c r="Q44" s="127"/>
      <c r="R44" s="128"/>
      <c r="S44" s="128"/>
      <c r="T44" s="129"/>
      <c r="U44" s="127"/>
      <c r="V44" s="128"/>
      <c r="W44" s="128"/>
      <c r="X44" s="129"/>
    </row>
    <row r="45" spans="1:24">
      <c r="D45" s="130"/>
      <c r="H45" s="130"/>
      <c r="L45" s="130"/>
      <c r="P45" s="130"/>
      <c r="T45" s="130"/>
      <c r="X45" s="130"/>
    </row>
    <row r="46" spans="1:24" ht="15.75">
      <c r="A46" s="101"/>
      <c r="B46" s="102"/>
      <c r="C46" s="103"/>
      <c r="D46" s="131"/>
      <c r="E46" s="101"/>
      <c r="F46" s="102"/>
      <c r="G46" s="103"/>
      <c r="H46" s="131"/>
      <c r="I46" s="101"/>
      <c r="J46" s="105"/>
      <c r="K46" s="102"/>
      <c r="L46" s="132"/>
      <c r="M46" s="101"/>
      <c r="N46" s="102"/>
      <c r="O46" s="103"/>
      <c r="P46" s="131"/>
      <c r="Q46" s="107"/>
      <c r="R46" s="105"/>
      <c r="S46" s="102"/>
      <c r="T46" s="132"/>
      <c r="U46" s="107"/>
      <c r="V46" s="105"/>
      <c r="W46" s="102"/>
      <c r="X46" s="132"/>
    </row>
    <row r="47" spans="1:24" ht="22.5">
      <c r="A47" s="133" t="s">
        <v>306</v>
      </c>
      <c r="B47" s="109" t="s">
        <v>295</v>
      </c>
      <c r="C47" s="109" t="s">
        <v>296</v>
      </c>
      <c r="D47" s="134" t="s">
        <v>297</v>
      </c>
      <c r="E47" s="133" t="s">
        <v>307</v>
      </c>
      <c r="F47" s="109" t="s">
        <v>295</v>
      </c>
      <c r="G47" s="109" t="s">
        <v>296</v>
      </c>
      <c r="H47" s="134" t="s">
        <v>297</v>
      </c>
      <c r="I47" s="133" t="s">
        <v>308</v>
      </c>
      <c r="J47" s="109" t="s">
        <v>295</v>
      </c>
      <c r="K47" s="109" t="s">
        <v>296</v>
      </c>
      <c r="L47" s="134" t="s">
        <v>297</v>
      </c>
      <c r="M47" s="133" t="s">
        <v>309</v>
      </c>
      <c r="N47" s="109" t="s">
        <v>295</v>
      </c>
      <c r="O47" s="109" t="s">
        <v>296</v>
      </c>
      <c r="P47" s="134" t="s">
        <v>297</v>
      </c>
      <c r="Q47" s="133" t="s">
        <v>310</v>
      </c>
      <c r="R47" s="109" t="s">
        <v>295</v>
      </c>
      <c r="S47" s="109" t="s">
        <v>296</v>
      </c>
      <c r="T47" s="134" t="s">
        <v>297</v>
      </c>
      <c r="U47" s="133" t="s">
        <v>311</v>
      </c>
      <c r="V47" s="109" t="s">
        <v>295</v>
      </c>
      <c r="W47" s="109" t="s">
        <v>296</v>
      </c>
      <c r="X47" s="134" t="s">
        <v>297</v>
      </c>
    </row>
    <row r="48" spans="1:24">
      <c r="A48" s="113">
        <v>1</v>
      </c>
      <c r="B48" s="239">
        <f>'[14]General information '!B5</f>
        <v>0</v>
      </c>
      <c r="C48" s="239">
        <f>'[14]General information '!C5</f>
        <v>0</v>
      </c>
      <c r="D48" s="115">
        <f t="shared" ref="D48:D56" si="3">(B48+C48)/2-18.3</f>
        <v>-18.3</v>
      </c>
      <c r="E48" s="113">
        <v>1</v>
      </c>
      <c r="F48" s="239">
        <f>'[15]General information '!B5</f>
        <v>31</v>
      </c>
      <c r="G48" s="239">
        <f>'[15]General information '!C5</f>
        <v>26</v>
      </c>
      <c r="H48" s="115">
        <f t="shared" ref="H48:H78" si="4">(F48+G48)/2-18.3</f>
        <v>10.199999999999999</v>
      </c>
      <c r="I48" s="113">
        <v>1</v>
      </c>
      <c r="J48" s="239">
        <f>'General information '!B5</f>
        <v>19</v>
      </c>
      <c r="K48" s="239">
        <f>'General information '!C5</f>
        <v>13</v>
      </c>
      <c r="L48" s="115">
        <f>(J48+K48)/2-18.3</f>
        <v>-2.3000000000000007</v>
      </c>
      <c r="M48" s="113">
        <v>1</v>
      </c>
      <c r="N48" s="239">
        <f>'[5]General information '!B5</f>
        <v>29</v>
      </c>
      <c r="O48" s="239">
        <f>'[5]General information '!C5</f>
        <v>24</v>
      </c>
      <c r="P48" s="115">
        <f>(N48+O48)/2-18.3</f>
        <v>8.1999999999999993</v>
      </c>
      <c r="Q48" s="113">
        <v>1</v>
      </c>
      <c r="R48" s="239">
        <f>'[2]General information '!B5</f>
        <v>24</v>
      </c>
      <c r="S48" s="239">
        <f>'[2]General information '!C5</f>
        <v>20</v>
      </c>
      <c r="T48" s="115">
        <f>(R48+S48)/2-18.3</f>
        <v>3.6999999999999993</v>
      </c>
      <c r="U48" s="113">
        <v>1</v>
      </c>
      <c r="V48" s="239">
        <f>'General information '!B5</f>
        <v>19</v>
      </c>
      <c r="W48" s="239">
        <f>'General information '!C5</f>
        <v>13</v>
      </c>
      <c r="X48" s="115">
        <f t="shared" ref="X48:X78" si="5">(V48+W48)/2-18.3</f>
        <v>-2.3000000000000007</v>
      </c>
    </row>
    <row r="49" spans="1:24">
      <c r="A49" s="113">
        <v>2</v>
      </c>
      <c r="B49" s="239">
        <f>'[14]General information '!B6</f>
        <v>0</v>
      </c>
      <c r="C49" s="239">
        <f>'[14]General information '!C6</f>
        <v>0</v>
      </c>
      <c r="D49" s="115">
        <f t="shared" si="3"/>
        <v>-18.3</v>
      </c>
      <c r="E49" s="113">
        <v>2</v>
      </c>
      <c r="F49" s="239">
        <f>'[15]General information '!B6</f>
        <v>31</v>
      </c>
      <c r="G49" s="239">
        <f>'[15]General information '!C6</f>
        <v>26</v>
      </c>
      <c r="H49" s="115">
        <f t="shared" si="4"/>
        <v>10.199999999999999</v>
      </c>
      <c r="I49" s="113">
        <v>2</v>
      </c>
      <c r="J49" s="239">
        <f>'General information '!B6</f>
        <v>20</v>
      </c>
      <c r="K49" s="239">
        <f>'General information '!C6</f>
        <v>14</v>
      </c>
      <c r="L49" s="115">
        <f t="shared" ref="L49:L77" si="6">(J49+K49)/2-18.3</f>
        <v>-1.3000000000000007</v>
      </c>
      <c r="M49" s="113">
        <v>2</v>
      </c>
      <c r="N49" s="239">
        <f>'[5]General information '!B6</f>
        <v>0</v>
      </c>
      <c r="O49" s="239">
        <f>'[5]General information '!C6</f>
        <v>0</v>
      </c>
      <c r="P49" s="115">
        <f t="shared" ref="P49:P78" si="7">(N49+O49)/2-18.3</f>
        <v>-18.3</v>
      </c>
      <c r="Q49" s="113">
        <v>2</v>
      </c>
      <c r="R49" s="239">
        <f>'[2]General information '!B6</f>
        <v>25</v>
      </c>
      <c r="S49" s="239">
        <f>'[2]General information '!C6</f>
        <v>18</v>
      </c>
      <c r="T49" s="115">
        <f t="shared" ref="T49:T77" si="8">(R49+S49)/2-18.3</f>
        <v>3.1999999999999993</v>
      </c>
      <c r="U49" s="113">
        <v>2</v>
      </c>
      <c r="V49" s="239">
        <f>'General information '!B6</f>
        <v>20</v>
      </c>
      <c r="W49" s="239">
        <f>'General information '!C6</f>
        <v>14</v>
      </c>
      <c r="X49" s="115">
        <f t="shared" si="5"/>
        <v>-1.3000000000000007</v>
      </c>
    </row>
    <row r="50" spans="1:24">
      <c r="A50" s="113">
        <v>3</v>
      </c>
      <c r="B50" s="239">
        <f>'[14]General information '!B7</f>
        <v>29</v>
      </c>
      <c r="C50" s="239">
        <f>'[14]General information '!C7</f>
        <v>26</v>
      </c>
      <c r="D50" s="115">
        <f t="shared" si="3"/>
        <v>9.1999999999999993</v>
      </c>
      <c r="E50" s="113">
        <v>3</v>
      </c>
      <c r="F50" s="239">
        <f>'[15]General information '!B7</f>
        <v>0</v>
      </c>
      <c r="G50" s="239">
        <f>'[15]General information '!C7</f>
        <v>0</v>
      </c>
      <c r="H50" s="115">
        <f t="shared" si="4"/>
        <v>-18.3</v>
      </c>
      <c r="I50" s="113">
        <v>3</v>
      </c>
      <c r="J50" s="239">
        <f>'General information '!B7</f>
        <v>20</v>
      </c>
      <c r="K50" s="239">
        <f>'General information '!C7</f>
        <v>18</v>
      </c>
      <c r="L50" s="115">
        <f t="shared" si="6"/>
        <v>0.69999999999999929</v>
      </c>
      <c r="M50" s="113">
        <v>3</v>
      </c>
      <c r="N50" s="239">
        <f>'[5]General information '!B7</f>
        <v>0</v>
      </c>
      <c r="O50" s="239">
        <f>'[5]General information '!C7</f>
        <v>0</v>
      </c>
      <c r="P50" s="115">
        <f t="shared" si="7"/>
        <v>-18.3</v>
      </c>
      <c r="Q50" s="113">
        <v>3</v>
      </c>
      <c r="R50" s="239">
        <f>'[2]General information '!B7</f>
        <v>24</v>
      </c>
      <c r="S50" s="239">
        <f>'[2]General information '!C7</f>
        <v>18</v>
      </c>
      <c r="T50" s="115">
        <f t="shared" si="8"/>
        <v>2.6999999999999993</v>
      </c>
      <c r="U50" s="113">
        <v>3</v>
      </c>
      <c r="V50" s="239">
        <f>'General information '!B7</f>
        <v>20</v>
      </c>
      <c r="W50" s="239">
        <f>'General information '!C7</f>
        <v>18</v>
      </c>
      <c r="X50" s="115">
        <f t="shared" si="5"/>
        <v>0.69999999999999929</v>
      </c>
    </row>
    <row r="51" spans="1:24">
      <c r="A51" s="113">
        <v>4</v>
      </c>
      <c r="B51" s="239">
        <f>'[14]General information '!B8</f>
        <v>29</v>
      </c>
      <c r="C51" s="239">
        <f>'[14]General information '!C8</f>
        <v>25</v>
      </c>
      <c r="D51" s="115">
        <f t="shared" si="3"/>
        <v>8.6999999999999993</v>
      </c>
      <c r="E51" s="113">
        <v>4</v>
      </c>
      <c r="F51" s="239">
        <f>'[15]General information '!B8</f>
        <v>30</v>
      </c>
      <c r="G51" s="239">
        <f>'[15]General information '!C8</f>
        <v>26</v>
      </c>
      <c r="H51" s="115">
        <f t="shared" si="4"/>
        <v>9.6999999999999993</v>
      </c>
      <c r="I51" s="113">
        <v>4</v>
      </c>
      <c r="J51" s="239">
        <f>'General information '!B8</f>
        <v>21</v>
      </c>
      <c r="K51" s="239">
        <f>'General information '!C8</f>
        <v>13</v>
      </c>
      <c r="L51" s="115">
        <f t="shared" si="6"/>
        <v>-1.3000000000000007</v>
      </c>
      <c r="M51" s="113">
        <v>4</v>
      </c>
      <c r="N51" s="239">
        <f>'[5]General information '!B8</f>
        <v>28</v>
      </c>
      <c r="O51" s="239">
        <f>'[5]General information '!C8</f>
        <v>25</v>
      </c>
      <c r="P51" s="115">
        <f t="shared" si="7"/>
        <v>8.1999999999999993</v>
      </c>
      <c r="Q51" s="113">
        <v>4</v>
      </c>
      <c r="R51" s="239">
        <f>'[2]General information '!B8</f>
        <v>24</v>
      </c>
      <c r="S51" s="239">
        <f>'[2]General information '!C8</f>
        <v>17</v>
      </c>
      <c r="T51" s="115">
        <f t="shared" si="8"/>
        <v>2.1999999999999993</v>
      </c>
      <c r="U51" s="113">
        <v>4</v>
      </c>
      <c r="V51" s="239">
        <f>'General information '!B8</f>
        <v>21</v>
      </c>
      <c r="W51" s="239">
        <f>'General information '!C8</f>
        <v>13</v>
      </c>
      <c r="X51" s="115">
        <f t="shared" si="5"/>
        <v>-1.3000000000000007</v>
      </c>
    </row>
    <row r="52" spans="1:24">
      <c r="A52" s="113">
        <v>5</v>
      </c>
      <c r="B52" s="239">
        <f>'[14]General information '!B9</f>
        <v>30</v>
      </c>
      <c r="C52" s="239">
        <f>'[14]General information '!C9</f>
        <v>24</v>
      </c>
      <c r="D52" s="115">
        <f t="shared" si="3"/>
        <v>8.6999999999999993</v>
      </c>
      <c r="E52" s="113">
        <v>5</v>
      </c>
      <c r="F52" s="239">
        <f>'[15]General information '!B9</f>
        <v>0</v>
      </c>
      <c r="G52" s="239">
        <f>'[15]General information '!C9</f>
        <v>0</v>
      </c>
      <c r="H52" s="115">
        <f t="shared" si="4"/>
        <v>-18.3</v>
      </c>
      <c r="I52" s="113">
        <v>5</v>
      </c>
      <c r="J52" s="239">
        <f>'General information '!B9</f>
        <v>20</v>
      </c>
      <c r="K52" s="239">
        <f>'General information '!C9</f>
        <v>14</v>
      </c>
      <c r="L52" s="115">
        <f t="shared" si="6"/>
        <v>-1.3000000000000007</v>
      </c>
      <c r="M52" s="113">
        <v>5</v>
      </c>
      <c r="N52" s="239">
        <f>'[5]General information '!B9</f>
        <v>28</v>
      </c>
      <c r="O52" s="239">
        <f>'[5]General information '!C9</f>
        <v>25</v>
      </c>
      <c r="P52" s="115">
        <f t="shared" si="7"/>
        <v>8.1999999999999993</v>
      </c>
      <c r="Q52" s="113">
        <v>5</v>
      </c>
      <c r="R52" s="239">
        <f>'[2]General information '!B9</f>
        <v>25</v>
      </c>
      <c r="S52" s="239">
        <f>'[2]General information '!C9</f>
        <v>18</v>
      </c>
      <c r="T52" s="115">
        <f t="shared" si="8"/>
        <v>3.1999999999999993</v>
      </c>
      <c r="U52" s="113">
        <v>5</v>
      </c>
      <c r="V52" s="239">
        <f>'General information '!B9</f>
        <v>20</v>
      </c>
      <c r="W52" s="239">
        <f>'General information '!C9</f>
        <v>14</v>
      </c>
      <c r="X52" s="115">
        <f t="shared" si="5"/>
        <v>-1.3000000000000007</v>
      </c>
    </row>
    <row r="53" spans="1:24">
      <c r="A53" s="113">
        <v>6</v>
      </c>
      <c r="B53" s="239">
        <f>'[14]General information '!B10</f>
        <v>30</v>
      </c>
      <c r="C53" s="239">
        <f>'[14]General information '!C10</f>
        <v>24</v>
      </c>
      <c r="D53" s="115">
        <f t="shared" si="3"/>
        <v>8.6999999999999993</v>
      </c>
      <c r="E53" s="113">
        <v>6</v>
      </c>
      <c r="F53" s="239">
        <f>'[15]General information '!B10</f>
        <v>0</v>
      </c>
      <c r="G53" s="239">
        <f>'[15]General information '!C10</f>
        <v>0</v>
      </c>
      <c r="H53" s="115">
        <f t="shared" si="4"/>
        <v>-18.3</v>
      </c>
      <c r="I53" s="113">
        <v>6</v>
      </c>
      <c r="J53" s="239">
        <f>'General information '!B10</f>
        <v>0</v>
      </c>
      <c r="K53" s="239">
        <f>'General information '!C10</f>
        <v>0</v>
      </c>
      <c r="L53" s="115">
        <f t="shared" si="6"/>
        <v>-18.3</v>
      </c>
      <c r="M53" s="113">
        <v>6</v>
      </c>
      <c r="N53" s="239">
        <f>'[5]General information '!B10</f>
        <v>27</v>
      </c>
      <c r="O53" s="239">
        <f>'[5]General information '!C10</f>
        <v>22</v>
      </c>
      <c r="P53" s="115">
        <f t="shared" si="7"/>
        <v>6.1999999999999993</v>
      </c>
      <c r="Q53" s="113">
        <v>6</v>
      </c>
      <c r="R53" s="239">
        <f>'[2]General information '!B10</f>
        <v>0</v>
      </c>
      <c r="S53" s="239">
        <f>'[2]General information '!C10</f>
        <v>0</v>
      </c>
      <c r="T53" s="115">
        <f t="shared" si="8"/>
        <v>-18.3</v>
      </c>
      <c r="U53" s="113">
        <v>6</v>
      </c>
      <c r="V53" s="239">
        <f>'General information '!B10</f>
        <v>0</v>
      </c>
      <c r="W53" s="239">
        <f>'General information '!C10</f>
        <v>0</v>
      </c>
      <c r="X53" s="115">
        <f t="shared" si="5"/>
        <v>-18.3</v>
      </c>
    </row>
    <row r="54" spans="1:24">
      <c r="A54" s="113">
        <v>7</v>
      </c>
      <c r="B54" s="239">
        <f>'[14]General information '!B11</f>
        <v>0</v>
      </c>
      <c r="C54" s="239">
        <f>'[14]General information '!C11</f>
        <v>0</v>
      </c>
      <c r="D54" s="115">
        <f t="shared" si="3"/>
        <v>-18.3</v>
      </c>
      <c r="E54" s="113">
        <v>7</v>
      </c>
      <c r="F54" s="239">
        <f>'[15]General information '!B11</f>
        <v>0</v>
      </c>
      <c r="G54" s="239">
        <f>'[15]General information '!C11</f>
        <v>0</v>
      </c>
      <c r="H54" s="115">
        <f t="shared" si="4"/>
        <v>-18.3</v>
      </c>
      <c r="I54" s="113">
        <v>7</v>
      </c>
      <c r="J54" s="239">
        <f>'General information '!B11</f>
        <v>0</v>
      </c>
      <c r="K54" s="239">
        <f>'General information '!C11</f>
        <v>0</v>
      </c>
      <c r="L54" s="115">
        <f t="shared" si="6"/>
        <v>-18.3</v>
      </c>
      <c r="M54" s="113">
        <v>7</v>
      </c>
      <c r="N54" s="239">
        <f>'[5]General information '!B11</f>
        <v>27</v>
      </c>
      <c r="O54" s="239">
        <f>'[5]General information '!C11</f>
        <v>23</v>
      </c>
      <c r="P54" s="115">
        <f t="shared" si="7"/>
        <v>6.6999999999999993</v>
      </c>
      <c r="Q54" s="113">
        <v>7</v>
      </c>
      <c r="R54" s="239">
        <f>'[2]General information '!B11</f>
        <v>20</v>
      </c>
      <c r="S54" s="239">
        <f>'[2]General information '!C11</f>
        <v>16</v>
      </c>
      <c r="T54" s="115">
        <f t="shared" si="8"/>
        <v>-0.30000000000000071</v>
      </c>
      <c r="U54" s="113">
        <v>7</v>
      </c>
      <c r="V54" s="239">
        <f>'General information '!B11</f>
        <v>0</v>
      </c>
      <c r="W54" s="239">
        <f>'General information '!C11</f>
        <v>0</v>
      </c>
      <c r="X54" s="115">
        <f t="shared" si="5"/>
        <v>-18.3</v>
      </c>
    </row>
    <row r="55" spans="1:24">
      <c r="A55" s="113">
        <v>8</v>
      </c>
      <c r="B55" s="239">
        <f>'[14]General information '!B12</f>
        <v>0</v>
      </c>
      <c r="C55" s="239">
        <f>'[14]General information '!C12</f>
        <v>0</v>
      </c>
      <c r="D55" s="115">
        <f t="shared" si="3"/>
        <v>-18.3</v>
      </c>
      <c r="E55" s="113">
        <v>8</v>
      </c>
      <c r="F55" s="239">
        <f>'[15]General information '!B12</f>
        <v>30</v>
      </c>
      <c r="G55" s="239">
        <f>'[15]General information '!C12</f>
        <v>19</v>
      </c>
      <c r="H55" s="115">
        <f t="shared" si="4"/>
        <v>6.1999999999999993</v>
      </c>
      <c r="I55" s="113">
        <v>8</v>
      </c>
      <c r="J55" s="239">
        <f>'General information '!B12</f>
        <v>18</v>
      </c>
      <c r="K55" s="239">
        <f>'General information '!C12</f>
        <v>16</v>
      </c>
      <c r="L55" s="115">
        <f t="shared" si="6"/>
        <v>-1.3000000000000007</v>
      </c>
      <c r="M55" s="113">
        <v>8</v>
      </c>
      <c r="N55" s="239">
        <f>'[5]General information '!B12</f>
        <v>0</v>
      </c>
      <c r="O55" s="239">
        <f>'[5]General information '!C12</f>
        <v>0</v>
      </c>
      <c r="P55" s="115">
        <f t="shared" si="7"/>
        <v>-18.3</v>
      </c>
      <c r="Q55" s="113">
        <v>8</v>
      </c>
      <c r="R55" s="239">
        <f>'[2]General information '!B12</f>
        <v>21</v>
      </c>
      <c r="S55" s="239">
        <f>'[2]General information '!C12</f>
        <v>16</v>
      </c>
      <c r="T55" s="115">
        <f t="shared" si="8"/>
        <v>0.19999999999999929</v>
      </c>
      <c r="U55" s="113">
        <v>8</v>
      </c>
      <c r="V55" s="239">
        <f>'General information '!B12</f>
        <v>18</v>
      </c>
      <c r="W55" s="239">
        <f>'General information '!C12</f>
        <v>16</v>
      </c>
      <c r="X55" s="115">
        <f t="shared" si="5"/>
        <v>-1.3000000000000007</v>
      </c>
    </row>
    <row r="56" spans="1:24">
      <c r="A56" s="113">
        <v>9</v>
      </c>
      <c r="B56" s="239">
        <f>'[14]General information '!B13</f>
        <v>0</v>
      </c>
      <c r="C56" s="239">
        <f>'[14]General information '!C13</f>
        <v>0</v>
      </c>
      <c r="D56" s="115">
        <f t="shared" si="3"/>
        <v>-18.3</v>
      </c>
      <c r="E56" s="113">
        <v>9</v>
      </c>
      <c r="F56" s="239">
        <f>'[15]General information '!B13</f>
        <v>30</v>
      </c>
      <c r="G56" s="239">
        <f>'[15]General information '!C13</f>
        <v>26</v>
      </c>
      <c r="H56" s="115">
        <f t="shared" si="4"/>
        <v>9.6999999999999993</v>
      </c>
      <c r="I56" s="113">
        <v>9</v>
      </c>
      <c r="J56" s="239">
        <f>'General information '!B13</f>
        <v>19</v>
      </c>
      <c r="K56" s="239">
        <f>'General information '!C13</f>
        <v>13</v>
      </c>
      <c r="L56" s="115">
        <f t="shared" si="6"/>
        <v>-2.3000000000000007</v>
      </c>
      <c r="M56" s="113">
        <v>9</v>
      </c>
      <c r="N56" s="239">
        <f>'[5]General information '!B13</f>
        <v>0</v>
      </c>
      <c r="O56" s="239">
        <f>'[5]General information '!C13</f>
        <v>0</v>
      </c>
      <c r="P56" s="115">
        <f t="shared" si="7"/>
        <v>-18.3</v>
      </c>
      <c r="Q56" s="113">
        <v>9</v>
      </c>
      <c r="R56" s="239">
        <f>'[2]General information '!B13</f>
        <v>22</v>
      </c>
      <c r="S56" s="239">
        <f>'[2]General information '!C13</f>
        <v>18</v>
      </c>
      <c r="T56" s="115">
        <f t="shared" si="8"/>
        <v>1.6999999999999993</v>
      </c>
      <c r="U56" s="113">
        <v>9</v>
      </c>
      <c r="V56" s="239">
        <f>'General information '!B13</f>
        <v>19</v>
      </c>
      <c r="W56" s="239">
        <f>'General information '!C13</f>
        <v>13</v>
      </c>
      <c r="X56" s="115">
        <f t="shared" si="5"/>
        <v>-2.3000000000000007</v>
      </c>
    </row>
    <row r="57" spans="1:24">
      <c r="A57" s="113">
        <v>10</v>
      </c>
      <c r="B57" s="239">
        <f>'[14]General information '!B14</f>
        <v>0</v>
      </c>
      <c r="C57" s="239">
        <f>'[14]General information '!C14</f>
        <v>0</v>
      </c>
      <c r="D57" s="115">
        <f t="shared" ref="D57:D78" si="9">(B57+C57)/2-18.3</f>
        <v>-18.3</v>
      </c>
      <c r="E57" s="113">
        <v>10</v>
      </c>
      <c r="F57" s="239">
        <f>'[15]General information '!B14</f>
        <v>0</v>
      </c>
      <c r="G57" s="239">
        <f>'[15]General information '!C14</f>
        <v>0</v>
      </c>
      <c r="H57" s="115">
        <f t="shared" si="4"/>
        <v>-18.3</v>
      </c>
      <c r="I57" s="113">
        <v>10</v>
      </c>
      <c r="J57" s="239">
        <f>'General information '!B14</f>
        <v>19</v>
      </c>
      <c r="K57" s="239">
        <f>'General information '!C14</f>
        <v>13</v>
      </c>
      <c r="L57" s="115">
        <f t="shared" si="6"/>
        <v>-2.3000000000000007</v>
      </c>
      <c r="M57" s="113">
        <v>10</v>
      </c>
      <c r="N57" s="239">
        <f>'[5]General information '!B14</f>
        <v>0</v>
      </c>
      <c r="O57" s="239">
        <f>'[5]General information '!C14</f>
        <v>0</v>
      </c>
      <c r="P57" s="115">
        <f t="shared" si="7"/>
        <v>-18.3</v>
      </c>
      <c r="Q57" s="113">
        <v>10</v>
      </c>
      <c r="R57" s="239">
        <f>'[2]General information '!B14</f>
        <v>24</v>
      </c>
      <c r="S57" s="239">
        <f>'[2]General information '!C14</f>
        <v>23</v>
      </c>
      <c r="T57" s="115">
        <f t="shared" si="8"/>
        <v>5.1999999999999993</v>
      </c>
      <c r="U57" s="113">
        <v>10</v>
      </c>
      <c r="V57" s="239">
        <f>'General information '!B14</f>
        <v>19</v>
      </c>
      <c r="W57" s="239">
        <f>'General information '!C14</f>
        <v>13</v>
      </c>
      <c r="X57" s="115">
        <f t="shared" si="5"/>
        <v>-2.3000000000000007</v>
      </c>
    </row>
    <row r="58" spans="1:24">
      <c r="A58" s="113">
        <v>11</v>
      </c>
      <c r="B58" s="239">
        <f>'[14]General information '!B15</f>
        <v>30</v>
      </c>
      <c r="C58" s="239">
        <f>'[14]General information '!C15</f>
        <v>25</v>
      </c>
      <c r="D58" s="115">
        <f t="shared" si="9"/>
        <v>9.1999999999999993</v>
      </c>
      <c r="E58" s="113">
        <v>11</v>
      </c>
      <c r="F58" s="239">
        <f>'[15]General information '!B15</f>
        <v>0</v>
      </c>
      <c r="G58" s="239">
        <f>'[15]General information '!C15</f>
        <v>0</v>
      </c>
      <c r="H58" s="115">
        <f t="shared" si="4"/>
        <v>-18.3</v>
      </c>
      <c r="I58" s="113">
        <v>11</v>
      </c>
      <c r="J58" s="239">
        <f>'General information '!B15</f>
        <v>19</v>
      </c>
      <c r="K58" s="239">
        <f>'General information '!C15</f>
        <v>13</v>
      </c>
      <c r="L58" s="115">
        <f t="shared" si="6"/>
        <v>-2.3000000000000007</v>
      </c>
      <c r="M58" s="113">
        <v>11</v>
      </c>
      <c r="N58" s="239">
        <f>'[5]General information '!B15</f>
        <v>28</v>
      </c>
      <c r="O58" s="239">
        <f>'[5]General information '!C15</f>
        <v>22</v>
      </c>
      <c r="P58" s="115">
        <f t="shared" si="7"/>
        <v>6.6999999999999993</v>
      </c>
      <c r="Q58" s="113">
        <v>11</v>
      </c>
      <c r="R58" s="239">
        <f>'[2]General information '!B15</f>
        <v>0</v>
      </c>
      <c r="S58" s="239">
        <f>'[2]General information '!C15</f>
        <v>0</v>
      </c>
      <c r="T58" s="115">
        <f t="shared" si="8"/>
        <v>-18.3</v>
      </c>
      <c r="U58" s="113">
        <v>11</v>
      </c>
      <c r="V58" s="239">
        <f>'General information '!B15</f>
        <v>19</v>
      </c>
      <c r="W58" s="239">
        <f>'General information '!C15</f>
        <v>13</v>
      </c>
      <c r="X58" s="115">
        <f t="shared" si="5"/>
        <v>-2.3000000000000007</v>
      </c>
    </row>
    <row r="59" spans="1:24">
      <c r="A59" s="113">
        <v>12</v>
      </c>
      <c r="B59" s="239">
        <f>'[14]General information '!B16</f>
        <v>31</v>
      </c>
      <c r="C59" s="239">
        <f>'[14]General information '!C16</f>
        <v>24</v>
      </c>
      <c r="D59" s="115">
        <f t="shared" si="9"/>
        <v>9.1999999999999993</v>
      </c>
      <c r="E59" s="113">
        <v>12</v>
      </c>
      <c r="F59" s="239">
        <f>'[15]General information '!B16</f>
        <v>0</v>
      </c>
      <c r="G59" s="239">
        <f>'[15]General information '!C16</f>
        <v>0</v>
      </c>
      <c r="H59" s="115">
        <f t="shared" si="4"/>
        <v>-18.3</v>
      </c>
      <c r="I59" s="113">
        <v>12</v>
      </c>
      <c r="J59" s="239">
        <f>'General information '!B16</f>
        <v>0</v>
      </c>
      <c r="K59" s="239">
        <f>'General information '!C16</f>
        <v>0</v>
      </c>
      <c r="L59" s="115">
        <f t="shared" si="6"/>
        <v>-18.3</v>
      </c>
      <c r="M59" s="113">
        <v>12</v>
      </c>
      <c r="N59" s="239">
        <f>'[5]General information '!B16</f>
        <v>27</v>
      </c>
      <c r="O59" s="239">
        <f>'[5]General information '!C16</f>
        <v>22</v>
      </c>
      <c r="P59" s="115">
        <f t="shared" si="7"/>
        <v>6.1999999999999993</v>
      </c>
      <c r="Q59" s="113">
        <v>12</v>
      </c>
      <c r="R59" s="239">
        <f>'[2]General information '!B16</f>
        <v>0</v>
      </c>
      <c r="S59" s="239">
        <f>'[2]General information '!C16</f>
        <v>0</v>
      </c>
      <c r="T59" s="115">
        <f t="shared" si="8"/>
        <v>-18.3</v>
      </c>
      <c r="U59" s="113">
        <v>12</v>
      </c>
      <c r="V59" s="239">
        <f>'General information '!B16</f>
        <v>0</v>
      </c>
      <c r="W59" s="239">
        <f>'General information '!C16</f>
        <v>0</v>
      </c>
      <c r="X59" s="115">
        <f t="shared" si="5"/>
        <v>-18.3</v>
      </c>
    </row>
    <row r="60" spans="1:24">
      <c r="A60" s="113">
        <v>13</v>
      </c>
      <c r="B60" s="239">
        <f>'[14]General information '!B17</f>
        <v>30</v>
      </c>
      <c r="C60" s="239">
        <f>'[14]General information '!C17</f>
        <v>23</v>
      </c>
      <c r="D60" s="115">
        <f t="shared" si="9"/>
        <v>8.1999999999999993</v>
      </c>
      <c r="E60" s="113">
        <v>13</v>
      </c>
      <c r="F60" s="239">
        <f>'[15]General information '!B17</f>
        <v>0</v>
      </c>
      <c r="G60" s="239">
        <f>'[15]General information '!C17</f>
        <v>0</v>
      </c>
      <c r="H60" s="115">
        <f t="shared" si="4"/>
        <v>-18.3</v>
      </c>
      <c r="I60" s="113">
        <v>13</v>
      </c>
      <c r="J60" s="239">
        <f>'General information '!B17</f>
        <v>0</v>
      </c>
      <c r="K60" s="239">
        <f>'General information '!C17</f>
        <v>0</v>
      </c>
      <c r="L60" s="115">
        <f t="shared" si="6"/>
        <v>-18.3</v>
      </c>
      <c r="M60" s="113">
        <v>13</v>
      </c>
      <c r="N60" s="239">
        <f>'[5]General information '!B17</f>
        <v>0</v>
      </c>
      <c r="O60" s="239">
        <f>'[5]General information '!C17</f>
        <v>0</v>
      </c>
      <c r="P60" s="115">
        <f t="shared" si="7"/>
        <v>-18.3</v>
      </c>
      <c r="Q60" s="113">
        <v>13</v>
      </c>
      <c r="R60" s="239">
        <f>'[2]General information '!B17</f>
        <v>27</v>
      </c>
      <c r="S60" s="239">
        <f>'[2]General information '!C17</f>
        <v>21</v>
      </c>
      <c r="T60" s="115">
        <f t="shared" si="8"/>
        <v>5.6999999999999993</v>
      </c>
      <c r="U60" s="113">
        <v>13</v>
      </c>
      <c r="V60" s="239">
        <f>'General information '!B17</f>
        <v>0</v>
      </c>
      <c r="W60" s="239">
        <f>'General information '!C17</f>
        <v>0</v>
      </c>
      <c r="X60" s="115">
        <f t="shared" si="5"/>
        <v>-18.3</v>
      </c>
    </row>
    <row r="61" spans="1:24">
      <c r="A61" s="113">
        <v>14</v>
      </c>
      <c r="B61" s="239">
        <f>'[14]General information '!B18</f>
        <v>27</v>
      </c>
      <c r="C61" s="239">
        <f>'[14]General information '!C18</f>
        <v>26</v>
      </c>
      <c r="D61" s="115">
        <f t="shared" si="9"/>
        <v>8.1999999999999993</v>
      </c>
      <c r="E61" s="113">
        <v>14</v>
      </c>
      <c r="F61" s="239">
        <f>'[15]General information '!B18</f>
        <v>0</v>
      </c>
      <c r="G61" s="239">
        <f>'[15]General information '!C18</f>
        <v>0</v>
      </c>
      <c r="H61" s="115">
        <f t="shared" si="4"/>
        <v>-18.3</v>
      </c>
      <c r="I61" s="113">
        <v>14</v>
      </c>
      <c r="J61" s="239">
        <f>'General information '!B18</f>
        <v>18</v>
      </c>
      <c r="K61" s="239">
        <f>'General information '!C18</f>
        <v>13</v>
      </c>
      <c r="L61" s="115">
        <f t="shared" si="6"/>
        <v>-2.8000000000000007</v>
      </c>
      <c r="M61" s="113">
        <v>14</v>
      </c>
      <c r="N61" s="239">
        <f>'[5]General information '!B18</f>
        <v>0</v>
      </c>
      <c r="O61" s="239">
        <f>'[5]General information '!C18</f>
        <v>0</v>
      </c>
      <c r="P61" s="115">
        <f t="shared" si="7"/>
        <v>-18.3</v>
      </c>
      <c r="Q61" s="113">
        <v>14</v>
      </c>
      <c r="R61" s="239">
        <f>'[2]General information '!B18</f>
        <v>25</v>
      </c>
      <c r="S61" s="239">
        <f>'[2]General information '!C18</f>
        <v>20</v>
      </c>
      <c r="T61" s="115">
        <f t="shared" si="8"/>
        <v>4.1999999999999993</v>
      </c>
      <c r="U61" s="113">
        <v>14</v>
      </c>
      <c r="V61" s="239">
        <f>'General information '!B18</f>
        <v>18</v>
      </c>
      <c r="W61" s="239">
        <f>'General information '!C18</f>
        <v>13</v>
      </c>
      <c r="X61" s="115">
        <f t="shared" si="5"/>
        <v>-2.8000000000000007</v>
      </c>
    </row>
    <row r="62" spans="1:24">
      <c r="A62" s="113">
        <v>15</v>
      </c>
      <c r="B62" s="239">
        <f>'[14]General information '!B19</f>
        <v>0</v>
      </c>
      <c r="C62" s="239">
        <f>'[14]General information '!C19</f>
        <v>0</v>
      </c>
      <c r="D62" s="115">
        <f t="shared" si="9"/>
        <v>-18.3</v>
      </c>
      <c r="E62" s="113">
        <v>15</v>
      </c>
      <c r="F62" s="239">
        <f>'[15]General information '!B19</f>
        <v>0</v>
      </c>
      <c r="G62" s="239">
        <f>'[15]General information '!C19</f>
        <v>0</v>
      </c>
      <c r="H62" s="115">
        <f t="shared" si="4"/>
        <v>-18.3</v>
      </c>
      <c r="I62" s="113">
        <v>15</v>
      </c>
      <c r="J62" s="239">
        <f>'General information '!B19</f>
        <v>19</v>
      </c>
      <c r="K62" s="239">
        <f>'General information '!C19</f>
        <v>12</v>
      </c>
      <c r="L62" s="115">
        <f t="shared" si="6"/>
        <v>-2.8000000000000007</v>
      </c>
      <c r="M62" s="113">
        <v>15</v>
      </c>
      <c r="N62" s="239">
        <f>'[5]General information '!B19</f>
        <v>0</v>
      </c>
      <c r="O62" s="239">
        <f>'[5]General information '!C19</f>
        <v>0</v>
      </c>
      <c r="P62" s="115">
        <f t="shared" si="7"/>
        <v>-18.3</v>
      </c>
      <c r="Q62" s="113">
        <v>15</v>
      </c>
      <c r="R62" s="239">
        <f>'[2]General information '!B19</f>
        <v>22</v>
      </c>
      <c r="S62" s="239">
        <f>'[2]General information '!C19</f>
        <v>21</v>
      </c>
      <c r="T62" s="115">
        <f t="shared" si="8"/>
        <v>3.1999999999999993</v>
      </c>
      <c r="U62" s="113">
        <v>15</v>
      </c>
      <c r="V62" s="239">
        <f>'General information '!B19</f>
        <v>19</v>
      </c>
      <c r="W62" s="239">
        <f>'General information '!C19</f>
        <v>12</v>
      </c>
      <c r="X62" s="115">
        <f t="shared" si="5"/>
        <v>-2.8000000000000007</v>
      </c>
    </row>
    <row r="63" spans="1:24">
      <c r="A63" s="113">
        <v>16</v>
      </c>
      <c r="B63" s="239">
        <f>'[14]General information '!B20</f>
        <v>0</v>
      </c>
      <c r="C63" s="239">
        <f>'[14]General information '!C20</f>
        <v>0</v>
      </c>
      <c r="D63" s="115">
        <f t="shared" si="9"/>
        <v>-18.3</v>
      </c>
      <c r="E63" s="113">
        <v>16</v>
      </c>
      <c r="F63" s="239">
        <f>'[15]General information '!B20</f>
        <v>30</v>
      </c>
      <c r="G63" s="239">
        <f>'[15]General information '!C20</f>
        <v>26</v>
      </c>
      <c r="H63" s="115">
        <f t="shared" si="4"/>
        <v>9.6999999999999993</v>
      </c>
      <c r="I63" s="113">
        <v>16</v>
      </c>
      <c r="J63" s="239">
        <f>'General information '!B20</f>
        <v>19</v>
      </c>
      <c r="K63" s="239">
        <f>'General information '!C20</f>
        <v>13</v>
      </c>
      <c r="L63" s="115">
        <f t="shared" si="6"/>
        <v>-2.3000000000000007</v>
      </c>
      <c r="M63" s="113">
        <v>16</v>
      </c>
      <c r="N63" s="239">
        <f>'[5]General information '!B20</f>
        <v>0</v>
      </c>
      <c r="O63" s="239">
        <f>'[5]General information '!C20</f>
        <v>0</v>
      </c>
      <c r="P63" s="115">
        <f t="shared" si="7"/>
        <v>-18.3</v>
      </c>
      <c r="Q63" s="113">
        <v>16</v>
      </c>
      <c r="R63" s="239">
        <f>'[2]General information '!B20</f>
        <v>23</v>
      </c>
      <c r="S63" s="239">
        <f>'[2]General information '!C20</f>
        <v>16</v>
      </c>
      <c r="T63" s="115">
        <f t="shared" si="8"/>
        <v>1.1999999999999993</v>
      </c>
      <c r="U63" s="113">
        <v>16</v>
      </c>
      <c r="V63" s="239">
        <f>'General information '!B20</f>
        <v>19</v>
      </c>
      <c r="W63" s="239">
        <f>'General information '!C20</f>
        <v>13</v>
      </c>
      <c r="X63" s="115">
        <f t="shared" si="5"/>
        <v>-2.3000000000000007</v>
      </c>
    </row>
    <row r="64" spans="1:24">
      <c r="A64" s="113">
        <v>17</v>
      </c>
      <c r="B64" s="239">
        <f>'[14]General information '!B21</f>
        <v>28</v>
      </c>
      <c r="C64" s="239">
        <f>'[14]General information '!C21</f>
        <v>26</v>
      </c>
      <c r="D64" s="115">
        <f t="shared" si="9"/>
        <v>8.6999999999999993</v>
      </c>
      <c r="E64" s="113">
        <v>17</v>
      </c>
      <c r="F64" s="239">
        <f>'[15]General information '!B21</f>
        <v>31</v>
      </c>
      <c r="G64" s="239">
        <f>'[15]General information '!C21</f>
        <v>26</v>
      </c>
      <c r="H64" s="115">
        <f t="shared" si="4"/>
        <v>10.199999999999999</v>
      </c>
      <c r="I64" s="113">
        <v>17</v>
      </c>
      <c r="J64" s="239">
        <f>'General information '!B21</f>
        <v>19</v>
      </c>
      <c r="K64" s="239">
        <f>'General information '!C21</f>
        <v>13</v>
      </c>
      <c r="L64" s="115">
        <f t="shared" si="6"/>
        <v>-2.3000000000000007</v>
      </c>
      <c r="M64" s="113">
        <v>17</v>
      </c>
      <c r="N64" s="239">
        <f>'[5]General information '!B21</f>
        <v>26</v>
      </c>
      <c r="O64" s="239">
        <f>'[5]General information '!C21</f>
        <v>21</v>
      </c>
      <c r="P64" s="115">
        <f t="shared" si="7"/>
        <v>5.1999999999999993</v>
      </c>
      <c r="Q64" s="113">
        <v>17</v>
      </c>
      <c r="R64" s="239">
        <f>'[2]General information '!B21</f>
        <v>23</v>
      </c>
      <c r="S64" s="239">
        <f>'[2]General information '!C21</f>
        <v>18</v>
      </c>
      <c r="T64" s="115">
        <f t="shared" si="8"/>
        <v>2.1999999999999993</v>
      </c>
      <c r="U64" s="113">
        <v>17</v>
      </c>
      <c r="V64" s="239">
        <f>'General information '!B21</f>
        <v>19</v>
      </c>
      <c r="W64" s="239">
        <f>'General information '!C21</f>
        <v>13</v>
      </c>
      <c r="X64" s="115">
        <f t="shared" si="5"/>
        <v>-2.3000000000000007</v>
      </c>
    </row>
    <row r="65" spans="1:24">
      <c r="A65" s="113">
        <v>18</v>
      </c>
      <c r="B65" s="239">
        <f>'[14]General information '!B22</f>
        <v>30</v>
      </c>
      <c r="C65" s="239">
        <f>'[14]General information '!C22</f>
        <v>25</v>
      </c>
      <c r="D65" s="115">
        <f t="shared" si="9"/>
        <v>9.1999999999999993</v>
      </c>
      <c r="E65" s="113">
        <v>18</v>
      </c>
      <c r="F65" s="239">
        <f>'[15]General information '!B22</f>
        <v>30</v>
      </c>
      <c r="G65" s="239">
        <f>'[15]General information '!C22</f>
        <v>24</v>
      </c>
      <c r="H65" s="115">
        <f t="shared" si="4"/>
        <v>8.6999999999999993</v>
      </c>
      <c r="I65" s="113">
        <v>18</v>
      </c>
      <c r="J65" s="239">
        <f>'General information '!B22</f>
        <v>19</v>
      </c>
      <c r="K65" s="239">
        <f>'General information '!C22</f>
        <v>14</v>
      </c>
      <c r="L65" s="115">
        <f t="shared" si="6"/>
        <v>-1.8000000000000007</v>
      </c>
      <c r="M65" s="113">
        <v>18</v>
      </c>
      <c r="N65" s="239">
        <f>'[5]General information '!B22</f>
        <v>27</v>
      </c>
      <c r="O65" s="239">
        <f>'[5]General information '!C22</f>
        <v>21</v>
      </c>
      <c r="P65" s="115">
        <f t="shared" si="7"/>
        <v>5.6999999999999993</v>
      </c>
      <c r="Q65" s="113">
        <v>18</v>
      </c>
      <c r="R65" s="239">
        <f>'[2]General information '!B22</f>
        <v>21</v>
      </c>
      <c r="S65" s="239">
        <f>'[2]General information '!C22</f>
        <v>15</v>
      </c>
      <c r="T65" s="115">
        <f t="shared" si="8"/>
        <v>-0.30000000000000071</v>
      </c>
      <c r="U65" s="113">
        <v>18</v>
      </c>
      <c r="V65" s="239">
        <f>'General information '!B22</f>
        <v>19</v>
      </c>
      <c r="W65" s="239">
        <f>'General information '!C22</f>
        <v>14</v>
      </c>
      <c r="X65" s="115">
        <f t="shared" si="5"/>
        <v>-1.8000000000000007</v>
      </c>
    </row>
    <row r="66" spans="1:24">
      <c r="A66" s="113">
        <v>19</v>
      </c>
      <c r="B66" s="239">
        <f>'[14]General information '!B23</f>
        <v>0</v>
      </c>
      <c r="C66" s="239">
        <f>'[14]General information '!C23</f>
        <v>0</v>
      </c>
      <c r="D66" s="115">
        <f t="shared" si="9"/>
        <v>-18.3</v>
      </c>
      <c r="E66" s="113">
        <v>19</v>
      </c>
      <c r="F66" s="239">
        <f>'[15]General information '!B23</f>
        <v>30</v>
      </c>
      <c r="G66" s="239">
        <f>'[15]General information '!C23</f>
        <v>24</v>
      </c>
      <c r="H66" s="115">
        <f t="shared" si="4"/>
        <v>8.6999999999999993</v>
      </c>
      <c r="I66" s="113">
        <v>19</v>
      </c>
      <c r="J66" s="239">
        <f>'General information '!B23</f>
        <v>20</v>
      </c>
      <c r="K66" s="239">
        <f>'General information '!C23</f>
        <v>13</v>
      </c>
      <c r="L66" s="115">
        <f t="shared" si="6"/>
        <v>-1.8000000000000007</v>
      </c>
      <c r="M66" s="113">
        <v>19</v>
      </c>
      <c r="N66" s="239">
        <f>'[5]General information '!B23</f>
        <v>26</v>
      </c>
      <c r="O66" s="239">
        <f>'[5]General information '!C23</f>
        <v>21</v>
      </c>
      <c r="P66" s="115">
        <f t="shared" si="7"/>
        <v>5.1999999999999993</v>
      </c>
      <c r="Q66" s="113">
        <v>19</v>
      </c>
      <c r="R66" s="239">
        <f>'[2]General information '!B23</f>
        <v>0</v>
      </c>
      <c r="S66" s="239">
        <f>'[2]General information '!C23</f>
        <v>0</v>
      </c>
      <c r="T66" s="115">
        <f t="shared" si="8"/>
        <v>-18.3</v>
      </c>
      <c r="U66" s="113">
        <v>19</v>
      </c>
      <c r="V66" s="239">
        <f>'General information '!B23</f>
        <v>20</v>
      </c>
      <c r="W66" s="239">
        <f>'General information '!C23</f>
        <v>13</v>
      </c>
      <c r="X66" s="115">
        <f t="shared" si="5"/>
        <v>-1.8000000000000007</v>
      </c>
    </row>
    <row r="67" spans="1:24">
      <c r="A67" s="113">
        <v>20</v>
      </c>
      <c r="B67" s="239">
        <f>'[14]General information '!B24</f>
        <v>0</v>
      </c>
      <c r="C67" s="239">
        <f>'[14]General information '!C24</f>
        <v>0</v>
      </c>
      <c r="D67" s="115">
        <f t="shared" si="9"/>
        <v>-18.3</v>
      </c>
      <c r="E67" s="113">
        <v>20</v>
      </c>
      <c r="F67" s="239">
        <f>'[15]General information '!B24</f>
        <v>29</v>
      </c>
      <c r="G67" s="239">
        <f>'[15]General information '!C24</f>
        <v>25</v>
      </c>
      <c r="H67" s="115">
        <f t="shared" si="4"/>
        <v>8.6999999999999993</v>
      </c>
      <c r="I67" s="113">
        <v>20</v>
      </c>
      <c r="J67" s="239">
        <f>'General information '!B24</f>
        <v>0</v>
      </c>
      <c r="K67" s="239">
        <f>'General information '!C24</f>
        <v>0</v>
      </c>
      <c r="L67" s="115">
        <f t="shared" si="6"/>
        <v>-18.3</v>
      </c>
      <c r="M67" s="113">
        <v>20</v>
      </c>
      <c r="N67" s="239">
        <f>'[5]General information '!B24</f>
        <v>26</v>
      </c>
      <c r="O67" s="239">
        <f>'[5]General information '!C24</f>
        <v>21</v>
      </c>
      <c r="P67" s="115">
        <f t="shared" si="7"/>
        <v>5.1999999999999993</v>
      </c>
      <c r="Q67" s="113">
        <v>20</v>
      </c>
      <c r="R67" s="239">
        <f>'[2]General information '!B24</f>
        <v>0</v>
      </c>
      <c r="S67" s="239">
        <f>'[2]General information '!C24</f>
        <v>0</v>
      </c>
      <c r="T67" s="115">
        <f t="shared" si="8"/>
        <v>-18.3</v>
      </c>
      <c r="U67" s="113">
        <v>20</v>
      </c>
      <c r="V67" s="239">
        <f>'General information '!B24</f>
        <v>0</v>
      </c>
      <c r="W67" s="239">
        <f>'General information '!C24</f>
        <v>0</v>
      </c>
      <c r="X67" s="115">
        <f t="shared" si="5"/>
        <v>-18.3</v>
      </c>
    </row>
    <row r="68" spans="1:24">
      <c r="A68" s="113">
        <v>21</v>
      </c>
      <c r="B68" s="239">
        <f>'[14]General information '!B25</f>
        <v>0</v>
      </c>
      <c r="C68" s="239">
        <f>'[14]General information '!C25</f>
        <v>0</v>
      </c>
      <c r="D68" s="115">
        <f t="shared" si="9"/>
        <v>-18.3</v>
      </c>
      <c r="E68" s="113">
        <v>21</v>
      </c>
      <c r="F68" s="239">
        <f>'[15]General information '!B25</f>
        <v>30</v>
      </c>
      <c r="G68" s="239">
        <f>'[15]General information '!C25</f>
        <v>24</v>
      </c>
      <c r="H68" s="115">
        <f t="shared" si="4"/>
        <v>8.6999999999999993</v>
      </c>
      <c r="I68" s="113">
        <v>21</v>
      </c>
      <c r="J68" s="239">
        <f>'General information '!B25</f>
        <v>0</v>
      </c>
      <c r="K68" s="239">
        <f>'General information '!C25</f>
        <v>0</v>
      </c>
      <c r="L68" s="115">
        <f t="shared" si="6"/>
        <v>-18.3</v>
      </c>
      <c r="M68" s="113">
        <v>21</v>
      </c>
      <c r="N68" s="239">
        <f>'[5]General information '!B25</f>
        <v>0</v>
      </c>
      <c r="O68" s="239">
        <f>'[5]General information '!C25</f>
        <v>0</v>
      </c>
      <c r="P68" s="115">
        <f t="shared" si="7"/>
        <v>-18.3</v>
      </c>
      <c r="Q68" s="113">
        <v>21</v>
      </c>
      <c r="R68" s="239">
        <f>'[2]General information '!B25</f>
        <v>0</v>
      </c>
      <c r="S68" s="239">
        <f>'[2]General information '!C25</f>
        <v>0</v>
      </c>
      <c r="T68" s="115">
        <f t="shared" si="8"/>
        <v>-18.3</v>
      </c>
      <c r="U68" s="113">
        <v>21</v>
      </c>
      <c r="V68" s="239">
        <f>'General information '!B25</f>
        <v>0</v>
      </c>
      <c r="W68" s="239">
        <f>'General information '!C25</f>
        <v>0</v>
      </c>
      <c r="X68" s="115">
        <f t="shared" si="5"/>
        <v>-18.3</v>
      </c>
    </row>
    <row r="69" spans="1:24">
      <c r="A69" s="113">
        <v>22</v>
      </c>
      <c r="B69" s="239">
        <f>'[14]General information '!B26</f>
        <v>0</v>
      </c>
      <c r="C69" s="239">
        <f>'[14]General information '!C26</f>
        <v>0</v>
      </c>
      <c r="D69" s="115">
        <f t="shared" si="9"/>
        <v>-18.3</v>
      </c>
      <c r="E69" s="113">
        <v>22</v>
      </c>
      <c r="F69" s="239">
        <f>'[15]General information '!B26</f>
        <v>30</v>
      </c>
      <c r="G69" s="239">
        <f>'[15]General information '!C26</f>
        <v>25</v>
      </c>
      <c r="H69" s="115">
        <f t="shared" si="4"/>
        <v>9.1999999999999993</v>
      </c>
      <c r="I69" s="113">
        <v>22</v>
      </c>
      <c r="J69" s="239">
        <f>'General information '!B26</f>
        <v>20</v>
      </c>
      <c r="K69" s="239">
        <f>'General information '!C26</f>
        <v>23</v>
      </c>
      <c r="L69" s="115">
        <f t="shared" si="6"/>
        <v>3.1999999999999993</v>
      </c>
      <c r="M69" s="113">
        <v>22</v>
      </c>
      <c r="N69" s="239">
        <f>'[5]General information '!B26</f>
        <v>0</v>
      </c>
      <c r="O69" s="239">
        <f>'[5]General information '!C26</f>
        <v>0</v>
      </c>
      <c r="P69" s="115">
        <f t="shared" si="7"/>
        <v>-18.3</v>
      </c>
      <c r="Q69" s="113">
        <v>22</v>
      </c>
      <c r="R69" s="239">
        <f>'[2]General information '!B26</f>
        <v>0</v>
      </c>
      <c r="S69" s="239">
        <f>'[2]General information '!C26</f>
        <v>0</v>
      </c>
      <c r="T69" s="115">
        <f>(R69+S69)/2-18.3</f>
        <v>-18.3</v>
      </c>
      <c r="U69" s="113">
        <v>22</v>
      </c>
      <c r="V69" s="239">
        <f>'General information '!B26</f>
        <v>20</v>
      </c>
      <c r="W69" s="239">
        <f>'General information '!C26</f>
        <v>23</v>
      </c>
      <c r="X69" s="115">
        <f t="shared" si="5"/>
        <v>3.1999999999999993</v>
      </c>
    </row>
    <row r="70" spans="1:24">
      <c r="A70" s="113">
        <v>23</v>
      </c>
      <c r="B70" s="239">
        <f>'[14]General information '!B27</f>
        <v>0</v>
      </c>
      <c r="C70" s="239">
        <f>'[14]General information '!C27</f>
        <v>0</v>
      </c>
      <c r="D70" s="115">
        <f t="shared" si="9"/>
        <v>-18.3</v>
      </c>
      <c r="E70" s="113">
        <v>23</v>
      </c>
      <c r="F70" s="239">
        <f>'[15]General information '!B27</f>
        <v>29</v>
      </c>
      <c r="G70" s="239">
        <f>'[15]General information '!C27</f>
        <v>26</v>
      </c>
      <c r="H70" s="115">
        <f t="shared" si="4"/>
        <v>9.1999999999999993</v>
      </c>
      <c r="I70" s="113">
        <v>23</v>
      </c>
      <c r="J70" s="239">
        <f>'General information '!B27</f>
        <v>0</v>
      </c>
      <c r="K70" s="239">
        <f>'General information '!C27</f>
        <v>0</v>
      </c>
      <c r="L70" s="115">
        <f t="shared" si="6"/>
        <v>-18.3</v>
      </c>
      <c r="M70" s="113">
        <v>23</v>
      </c>
      <c r="N70" s="239">
        <f>'[5]General information '!B27</f>
        <v>26</v>
      </c>
      <c r="O70" s="239">
        <f>'[5]General information '!C27</f>
        <v>22</v>
      </c>
      <c r="P70" s="115">
        <f t="shared" si="7"/>
        <v>5.6999999999999993</v>
      </c>
      <c r="Q70" s="113">
        <v>23</v>
      </c>
      <c r="R70" s="239">
        <f>'[2]General information '!B27</f>
        <v>0</v>
      </c>
      <c r="S70" s="239">
        <f>'[2]General information '!C27</f>
        <v>0</v>
      </c>
      <c r="T70" s="115">
        <f t="shared" si="8"/>
        <v>-18.3</v>
      </c>
      <c r="U70" s="113">
        <v>23</v>
      </c>
      <c r="V70" s="239">
        <f>'General information '!B27</f>
        <v>0</v>
      </c>
      <c r="W70" s="239">
        <f>'General information '!C27</f>
        <v>0</v>
      </c>
      <c r="X70" s="115">
        <f t="shared" si="5"/>
        <v>-18.3</v>
      </c>
    </row>
    <row r="71" spans="1:24">
      <c r="A71" s="113">
        <v>24</v>
      </c>
      <c r="B71" s="239">
        <f>'[14]General information '!B28</f>
        <v>31</v>
      </c>
      <c r="C71" s="239">
        <f>'[14]General information '!C28</f>
        <v>26</v>
      </c>
      <c r="D71" s="115">
        <f t="shared" si="9"/>
        <v>10.199999999999999</v>
      </c>
      <c r="E71" s="113">
        <v>24</v>
      </c>
      <c r="F71" s="239">
        <f>'[15]General information '!B28</f>
        <v>29</v>
      </c>
      <c r="G71" s="239">
        <f>'[15]General information '!C28</f>
        <v>26</v>
      </c>
      <c r="H71" s="115">
        <f t="shared" si="4"/>
        <v>9.1999999999999993</v>
      </c>
      <c r="I71" s="113">
        <v>24</v>
      </c>
      <c r="J71" s="239">
        <f>'General information '!B28</f>
        <v>0</v>
      </c>
      <c r="K71" s="239">
        <f>'General information '!C28</f>
        <v>0</v>
      </c>
      <c r="L71" s="115">
        <f t="shared" si="6"/>
        <v>-18.3</v>
      </c>
      <c r="M71" s="113">
        <v>24</v>
      </c>
      <c r="N71" s="239">
        <f>'[5]General information '!B28</f>
        <v>28</v>
      </c>
      <c r="O71" s="239">
        <f>'[5]General information '!C28</f>
        <v>21</v>
      </c>
      <c r="P71" s="115">
        <f t="shared" si="7"/>
        <v>6.1999999999999993</v>
      </c>
      <c r="Q71" s="113">
        <v>24</v>
      </c>
      <c r="R71" s="239">
        <f>'[2]General information '!B28</f>
        <v>0</v>
      </c>
      <c r="S71" s="239">
        <f>'[2]General information '!C28</f>
        <v>0</v>
      </c>
      <c r="T71" s="115">
        <f t="shared" si="8"/>
        <v>-18.3</v>
      </c>
      <c r="U71" s="113">
        <v>24</v>
      </c>
      <c r="V71" s="239">
        <f>'General information '!B28</f>
        <v>0</v>
      </c>
      <c r="W71" s="239">
        <f>'General information '!C28</f>
        <v>0</v>
      </c>
      <c r="X71" s="115">
        <f t="shared" si="5"/>
        <v>-18.3</v>
      </c>
    </row>
    <row r="72" spans="1:24">
      <c r="A72" s="113">
        <v>25</v>
      </c>
      <c r="B72" s="239">
        <f>'[14]General information '!B29</f>
        <v>31</v>
      </c>
      <c r="C72" s="239">
        <f>'[14]General information '!C29</f>
        <v>26</v>
      </c>
      <c r="D72" s="115">
        <f t="shared" si="9"/>
        <v>10.199999999999999</v>
      </c>
      <c r="E72" s="113">
        <v>25</v>
      </c>
      <c r="F72" s="239">
        <f>'[15]General information '!B29</f>
        <v>31</v>
      </c>
      <c r="G72" s="239">
        <f>'[15]General information '!C29</f>
        <v>27</v>
      </c>
      <c r="H72" s="115">
        <f t="shared" si="4"/>
        <v>10.7</v>
      </c>
      <c r="I72" s="113">
        <v>25</v>
      </c>
      <c r="J72" s="239">
        <f>'General information '!B29</f>
        <v>0</v>
      </c>
      <c r="K72" s="239">
        <f>'General information '!C29</f>
        <v>0</v>
      </c>
      <c r="L72" s="115">
        <f t="shared" si="6"/>
        <v>-18.3</v>
      </c>
      <c r="M72" s="113">
        <v>25</v>
      </c>
      <c r="N72" s="239">
        <f>'[5]General information '!B29</f>
        <v>27</v>
      </c>
      <c r="O72" s="239">
        <f>'[5]General information '!C29</f>
        <v>22</v>
      </c>
      <c r="P72" s="115">
        <f t="shared" si="7"/>
        <v>6.1999999999999993</v>
      </c>
      <c r="Q72" s="113">
        <v>25</v>
      </c>
      <c r="R72" s="239">
        <f>'[2]General information '!B29</f>
        <v>0</v>
      </c>
      <c r="S72" s="239">
        <f>'[2]General information '!C29</f>
        <v>0</v>
      </c>
      <c r="T72" s="115">
        <f t="shared" si="8"/>
        <v>-18.3</v>
      </c>
      <c r="U72" s="113">
        <v>25</v>
      </c>
      <c r="V72" s="239">
        <f>'General information '!B29</f>
        <v>0</v>
      </c>
      <c r="W72" s="239">
        <f>'General information '!C29</f>
        <v>0</v>
      </c>
      <c r="X72" s="115">
        <f t="shared" si="5"/>
        <v>-18.3</v>
      </c>
    </row>
    <row r="73" spans="1:24">
      <c r="A73" s="113">
        <v>26</v>
      </c>
      <c r="B73" s="239">
        <f>'[14]General information '!B30</f>
        <v>31</v>
      </c>
      <c r="C73" s="239">
        <f>'[14]General information '!C30</f>
        <v>27</v>
      </c>
      <c r="D73" s="115">
        <f t="shared" si="9"/>
        <v>10.7</v>
      </c>
      <c r="E73" s="113">
        <v>26</v>
      </c>
      <c r="F73" s="239">
        <f>'[15]General information '!B30</f>
        <v>31</v>
      </c>
      <c r="G73" s="239">
        <f>'[15]General information '!C30</f>
        <v>27</v>
      </c>
      <c r="H73" s="115">
        <f t="shared" si="4"/>
        <v>10.7</v>
      </c>
      <c r="I73" s="113">
        <v>26</v>
      </c>
      <c r="J73" s="239">
        <f>'General information '!B30</f>
        <v>0</v>
      </c>
      <c r="K73" s="239">
        <f>'General information '!C30</f>
        <v>0</v>
      </c>
      <c r="L73" s="115">
        <f t="shared" si="6"/>
        <v>-18.3</v>
      </c>
      <c r="M73" s="113">
        <v>26</v>
      </c>
      <c r="N73" s="239">
        <f>'[5]General information '!B30</f>
        <v>27</v>
      </c>
      <c r="O73" s="239">
        <f>'[5]General information '!C30</f>
        <v>22</v>
      </c>
      <c r="P73" s="115">
        <f t="shared" si="7"/>
        <v>6.1999999999999993</v>
      </c>
      <c r="Q73" s="113">
        <v>26</v>
      </c>
      <c r="R73" s="239">
        <f>'[2]General information '!B30</f>
        <v>0</v>
      </c>
      <c r="S73" s="239">
        <f>'[2]General information '!C30</f>
        <v>0</v>
      </c>
      <c r="T73" s="115">
        <f t="shared" si="8"/>
        <v>-18.3</v>
      </c>
      <c r="U73" s="113">
        <v>26</v>
      </c>
      <c r="V73" s="239">
        <f>'General information '!B30</f>
        <v>0</v>
      </c>
      <c r="W73" s="239">
        <f>'General information '!C30</f>
        <v>0</v>
      </c>
      <c r="X73" s="115">
        <f t="shared" si="5"/>
        <v>-18.3</v>
      </c>
    </row>
    <row r="74" spans="1:24">
      <c r="A74" s="113">
        <v>27</v>
      </c>
      <c r="B74" s="239">
        <f>'[14]General information '!B31</f>
        <v>30</v>
      </c>
      <c r="C74" s="239">
        <f>'[14]General information '!C31</f>
        <v>26</v>
      </c>
      <c r="D74" s="115">
        <f t="shared" si="9"/>
        <v>9.6999999999999993</v>
      </c>
      <c r="E74" s="113">
        <v>27</v>
      </c>
      <c r="F74" s="239">
        <f>'[15]General information '!B31</f>
        <v>0</v>
      </c>
      <c r="G74" s="239">
        <f>'[15]General information '!C31</f>
        <v>0</v>
      </c>
      <c r="H74" s="115">
        <f t="shared" si="4"/>
        <v>-18.3</v>
      </c>
      <c r="I74" s="113">
        <v>27</v>
      </c>
      <c r="J74" s="239">
        <f>'General information '!B31</f>
        <v>0</v>
      </c>
      <c r="K74" s="239">
        <f>'General information '!C31</f>
        <v>0</v>
      </c>
      <c r="L74" s="115">
        <f t="shared" si="6"/>
        <v>-18.3</v>
      </c>
      <c r="M74" s="113">
        <v>27</v>
      </c>
      <c r="N74" s="239">
        <f>'[5]General information '!B31</f>
        <v>27</v>
      </c>
      <c r="O74" s="239">
        <f>'[5]General information '!C31</f>
        <v>21</v>
      </c>
      <c r="P74" s="115">
        <f t="shared" si="7"/>
        <v>5.6999999999999993</v>
      </c>
      <c r="Q74" s="113">
        <v>27</v>
      </c>
      <c r="R74" s="239">
        <f>'[2]General information '!B31</f>
        <v>21</v>
      </c>
      <c r="S74" s="239">
        <f>'[2]General information '!C31</f>
        <v>15</v>
      </c>
      <c r="T74" s="115">
        <f t="shared" si="8"/>
        <v>-0.30000000000000071</v>
      </c>
      <c r="U74" s="113">
        <v>27</v>
      </c>
      <c r="V74" s="239">
        <f>'General information '!B31</f>
        <v>0</v>
      </c>
      <c r="W74" s="239">
        <f>'General information '!C31</f>
        <v>0</v>
      </c>
      <c r="X74" s="115">
        <f t="shared" si="5"/>
        <v>-18.3</v>
      </c>
    </row>
    <row r="75" spans="1:24">
      <c r="A75" s="113">
        <v>28</v>
      </c>
      <c r="B75" s="239">
        <f>'[14]General information '!B32</f>
        <v>31</v>
      </c>
      <c r="C75" s="239">
        <f>'[14]General information '!C32</f>
        <v>27</v>
      </c>
      <c r="D75" s="115">
        <f t="shared" si="9"/>
        <v>10.7</v>
      </c>
      <c r="E75" s="113">
        <v>28</v>
      </c>
      <c r="F75" s="239">
        <f>'[15]General information '!B32</f>
        <v>32</v>
      </c>
      <c r="G75" s="239">
        <f>'[15]General information '!C32</f>
        <v>27</v>
      </c>
      <c r="H75" s="115">
        <f t="shared" si="4"/>
        <v>11.2</v>
      </c>
      <c r="I75" s="113">
        <v>28</v>
      </c>
      <c r="J75" s="239">
        <f>'General information '!B32</f>
        <v>0</v>
      </c>
      <c r="K75" s="239">
        <f>'General information '!C32</f>
        <v>0</v>
      </c>
      <c r="L75" s="115">
        <f t="shared" si="6"/>
        <v>-18.3</v>
      </c>
      <c r="M75" s="113">
        <v>28</v>
      </c>
      <c r="N75" s="239">
        <f>'[5]General information '!B32</f>
        <v>0</v>
      </c>
      <c r="O75" s="239">
        <f>'[5]General information '!C32</f>
        <v>0</v>
      </c>
      <c r="P75" s="115">
        <f t="shared" si="7"/>
        <v>-18.3</v>
      </c>
      <c r="Q75" s="113">
        <v>28</v>
      </c>
      <c r="R75" s="239">
        <f>'[2]General information '!B32</f>
        <v>23</v>
      </c>
      <c r="S75" s="239">
        <f>'[2]General information '!C32</f>
        <v>18</v>
      </c>
      <c r="T75" s="115">
        <f t="shared" si="8"/>
        <v>2.1999999999999993</v>
      </c>
      <c r="U75" s="113">
        <v>28</v>
      </c>
      <c r="V75" s="239">
        <f>'General information '!B32</f>
        <v>0</v>
      </c>
      <c r="W75" s="239">
        <f>'General information '!C32</f>
        <v>0</v>
      </c>
      <c r="X75" s="115">
        <f t="shared" si="5"/>
        <v>-18.3</v>
      </c>
    </row>
    <row r="76" spans="1:24">
      <c r="A76" s="113">
        <v>29</v>
      </c>
      <c r="B76" s="239">
        <f>'[14]General information '!B33</f>
        <v>0</v>
      </c>
      <c r="C76" s="239">
        <f>'[14]General information '!C33</f>
        <v>0</v>
      </c>
      <c r="D76" s="115">
        <f t="shared" si="9"/>
        <v>-18.3</v>
      </c>
      <c r="E76" s="113">
        <v>29</v>
      </c>
      <c r="F76" s="239">
        <f>'[15]General information '!B33</f>
        <v>32</v>
      </c>
      <c r="G76" s="239">
        <f>'[15]General information '!C33</f>
        <v>27</v>
      </c>
      <c r="H76" s="115">
        <f t="shared" si="4"/>
        <v>11.2</v>
      </c>
      <c r="I76" s="113">
        <v>29</v>
      </c>
      <c r="J76" s="239">
        <f>'General information '!B33</f>
        <v>0</v>
      </c>
      <c r="K76" s="239">
        <f>'General information '!C33</f>
        <v>0</v>
      </c>
      <c r="L76" s="115">
        <f t="shared" si="6"/>
        <v>-18.3</v>
      </c>
      <c r="M76" s="113">
        <v>29</v>
      </c>
      <c r="N76" s="239">
        <f>'[5]General information '!B33</f>
        <v>0</v>
      </c>
      <c r="O76" s="239">
        <f>'[5]General information '!C33</f>
        <v>0</v>
      </c>
      <c r="P76" s="115">
        <f t="shared" si="7"/>
        <v>-18.3</v>
      </c>
      <c r="Q76" s="113">
        <v>29</v>
      </c>
      <c r="R76" s="239">
        <f>'[2]General information '!B33</f>
        <v>24</v>
      </c>
      <c r="S76" s="239">
        <f>'[2]General information '!C33</f>
        <v>16</v>
      </c>
      <c r="T76" s="115">
        <f t="shared" si="8"/>
        <v>1.6999999999999993</v>
      </c>
      <c r="U76" s="113">
        <v>29</v>
      </c>
      <c r="V76" s="239">
        <f>'General information '!B33</f>
        <v>0</v>
      </c>
      <c r="W76" s="239">
        <f>'General information '!C33</f>
        <v>0</v>
      </c>
      <c r="X76" s="115">
        <f t="shared" si="5"/>
        <v>-18.3</v>
      </c>
    </row>
    <row r="77" spans="1:24">
      <c r="A77" s="113">
        <v>30</v>
      </c>
      <c r="B77" s="239">
        <f>'[14]General information '!B34</f>
        <v>0</v>
      </c>
      <c r="C77" s="239">
        <f>'[14]General information '!C34</f>
        <v>0</v>
      </c>
      <c r="D77" s="115">
        <f t="shared" si="9"/>
        <v>-18.3</v>
      </c>
      <c r="E77" s="113">
        <v>30</v>
      </c>
      <c r="F77" s="239">
        <f>'[15]General information '!B34</f>
        <v>31</v>
      </c>
      <c r="G77" s="239">
        <f>'[15]General information '!C34</f>
        <v>28</v>
      </c>
      <c r="H77" s="115">
        <f t="shared" si="4"/>
        <v>11.2</v>
      </c>
      <c r="I77" s="113">
        <v>30</v>
      </c>
      <c r="J77" s="239">
        <f>'General information '!B34</f>
        <v>0</v>
      </c>
      <c r="K77" s="239">
        <f>'General information '!C34</f>
        <v>0</v>
      </c>
      <c r="L77" s="115">
        <f t="shared" si="6"/>
        <v>-18.3</v>
      </c>
      <c r="M77" s="113">
        <v>30</v>
      </c>
      <c r="N77" s="239">
        <f>'[5]General information '!B34</f>
        <v>26</v>
      </c>
      <c r="O77" s="239">
        <f>'[5]General information '!C34</f>
        <v>21</v>
      </c>
      <c r="P77" s="115">
        <f t="shared" si="7"/>
        <v>5.1999999999999993</v>
      </c>
      <c r="Q77" s="113">
        <v>30</v>
      </c>
      <c r="R77" s="239">
        <f>'[2]General information '!B34</f>
        <v>22</v>
      </c>
      <c r="S77" s="239">
        <f>'[2]General information '!C34</f>
        <v>17</v>
      </c>
      <c r="T77" s="115">
        <f t="shared" si="8"/>
        <v>1.1999999999999993</v>
      </c>
      <c r="U77" s="113">
        <v>30</v>
      </c>
      <c r="V77" s="239">
        <f>'General information '!B34</f>
        <v>0</v>
      </c>
      <c r="W77" s="239">
        <f>'General information '!C34</f>
        <v>0</v>
      </c>
      <c r="X77" s="115">
        <f t="shared" si="5"/>
        <v>-18.3</v>
      </c>
    </row>
    <row r="78" spans="1:24">
      <c r="A78" s="116">
        <v>31</v>
      </c>
      <c r="B78" s="239">
        <f>'[14]General information '!B35</f>
        <v>31</v>
      </c>
      <c r="C78" s="239">
        <f>'[14]General information '!C35</f>
        <v>26</v>
      </c>
      <c r="D78" s="115">
        <f t="shared" si="9"/>
        <v>10.199999999999999</v>
      </c>
      <c r="E78" s="116">
        <v>31</v>
      </c>
      <c r="F78" s="239">
        <f>'[15]General information '!B35</f>
        <v>31</v>
      </c>
      <c r="G78" s="239">
        <f>'[15]General information '!C35</f>
        <v>28</v>
      </c>
      <c r="H78" s="115">
        <f t="shared" si="4"/>
        <v>11.2</v>
      </c>
      <c r="I78" s="116"/>
      <c r="J78" s="239"/>
      <c r="K78" s="239"/>
      <c r="L78" s="118"/>
      <c r="M78" s="116">
        <v>31</v>
      </c>
      <c r="N78" s="239">
        <f>'[5]General information '!B35</f>
        <v>26</v>
      </c>
      <c r="O78" s="239">
        <f>'[5]General information '!C35</f>
        <v>23</v>
      </c>
      <c r="P78" s="118">
        <f t="shared" si="7"/>
        <v>6.1999999999999993</v>
      </c>
      <c r="Q78" s="116"/>
      <c r="R78" s="239"/>
      <c r="S78" s="239"/>
      <c r="T78" s="118"/>
      <c r="U78" s="116">
        <v>31</v>
      </c>
      <c r="V78" s="239">
        <f>'General information '!B35</f>
        <v>0</v>
      </c>
      <c r="W78" s="239">
        <f>'General information '!C35</f>
        <v>0</v>
      </c>
      <c r="X78" s="115">
        <f t="shared" si="5"/>
        <v>-18.3</v>
      </c>
    </row>
    <row r="79" spans="1:24">
      <c r="A79" s="119"/>
      <c r="B79" s="120"/>
      <c r="C79" s="120"/>
      <c r="D79" s="117"/>
      <c r="E79" s="119"/>
      <c r="F79" s="120"/>
      <c r="G79" s="120"/>
      <c r="H79" s="117"/>
      <c r="I79" s="119"/>
      <c r="J79" s="120"/>
      <c r="K79" s="120"/>
      <c r="L79" s="117"/>
      <c r="M79" s="119"/>
      <c r="N79" s="120"/>
      <c r="O79" s="120"/>
      <c r="P79" s="117"/>
      <c r="Q79" s="119"/>
      <c r="R79" s="120"/>
      <c r="S79" s="120"/>
      <c r="T79" s="117"/>
      <c r="U79" s="119"/>
      <c r="V79" s="120"/>
      <c r="W79" s="120"/>
      <c r="X79" s="117"/>
    </row>
    <row r="80" spans="1:24" s="124" customFormat="1" ht="21">
      <c r="A80" s="121"/>
      <c r="B80" s="122" t="s">
        <v>303</v>
      </c>
      <c r="C80" s="122" t="s">
        <v>304</v>
      </c>
      <c r="D80" s="123"/>
      <c r="E80" s="121"/>
      <c r="F80" s="122" t="s">
        <v>303</v>
      </c>
      <c r="G80" s="122" t="s">
        <v>304</v>
      </c>
      <c r="H80" s="123"/>
      <c r="I80" s="121"/>
      <c r="J80" s="122" t="s">
        <v>303</v>
      </c>
      <c r="K80" s="122" t="s">
        <v>304</v>
      </c>
      <c r="L80" s="123"/>
      <c r="M80" s="121"/>
      <c r="N80" s="122" t="s">
        <v>303</v>
      </c>
      <c r="O80" s="122" t="s">
        <v>304</v>
      </c>
      <c r="P80" s="123"/>
      <c r="Q80" s="121"/>
      <c r="R80" s="122" t="s">
        <v>303</v>
      </c>
      <c r="S80" s="122" t="s">
        <v>304</v>
      </c>
      <c r="T80" s="123"/>
      <c r="U80" s="121"/>
      <c r="V80" s="122" t="s">
        <v>303</v>
      </c>
      <c r="W80" s="122" t="s">
        <v>304</v>
      </c>
      <c r="X80" s="123"/>
    </row>
    <row r="81" spans="1:24">
      <c r="A81" s="125"/>
      <c r="B81" s="115">
        <f>SUMIF(D48:D78,"&lt;0")</f>
        <v>-274.50000000000006</v>
      </c>
      <c r="C81" s="115">
        <f>SUMIF(D48:D78,"&gt;0")</f>
        <v>149.69999999999999</v>
      </c>
      <c r="D81" s="126"/>
      <c r="E81" s="125"/>
      <c r="F81" s="115">
        <f>SUMIF(H48:H78,"&lt;0")</f>
        <v>-201.30000000000004</v>
      </c>
      <c r="G81" s="115">
        <f>SUMIF(H48:H78,"&gt;0")</f>
        <v>194.49999999999994</v>
      </c>
      <c r="H81" s="126"/>
      <c r="I81" s="125"/>
      <c r="J81" s="115">
        <f>SUMIF(L48:L78,"&lt;0")</f>
        <v>-284.40000000000003</v>
      </c>
      <c r="K81" s="115">
        <f>SUMIF(L48:L78,"&gt;0")</f>
        <v>3.8999999999999986</v>
      </c>
      <c r="L81" s="126"/>
      <c r="M81" s="125"/>
      <c r="N81" s="115">
        <f>SUMIF(P48:P78,"&lt;0")</f>
        <v>-237.90000000000006</v>
      </c>
      <c r="O81" s="115">
        <f>SUMIF(P48:P78,"&gt;0")</f>
        <v>113.10000000000004</v>
      </c>
      <c r="P81" s="126"/>
      <c r="Q81" s="125"/>
      <c r="R81" s="115">
        <f>SUMIF(T48:T78,"&lt;0")</f>
        <v>-202.20000000000005</v>
      </c>
      <c r="S81" s="115">
        <f>SUMIF(T48:T78,"&gt;0")</f>
        <v>43.7</v>
      </c>
      <c r="T81" s="126"/>
      <c r="U81" s="125"/>
      <c r="V81" s="115">
        <f>SUMIF(X48:X78,"&lt;0")</f>
        <v>-302.70000000000005</v>
      </c>
      <c r="W81" s="115">
        <f>SUMIF(X48:X78,"&gt;0")</f>
        <v>3.8999999999999986</v>
      </c>
      <c r="X81" s="126"/>
    </row>
    <row r="82" spans="1:24">
      <c r="A82" s="127"/>
      <c r="B82" s="128"/>
      <c r="C82" s="128"/>
      <c r="D82" s="129"/>
      <c r="E82" s="127"/>
      <c r="F82" s="128"/>
      <c r="G82" s="128"/>
      <c r="H82" s="135"/>
      <c r="I82" s="127"/>
      <c r="J82" s="128"/>
      <c r="K82" s="128"/>
      <c r="L82" s="129"/>
      <c r="M82" s="127"/>
      <c r="N82" s="128"/>
      <c r="O82" s="128"/>
      <c r="P82" s="129"/>
      <c r="Q82" s="127"/>
      <c r="R82" s="128"/>
      <c r="S82" s="128"/>
      <c r="T82" s="129"/>
      <c r="U82" s="127"/>
      <c r="V82" s="128"/>
      <c r="W82" s="128"/>
      <c r="X82" s="129"/>
    </row>
    <row r="83" spans="1:24" ht="15.75" thickBot="1">
      <c r="D83" s="130"/>
      <c r="L83" s="130"/>
      <c r="P83" s="130"/>
      <c r="T83" s="130"/>
      <c r="X83" s="130"/>
    </row>
    <row r="84" spans="1:24">
      <c r="D84" s="130"/>
      <c r="L84" s="130"/>
      <c r="N84" s="624" t="s">
        <v>303</v>
      </c>
      <c r="O84" s="624" t="s">
        <v>304</v>
      </c>
      <c r="P84" s="130"/>
      <c r="T84" s="130"/>
      <c r="X84" s="130"/>
    </row>
    <row r="85" spans="1:24" ht="20.25" thickBot="1">
      <c r="D85" s="130"/>
      <c r="I85" s="626" t="s">
        <v>312</v>
      </c>
      <c r="J85" s="627"/>
      <c r="K85" s="627"/>
      <c r="L85" s="627"/>
      <c r="N85" s="625"/>
      <c r="O85" s="625"/>
      <c r="P85" s="130"/>
      <c r="T85" s="130"/>
      <c r="X85" s="130"/>
    </row>
    <row r="86" spans="1:24" ht="18.75" thickBot="1">
      <c r="D86" s="130"/>
      <c r="I86" s="628" t="s">
        <v>313</v>
      </c>
      <c r="J86" s="628"/>
      <c r="K86" s="628"/>
      <c r="L86" s="628"/>
      <c r="N86" s="136">
        <f>B43+F43+J43+N43+R43+V43+B81+F81+J81+N81+R81+V81</f>
        <v>-2390.5</v>
      </c>
      <c r="O86" s="136">
        <f>C43+G43+K43+O43+S43+W43+C81+G81+K81+O81+S81+W81</f>
        <v>700.9</v>
      </c>
      <c r="P86" s="130"/>
      <c r="R86" s="137"/>
      <c r="S86" s="137"/>
      <c r="T86" s="138"/>
      <c r="U86" s="139"/>
      <c r="X86" s="130"/>
    </row>
    <row r="87" spans="1:24" ht="18">
      <c r="D87" s="130"/>
      <c r="L87" s="130"/>
      <c r="P87" s="130"/>
      <c r="R87" s="137"/>
      <c r="S87" s="137"/>
      <c r="T87" s="140"/>
      <c r="U87" s="139"/>
      <c r="X87" s="130"/>
    </row>
    <row r="88" spans="1:24" ht="15.75">
      <c r="B88" s="618"/>
      <c r="C88" s="618"/>
      <c r="D88" s="618"/>
      <c r="E88" s="618"/>
      <c r="F88" s="618"/>
      <c r="G88" s="618"/>
      <c r="H88" s="618"/>
      <c r="I88" s="618"/>
      <c r="J88" s="618"/>
      <c r="K88" s="618"/>
      <c r="L88" s="618"/>
      <c r="M88" s="618"/>
      <c r="N88" s="618"/>
      <c r="O88" s="618"/>
      <c r="P88" s="618"/>
      <c r="Q88" s="618"/>
      <c r="R88" s="618"/>
      <c r="S88" s="618"/>
      <c r="T88" s="618"/>
      <c r="U88" s="618"/>
      <c r="V88" s="618"/>
      <c r="W88" s="618"/>
      <c r="X88" s="130"/>
    </row>
    <row r="89" spans="1:24">
      <c r="D89" s="130"/>
      <c r="P89" s="130"/>
      <c r="X89" s="130"/>
    </row>
    <row r="90" spans="1:24">
      <c r="D90" s="130"/>
      <c r="P90" s="130"/>
    </row>
    <row r="91" spans="1:24">
      <c r="D91" s="130"/>
      <c r="P91" s="130"/>
    </row>
    <row r="92" spans="1:24">
      <c r="D92" s="151" t="s">
        <v>314</v>
      </c>
      <c r="P92" s="130"/>
    </row>
    <row r="93" spans="1:24">
      <c r="D93" s="130"/>
      <c r="P93" s="130"/>
    </row>
    <row r="94" spans="1:24">
      <c r="D94" s="130"/>
      <c r="P94" s="130"/>
    </row>
    <row r="95" spans="1:24">
      <c r="D95" s="130"/>
      <c r="P95" s="130"/>
    </row>
    <row r="96" spans="1:24">
      <c r="D96" s="130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 xr:uid="{00000000-0004-0000-0E00-000000000000}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65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32" t="s">
        <v>315</v>
      </c>
      <c r="B2" s="632"/>
      <c r="C2" s="632"/>
      <c r="D2" s="632"/>
      <c r="E2" s="632"/>
      <c r="F2" s="632"/>
      <c r="G2" s="632"/>
      <c r="H2" s="632"/>
      <c r="I2" s="632"/>
    </row>
    <row r="3" spans="1:11">
      <c r="A3" s="183">
        <v>44949</v>
      </c>
      <c r="B3" s="168"/>
      <c r="C3" s="168"/>
      <c r="D3" s="168"/>
      <c r="E3" s="168"/>
      <c r="F3" s="168"/>
      <c r="G3" s="168"/>
      <c r="H3" s="168"/>
      <c r="I3" s="3"/>
    </row>
    <row r="4" spans="1:11">
      <c r="A4" s="3"/>
      <c r="B4" s="3"/>
      <c r="C4" s="3" t="s">
        <v>316</v>
      </c>
      <c r="D4" s="3">
        <v>1507.5</v>
      </c>
      <c r="E4" s="3"/>
      <c r="F4" s="185">
        <v>31</v>
      </c>
      <c r="G4" s="3">
        <v>22</v>
      </c>
      <c r="H4" s="3"/>
      <c r="I4" s="3"/>
    </row>
    <row r="5" spans="1:11">
      <c r="A5" s="78" t="s">
        <v>317</v>
      </c>
      <c r="B5" s="166" t="s">
        <v>318</v>
      </c>
      <c r="C5" s="166" t="s">
        <v>319</v>
      </c>
      <c r="D5" s="166" t="s">
        <v>320</v>
      </c>
      <c r="E5" s="166" t="s">
        <v>321</v>
      </c>
      <c r="F5" s="184" t="s">
        <v>322</v>
      </c>
      <c r="G5" s="184" t="s">
        <v>323</v>
      </c>
      <c r="H5" s="184" t="s">
        <v>324</v>
      </c>
      <c r="I5" s="184" t="s">
        <v>325</v>
      </c>
      <c r="K5" s="368"/>
    </row>
    <row r="6" spans="1:11">
      <c r="A6" s="174" t="s">
        <v>326</v>
      </c>
      <c r="B6" s="299">
        <f>WATER!C37</f>
        <v>0</v>
      </c>
      <c r="C6" s="281">
        <v>1.66</v>
      </c>
      <c r="D6" s="174">
        <f>SUM(C6*B6)*D4</f>
        <v>0</v>
      </c>
      <c r="E6" s="372">
        <f>SUM(D6/D4)/F4</f>
        <v>0</v>
      </c>
      <c r="F6" s="175">
        <f>SUM(E6*F4)</f>
        <v>0</v>
      </c>
      <c r="G6" s="176">
        <f>SUM(B6*C6)</f>
        <v>0</v>
      </c>
      <c r="H6" s="175">
        <v>0</v>
      </c>
      <c r="I6" s="466">
        <v>0</v>
      </c>
      <c r="J6" s="241"/>
    </row>
    <row r="7" spans="1:11">
      <c r="A7" s="174" t="s">
        <v>327</v>
      </c>
      <c r="B7" s="299">
        <f>WATER!H37</f>
        <v>68</v>
      </c>
      <c r="C7" s="174">
        <v>8200</v>
      </c>
      <c r="D7" s="177">
        <f>SUM(C7)*D4</f>
        <v>12361500</v>
      </c>
      <c r="E7" s="175">
        <f>SUM(D7/D4/F4)</f>
        <v>264.51612903225805</v>
      </c>
      <c r="F7" s="175">
        <f>SUM(E7*F4)</f>
        <v>8200</v>
      </c>
      <c r="G7" s="425">
        <v>8200</v>
      </c>
      <c r="H7" s="179">
        <v>8200</v>
      </c>
      <c r="I7" s="175">
        <f>'[16]Budget 2021'!$I$15</f>
        <v>8701</v>
      </c>
      <c r="J7" s="241"/>
    </row>
    <row r="8" spans="1:11">
      <c r="A8" s="180" t="s">
        <v>328</v>
      </c>
      <c r="B8" s="300">
        <f>tanks!AT37</f>
        <v>18855</v>
      </c>
      <c r="C8" s="417">
        <f>SUM(tanks!AU37)</f>
        <v>0.8803333333333333</v>
      </c>
      <c r="D8" s="181">
        <f>SUM(B8*C8)*D4</f>
        <v>25022517.637499996</v>
      </c>
      <c r="E8" s="182">
        <f>SUM(D8/D4/F4)</f>
        <v>535.44145161290317</v>
      </c>
      <c r="F8" s="182">
        <f>SUM(E8*F4)</f>
        <v>16598.684999999998</v>
      </c>
      <c r="G8" s="174">
        <f>E8*$G$4</f>
        <v>11779.711935483869</v>
      </c>
      <c r="H8" s="179">
        <v>30289.9</v>
      </c>
      <c r="I8" s="182">
        <f>'[16]Budget 2021'!$L$14</f>
        <v>23542.919720430109</v>
      </c>
      <c r="J8" s="241"/>
    </row>
    <row r="9" spans="1:11">
      <c r="A9" s="2" t="s">
        <v>329</v>
      </c>
      <c r="B9" s="301">
        <f>'B5'!AV36</f>
        <v>0</v>
      </c>
      <c r="C9" s="298">
        <v>0.7</v>
      </c>
      <c r="D9" s="178">
        <f>SUM(B9*C9)*D4</f>
        <v>0</v>
      </c>
      <c r="E9" s="179">
        <f>SUM(C9*B9)/F4</f>
        <v>0</v>
      </c>
      <c r="F9" s="179">
        <f>SUM(E9*F4)</f>
        <v>0</v>
      </c>
      <c r="G9" s="425">
        <f>E9*$G$4</f>
        <v>0</v>
      </c>
      <c r="H9" s="179">
        <v>22639</v>
      </c>
      <c r="I9" s="179">
        <v>0</v>
      </c>
      <c r="J9" s="241"/>
    </row>
    <row r="10" spans="1:11">
      <c r="A10" s="171" t="s">
        <v>330</v>
      </c>
      <c r="B10" s="302">
        <f>'EDl log'!AA29</f>
        <v>1256</v>
      </c>
      <c r="C10" s="171"/>
      <c r="D10" s="173">
        <f>'EDl log'!AB30</f>
        <v>7405213</v>
      </c>
      <c r="E10" s="172">
        <f>SUM(D10/D4/F4)</f>
        <v>158.4595945006152</v>
      </c>
      <c r="F10" s="172">
        <f>SUM(E10*F4)</f>
        <v>4912.2474295190714</v>
      </c>
      <c r="G10" s="425">
        <f>E10*$G$4</f>
        <v>3486.1110790135344</v>
      </c>
      <c r="H10" s="179">
        <v>19000</v>
      </c>
      <c r="I10" s="172">
        <v>19000</v>
      </c>
      <c r="J10" s="241"/>
      <c r="K10" s="241"/>
    </row>
    <row r="11" spans="1:11">
      <c r="I11" s="241"/>
      <c r="J11" s="241"/>
      <c r="K11" s="241"/>
    </row>
    <row r="12" spans="1:11" ht="42.75" customHeight="1">
      <c r="E12" s="367">
        <f>SUM(E6:E11)</f>
        <v>958.41717514577635</v>
      </c>
      <c r="F12" s="170">
        <f>SUM(F6:F10)</f>
        <v>29710.932429519067</v>
      </c>
      <c r="G12" s="169">
        <f>SUM(G6:G10)</f>
        <v>23465.823014497404</v>
      </c>
      <c r="H12" s="169">
        <f>SUM(H6:H11)</f>
        <v>80128.899999999994</v>
      </c>
      <c r="I12" s="206">
        <f>SUM(I6:I11)</f>
        <v>51243.919720430109</v>
      </c>
      <c r="J12" s="241"/>
    </row>
    <row r="13" spans="1:11" ht="30">
      <c r="A13" s="3"/>
      <c r="B13" s="166" t="s">
        <v>322</v>
      </c>
      <c r="C13" s="359" t="s">
        <v>331</v>
      </c>
      <c r="D13" s="359" t="s">
        <v>332</v>
      </c>
      <c r="E13" s="359" t="s">
        <v>333</v>
      </c>
      <c r="F13" s="359" t="s">
        <v>334</v>
      </c>
      <c r="G13" s="361"/>
    </row>
    <row r="14" spans="1:11">
      <c r="A14" s="382" t="s">
        <v>335</v>
      </c>
      <c r="B14" s="93">
        <f>'Degree Days 2022'!K81</f>
        <v>3.8999999999999986</v>
      </c>
      <c r="C14" s="93">
        <v>0</v>
      </c>
      <c r="D14" s="161"/>
      <c r="E14" s="371">
        <f>'[17]Utility Cost '!F14</f>
        <v>0</v>
      </c>
      <c r="F14" s="3">
        <v>0</v>
      </c>
      <c r="G14" s="361"/>
      <c r="H14" s="362">
        <f>SUM(G12-H12)</f>
        <v>-56663.076985502586</v>
      </c>
      <c r="I14" s="362">
        <f>SUM(G12-I12)</f>
        <v>-27778.096705932705</v>
      </c>
    </row>
    <row r="15" spans="1:11">
      <c r="A15" s="382" t="s">
        <v>336</v>
      </c>
      <c r="B15" s="93">
        <f>'Degree Days 2022'!J81</f>
        <v>-284.40000000000003</v>
      </c>
      <c r="C15" s="93">
        <v>-549.00000000000011</v>
      </c>
      <c r="D15" s="161"/>
      <c r="E15" s="371">
        <f>'[17]Utility Cost '!F15</f>
        <v>0</v>
      </c>
      <c r="F15" s="3">
        <v>0</v>
      </c>
      <c r="G15" s="361"/>
    </row>
    <row r="16" spans="1:11">
      <c r="A16" s="382" t="s">
        <v>337</v>
      </c>
      <c r="B16" s="459">
        <f>'General information '!D37</f>
        <v>89.5</v>
      </c>
      <c r="C16" s="459">
        <v>21.818181818181817</v>
      </c>
      <c r="D16" s="370"/>
      <c r="E16" s="371">
        <f>'[17]Utility Cost '!F16</f>
        <v>0</v>
      </c>
      <c r="F16" s="36">
        <v>0</v>
      </c>
      <c r="G16" s="361"/>
    </row>
    <row r="17" spans="1:6">
      <c r="A17" s="382" t="s">
        <v>227</v>
      </c>
      <c r="B17" s="435">
        <f>'General information '!F36</f>
        <v>0</v>
      </c>
      <c r="C17" s="435">
        <v>0</v>
      </c>
      <c r="D17" s="408">
        <v>0</v>
      </c>
      <c r="E17" s="371">
        <f>'[17]Utility Cost '!F17</f>
        <v>0</v>
      </c>
      <c r="F17" s="437">
        <f>B17-D17</f>
        <v>0</v>
      </c>
    </row>
    <row r="18" spans="1:6">
      <c r="A18" s="434" t="s">
        <v>338</v>
      </c>
      <c r="B18" s="436">
        <f>GEN!Z34</f>
        <v>174</v>
      </c>
      <c r="C18" s="436">
        <v>201</v>
      </c>
      <c r="D18" s="369">
        <f>'[18]Other Fuel Calculation 2021'!$G$116</f>
        <v>202.66666666666666</v>
      </c>
      <c r="E18" s="371">
        <f>'[17]Utility Cost '!F18</f>
        <v>276.33333333333337</v>
      </c>
      <c r="F18" s="438">
        <f>B18-D18</f>
        <v>-28.666666666666657</v>
      </c>
    </row>
    <row r="19" spans="1:6">
      <c r="A19" s="434" t="s">
        <v>339</v>
      </c>
      <c r="B19" s="436">
        <f>GEN!AL34</f>
        <v>14</v>
      </c>
      <c r="C19" s="436">
        <v>19</v>
      </c>
      <c r="D19" s="369"/>
      <c r="E19" s="371"/>
      <c r="F19" s="438"/>
    </row>
    <row r="20" spans="1:6">
      <c r="A20" s="434" t="s">
        <v>340</v>
      </c>
      <c r="B20" s="433">
        <f>B18/B19</f>
        <v>12.428571428571429</v>
      </c>
      <c r="C20" s="433">
        <v>10.578947368421053</v>
      </c>
      <c r="D20" s="78"/>
      <c r="E20" s="371"/>
      <c r="F20" s="3"/>
    </row>
    <row r="21" spans="1:6">
      <c r="F21"/>
    </row>
    <row r="22" spans="1:6" ht="27" customHeight="1">
      <c r="F22"/>
    </row>
    <row r="23" spans="1:6">
      <c r="F23"/>
    </row>
    <row r="24" spans="1:6">
      <c r="F24"/>
    </row>
    <row r="25" spans="1:6">
      <c r="F25"/>
    </row>
    <row r="26" spans="1:6">
      <c r="F26"/>
    </row>
    <row r="27" spans="1:6">
      <c r="F27"/>
    </row>
    <row r="28" spans="1:6">
      <c r="F28"/>
    </row>
    <row r="29" spans="1:6">
      <c r="F29"/>
    </row>
    <row r="30" spans="1:6">
      <c r="F30"/>
    </row>
    <row r="31" spans="1:6">
      <c r="F31"/>
    </row>
    <row r="32" spans="1:6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87" t="s">
        <v>341</v>
      </c>
      <c r="B1" s="188" t="s">
        <v>342</v>
      </c>
      <c r="C1" s="188" t="s">
        <v>343</v>
      </c>
      <c r="D1" s="188" t="s">
        <v>344</v>
      </c>
      <c r="E1" s="188" t="s">
        <v>345</v>
      </c>
      <c r="F1" s="188" t="s">
        <v>346</v>
      </c>
      <c r="G1" s="188" t="s">
        <v>347</v>
      </c>
      <c r="H1" s="188" t="s">
        <v>348</v>
      </c>
      <c r="I1" s="188" t="s">
        <v>126</v>
      </c>
    </row>
    <row r="2" spans="1:9">
      <c r="A2" s="189" t="s">
        <v>349</v>
      </c>
      <c r="B2" s="189" t="s">
        <v>350</v>
      </c>
      <c r="C2" s="189"/>
      <c r="D2" s="189"/>
      <c r="E2" s="189"/>
      <c r="F2" s="189"/>
      <c r="G2" s="189" t="s">
        <v>351</v>
      </c>
      <c r="H2" s="189"/>
      <c r="I2" s="189"/>
    </row>
    <row r="3" spans="1:9">
      <c r="A3" s="190" t="s">
        <v>352</v>
      </c>
      <c r="B3" s="190" t="s">
        <v>353</v>
      </c>
      <c r="C3" s="190"/>
      <c r="D3" s="190"/>
      <c r="E3" s="190"/>
      <c r="F3" s="190"/>
      <c r="G3" s="190" t="s">
        <v>354</v>
      </c>
      <c r="H3" s="190"/>
      <c r="I3" s="190"/>
    </row>
    <row r="4" spans="1:9">
      <c r="A4" s="190" t="s">
        <v>355</v>
      </c>
      <c r="B4" s="190" t="s">
        <v>356</v>
      </c>
      <c r="C4" s="190"/>
      <c r="D4" s="190"/>
      <c r="E4" s="190"/>
      <c r="F4" s="190"/>
      <c r="G4" s="190" t="s">
        <v>357</v>
      </c>
      <c r="H4" s="190"/>
      <c r="I4" s="190"/>
    </row>
    <row r="5" spans="1:9">
      <c r="A5" s="190" t="s">
        <v>358</v>
      </c>
      <c r="B5" s="190" t="s">
        <v>356</v>
      </c>
      <c r="C5" s="190"/>
      <c r="D5" s="190"/>
      <c r="E5" s="190"/>
      <c r="F5" s="190"/>
      <c r="G5" s="190" t="s">
        <v>358</v>
      </c>
      <c r="H5" s="190"/>
      <c r="I5" s="190"/>
    </row>
    <row r="6" spans="1:9" ht="15.75" thickBot="1">
      <c r="A6" s="191" t="s">
        <v>359</v>
      </c>
      <c r="B6" s="191" t="s">
        <v>356</v>
      </c>
      <c r="C6" s="191"/>
      <c r="D6" s="191"/>
      <c r="E6" s="191"/>
      <c r="F6" s="191"/>
      <c r="G6" s="191" t="s">
        <v>357</v>
      </c>
      <c r="H6" s="191"/>
      <c r="I6" s="191"/>
    </row>
    <row r="7" spans="1:9" ht="15.75" thickBot="1">
      <c r="A7" s="187" t="s">
        <v>360</v>
      </c>
      <c r="B7" s="188" t="s">
        <v>342</v>
      </c>
      <c r="C7" s="188" t="s">
        <v>343</v>
      </c>
      <c r="D7" s="188" t="s">
        <v>361</v>
      </c>
      <c r="E7" s="188" t="s">
        <v>345</v>
      </c>
      <c r="F7" s="188" t="s">
        <v>362</v>
      </c>
      <c r="G7" s="188"/>
      <c r="H7" s="188"/>
      <c r="I7" s="188"/>
    </row>
    <row r="8" spans="1:9">
      <c r="A8" s="189" t="s">
        <v>363</v>
      </c>
      <c r="B8" s="189" t="s">
        <v>350</v>
      </c>
      <c r="C8" s="189"/>
      <c r="D8" s="189"/>
      <c r="E8" s="189"/>
      <c r="F8" s="189"/>
      <c r="G8" s="1" t="s">
        <v>364</v>
      </c>
      <c r="H8" s="189"/>
      <c r="I8" s="189"/>
    </row>
    <row r="9" spans="1:9">
      <c r="A9" s="190" t="s">
        <v>365</v>
      </c>
      <c r="B9" s="190" t="s">
        <v>366</v>
      </c>
      <c r="C9" s="190"/>
      <c r="D9" s="190"/>
      <c r="E9" s="190"/>
      <c r="F9" s="190"/>
      <c r="G9" s="190" t="s">
        <v>367</v>
      </c>
      <c r="H9" s="190"/>
      <c r="I9" s="190"/>
    </row>
    <row r="10" spans="1:9">
      <c r="A10" s="190" t="s">
        <v>368</v>
      </c>
      <c r="B10" s="190" t="s">
        <v>366</v>
      </c>
      <c r="C10" s="190"/>
      <c r="D10" s="190"/>
      <c r="E10" s="190"/>
      <c r="F10" s="190"/>
      <c r="G10" s="190" t="s">
        <v>369</v>
      </c>
      <c r="H10" s="190"/>
      <c r="I10" s="190"/>
    </row>
    <row r="11" spans="1:9">
      <c r="A11" s="190" t="s">
        <v>370</v>
      </c>
      <c r="B11" s="190" t="s">
        <v>366</v>
      </c>
      <c r="C11" s="190"/>
      <c r="D11" s="190"/>
      <c r="E11" s="190"/>
      <c r="F11" s="190"/>
      <c r="G11" s="190" t="s">
        <v>371</v>
      </c>
      <c r="H11" s="190"/>
      <c r="I11" s="190"/>
    </row>
    <row r="12" spans="1:9">
      <c r="A12" s="190" t="s">
        <v>372</v>
      </c>
      <c r="B12" s="190" t="s">
        <v>373</v>
      </c>
      <c r="C12" s="190"/>
      <c r="D12" s="190"/>
      <c r="E12" s="190"/>
      <c r="F12" s="190"/>
      <c r="G12" s="190" t="s">
        <v>367</v>
      </c>
      <c r="H12" s="190"/>
      <c r="I12" s="190"/>
    </row>
    <row r="13" spans="1:9" ht="15.75" thickBot="1">
      <c r="A13" s="191" t="s">
        <v>374</v>
      </c>
      <c r="B13" s="191" t="s">
        <v>350</v>
      </c>
      <c r="C13" s="191"/>
      <c r="D13" s="191"/>
      <c r="E13" s="191"/>
      <c r="F13" s="191"/>
      <c r="G13" s="191" t="s">
        <v>375</v>
      </c>
      <c r="H13" s="191"/>
      <c r="I13" s="191"/>
    </row>
    <row r="14" spans="1:9" ht="15.75" thickBot="1">
      <c r="A14" s="187" t="s">
        <v>376</v>
      </c>
      <c r="B14" s="188" t="s">
        <v>377</v>
      </c>
      <c r="C14" s="188" t="s">
        <v>378</v>
      </c>
      <c r="D14" s="188" t="s">
        <v>379</v>
      </c>
      <c r="E14" s="188" t="s">
        <v>345</v>
      </c>
      <c r="F14" s="188" t="s">
        <v>380</v>
      </c>
      <c r="G14" s="188"/>
      <c r="H14" s="188"/>
      <c r="I14" s="188"/>
    </row>
    <row r="15" spans="1:9">
      <c r="A15" s="189" t="s">
        <v>381</v>
      </c>
      <c r="B15" s="189" t="s">
        <v>350</v>
      </c>
      <c r="C15" s="189"/>
      <c r="D15" s="189"/>
      <c r="E15" s="189"/>
      <c r="F15" s="189"/>
      <c r="G15" s="1" t="s">
        <v>382</v>
      </c>
      <c r="H15" s="189"/>
      <c r="I15" s="189"/>
    </row>
    <row r="16" spans="1:9">
      <c r="A16" s="190" t="s">
        <v>383</v>
      </c>
      <c r="B16" s="190">
        <v>400</v>
      </c>
      <c r="C16" s="190"/>
      <c r="D16" s="190"/>
      <c r="E16" s="190"/>
      <c r="F16" s="190"/>
      <c r="G16" s="190" t="s">
        <v>384</v>
      </c>
      <c r="H16" s="190"/>
      <c r="I16" s="190"/>
    </row>
    <row r="17" spans="1:9">
      <c r="A17" s="190" t="s">
        <v>385</v>
      </c>
      <c r="B17" s="190">
        <v>400</v>
      </c>
      <c r="C17" s="190"/>
      <c r="D17" s="190"/>
      <c r="E17" s="190"/>
      <c r="F17" s="190"/>
      <c r="G17" s="190" t="s">
        <v>386</v>
      </c>
      <c r="H17" s="190"/>
      <c r="I17" s="190"/>
    </row>
    <row r="18" spans="1:9">
      <c r="A18" s="190" t="s">
        <v>387</v>
      </c>
      <c r="B18" s="190">
        <v>400</v>
      </c>
      <c r="C18" s="190"/>
      <c r="D18" s="190"/>
      <c r="E18" s="190"/>
      <c r="F18" s="190"/>
      <c r="G18" s="190" t="s">
        <v>388</v>
      </c>
      <c r="H18" s="190"/>
      <c r="I18" s="190"/>
    </row>
    <row r="19" spans="1:9">
      <c r="A19" s="190" t="s">
        <v>389</v>
      </c>
      <c r="B19" s="190">
        <v>400</v>
      </c>
      <c r="C19" s="190"/>
      <c r="D19" s="190"/>
      <c r="E19" s="190"/>
      <c r="F19" s="190"/>
      <c r="G19" s="1" t="s">
        <v>390</v>
      </c>
      <c r="H19" s="190"/>
      <c r="I19" s="190"/>
    </row>
    <row r="20" spans="1:9">
      <c r="A20" s="190" t="s">
        <v>391</v>
      </c>
      <c r="B20" s="190">
        <v>400</v>
      </c>
      <c r="C20" s="190"/>
      <c r="D20" s="190"/>
      <c r="E20" s="190"/>
      <c r="F20" s="190"/>
      <c r="G20" s="190" t="s">
        <v>392</v>
      </c>
      <c r="H20" s="190"/>
      <c r="I20" s="190"/>
    </row>
    <row r="21" spans="1:9">
      <c r="A21" s="190" t="s">
        <v>393</v>
      </c>
      <c r="B21" s="190">
        <v>800</v>
      </c>
      <c r="C21" s="190"/>
      <c r="D21" s="190"/>
      <c r="E21" s="190"/>
      <c r="F21" s="190"/>
      <c r="G21" s="190" t="s">
        <v>394</v>
      </c>
      <c r="H21" s="190"/>
      <c r="I21" s="190"/>
    </row>
    <row r="22" spans="1:9" ht="15.75" thickBot="1">
      <c r="A22" s="191" t="s">
        <v>395</v>
      </c>
      <c r="B22" s="191" t="s">
        <v>350</v>
      </c>
      <c r="C22" s="191"/>
      <c r="D22" s="191"/>
      <c r="E22" s="191"/>
      <c r="F22" s="191"/>
      <c r="G22" s="191" t="s">
        <v>375</v>
      </c>
      <c r="H22" s="191"/>
      <c r="I22" s="191"/>
    </row>
    <row r="23" spans="1:9" ht="15.75" thickBot="1">
      <c r="A23" s="187" t="s">
        <v>396</v>
      </c>
      <c r="B23" s="188" t="s">
        <v>377</v>
      </c>
      <c r="C23" s="188" t="s">
        <v>378</v>
      </c>
      <c r="D23" s="188" t="s">
        <v>379</v>
      </c>
      <c r="E23" s="188" t="s">
        <v>345</v>
      </c>
      <c r="F23" s="188" t="s">
        <v>380</v>
      </c>
      <c r="G23" s="188"/>
      <c r="H23" s="188"/>
      <c r="I23" s="188"/>
    </row>
    <row r="24" spans="1:9">
      <c r="A24" s="189" t="s">
        <v>397</v>
      </c>
      <c r="B24" s="189" t="s">
        <v>350</v>
      </c>
      <c r="C24" s="189"/>
      <c r="D24" s="189"/>
      <c r="E24" s="189"/>
      <c r="F24" s="189"/>
      <c r="G24" s="1" t="s">
        <v>351</v>
      </c>
      <c r="H24" s="189"/>
      <c r="I24" s="189"/>
    </row>
    <row r="25" spans="1:9">
      <c r="A25" s="190" t="s">
        <v>398</v>
      </c>
      <c r="B25" s="190">
        <v>400</v>
      </c>
      <c r="C25" s="190" t="s">
        <v>399</v>
      </c>
      <c r="D25" s="190"/>
      <c r="E25" s="190"/>
      <c r="F25" s="190"/>
      <c r="G25" s="190" t="s">
        <v>400</v>
      </c>
      <c r="H25" s="190"/>
      <c r="I25" s="190"/>
    </row>
    <row r="26" spans="1:9">
      <c r="A26" s="190" t="s">
        <v>401</v>
      </c>
      <c r="B26" s="190">
        <v>400</v>
      </c>
      <c r="C26" s="190" t="s">
        <v>399</v>
      </c>
      <c r="D26" s="190"/>
      <c r="E26" s="190"/>
      <c r="F26" s="190"/>
      <c r="G26" s="190" t="s">
        <v>402</v>
      </c>
      <c r="H26" s="190"/>
      <c r="I26" s="190"/>
    </row>
    <row r="27" spans="1:9">
      <c r="A27" s="190" t="s">
        <v>403</v>
      </c>
      <c r="B27" s="190">
        <v>400</v>
      </c>
      <c r="C27" s="190"/>
      <c r="D27" s="190"/>
      <c r="E27" s="190"/>
      <c r="F27" s="190"/>
      <c r="G27" s="190" t="s">
        <v>404</v>
      </c>
      <c r="H27" s="190"/>
      <c r="I27" s="190"/>
    </row>
    <row r="28" spans="1:9">
      <c r="A28" s="190" t="s">
        <v>405</v>
      </c>
      <c r="B28" s="190">
        <v>1000</v>
      </c>
      <c r="C28" s="190"/>
      <c r="D28" s="190"/>
      <c r="E28" s="190"/>
      <c r="F28" s="190"/>
      <c r="G28" s="190" t="s">
        <v>405</v>
      </c>
      <c r="H28" s="190"/>
      <c r="I28" s="190"/>
    </row>
    <row r="29" spans="1:9" ht="15.75" thickBot="1">
      <c r="A29" s="347" t="s">
        <v>406</v>
      </c>
      <c r="B29" s="191">
        <v>1000</v>
      </c>
      <c r="C29" s="191"/>
      <c r="D29" s="191"/>
      <c r="E29" s="191"/>
      <c r="F29" s="191"/>
      <c r="G29" s="191"/>
      <c r="H29" s="191"/>
      <c r="I29" s="191"/>
    </row>
    <row r="30" spans="1:9" ht="15.75" thickBot="1">
      <c r="A30" s="187" t="s">
        <v>407</v>
      </c>
      <c r="B30" s="188" t="s">
        <v>377</v>
      </c>
      <c r="C30" s="188" t="s">
        <v>378</v>
      </c>
      <c r="D30" s="188" t="s">
        <v>379</v>
      </c>
      <c r="E30" s="188" t="s">
        <v>345</v>
      </c>
      <c r="F30" s="188" t="s">
        <v>380</v>
      </c>
      <c r="G30" s="188"/>
      <c r="H30" s="188"/>
      <c r="I30" s="188"/>
    </row>
    <row r="31" spans="1:9">
      <c r="A31" s="189" t="s">
        <v>34</v>
      </c>
      <c r="B31" s="189" t="s">
        <v>350</v>
      </c>
      <c r="C31" s="189"/>
      <c r="D31" s="189"/>
      <c r="E31" s="189"/>
      <c r="F31" s="189"/>
      <c r="G31" s="1" t="s">
        <v>351</v>
      </c>
      <c r="H31" s="189"/>
      <c r="I31" s="189"/>
    </row>
    <row r="32" spans="1:9">
      <c r="A32" s="190" t="s">
        <v>408</v>
      </c>
      <c r="B32" s="190">
        <v>1000</v>
      </c>
      <c r="C32" s="190"/>
      <c r="D32" s="190"/>
      <c r="E32" s="190"/>
      <c r="F32" s="190"/>
      <c r="G32" s="190" t="s">
        <v>409</v>
      </c>
      <c r="H32" s="190"/>
      <c r="I32" s="190"/>
    </row>
    <row r="33" spans="1:9">
      <c r="A33" s="190" t="s">
        <v>410</v>
      </c>
      <c r="B33" s="190">
        <v>630</v>
      </c>
      <c r="C33" s="190"/>
      <c r="D33" s="190"/>
      <c r="E33" s="190"/>
      <c r="F33" s="190"/>
      <c r="G33" s="190" t="s">
        <v>411</v>
      </c>
      <c r="H33" s="190"/>
      <c r="I33" s="190"/>
    </row>
    <row r="34" spans="1:9">
      <c r="A34" s="190" t="s">
        <v>412</v>
      </c>
      <c r="B34" s="190">
        <v>630</v>
      </c>
      <c r="C34" s="190"/>
      <c r="D34" s="190"/>
      <c r="E34" s="190"/>
      <c r="F34" s="190"/>
      <c r="G34" s="190" t="s">
        <v>413</v>
      </c>
      <c r="H34" s="190"/>
      <c r="I34" s="190"/>
    </row>
    <row r="35" spans="1:9">
      <c r="A35" s="190" t="s">
        <v>414</v>
      </c>
      <c r="B35" s="190">
        <v>630</v>
      </c>
      <c r="C35" s="190"/>
      <c r="D35" s="190"/>
      <c r="E35" s="190"/>
      <c r="F35" s="190"/>
      <c r="G35" s="190" t="s">
        <v>415</v>
      </c>
      <c r="H35" s="190"/>
      <c r="I35" s="190"/>
    </row>
    <row r="36" spans="1:9">
      <c r="A36" s="190" t="s">
        <v>416</v>
      </c>
      <c r="B36" s="190">
        <v>400</v>
      </c>
      <c r="C36" s="190"/>
      <c r="D36" s="190"/>
      <c r="E36" s="190"/>
      <c r="F36" s="190"/>
      <c r="G36" s="190" t="s">
        <v>388</v>
      </c>
      <c r="H36" s="190"/>
      <c r="I36" s="190"/>
    </row>
    <row r="37" spans="1:9">
      <c r="A37" s="191" t="s">
        <v>417</v>
      </c>
      <c r="B37" s="191">
        <v>1000</v>
      </c>
      <c r="C37" s="191"/>
      <c r="D37" s="191"/>
      <c r="E37" s="191"/>
      <c r="F37" s="191"/>
      <c r="G37" s="191" t="s">
        <v>417</v>
      </c>
      <c r="H37" s="191"/>
      <c r="I37" s="191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  <SharedWithUsers xmlns="1e86adda-45bd-463c-b99f-bef9c4e0c7b8">
      <UserInfo>
        <DisplayName>Marwan Hamd</DisplayName>
        <AccountId>16</AccountId>
        <AccountType/>
      </UserInfo>
      <UserInfo>
        <DisplayName>Hussein Saleh</DisplayName>
        <AccountId>17</AccountId>
        <AccountType/>
      </UserInfo>
      <UserInfo>
        <DisplayName>Amjad Abou Hassan</DisplayName>
        <AccountId>11</AccountId>
        <AccountType/>
      </UserInfo>
      <UserInfo>
        <DisplayName>Ahmad Ktaish</DisplayName>
        <AccountId>18</AccountId>
        <AccountType/>
      </UserInfo>
      <UserInfo>
        <DisplayName>Suzane Abou Sleiman</DisplayName>
        <AccountId>10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9" ma:contentTypeDescription="Create a new document." ma:contentTypeScope="" ma:versionID="ab5954c4ed683a0ce5226c1380f396fd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4b127ec3b2fc22f496df98c388db4706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81EA65-C721-4189-A818-9E5C2E92F3C8}"/>
</file>

<file path=customXml/itemProps2.xml><?xml version="1.0" encoding="utf-8"?>
<ds:datastoreItem xmlns:ds="http://schemas.openxmlformats.org/officeDocument/2006/customXml" ds:itemID="{1F2A82A3-AC79-49A3-AF02-735AF56E11B7}"/>
</file>

<file path=customXml/itemProps3.xml><?xml version="1.0" encoding="utf-8"?>
<ds:datastoreItem xmlns:ds="http://schemas.openxmlformats.org/officeDocument/2006/customXml" ds:itemID="{164A1211-60D8-4124-8B70-61D774B73C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bei.eng</dc:creator>
  <cp:keywords/>
  <dc:description/>
  <cp:lastModifiedBy>Suzane Abou Sleiman</cp:lastModifiedBy>
  <cp:revision/>
  <dcterms:created xsi:type="dcterms:W3CDTF">2015-01-02T09:20:21Z</dcterms:created>
  <dcterms:modified xsi:type="dcterms:W3CDTF">2023-01-23T07:34:31Z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MediaServiceImageTags">
    <vt:lpwstr/>
  </property>
</Properties>
</file>