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807734EB-B846-4058-92F1-2E92F3BABF7B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9" i="4" l="1"/>
  <c r="B10" i="4"/>
  <c r="B11" i="4"/>
  <c r="B12" i="4"/>
  <c r="B10" i="2"/>
  <c r="B11" i="2"/>
  <c r="B12" i="2"/>
  <c r="B13" i="2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8" i="2" l="1"/>
  <c r="B9" i="2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D32" i="8" s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3" i="8"/>
  <c r="D33" i="8" s="1"/>
  <c r="B34" i="8"/>
  <c r="D34" i="8" s="1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22" i="4" l="1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<sst xmlns="http://schemas.openxmlformats.org/spreadsheetml/2006/main" count="203" uniqueCount="130">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</sst>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-477210</c:v>
                </c:pt>
                <c:pt idx="1">
                  <c:v>-2682200</c:v>
                </c:pt>
                <c:pt idx="2">
                  <c:v>-259910</c:v>
                </c:pt>
                <c:pt idx="3">
                  <c:v>-985210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-57642</c:v>
                </c:pt>
                <c:pt idx="1">
                  <c:v>0.16722221738714196</c:v>
                </c:pt>
                <c:pt idx="2" formatCode="_(* #,##0.00_);_(* \(#,##0.00\);_(* &quot;-&quot;??_);_(@_)">
                  <c:v>-219232</c:v>
                </c:pt>
                <c:pt idx="3">
                  <c:v>0.63600258773494867</c:v>
                </c:pt>
                <c:pt idx="4" formatCode="0.00">
                  <c:v>-28505</c:v>
                </c:pt>
                <c:pt idx="5">
                  <c:v>8.2694377478583006E-2</c:v>
                </c:pt>
                <c:pt idx="6" formatCode="0.00">
                  <c:v>-39115</c:v>
                </c:pt>
                <c:pt idx="7">
                  <c:v>0.11347449833624888</c:v>
                </c:pt>
                <c:pt idx="8" formatCode="0.00">
                  <c:v>-6919</c:v>
                </c:pt>
                <c:pt idx="9">
                  <c:v>2.0072352140828482E-2</c:v>
                </c:pt>
                <c:pt idx="10" formatCode="0.00">
                  <c:v>-1088</c:v>
                </c:pt>
                <c:pt idx="11">
                  <c:v>3.1563403857813826E-3</c:v>
                </c:pt>
                <c:pt idx="12" formatCode="0.00">
                  <c:v>-8025</c:v>
                </c:pt>
                <c:pt idx="13">
                  <c:v>2.3280911393286394E-2</c:v>
                </c:pt>
                <c:pt idx="14" formatCode="_(* #,##0.00_);_(* \(#,##0.00\);_(* &quot;-&quot;??_);_(@_)">
                  <c:v>-25946</c:v>
                </c:pt>
                <c:pt idx="15">
                  <c:v>7.5270595266069634E-2</c:v>
                </c:pt>
                <c:pt idx="16" formatCode="0.00">
                  <c:v>-1801</c:v>
                </c:pt>
                <c:pt idx="17">
                  <c:v>5.2247877158017189E-3</c:v>
                </c:pt>
                <c:pt idx="18" formatCode="0.00">
                  <c:v>-6919</c:v>
                </c:pt>
                <c:pt idx="19">
                  <c:v>2.0072352140828482E-2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-395192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553216"/>
        <c:axId val="222554752"/>
      </c:barChart>
      <c:catAx>
        <c:axId val="222553216"/>
        <c:scaling>
          <c:orientation val="minMax"/>
        </c:scaling>
        <c:delete val="1"/>
        <c:axPos val="b"/>
        <c:majorTickMark val="none"/>
        <c:minorTickMark val="none"/>
        <c:tickLblPos val="nextTo"/>
        <c:crossAx val="222554752"/>
        <c:crosses val="autoZero"/>
        <c:auto val="1"/>
        <c:lblAlgn val="ctr"/>
        <c:lblOffset val="100"/>
        <c:noMultiLvlLbl val="0"/>
      </c:catAx>
      <c:valAx>
        <c:axId val="22255475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2553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9" sqref="I29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>
        <v>0.18</v>
      </c>
      <c r="G2" s="104">
        <v>5856</v>
      </c>
      <c r="H2" s="117">
        <v>0.63500000000000001</v>
      </c>
      <c r="I2" s="63">
        <v>281</v>
      </c>
      <c r="J2" s="73">
        <v>1.8</v>
      </c>
      <c r="K2" s="101"/>
      <c r="L2" s="73">
        <v>0.9</v>
      </c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>
        <v>0.18</v>
      </c>
      <c r="G3" s="104">
        <v>6334</v>
      </c>
      <c r="H3" s="117">
        <v>0.63500000000000001</v>
      </c>
      <c r="I3" s="63">
        <v>285</v>
      </c>
      <c r="J3" s="73">
        <v>1.8</v>
      </c>
      <c r="K3" s="101"/>
      <c r="L3" s="73">
        <v>0.9</v>
      </c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>
        <v>0.18</v>
      </c>
      <c r="G4" s="104">
        <v>4984</v>
      </c>
      <c r="H4" s="117">
        <v>0.63500000000000001</v>
      </c>
      <c r="I4" s="63">
        <v>270</v>
      </c>
      <c r="J4" s="73">
        <v>1.8</v>
      </c>
      <c r="K4" s="101"/>
      <c r="L4" s="73">
        <v>0.9</v>
      </c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>
        <v>0.18</v>
      </c>
      <c r="G5" s="104">
        <v>5030</v>
      </c>
      <c r="H5" s="117">
        <v>0.63500000000000001</v>
      </c>
      <c r="I5" s="63">
        <v>235</v>
      </c>
      <c r="J5" s="73">
        <v>1.8</v>
      </c>
      <c r="K5" s="101"/>
      <c r="L5" s="73">
        <v>0.9</v>
      </c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>
        <v>0.18</v>
      </c>
      <c r="G6" s="104">
        <v>5475</v>
      </c>
      <c r="H6" s="117">
        <v>0.63500000000000001</v>
      </c>
      <c r="I6" s="63">
        <v>330</v>
      </c>
      <c r="J6" s="73">
        <v>1.8</v>
      </c>
      <c r="K6" s="101"/>
      <c r="L6" s="73">
        <v>0.9</v>
      </c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>
        <v>21860.000000001037</v>
      </c>
      <c r="F7" s="120">
        <v>0.18</v>
      </c>
      <c r="G7" s="104">
        <v>5959</v>
      </c>
      <c r="H7" s="117">
        <v>0.63500000000000001</v>
      </c>
      <c r="I7" s="63">
        <v>308</v>
      </c>
      <c r="J7" s="73">
        <v>1.8</v>
      </c>
      <c r="K7" s="101"/>
      <c r="L7" s="73">
        <v>0.9</v>
      </c>
      <c r="M7" s="69">
        <v>47</v>
      </c>
      <c r="N7" s="69">
        <v>103</v>
      </c>
      <c r="O7" s="69">
        <v>371</v>
      </c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>
        <v>21589.99999999992</v>
      </c>
      <c r="F8" s="120">
        <v>0.18</v>
      </c>
      <c r="G8" s="104">
        <v>5198</v>
      </c>
      <c r="H8" s="117">
        <v>0.63500000000000001</v>
      </c>
      <c r="I8" s="63">
        <v>267</v>
      </c>
      <c r="J8" s="73">
        <v>1.8</v>
      </c>
      <c r="K8" s="101"/>
      <c r="L8" s="73">
        <v>0.9</v>
      </c>
      <c r="M8" s="69">
        <v>44</v>
      </c>
      <c r="N8" s="69">
        <v>101</v>
      </c>
      <c r="O8" s="69">
        <v>277</v>
      </c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>
        <v>23069.999999998574</v>
      </c>
      <c r="F9" s="120">
        <v>0.18</v>
      </c>
      <c r="G9" s="104">
        <v>6515</v>
      </c>
      <c r="H9" s="117">
        <v>0.63500000000000001</v>
      </c>
      <c r="I9" s="63">
        <v>324</v>
      </c>
      <c r="J9" s="73">
        <v>1.8</v>
      </c>
      <c r="K9" s="101"/>
      <c r="L9" s="73">
        <v>0.9</v>
      </c>
      <c r="M9" s="69">
        <v>38</v>
      </c>
      <c r="N9" s="69">
        <v>90</v>
      </c>
      <c r="O9" s="69">
        <v>238</v>
      </c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>
        <v>22010.000000000673</v>
      </c>
      <c r="F10" s="120">
        <v>0.18</v>
      </c>
      <c r="G10" s="104">
        <v>5886</v>
      </c>
      <c r="H10" s="117">
        <v>0.63500000000000001</v>
      </c>
      <c r="I10" s="63">
        <v>290</v>
      </c>
      <c r="J10" s="73">
        <v>1.8</v>
      </c>
      <c r="K10" s="101"/>
      <c r="L10" s="73">
        <v>0.9</v>
      </c>
      <c r="M10" s="69">
        <v>39</v>
      </c>
      <c r="N10" s="69">
        <v>91</v>
      </c>
      <c r="O10" s="69">
        <v>272</v>
      </c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>
        <v>23249.999999999316</v>
      </c>
      <c r="F11" s="120">
        <v>0.18</v>
      </c>
      <c r="G11" s="104">
        <v>6805</v>
      </c>
      <c r="H11" s="117">
        <v>0.63500000000000001</v>
      </c>
      <c r="I11" s="63">
        <v>307</v>
      </c>
      <c r="J11" s="73">
        <v>1.8</v>
      </c>
      <c r="K11" s="101"/>
      <c r="L11" s="73">
        <v>0.9</v>
      </c>
      <c r="M11" s="69">
        <v>48</v>
      </c>
      <c r="N11" s="69">
        <v>110</v>
      </c>
      <c r="O11" s="69">
        <v>307</v>
      </c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>
        <v>23820.000000000393</v>
      </c>
      <c r="F12" s="120">
        <v>0.18</v>
      </c>
      <c r="G12" s="104">
        <v>6537</v>
      </c>
      <c r="H12" s="117">
        <v>0.63500000000000001</v>
      </c>
      <c r="I12" s="63">
        <v>328</v>
      </c>
      <c r="J12" s="73">
        <v>1.8</v>
      </c>
      <c r="K12" s="101"/>
      <c r="L12" s="73">
        <v>0.9</v>
      </c>
      <c r="M12" s="69">
        <v>49</v>
      </c>
      <c r="N12" s="69">
        <v>125</v>
      </c>
      <c r="O12" s="69">
        <v>330</v>
      </c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>
        <v>23229.999999999789</v>
      </c>
      <c r="F13" s="120">
        <v>0.18</v>
      </c>
      <c r="G13" s="104">
        <v>6265</v>
      </c>
      <c r="H13" s="117">
        <v>0.63500000000000001</v>
      </c>
      <c r="I13" s="63">
        <v>313</v>
      </c>
      <c r="J13" s="73">
        <v>1.8</v>
      </c>
      <c r="K13" s="101"/>
      <c r="L13" s="73">
        <v>0.9</v>
      </c>
      <c r="M13" s="69">
        <v>49</v>
      </c>
      <c r="N13" s="69">
        <v>126</v>
      </c>
      <c r="O13" s="69">
        <v>330</v>
      </c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>
        <v>22729.999999999789</v>
      </c>
      <c r="F14" s="120">
        <v>0.18</v>
      </c>
      <c r="G14" s="104">
        <v>6242</v>
      </c>
      <c r="H14" s="117">
        <v>0.63500000000000001</v>
      </c>
      <c r="I14" s="63">
        <v>326</v>
      </c>
      <c r="J14" s="73">
        <v>1.8</v>
      </c>
      <c r="K14" s="101"/>
      <c r="L14" s="73">
        <v>0.9</v>
      </c>
      <c r="M14" s="69">
        <v>54</v>
      </c>
      <c r="N14" s="69">
        <v>118</v>
      </c>
      <c r="O14" s="69">
        <v>359</v>
      </c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>
        <v>22460.000000000491</v>
      </c>
      <c r="F15" s="120">
        <v>0.18</v>
      </c>
      <c r="G15" s="104">
        <v>6238</v>
      </c>
      <c r="H15" s="117">
        <v>0.63500000000000001</v>
      </c>
      <c r="I15" s="63">
        <v>259</v>
      </c>
      <c r="J15" s="73">
        <v>1.8</v>
      </c>
      <c r="K15" s="101"/>
      <c r="L15" s="73">
        <v>0.9</v>
      </c>
      <c r="M15" s="69">
        <v>43</v>
      </c>
      <c r="N15" s="69">
        <v>103</v>
      </c>
      <c r="O15" s="69">
        <v>312</v>
      </c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>
        <v>21350.000000000589</v>
      </c>
      <c r="F16" s="120">
        <v>0.18</v>
      </c>
      <c r="G16" s="104">
        <v>5934</v>
      </c>
      <c r="H16" s="117">
        <v>0.63500000000000001</v>
      </c>
      <c r="I16" s="63">
        <v>274</v>
      </c>
      <c r="J16" s="73">
        <v>1.8</v>
      </c>
      <c r="K16" s="101"/>
      <c r="L16" s="73">
        <v>0.9</v>
      </c>
      <c r="M16" s="69">
        <v>50</v>
      </c>
      <c r="N16" s="69">
        <v>121</v>
      </c>
      <c r="O16" s="69">
        <v>346</v>
      </c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>
        <v>21939.9999999996</v>
      </c>
      <c r="F17" s="120">
        <v>0.18</v>
      </c>
      <c r="G17" s="104">
        <v>5713</v>
      </c>
      <c r="H17" s="117">
        <v>0.63500000000000001</v>
      </c>
      <c r="I17" s="63">
        <v>274</v>
      </c>
      <c r="J17" s="73">
        <v>1.8</v>
      </c>
      <c r="K17" s="101"/>
      <c r="L17" s="73">
        <v>0.9</v>
      </c>
      <c r="M17" s="69">
        <v>53</v>
      </c>
      <c r="N17" s="69">
        <v>118</v>
      </c>
      <c r="O17" s="69">
        <v>332</v>
      </c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>
        <v>22369.999999999207</v>
      </c>
      <c r="F18" s="120">
        <v>0.18</v>
      </c>
      <c r="G18" s="104">
        <v>6154</v>
      </c>
      <c r="H18" s="117">
        <v>0.63500000000000001</v>
      </c>
      <c r="I18" s="63">
        <v>294</v>
      </c>
      <c r="J18" s="73">
        <v>1.8</v>
      </c>
      <c r="K18" s="101"/>
      <c r="L18" s="73">
        <v>0.9</v>
      </c>
      <c r="M18" s="69">
        <v>56</v>
      </c>
      <c r="N18" s="69">
        <v>119</v>
      </c>
      <c r="O18" s="69">
        <v>357</v>
      </c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>
        <v>20810.000000000855</v>
      </c>
      <c r="F19" s="120">
        <v>0.18</v>
      </c>
      <c r="G19" s="104">
        <v>5905</v>
      </c>
      <c r="H19" s="117">
        <v>0.63500000000000001</v>
      </c>
      <c r="I19" s="63">
        <v>288</v>
      </c>
      <c r="J19" s="73">
        <v>1.8</v>
      </c>
      <c r="K19" s="101"/>
      <c r="L19" s="73">
        <v>0.9</v>
      </c>
      <c r="M19" s="69">
        <v>61</v>
      </c>
      <c r="N19" s="69">
        <v>131</v>
      </c>
      <c r="O19" s="69">
        <v>357</v>
      </c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>
        <v>23379.99999999988</v>
      </c>
      <c r="F20" s="120">
        <v>0.18</v>
      </c>
      <c r="G20" s="104">
        <v>5970</v>
      </c>
      <c r="H20" s="117">
        <v>0.63500000000000001</v>
      </c>
      <c r="I20" s="63">
        <v>340</v>
      </c>
      <c r="J20" s="73">
        <v>1.8</v>
      </c>
      <c r="K20" s="101"/>
      <c r="L20" s="73">
        <v>0.9</v>
      </c>
      <c r="M20" s="69">
        <v>53</v>
      </c>
      <c r="N20" s="69">
        <v>120</v>
      </c>
      <c r="O20" s="69">
        <v>347</v>
      </c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>
        <v>22679.999999999607</v>
      </c>
      <c r="F21" s="120">
        <v>0.18</v>
      </c>
      <c r="G21" s="104">
        <v>6318</v>
      </c>
      <c r="H21" s="117">
        <v>0.63500000000000001</v>
      </c>
      <c r="I21" s="63">
        <v>365</v>
      </c>
      <c r="J21" s="73">
        <v>1.8</v>
      </c>
      <c r="K21" s="101"/>
      <c r="L21" s="73">
        <v>0.9</v>
      </c>
      <c r="M21" s="69">
        <v>54</v>
      </c>
      <c r="N21" s="69">
        <v>128</v>
      </c>
      <c r="O21" s="69">
        <v>322</v>
      </c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>
        <v>21230.000000001837</v>
      </c>
      <c r="F22" s="120">
        <v>0.18</v>
      </c>
      <c r="G22" s="104">
        <v>5776</v>
      </c>
      <c r="H22" s="117">
        <v>0.63500000000000001</v>
      </c>
      <c r="I22" s="63">
        <v>317</v>
      </c>
      <c r="J22" s="73">
        <v>1.8</v>
      </c>
      <c r="K22" s="101"/>
      <c r="L22" s="73">
        <v>0.9</v>
      </c>
      <c r="M22" s="69">
        <v>50</v>
      </c>
      <c r="N22" s="69">
        <v>122</v>
      </c>
      <c r="O22" s="69">
        <v>329</v>
      </c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>
        <v>23479.999999997061</v>
      </c>
      <c r="F23" s="120">
        <v>0.18</v>
      </c>
      <c r="G23" s="104">
        <v>6128</v>
      </c>
      <c r="H23" s="117">
        <v>0.63500000000000001</v>
      </c>
      <c r="I23" s="63">
        <v>295</v>
      </c>
      <c r="J23" s="73">
        <v>1.8</v>
      </c>
      <c r="K23" s="101"/>
      <c r="L23" s="73">
        <v>0.9</v>
      </c>
      <c r="M23" s="69">
        <v>45</v>
      </c>
      <c r="N23" s="69">
        <v>123</v>
      </c>
      <c r="O23" s="69">
        <v>369</v>
      </c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>
        <v>22460.00000000163</v>
      </c>
      <c r="F24" s="120">
        <v>0.18</v>
      </c>
      <c r="G24" s="104">
        <v>6252</v>
      </c>
      <c r="H24" s="117">
        <v>0.63500000000000001</v>
      </c>
      <c r="I24" s="63">
        <v>322</v>
      </c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>
        <v>22099.999999998996</v>
      </c>
      <c r="F25" s="120">
        <v>0.18</v>
      </c>
      <c r="G25" s="104">
        <v>6023</v>
      </c>
      <c r="H25" s="117">
        <v>0.63500000000000001</v>
      </c>
      <c r="I25" s="63">
        <v>444</v>
      </c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527769.99999999837</v>
      </c>
      <c r="F33" s="97">
        <v>0</v>
      </c>
      <c r="G33" s="118">
        <f>SUM(G2:G32)</f>
        <v>143497</v>
      </c>
      <c r="H33" s="95">
        <v>0</v>
      </c>
      <c r="I33" s="96">
        <f>SUM(I2:I32)</f>
        <v>7336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1080</v>
      </c>
      <c r="N33" s="99">
        <f t="shared" si="1"/>
        <v>2568</v>
      </c>
      <c r="O33" s="99">
        <f t="shared" si="1"/>
        <v>7293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>
        <v>47</v>
      </c>
      <c r="W9" s="103">
        <v>103</v>
      </c>
      <c r="X9" s="103">
        <v>371</v>
      </c>
      <c r="Y9" s="17"/>
    </row>
    <row r="10" spans="1:25" ht="21" customHeight="1" x14ac:dyDescent="0.25">
      <c r="A10" s="8">
        <v>44507</v>
      </c>
      <c r="B10" s="106">
        <v>1.1491</v>
      </c>
      <c r="C10" s="107">
        <v>261.51</v>
      </c>
      <c r="D10" s="107">
        <v>7772120.6500000004</v>
      </c>
      <c r="E10" s="107">
        <v>8566582.2599999998</v>
      </c>
      <c r="F10" s="107">
        <v>2.6981999999999999</v>
      </c>
      <c r="G10" s="107">
        <v>854.5</v>
      </c>
      <c r="H10" s="107">
        <v>701.15</v>
      </c>
      <c r="I10" s="107">
        <v>273.13</v>
      </c>
      <c r="J10" s="109">
        <v>353.34</v>
      </c>
      <c r="K10" s="109">
        <v>377.97</v>
      </c>
      <c r="L10" s="109">
        <v>260.06</v>
      </c>
      <c r="M10" s="109">
        <v>616.97</v>
      </c>
      <c r="N10" s="109">
        <v>569.75</v>
      </c>
      <c r="O10" s="109">
        <v>179.89</v>
      </c>
      <c r="P10" s="109">
        <v>743.72</v>
      </c>
      <c r="Q10" s="109">
        <v>549.67999999999995</v>
      </c>
      <c r="R10" s="109">
        <v>190.05</v>
      </c>
      <c r="S10" s="109">
        <v>130.69</v>
      </c>
      <c r="T10" s="109">
        <v>479.98</v>
      </c>
      <c r="V10" s="103">
        <v>44</v>
      </c>
      <c r="W10" s="103">
        <v>101</v>
      </c>
      <c r="X10" s="103">
        <v>277</v>
      </c>
      <c r="Y10" s="17"/>
    </row>
    <row r="11" spans="1:25" ht="21" customHeight="1" x14ac:dyDescent="0.25">
      <c r="A11" s="8">
        <v>44508</v>
      </c>
      <c r="B11" s="108">
        <v>1.1500999999999999</v>
      </c>
      <c r="C11" s="109">
        <v>261.75</v>
      </c>
      <c r="D11" s="109">
        <v>7773990.6200000001</v>
      </c>
      <c r="E11" s="109">
        <v>8569279.6799999997</v>
      </c>
      <c r="F11" s="109">
        <v>2.7008000000000001</v>
      </c>
      <c r="G11" s="109">
        <v>855.28</v>
      </c>
      <c r="H11" s="109">
        <v>701.81</v>
      </c>
      <c r="I11" s="109">
        <v>273.37</v>
      </c>
      <c r="J11" s="109">
        <v>353.74</v>
      </c>
      <c r="K11" s="109">
        <v>378.29</v>
      </c>
      <c r="L11" s="109">
        <v>260.27999999999997</v>
      </c>
      <c r="M11" s="109">
        <v>617.65</v>
      </c>
      <c r="N11" s="109">
        <v>570.67999999999995</v>
      </c>
      <c r="O11" s="109">
        <v>180.01</v>
      </c>
      <c r="P11" s="109">
        <v>744.73</v>
      </c>
      <c r="Q11" s="109">
        <v>550.37</v>
      </c>
      <c r="R11" s="109">
        <v>190.14</v>
      </c>
      <c r="S11" s="109">
        <v>130.80000000000001</v>
      </c>
      <c r="T11" s="109">
        <v>480.46</v>
      </c>
      <c r="V11" s="103">
        <v>38</v>
      </c>
      <c r="W11" s="103">
        <v>90</v>
      </c>
      <c r="X11" s="103">
        <v>238</v>
      </c>
      <c r="Y11" s="17"/>
    </row>
    <row r="12" spans="1:25" ht="21" customHeight="1" x14ac:dyDescent="0.25">
      <c r="A12" s="8">
        <v>44509</v>
      </c>
      <c r="B12" s="108">
        <v>1.1511</v>
      </c>
      <c r="C12" s="109">
        <v>262</v>
      </c>
      <c r="D12" s="109">
        <v>7776185.3899999997</v>
      </c>
      <c r="E12" s="109">
        <v>8572511.0899999999</v>
      </c>
      <c r="F12" s="109">
        <v>2.7033999999999998</v>
      </c>
      <c r="G12" s="109">
        <v>856.06</v>
      </c>
      <c r="H12" s="109">
        <v>702.76</v>
      </c>
      <c r="I12" s="109">
        <v>273.62</v>
      </c>
      <c r="J12" s="109">
        <v>354.21</v>
      </c>
      <c r="K12" s="109">
        <v>378.69</v>
      </c>
      <c r="L12" s="109">
        <v>260.49</v>
      </c>
      <c r="M12" s="109">
        <v>618.36</v>
      </c>
      <c r="N12" s="109">
        <v>571.64</v>
      </c>
      <c r="O12" s="109">
        <v>180.09</v>
      </c>
      <c r="P12" s="109">
        <v>745.98</v>
      </c>
      <c r="Q12" s="109">
        <v>551.16999999999996</v>
      </c>
      <c r="R12" s="109">
        <v>190.15</v>
      </c>
      <c r="S12" s="109">
        <v>130.91999999999999</v>
      </c>
      <c r="T12" s="109">
        <v>480.92</v>
      </c>
      <c r="V12" s="103">
        <v>39</v>
      </c>
      <c r="W12" s="103">
        <v>91</v>
      </c>
      <c r="X12" s="103">
        <v>272</v>
      </c>
      <c r="Y12" s="17"/>
    </row>
    <row r="13" spans="1:25" ht="21" customHeight="1" x14ac:dyDescent="0.25">
      <c r="A13" s="8">
        <v>44510</v>
      </c>
      <c r="B13" s="108">
        <v>1.1520999999999999</v>
      </c>
      <c r="C13" s="109">
        <v>262.23</v>
      </c>
      <c r="D13" s="109">
        <v>7778437.4800000004</v>
      </c>
      <c r="E13" s="109">
        <v>8575634.7599999998</v>
      </c>
      <c r="F13" s="109">
        <v>2.7057000000000002</v>
      </c>
      <c r="G13" s="109">
        <v>856.97</v>
      </c>
      <c r="H13" s="109">
        <v>703.69</v>
      </c>
      <c r="I13" s="109">
        <v>273.86</v>
      </c>
      <c r="J13" s="109">
        <v>354.58</v>
      </c>
      <c r="K13" s="109">
        <v>379.04</v>
      </c>
      <c r="L13" s="109">
        <v>260.70999999999998</v>
      </c>
      <c r="M13" s="109">
        <v>618.98</v>
      </c>
      <c r="N13" s="109">
        <v>572.51</v>
      </c>
      <c r="O13" s="109">
        <v>180.17</v>
      </c>
      <c r="P13" s="109">
        <v>747.13</v>
      </c>
      <c r="Q13" s="109">
        <v>551.91999999999996</v>
      </c>
      <c r="R13" s="109">
        <v>190.15</v>
      </c>
      <c r="S13" s="109">
        <v>131.09</v>
      </c>
      <c r="T13" s="109">
        <v>481.42</v>
      </c>
      <c r="V13" s="103">
        <v>48</v>
      </c>
      <c r="W13" s="103">
        <v>110</v>
      </c>
      <c r="X13" s="103">
        <v>307</v>
      </c>
      <c r="Y13" s="17"/>
    </row>
    <row r="14" spans="1:25" ht="21" customHeight="1" x14ac:dyDescent="0.25">
      <c r="A14" s="8">
        <v>44511</v>
      </c>
      <c r="B14" s="108">
        <v>1.1531</v>
      </c>
      <c r="C14" s="109">
        <v>262.48</v>
      </c>
      <c r="D14" s="109">
        <v>7780769.1399999997</v>
      </c>
      <c r="E14" s="109">
        <v>8578677.6999999993</v>
      </c>
      <c r="F14" s="109">
        <v>2.7082999999999999</v>
      </c>
      <c r="G14" s="109">
        <v>857.91</v>
      </c>
      <c r="H14" s="109">
        <v>704.6</v>
      </c>
      <c r="I14" s="109">
        <v>274.14</v>
      </c>
      <c r="J14" s="109">
        <v>354.95</v>
      </c>
      <c r="K14" s="109">
        <v>379.38</v>
      </c>
      <c r="L14" s="109">
        <v>260.92</v>
      </c>
      <c r="M14" s="109">
        <v>619.77</v>
      </c>
      <c r="N14" s="109">
        <v>573.44000000000005</v>
      </c>
      <c r="O14" s="109">
        <v>180.26</v>
      </c>
      <c r="P14" s="109">
        <v>748.34</v>
      </c>
      <c r="Q14" s="109">
        <v>552.77</v>
      </c>
      <c r="R14" s="109">
        <v>190.15</v>
      </c>
      <c r="S14" s="109">
        <v>131.22999999999999</v>
      </c>
      <c r="T14" s="109">
        <v>481.92</v>
      </c>
      <c r="V14" s="103">
        <v>49</v>
      </c>
      <c r="W14" s="103">
        <v>125</v>
      </c>
      <c r="X14" s="103">
        <v>330</v>
      </c>
      <c r="Y14" s="17"/>
    </row>
    <row r="15" spans="1:25" ht="21" customHeight="1" x14ac:dyDescent="0.25">
      <c r="A15" s="8">
        <v>44512</v>
      </c>
      <c r="B15" s="108">
        <v>1.1541999999999999</v>
      </c>
      <c r="C15" s="109">
        <v>262.72000000000003</v>
      </c>
      <c r="D15" s="109">
        <v>7783275.1299999999</v>
      </c>
      <c r="E15" s="109">
        <v>8581616.3699999992</v>
      </c>
      <c r="F15" s="109">
        <v>2.7109000000000001</v>
      </c>
      <c r="G15" s="109">
        <v>858.91</v>
      </c>
      <c r="H15" s="109">
        <v>705.54</v>
      </c>
      <c r="I15" s="109">
        <v>274.43</v>
      </c>
      <c r="J15" s="109">
        <v>355.38</v>
      </c>
      <c r="K15" s="109">
        <v>379.74</v>
      </c>
      <c r="L15" s="109">
        <v>261.14999999999998</v>
      </c>
      <c r="M15" s="109">
        <v>620.59</v>
      </c>
      <c r="N15" s="109">
        <v>574.41999999999996</v>
      </c>
      <c r="O15" s="109">
        <v>180.38</v>
      </c>
      <c r="P15" s="109">
        <v>749.49</v>
      </c>
      <c r="Q15" s="109">
        <v>553.6</v>
      </c>
      <c r="R15" s="109">
        <v>190.15</v>
      </c>
      <c r="S15" s="109">
        <v>131.4</v>
      </c>
      <c r="T15" s="109">
        <v>482.39</v>
      </c>
      <c r="V15" s="103">
        <v>49</v>
      </c>
      <c r="W15" s="103">
        <v>126</v>
      </c>
      <c r="X15" s="103">
        <v>330</v>
      </c>
      <c r="Y15" s="17"/>
    </row>
    <row r="16" spans="1:25" ht="21" customHeight="1" x14ac:dyDescent="0.25">
      <c r="A16" s="8">
        <v>44513</v>
      </c>
      <c r="B16" s="108">
        <v>1.1553</v>
      </c>
      <c r="C16" s="109">
        <v>263</v>
      </c>
      <c r="D16" s="109">
        <v>7785691.7699999996</v>
      </c>
      <c r="E16" s="109">
        <v>8584174.4600000009</v>
      </c>
      <c r="F16" s="109">
        <v>2.7136</v>
      </c>
      <c r="G16" s="109">
        <v>859.91</v>
      </c>
      <c r="H16" s="109">
        <v>706.45</v>
      </c>
      <c r="I16" s="109">
        <v>274.72000000000003</v>
      </c>
      <c r="J16" s="109">
        <v>355.74</v>
      </c>
      <c r="K16" s="109">
        <v>380.02</v>
      </c>
      <c r="L16" s="109">
        <v>261.36</v>
      </c>
      <c r="M16" s="109">
        <v>621.41</v>
      </c>
      <c r="N16" s="109">
        <v>575.39</v>
      </c>
      <c r="O16" s="109">
        <v>180.51</v>
      </c>
      <c r="P16" s="109">
        <v>750.5</v>
      </c>
      <c r="Q16" s="109">
        <v>554.42999999999995</v>
      </c>
      <c r="R16" s="109">
        <v>190.15</v>
      </c>
      <c r="S16" s="109">
        <v>131.54</v>
      </c>
      <c r="T16" s="109">
        <v>482.65</v>
      </c>
      <c r="V16" s="103">
        <v>54</v>
      </c>
      <c r="W16" s="103">
        <v>118</v>
      </c>
      <c r="X16" s="103">
        <v>359</v>
      </c>
      <c r="Y16" s="17"/>
    </row>
    <row r="17" spans="1:25" ht="21" customHeight="1" x14ac:dyDescent="0.25">
      <c r="A17" s="8">
        <v>44514</v>
      </c>
      <c r="B17" s="108">
        <v>1.1563000000000001</v>
      </c>
      <c r="C17" s="109">
        <v>263.24</v>
      </c>
      <c r="D17" s="109">
        <v>7787897.2999999998</v>
      </c>
      <c r="E17" s="109">
        <v>8586901.75</v>
      </c>
      <c r="F17" s="109">
        <v>2.7162000000000002</v>
      </c>
      <c r="G17" s="109">
        <v>860.85</v>
      </c>
      <c r="H17" s="109">
        <v>707.36</v>
      </c>
      <c r="I17" s="109">
        <v>275.01</v>
      </c>
      <c r="J17" s="109">
        <v>356.17</v>
      </c>
      <c r="K17" s="109">
        <v>380.33</v>
      </c>
      <c r="L17" s="109">
        <v>261.56</v>
      </c>
      <c r="M17" s="109">
        <v>622.15</v>
      </c>
      <c r="N17" s="109">
        <v>576.45000000000005</v>
      </c>
      <c r="O17" s="109">
        <v>180.61</v>
      </c>
      <c r="P17" s="109">
        <v>751.49</v>
      </c>
      <c r="Q17" s="109">
        <v>555.27</v>
      </c>
      <c r="R17" s="109">
        <v>190.15</v>
      </c>
      <c r="S17" s="109">
        <v>131.69999999999999</v>
      </c>
      <c r="T17" s="109">
        <v>483.7</v>
      </c>
      <c r="V17" s="103">
        <v>43</v>
      </c>
      <c r="W17" s="103">
        <v>103</v>
      </c>
      <c r="X17" s="103">
        <v>312</v>
      </c>
      <c r="Y17" s="17"/>
    </row>
    <row r="18" spans="1:25" ht="21" customHeight="1" x14ac:dyDescent="0.25">
      <c r="A18" s="8">
        <v>44515</v>
      </c>
      <c r="B18" s="108">
        <v>1.1574</v>
      </c>
      <c r="C18" s="109">
        <v>263.52</v>
      </c>
      <c r="D18" s="109">
        <v>7790066.25</v>
      </c>
      <c r="E18" s="109">
        <v>8589638.7400000002</v>
      </c>
      <c r="F18" s="109">
        <v>2.7187999999999999</v>
      </c>
      <c r="G18" s="109">
        <v>861.73</v>
      </c>
      <c r="H18" s="109">
        <v>708.23</v>
      </c>
      <c r="I18" s="109">
        <v>275.31</v>
      </c>
      <c r="J18" s="109">
        <v>356.61</v>
      </c>
      <c r="K18" s="109">
        <v>380.68</v>
      </c>
      <c r="L18" s="109">
        <v>261.77999999999997</v>
      </c>
      <c r="M18" s="109">
        <v>622.95000000000005</v>
      </c>
      <c r="N18" s="109">
        <v>577.42999999999995</v>
      </c>
      <c r="O18" s="109">
        <v>180.7</v>
      </c>
      <c r="P18" s="109">
        <v>752.44</v>
      </c>
      <c r="Q18" s="109">
        <v>556</v>
      </c>
      <c r="R18" s="109">
        <v>190.15</v>
      </c>
      <c r="S18" s="109">
        <v>131.86000000000001</v>
      </c>
      <c r="T18" s="109">
        <v>483.86</v>
      </c>
      <c r="V18" s="103">
        <v>50</v>
      </c>
      <c r="W18" s="103">
        <v>121</v>
      </c>
      <c r="X18" s="103">
        <v>346</v>
      </c>
      <c r="Y18" s="17"/>
    </row>
    <row r="19" spans="1:25" ht="21" customHeight="1" x14ac:dyDescent="0.25">
      <c r="A19" s="8">
        <v>44516</v>
      </c>
      <c r="B19" s="108">
        <v>1.1585000000000001</v>
      </c>
      <c r="C19" s="109">
        <v>263.79000000000002</v>
      </c>
      <c r="D19" s="109">
        <v>7792185.5499999998</v>
      </c>
      <c r="E19" s="109">
        <v>8592128.1199999992</v>
      </c>
      <c r="F19" s="109">
        <v>2.7216</v>
      </c>
      <c r="G19" s="109">
        <v>862.59</v>
      </c>
      <c r="H19" s="109">
        <v>709.12</v>
      </c>
      <c r="I19" s="109">
        <v>275.60000000000002</v>
      </c>
      <c r="J19" s="109">
        <v>357.02</v>
      </c>
      <c r="K19" s="109">
        <v>381.09</v>
      </c>
      <c r="L19" s="109">
        <v>262.06</v>
      </c>
      <c r="M19" s="109">
        <v>623.71</v>
      </c>
      <c r="N19" s="109">
        <v>578.28</v>
      </c>
      <c r="O19" s="109">
        <v>180.8</v>
      </c>
      <c r="P19" s="109">
        <v>753.46</v>
      </c>
      <c r="Q19" s="109">
        <v>556.71</v>
      </c>
      <c r="R19" s="109">
        <v>190.15</v>
      </c>
      <c r="S19" s="109">
        <v>132.01</v>
      </c>
      <c r="T19" s="109">
        <v>484.17</v>
      </c>
      <c r="V19" s="103">
        <v>53</v>
      </c>
      <c r="W19" s="103">
        <v>118</v>
      </c>
      <c r="X19" s="103">
        <v>332</v>
      </c>
      <c r="Y19" s="17"/>
    </row>
    <row r="20" spans="1:25" ht="21" customHeight="1" x14ac:dyDescent="0.25">
      <c r="A20" s="8">
        <v>44517</v>
      </c>
      <c r="B20" s="108">
        <v>1.1594</v>
      </c>
      <c r="C20" s="109">
        <v>264.05</v>
      </c>
      <c r="D20" s="109">
        <v>7794323.4199999999</v>
      </c>
      <c r="E20" s="109">
        <v>8594687.1500000004</v>
      </c>
      <c r="F20" s="109">
        <v>2.7240000000000002</v>
      </c>
      <c r="G20" s="109">
        <v>863.36</v>
      </c>
      <c r="H20" s="109">
        <v>709.95</v>
      </c>
      <c r="I20" s="109">
        <v>275.89</v>
      </c>
      <c r="J20" s="109">
        <v>357.55</v>
      </c>
      <c r="K20" s="109">
        <v>381.39</v>
      </c>
      <c r="L20" s="109">
        <v>262.29000000000002</v>
      </c>
      <c r="M20" s="109">
        <v>624.36</v>
      </c>
      <c r="N20" s="109">
        <v>579.05999999999995</v>
      </c>
      <c r="O20" s="109">
        <v>180.88</v>
      </c>
      <c r="P20" s="109">
        <v>754.52</v>
      </c>
      <c r="Q20" s="109">
        <v>557.41</v>
      </c>
      <c r="R20" s="109">
        <v>190.15</v>
      </c>
      <c r="S20" s="109">
        <v>132.15</v>
      </c>
      <c r="T20" s="109">
        <v>484.68</v>
      </c>
      <c r="V20" s="103">
        <v>56</v>
      </c>
      <c r="W20" s="103">
        <v>119</v>
      </c>
      <c r="X20" s="103">
        <v>357</v>
      </c>
      <c r="Y20" s="17"/>
    </row>
    <row r="21" spans="1:25" ht="21" customHeight="1" x14ac:dyDescent="0.25">
      <c r="A21" s="8">
        <v>44518</v>
      </c>
      <c r="B21" s="108">
        <v>1.1604000000000001</v>
      </c>
      <c r="C21" s="109">
        <v>264.31</v>
      </c>
      <c r="D21" s="109">
        <v>7796560.2599999998</v>
      </c>
      <c r="E21" s="109">
        <v>8597172.8900000006</v>
      </c>
      <c r="F21" s="109">
        <v>2.7265999999999999</v>
      </c>
      <c r="G21" s="109">
        <v>864.15</v>
      </c>
      <c r="H21" s="109">
        <v>710.85</v>
      </c>
      <c r="I21" s="109">
        <v>276.19</v>
      </c>
      <c r="J21" s="109">
        <v>358.13</v>
      </c>
      <c r="K21" s="109">
        <v>381.74</v>
      </c>
      <c r="L21" s="109">
        <v>262.55</v>
      </c>
      <c r="M21" s="109">
        <v>625.09</v>
      </c>
      <c r="N21" s="109">
        <v>579.92999999999995</v>
      </c>
      <c r="O21" s="109">
        <v>180.99</v>
      </c>
      <c r="P21" s="109">
        <v>755.6</v>
      </c>
      <c r="Q21" s="109">
        <v>558.1</v>
      </c>
      <c r="R21" s="109">
        <v>190.15</v>
      </c>
      <c r="S21" s="109">
        <v>132.29</v>
      </c>
      <c r="T21" s="109">
        <v>485.2</v>
      </c>
      <c r="V21" s="103">
        <v>61</v>
      </c>
      <c r="W21" s="103">
        <v>131</v>
      </c>
      <c r="X21" s="103">
        <v>357</v>
      </c>
      <c r="Y21" s="17"/>
    </row>
    <row r="22" spans="1:25" ht="21" customHeight="1" x14ac:dyDescent="0.25">
      <c r="A22" s="8">
        <v>44519</v>
      </c>
      <c r="B22" s="108">
        <v>1.1614</v>
      </c>
      <c r="C22" s="109">
        <v>264.58</v>
      </c>
      <c r="D22" s="109">
        <v>7798821.7599999998</v>
      </c>
      <c r="E22" s="109">
        <v>8599517.0999999996</v>
      </c>
      <c r="F22" s="109">
        <v>2.7292000000000001</v>
      </c>
      <c r="G22" s="109">
        <v>864.93</v>
      </c>
      <c r="H22" s="109">
        <v>711.74</v>
      </c>
      <c r="I22" s="109">
        <v>276.44</v>
      </c>
      <c r="J22" s="109">
        <v>358.59</v>
      </c>
      <c r="K22" s="109">
        <v>382.08</v>
      </c>
      <c r="L22" s="109">
        <v>262.77999999999997</v>
      </c>
      <c r="M22" s="109">
        <v>625.78</v>
      </c>
      <c r="N22" s="109">
        <v>580.78</v>
      </c>
      <c r="O22" s="109">
        <v>181.12</v>
      </c>
      <c r="P22" s="109">
        <v>756.61</v>
      </c>
      <c r="Q22" s="109">
        <v>558.78</v>
      </c>
      <c r="R22" s="113">
        <v>190.15</v>
      </c>
      <c r="S22" s="109">
        <v>132.43</v>
      </c>
      <c r="T22" s="109">
        <v>485.71</v>
      </c>
      <c r="V22" s="103">
        <v>53</v>
      </c>
      <c r="W22" s="103">
        <v>120</v>
      </c>
      <c r="X22" s="103">
        <v>347</v>
      </c>
      <c r="Y22" s="17"/>
    </row>
    <row r="23" spans="1:25" ht="21" customHeight="1" x14ac:dyDescent="0.25">
      <c r="A23" s="8">
        <v>44520</v>
      </c>
      <c r="B23" s="108">
        <v>1.1624000000000001</v>
      </c>
      <c r="C23" s="109">
        <v>264.87</v>
      </c>
      <c r="D23" s="109">
        <v>7801324.0999999996</v>
      </c>
      <c r="E23" s="109">
        <v>8602032.9299999997</v>
      </c>
      <c r="F23" s="109">
        <v>2.7317999999999998</v>
      </c>
      <c r="G23" s="109">
        <v>865.81</v>
      </c>
      <c r="H23" s="109">
        <v>712.56</v>
      </c>
      <c r="I23" s="109">
        <v>276.69</v>
      </c>
      <c r="J23" s="109">
        <v>359.09</v>
      </c>
      <c r="K23" s="109">
        <v>382.45</v>
      </c>
      <c r="L23" s="109">
        <v>263</v>
      </c>
      <c r="M23" s="109">
        <v>626.53</v>
      </c>
      <c r="N23" s="109">
        <v>581.70000000000005</v>
      </c>
      <c r="O23" s="109">
        <v>181.23</v>
      </c>
      <c r="P23" s="109">
        <v>757.62</v>
      </c>
      <c r="Q23" s="109">
        <v>559.45000000000005</v>
      </c>
      <c r="R23" s="109">
        <v>190.15</v>
      </c>
      <c r="S23" s="109">
        <v>132.56</v>
      </c>
      <c r="T23" s="109">
        <v>486.01</v>
      </c>
      <c r="V23" s="103">
        <v>54</v>
      </c>
      <c r="W23" s="103">
        <v>128</v>
      </c>
      <c r="X23" s="103">
        <v>322</v>
      </c>
      <c r="Y23" s="17"/>
    </row>
    <row r="24" spans="1:25" ht="21" customHeight="1" x14ac:dyDescent="0.25">
      <c r="A24" s="8">
        <v>44521</v>
      </c>
      <c r="B24" s="108">
        <v>1.1635</v>
      </c>
      <c r="C24" s="109">
        <v>265.13</v>
      </c>
      <c r="D24" s="109">
        <v>7803621.8899999997</v>
      </c>
      <c r="E24" s="109">
        <v>8604730.1400000006</v>
      </c>
      <c r="F24" s="109">
        <v>2.7343999999999999</v>
      </c>
      <c r="G24" s="109">
        <v>866.7</v>
      </c>
      <c r="H24" s="109">
        <v>713.46</v>
      </c>
      <c r="I24" s="109">
        <v>276.94</v>
      </c>
      <c r="J24" s="109">
        <v>359.58</v>
      </c>
      <c r="K24" s="109">
        <v>382.77</v>
      </c>
      <c r="L24" s="109">
        <v>263.23</v>
      </c>
      <c r="M24" s="109">
        <v>627.26</v>
      </c>
      <c r="N24" s="109">
        <v>582.61</v>
      </c>
      <c r="O24" s="109">
        <v>181.34</v>
      </c>
      <c r="P24" s="109">
        <v>758.62</v>
      </c>
      <c r="Q24" s="109">
        <v>560.24</v>
      </c>
      <c r="R24" s="109">
        <v>190.15</v>
      </c>
      <c r="S24" s="109">
        <v>132.71</v>
      </c>
      <c r="T24" s="109">
        <v>486.51</v>
      </c>
      <c r="V24" s="103">
        <v>50</v>
      </c>
      <c r="W24" s="103">
        <v>122</v>
      </c>
      <c r="X24" s="103">
        <v>329</v>
      </c>
      <c r="Y24" s="17"/>
    </row>
    <row r="25" spans="1:25" ht="21" customHeight="1" x14ac:dyDescent="0.25">
      <c r="A25" s="8">
        <v>44522</v>
      </c>
      <c r="B25" s="108">
        <v>1.1645000000000001</v>
      </c>
      <c r="C25" s="109">
        <v>265.31</v>
      </c>
      <c r="D25" s="109">
        <v>7805799.1200000001</v>
      </c>
      <c r="E25" s="109">
        <v>8607220.7200000007</v>
      </c>
      <c r="F25" s="109">
        <v>2.7370000000000001</v>
      </c>
      <c r="G25" s="109">
        <v>867.56</v>
      </c>
      <c r="H25" s="109">
        <v>714.25</v>
      </c>
      <c r="I25" s="109">
        <v>277.17</v>
      </c>
      <c r="J25" s="109">
        <v>360.05</v>
      </c>
      <c r="K25" s="109">
        <v>383.14</v>
      </c>
      <c r="L25" s="109">
        <v>263.45999999999998</v>
      </c>
      <c r="M25" s="109">
        <v>628</v>
      </c>
      <c r="N25" s="109">
        <v>583.35</v>
      </c>
      <c r="O25" s="109">
        <v>181.46</v>
      </c>
      <c r="P25" s="109">
        <v>759.52</v>
      </c>
      <c r="Q25" s="109">
        <v>560.91999999999996</v>
      </c>
      <c r="R25" s="109">
        <v>190.15</v>
      </c>
      <c r="S25" s="109">
        <v>132.84</v>
      </c>
      <c r="T25" s="109">
        <v>486.99</v>
      </c>
      <c r="V25" s="103">
        <v>45</v>
      </c>
      <c r="W25" s="103">
        <v>123</v>
      </c>
      <c r="X25" s="103">
        <v>369</v>
      </c>
      <c r="Y25" s="17"/>
    </row>
    <row r="26" spans="1:25" ht="21" customHeight="1" x14ac:dyDescent="0.25">
      <c r="A26" s="8">
        <v>44523</v>
      </c>
      <c r="B26" s="108">
        <v>1.1655</v>
      </c>
      <c r="C26" s="109">
        <v>265.48</v>
      </c>
      <c r="D26" s="109">
        <v>7808257.3899999997</v>
      </c>
      <c r="E26" s="109">
        <v>8610177.3599999994</v>
      </c>
      <c r="F26" s="109">
        <v>2.7395999999999998</v>
      </c>
      <c r="G26" s="109">
        <v>868.5</v>
      </c>
      <c r="H26" s="109">
        <v>715.06</v>
      </c>
      <c r="I26" s="109">
        <v>277.42</v>
      </c>
      <c r="J26" s="109">
        <v>360.55</v>
      </c>
      <c r="K26" s="109">
        <v>383.53</v>
      </c>
      <c r="L26" s="109">
        <v>263.70999999999998</v>
      </c>
      <c r="M26" s="109">
        <v>628.82000000000005</v>
      </c>
      <c r="N26" s="109">
        <v>584.14</v>
      </c>
      <c r="O26" s="109">
        <v>181.61</v>
      </c>
      <c r="P26" s="109">
        <v>760.51</v>
      </c>
      <c r="Q26" s="109">
        <v>561.69000000000005</v>
      </c>
      <c r="R26" s="109">
        <v>190.15</v>
      </c>
      <c r="S26" s="109">
        <v>132.97999999999999</v>
      </c>
      <c r="T26" s="109">
        <v>487.5</v>
      </c>
      <c r="V26" s="103"/>
      <c r="W26" s="103"/>
      <c r="X26" s="103"/>
      <c r="Y26" s="17"/>
    </row>
    <row r="27" spans="1:25" ht="21" customHeight="1" x14ac:dyDescent="0.25">
      <c r="A27" s="8">
        <v>44524</v>
      </c>
      <c r="B27" s="108">
        <v>1.1665000000000001</v>
      </c>
      <c r="C27" s="109">
        <v>265.67</v>
      </c>
      <c r="D27" s="109">
        <v>7810274.8399999999</v>
      </c>
      <c r="E27" s="109">
        <v>8613252.8100000005</v>
      </c>
      <c r="F27" s="109">
        <v>2.7422</v>
      </c>
      <c r="G27" s="109">
        <v>869.42</v>
      </c>
      <c r="H27" s="109">
        <v>715.86</v>
      </c>
      <c r="I27" s="109">
        <v>277.67</v>
      </c>
      <c r="J27" s="109">
        <v>361.02</v>
      </c>
      <c r="K27" s="109">
        <v>383.85</v>
      </c>
      <c r="L27" s="109">
        <v>263.92</v>
      </c>
      <c r="M27" s="109">
        <v>629.65</v>
      </c>
      <c r="N27" s="109">
        <v>584.91999999999996</v>
      </c>
      <c r="O27" s="109">
        <v>181.75</v>
      </c>
      <c r="P27" s="109">
        <v>761.53</v>
      </c>
      <c r="Q27" s="109">
        <v>562.49</v>
      </c>
      <c r="R27" s="109">
        <v>190.15</v>
      </c>
      <c r="S27" s="109">
        <v>133.13</v>
      </c>
      <c r="T27" s="109">
        <v>488.01</v>
      </c>
      <c r="V27" s="103"/>
      <c r="W27" s="103"/>
      <c r="X27" s="103"/>
      <c r="Y27" s="17"/>
    </row>
    <row r="28" spans="1:25" ht="21" customHeight="1" x14ac:dyDescent="0.25">
      <c r="A28" s="8">
        <v>44525</v>
      </c>
      <c r="B28" s="108">
        <v>1.1675</v>
      </c>
      <c r="C28" s="109">
        <v>265.85000000000002</v>
      </c>
      <c r="D28" s="109">
        <v>7812833.2400000002</v>
      </c>
      <c r="E28" s="109">
        <v>8616032.7300000004</v>
      </c>
      <c r="F28" s="109">
        <v>2.7448000000000001</v>
      </c>
      <c r="G28" s="109">
        <v>870.23</v>
      </c>
      <c r="H28" s="109">
        <v>716.55</v>
      </c>
      <c r="I28" s="109">
        <v>277.89</v>
      </c>
      <c r="J28" s="109">
        <v>361.5</v>
      </c>
      <c r="K28" s="109">
        <v>384.21</v>
      </c>
      <c r="L28" s="109">
        <v>264.13</v>
      </c>
      <c r="M28" s="109">
        <v>630.47</v>
      </c>
      <c r="N28" s="109">
        <v>585.6</v>
      </c>
      <c r="O28" s="109">
        <v>181.9</v>
      </c>
      <c r="P28" s="109">
        <v>762.52</v>
      </c>
      <c r="Q28" s="109">
        <v>563.19000000000005</v>
      </c>
      <c r="R28" s="109">
        <v>190.15</v>
      </c>
      <c r="S28" s="109">
        <v>133.27000000000001</v>
      </c>
      <c r="T28" s="109">
        <v>488.52</v>
      </c>
      <c r="V28" s="103"/>
      <c r="W28" s="103"/>
      <c r="X28" s="103"/>
      <c r="Y28" s="17"/>
    </row>
    <row r="29" spans="1:25" ht="21" customHeight="1" x14ac:dyDescent="0.25">
      <c r="A29" s="8">
        <v>44526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44527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44528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44529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44530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1080</v>
      </c>
      <c r="W35" s="75">
        <f>SUM(W4:W34)</f>
        <v>2568</v>
      </c>
      <c r="X35" s="75">
        <f>SUM(X4:X34)</f>
        <v>7293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B48" sqref="B4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21860.000000001037</v>
      </c>
      <c r="C9" s="4">
        <f>('Kwh Reading'!T10-'Kwh Reading'!T9)*1000</f>
        <v>520.00000000003865</v>
      </c>
      <c r="D9" s="2">
        <f>('Kwh Reading'!F10-'Kwh Reading'!F9)*1000000</f>
        <v>2800.0000000001355</v>
      </c>
      <c r="E9" s="2">
        <f>('Kwh Reading'!C10-'Kwh Reading'!C9)*1000</f>
        <v>289.99999999996362</v>
      </c>
      <c r="F9" s="2">
        <f>('Kwh Reading'!J10-'Kwh Reading'!J9)*1000</f>
        <v>399.99999999997726</v>
      </c>
      <c r="G9" s="2">
        <f>('Kwh Reading'!K10-'Kwh Reading'!K9)*1000</f>
        <v>370.00000000000455</v>
      </c>
      <c r="H9" s="2">
        <f>('Kwh Reading'!L10-'Kwh Reading'!L9)*1000</f>
        <v>240.00000000000909</v>
      </c>
      <c r="I9" s="2">
        <f>('Kwh Reading'!R10-'Kwh Reading'!R9)*1000</f>
        <v>100.00000000002274</v>
      </c>
      <c r="J9" s="2">
        <f>('Kwh Reading'!S10-'Kwh Reading'!S9)*1000</f>
        <v>120.00000000000455</v>
      </c>
      <c r="K9" s="2">
        <f>('Kwh Reading'!I10-'Kwh Reading'!I9)*1000</f>
        <v>219.99999999997044</v>
      </c>
      <c r="L9" s="2">
        <f>('Kwh Reading'!B10-'Kwh Reading'!B9)*1000000</f>
        <v>1000.0000000001119</v>
      </c>
      <c r="M9" s="2">
        <f>('Kwh Reading'!M10-'Kwh Reading'!M9)*1000</f>
        <v>820.00000000005002</v>
      </c>
      <c r="N9" s="2">
        <f>('Kwh Reading'!H10-'Kwh Reading'!H9)*1000</f>
        <v>699.99999999993179</v>
      </c>
      <c r="O9" s="2">
        <f>('Kwh Reading'!P10-'Kwh Reading'!P9)*1000</f>
        <v>1000</v>
      </c>
      <c r="P9" s="2">
        <f>('Kwh Reading'!G10-'Kwh Reading'!G9)*1000</f>
        <v>789.99999999996362</v>
      </c>
      <c r="Q9" s="2">
        <f>('Kwh Reading'!Q10-'Kwh Reading'!Q9)*1000</f>
        <v>739.99999999989541</v>
      </c>
      <c r="R9" s="2">
        <f>('Kwh Reading'!N10-'Kwh Reading'!N9)*1000</f>
        <v>909.99999999996817</v>
      </c>
      <c r="S9" s="2">
        <f>'Kwh Reading'!E10-'Kwh Reading'!E9</f>
        <v>2866.0299999993294</v>
      </c>
      <c r="T9" s="2">
        <f>'Kwh Reading'!D10-'Kwh Reading'!D9</f>
        <v>1727.9000000003725</v>
      </c>
      <c r="U9" s="27">
        <f>('Kwh Reading'!O10-'Kwh Reading'!O9)*1000</f>
        <v>119.99999999997613</v>
      </c>
      <c r="V9" s="16">
        <f t="shared" si="0"/>
        <v>6126.0700000013112</v>
      </c>
    </row>
    <row r="10" spans="1:22" x14ac:dyDescent="0.25">
      <c r="A10" s="3">
        <f>'Kwh Reading'!A10</f>
        <v>44507</v>
      </c>
      <c r="B10" s="26">
        <f>TOTAL!E8</f>
        <v>21589.99999999992</v>
      </c>
      <c r="C10" s="4">
        <f>('Kwh Reading'!T11-'Kwh Reading'!T10)*1000</f>
        <v>479.99999999996135</v>
      </c>
      <c r="D10" s="2">
        <f>('Kwh Reading'!F11-'Kwh Reading'!F10)*1000000</f>
        <v>2600.0000000001578</v>
      </c>
      <c r="E10" s="2">
        <f>('Kwh Reading'!C11-'Kwh Reading'!C10)*1000</f>
        <v>240.00000000000909</v>
      </c>
      <c r="F10" s="2">
        <f>('Kwh Reading'!J11-'Kwh Reading'!J10)*1000</f>
        <v>400.00000000003411</v>
      </c>
      <c r="G10" s="2">
        <f>('Kwh Reading'!K11-'Kwh Reading'!K10)*1000</f>
        <v>319.99999999999318</v>
      </c>
      <c r="H10" s="2">
        <f>('Kwh Reading'!L11-'Kwh Reading'!L10)*1000</f>
        <v>219.99999999997044</v>
      </c>
      <c r="I10" s="2">
        <f>('Kwh Reading'!R11-'Kwh Reading'!R10)*1000</f>
        <v>89.999999999974989</v>
      </c>
      <c r="J10" s="2">
        <f>('Kwh Reading'!S11-'Kwh Reading'!S10)*1000</f>
        <v>110.00000000001364</v>
      </c>
      <c r="K10" s="2">
        <f>('Kwh Reading'!I11-'Kwh Reading'!I10)*1000</f>
        <v>240.00000000000909</v>
      </c>
      <c r="L10" s="2">
        <f>('Kwh Reading'!B11-'Kwh Reading'!B10)*1000000</f>
        <v>999.99999999988984</v>
      </c>
      <c r="M10" s="2">
        <f>('Kwh Reading'!M11-'Kwh Reading'!M10)*1000</f>
        <v>679.99999999994998</v>
      </c>
      <c r="N10" s="2">
        <f>('Kwh Reading'!H11-'Kwh Reading'!H10)*1000</f>
        <v>659.99999999996817</v>
      </c>
      <c r="O10" s="2">
        <f>('Kwh Reading'!P11-'Kwh Reading'!P10)*1000</f>
        <v>1009.9999999999909</v>
      </c>
      <c r="P10" s="2">
        <f>('Kwh Reading'!G11-'Kwh Reading'!G10)*1000</f>
        <v>779.99999999997272</v>
      </c>
      <c r="Q10" s="2">
        <f>('Kwh Reading'!Q11-'Kwh Reading'!Q10)*1000</f>
        <v>690.00000000005457</v>
      </c>
      <c r="R10" s="2">
        <f>('Kwh Reading'!N11-'Kwh Reading'!N10)*1000</f>
        <v>929.99999999994998</v>
      </c>
      <c r="S10" s="33">
        <f>'Kwh Reading'!E11-'Kwh Reading'!E10</f>
        <v>2697.4199999999255</v>
      </c>
      <c r="T10" s="33">
        <f>'Kwh Reading'!D11-'Kwh Reading'!D10</f>
        <v>1869.9699999997392</v>
      </c>
      <c r="U10" s="27">
        <f>('Kwh Reading'!O11-'Kwh Reading'!O10)*1000</f>
        <v>120.00000000000455</v>
      </c>
      <c r="V10" s="16">
        <f t="shared" si="0"/>
        <v>6452.6100000003535</v>
      </c>
    </row>
    <row r="11" spans="1:22" x14ac:dyDescent="0.25">
      <c r="A11" s="3">
        <f>'Kwh Reading'!A11</f>
        <v>44508</v>
      </c>
      <c r="B11" s="26">
        <f>TOTAL!E9</f>
        <v>23069.999999998574</v>
      </c>
      <c r="C11" s="4">
        <f>('Kwh Reading'!T12-'Kwh Reading'!T11)*1000</f>
        <v>460.00000000003638</v>
      </c>
      <c r="D11" s="2">
        <f>('Kwh Reading'!F12-'Kwh Reading'!F11)*1000000</f>
        <v>2599.9999999997135</v>
      </c>
      <c r="E11" s="2">
        <f>('Kwh Reading'!C12-'Kwh Reading'!C11)*1000</f>
        <v>250</v>
      </c>
      <c r="F11" s="2">
        <f>('Kwh Reading'!J12-'Kwh Reading'!J11)*1000</f>
        <v>469.99999999997044</v>
      </c>
      <c r="G11" s="2">
        <f>('Kwh Reading'!K12-'Kwh Reading'!K11)*1000</f>
        <v>399.99999999997726</v>
      </c>
      <c r="H11" s="2">
        <f>('Kwh Reading'!L12-'Kwh Reading'!L11)*1000</f>
        <v>210.00000000003638</v>
      </c>
      <c r="I11" s="2">
        <f>('Kwh Reading'!R12-'Kwh Reading'!R11)*1000</f>
        <v>10.000000000019327</v>
      </c>
      <c r="J11" s="2">
        <f>('Kwh Reading'!S12-'Kwh Reading'!S11)*1000</f>
        <v>119.99999999997613</v>
      </c>
      <c r="K11" s="2">
        <f>('Kwh Reading'!I12-'Kwh Reading'!I11)*1000</f>
        <v>250</v>
      </c>
      <c r="L11" s="2">
        <f>('Kwh Reading'!B12-'Kwh Reading'!B11)*1000000</f>
        <v>1000.0000000001119</v>
      </c>
      <c r="M11" s="2">
        <f>('Kwh Reading'!M12-'Kwh Reading'!M11)*1000</f>
        <v>710.00000000003638</v>
      </c>
      <c r="N11" s="2">
        <f>('Kwh Reading'!H12-'Kwh Reading'!H11)*1000</f>
        <v>950.00000000004547</v>
      </c>
      <c r="O11" s="2">
        <f>('Kwh Reading'!P12-'Kwh Reading'!P11)*1000</f>
        <v>1250</v>
      </c>
      <c r="P11" s="2">
        <f>('Kwh Reading'!G12-'Kwh Reading'!G11)*1000</f>
        <v>779.99999999997272</v>
      </c>
      <c r="Q11" s="2">
        <f>('Kwh Reading'!Q12-'Kwh Reading'!Q11)*1000</f>
        <v>799.99999999995453</v>
      </c>
      <c r="R11" s="2">
        <f>('Kwh Reading'!N12-'Kwh Reading'!N11)*1000</f>
        <v>960.00000000003638</v>
      </c>
      <c r="S11" s="33">
        <f>'Kwh Reading'!E12-'Kwh Reading'!E11</f>
        <v>3231.410000000149</v>
      </c>
      <c r="T11" s="33">
        <f>'Kwh Reading'!D12-'Kwh Reading'!D11</f>
        <v>2194.769999999553</v>
      </c>
      <c r="U11" s="27">
        <f>('Kwh Reading'!O12-'Kwh Reading'!O11)*1000</f>
        <v>80.000000000012506</v>
      </c>
      <c r="V11" s="16">
        <f t="shared" si="0"/>
        <v>6343.8199999989738</v>
      </c>
    </row>
    <row r="12" spans="1:22" x14ac:dyDescent="0.25">
      <c r="A12" s="3">
        <f>'Kwh Reading'!A12</f>
        <v>44509</v>
      </c>
      <c r="B12" s="26">
        <f>TOTAL!E10</f>
        <v>22010.000000000673</v>
      </c>
      <c r="C12" s="4">
        <f>('Kwh Reading'!T13-'Kwh Reading'!T12)*1000</f>
        <v>500</v>
      </c>
      <c r="D12" s="2">
        <f>('Kwh Reading'!F13-'Kwh Reading'!F12)*1000000</f>
        <v>2300.0000000004129</v>
      </c>
      <c r="E12" s="2">
        <f>('Kwh Reading'!C13-'Kwh Reading'!C12)*1000</f>
        <v>230.00000000001819</v>
      </c>
      <c r="F12" s="2">
        <f>('Kwh Reading'!J13-'Kwh Reading'!J12)*1000</f>
        <v>370.00000000000455</v>
      </c>
      <c r="G12" s="2">
        <f>('Kwh Reading'!K13-'Kwh Reading'!K12)*1000</f>
        <v>350.00000000002274</v>
      </c>
      <c r="H12" s="2">
        <f>('Kwh Reading'!L13-'Kwh Reading'!L12)*1000</f>
        <v>219.99999999997044</v>
      </c>
      <c r="I12" s="2">
        <f>('Kwh Reading'!R13-'Kwh Reading'!R12)*1000</f>
        <v>0</v>
      </c>
      <c r="J12" s="2">
        <f>('Kwh Reading'!S13-'Kwh Reading'!S12)*1000</f>
        <v>170.00000000001592</v>
      </c>
      <c r="K12" s="2">
        <f>('Kwh Reading'!I13-'Kwh Reading'!I12)*1000</f>
        <v>240.00000000000909</v>
      </c>
      <c r="L12" s="2">
        <f>('Kwh Reading'!B13-'Kwh Reading'!B12)*1000000</f>
        <v>999.99999999988984</v>
      </c>
      <c r="M12" s="2">
        <f>('Kwh Reading'!M13-'Kwh Reading'!M12)*1000</f>
        <v>620.00000000000455</v>
      </c>
      <c r="N12" s="2">
        <f>('Kwh Reading'!H13-'Kwh Reading'!H12)*1000</f>
        <v>930.00000000006366</v>
      </c>
      <c r="O12" s="2">
        <f>('Kwh Reading'!P13-'Kwh Reading'!P12)*1000</f>
        <v>1149.9999999999773</v>
      </c>
      <c r="P12" s="2">
        <f>('Kwh Reading'!G13-'Kwh Reading'!G12)*1000</f>
        <v>910.00000000008185</v>
      </c>
      <c r="Q12" s="2">
        <f>('Kwh Reading'!Q13-'Kwh Reading'!Q12)*1000</f>
        <v>750</v>
      </c>
      <c r="R12" s="2">
        <f>('Kwh Reading'!N13-'Kwh Reading'!N12)*1000</f>
        <v>870.00000000000455</v>
      </c>
      <c r="S12" s="33">
        <f>'Kwh Reading'!E13-'Kwh Reading'!E12</f>
        <v>3123.6699999999255</v>
      </c>
      <c r="T12" s="33">
        <f>'Kwh Reading'!D13-'Kwh Reading'!D12</f>
        <v>2252.0900000007823</v>
      </c>
      <c r="U12" s="27">
        <f>('Kwh Reading'!O13-'Kwh Reading'!O12)*1000</f>
        <v>79.999999999984084</v>
      </c>
      <c r="V12" s="16">
        <f t="shared" ref="V12:V34" si="1">B12-(SUM(C12:U12))</f>
        <v>5944.239999999505</v>
      </c>
    </row>
    <row r="13" spans="1:22" x14ac:dyDescent="0.25">
      <c r="A13" s="3">
        <f>'Kwh Reading'!A13</f>
        <v>44510</v>
      </c>
      <c r="B13" s="26">
        <f>TOTAL!E11</f>
        <v>23249.999999999316</v>
      </c>
      <c r="C13" s="4">
        <f>('Kwh Reading'!T14-'Kwh Reading'!T13)*1000</f>
        <v>500</v>
      </c>
      <c r="D13" s="2">
        <f>('Kwh Reading'!F14-'Kwh Reading'!F13)*1000000</f>
        <v>2599.9999999997135</v>
      </c>
      <c r="E13" s="2">
        <f>('Kwh Reading'!C14-'Kwh Reading'!C13)*1000</f>
        <v>250</v>
      </c>
      <c r="F13" s="2">
        <f>('Kwh Reading'!J14-'Kwh Reading'!J13)*1000</f>
        <v>370.00000000000455</v>
      </c>
      <c r="G13" s="2">
        <f>('Kwh Reading'!K14-'Kwh Reading'!K13)*1000</f>
        <v>339.99999999997499</v>
      </c>
      <c r="H13" s="2">
        <f>('Kwh Reading'!L14-'Kwh Reading'!L13)*1000</f>
        <v>210.00000000003638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279.99999999997272</v>
      </c>
      <c r="L13" s="2">
        <f>('Kwh Reading'!B14-'Kwh Reading'!B13)*1000000</f>
        <v>1000.0000000001119</v>
      </c>
      <c r="M13" s="2">
        <f>('Kwh Reading'!M14-'Kwh Reading'!M13)*1000</f>
        <v>789.99999999996362</v>
      </c>
      <c r="N13" s="2">
        <f>('Kwh Reading'!H14-'Kwh Reading'!H13)*1000</f>
        <v>909.99999999996817</v>
      </c>
      <c r="O13" s="2">
        <f>('Kwh Reading'!P14-'Kwh Reading'!P13)*1000</f>
        <v>1210.0000000000364</v>
      </c>
      <c r="P13" s="2">
        <f>('Kwh Reading'!G14-'Kwh Reading'!G13)*1000</f>
        <v>939.99999999994088</v>
      </c>
      <c r="Q13" s="2">
        <f>('Kwh Reading'!Q14-'Kwh Reading'!Q13)*1000</f>
        <v>850.00000000002274</v>
      </c>
      <c r="R13" s="2">
        <f>('Kwh Reading'!N14-'Kwh Reading'!N13)*1000</f>
        <v>930.00000000006366</v>
      </c>
      <c r="S13" s="33">
        <f>'Kwh Reading'!E14-'Kwh Reading'!E13</f>
        <v>3042.9399999994785</v>
      </c>
      <c r="T13" s="33">
        <f>'Kwh Reading'!D14-'Kwh Reading'!D13</f>
        <v>2331.6599999992177</v>
      </c>
      <c r="U13" s="27">
        <f>('Kwh Reading'!O14-'Kwh Reading'!O13)*1000</f>
        <v>90.000000000003411</v>
      </c>
      <c r="V13" s="16">
        <f t="shared" si="1"/>
        <v>6465.40000000082</v>
      </c>
    </row>
    <row r="14" spans="1:22" x14ac:dyDescent="0.25">
      <c r="A14" s="3">
        <f>'Kwh Reading'!A14</f>
        <v>44511</v>
      </c>
      <c r="B14" s="26">
        <f>TOTAL!E12</f>
        <v>23820.000000000393</v>
      </c>
      <c r="C14" s="4">
        <f>('Kwh Reading'!T15-'Kwh Reading'!T14)*1000</f>
        <v>469.99999999997044</v>
      </c>
      <c r="D14" s="2">
        <f>('Kwh Reading'!F15-'Kwh Reading'!F14)*1000000</f>
        <v>2600.0000000001578</v>
      </c>
      <c r="E14" s="2">
        <f>('Kwh Reading'!C15-'Kwh Reading'!C14)*1000</f>
        <v>240.00000000000909</v>
      </c>
      <c r="F14" s="2">
        <f>('Kwh Reading'!J15-'Kwh Reading'!J14)*1000</f>
        <v>430.00000000000682</v>
      </c>
      <c r="G14" s="2">
        <f>('Kwh Reading'!K15-'Kwh Reading'!K14)*1000</f>
        <v>360.00000000001364</v>
      </c>
      <c r="H14" s="2">
        <f>('Kwh Reading'!L15-'Kwh Reading'!L14)*1000</f>
        <v>229.99999999996135</v>
      </c>
      <c r="I14" s="2">
        <f>('Kwh Reading'!R15-'Kwh Reading'!R14)*1000</f>
        <v>0</v>
      </c>
      <c r="J14" s="2">
        <f>('Kwh Reading'!S15-'Kwh Reading'!S14)*1000</f>
        <v>170.00000000001592</v>
      </c>
      <c r="K14" s="2">
        <f>('Kwh Reading'!I15-'Kwh Reading'!I14)*1000</f>
        <v>290.00000000002046</v>
      </c>
      <c r="L14" s="2">
        <f>('Kwh Reading'!B15-'Kwh Reading'!B14)*1000000</f>
        <v>1099.9999999998788</v>
      </c>
      <c r="M14" s="2">
        <f>('Kwh Reading'!M15-'Kwh Reading'!M14)*1000</f>
        <v>820.00000000005002</v>
      </c>
      <c r="N14" s="2">
        <f>('Kwh Reading'!H15-'Kwh Reading'!H14)*1000</f>
        <v>939.99999999994088</v>
      </c>
      <c r="O14" s="2">
        <f>('Kwh Reading'!P15-'Kwh Reading'!P14)*1000</f>
        <v>1149.9999999999773</v>
      </c>
      <c r="P14" s="2">
        <f>('Kwh Reading'!G15-'Kwh Reading'!G14)*1000</f>
        <v>1000</v>
      </c>
      <c r="Q14" s="2">
        <f>('Kwh Reading'!Q15-'Kwh Reading'!Q14)*1000</f>
        <v>830.00000000004093</v>
      </c>
      <c r="R14" s="2">
        <f>('Kwh Reading'!N15-'Kwh Reading'!N14)*1000</f>
        <v>979.9999999999045</v>
      </c>
      <c r="S14" s="33">
        <f>'Kwh Reading'!E15-'Kwh Reading'!E14</f>
        <v>2938.6699999999255</v>
      </c>
      <c r="T14" s="33">
        <f>'Kwh Reading'!D15-'Kwh Reading'!D14</f>
        <v>2505.9900000002235</v>
      </c>
      <c r="U14" s="27">
        <f>('Kwh Reading'!O15-'Kwh Reading'!O14)*1000</f>
        <v>120.00000000000455</v>
      </c>
      <c r="V14" s="16">
        <f t="shared" si="1"/>
        <v>6645.3400000002912</v>
      </c>
    </row>
    <row r="15" spans="1:22" x14ac:dyDescent="0.25">
      <c r="A15" s="3">
        <f>'Kwh Reading'!A15</f>
        <v>44512</v>
      </c>
      <c r="B15" s="26">
        <f>TOTAL!E13</f>
        <v>23229.999999999789</v>
      </c>
      <c r="C15" s="4">
        <f>('Kwh Reading'!T16-'Kwh Reading'!T15)*1000</f>
        <v>259.99999999999091</v>
      </c>
      <c r="D15" s="2">
        <f>('Kwh Reading'!F16-'Kwh Reading'!F15)*1000000</f>
        <v>2699.9999999999245</v>
      </c>
      <c r="E15" s="2">
        <f>('Kwh Reading'!C16-'Kwh Reading'!C15)*1000</f>
        <v>279.99999999997272</v>
      </c>
      <c r="F15" s="2">
        <f>('Kwh Reading'!J16-'Kwh Reading'!J15)*1000</f>
        <v>360.00000000001364</v>
      </c>
      <c r="G15" s="2">
        <f>('Kwh Reading'!K16-'Kwh Reading'!K15)*1000</f>
        <v>279.99999999997272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290.00000000002046</v>
      </c>
      <c r="L15" s="2">
        <f>('Kwh Reading'!B16-'Kwh Reading'!B15)*1000000</f>
        <v>1100.000000000101</v>
      </c>
      <c r="M15" s="2">
        <f>('Kwh Reading'!M16-'Kwh Reading'!M15)*1000</f>
        <v>819.99999999993634</v>
      </c>
      <c r="N15" s="2">
        <f>('Kwh Reading'!H16-'Kwh Reading'!H15)*1000</f>
        <v>910.00000000008185</v>
      </c>
      <c r="O15" s="2">
        <f>('Kwh Reading'!P16-'Kwh Reading'!P15)*1000</f>
        <v>1009.9999999999909</v>
      </c>
      <c r="P15" s="2">
        <f>('Kwh Reading'!G16-'Kwh Reading'!G15)*1000</f>
        <v>1000</v>
      </c>
      <c r="Q15" s="2">
        <f>('Kwh Reading'!Q16-'Kwh Reading'!Q15)*1000</f>
        <v>829.99999999992724</v>
      </c>
      <c r="R15" s="2">
        <f>('Kwh Reading'!N16-'Kwh Reading'!N15)*1000</f>
        <v>970.00000000002728</v>
      </c>
      <c r="S15" s="33">
        <f>'Kwh Reading'!E16-'Kwh Reading'!E15</f>
        <v>2558.0900000017136</v>
      </c>
      <c r="T15" s="33">
        <f>'Kwh Reading'!D16-'Kwh Reading'!D15</f>
        <v>2416.6399999996647</v>
      </c>
      <c r="U15" s="27">
        <f>('Kwh Reading'!O16-'Kwh Reading'!O15)*1000</f>
        <v>129.99999999999545</v>
      </c>
      <c r="V15" s="16">
        <f t="shared" si="1"/>
        <v>6965.2699999984325</v>
      </c>
    </row>
    <row r="16" spans="1:22" x14ac:dyDescent="0.25">
      <c r="A16" s="3">
        <f>'Kwh Reading'!A16</f>
        <v>44513</v>
      </c>
      <c r="B16" s="26">
        <f>TOTAL!E14</f>
        <v>22729.999999999789</v>
      </c>
      <c r="C16" s="4">
        <f>('Kwh Reading'!T17-'Kwh Reading'!T16)*1000</f>
        <v>1050.0000000000114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430.00000000000682</v>
      </c>
      <c r="G16" s="2">
        <f>('Kwh Reading'!K17-'Kwh Reading'!K16)*1000</f>
        <v>310.00000000000227</v>
      </c>
      <c r="H16" s="2">
        <f>('Kwh Reading'!L17-'Kwh Reading'!L16)*1000</f>
        <v>199.99999999998863</v>
      </c>
      <c r="I16" s="2">
        <f>('Kwh Reading'!R17-'Kwh Reading'!R16)*1000</f>
        <v>0</v>
      </c>
      <c r="J16" s="2">
        <f>('Kwh Reading'!S17-'Kwh Reading'!S16)*1000</f>
        <v>159.99999999999659</v>
      </c>
      <c r="K16" s="2">
        <f>('Kwh Reading'!I17-'Kwh Reading'!I16)*1000</f>
        <v>289.99999999996362</v>
      </c>
      <c r="L16" s="2">
        <f>('Kwh Reading'!B17-'Kwh Reading'!B16)*1000000</f>
        <v>1000.0000000001119</v>
      </c>
      <c r="M16" s="2">
        <f>('Kwh Reading'!M17-'Kwh Reading'!M16)*1000</f>
        <v>740.00000000000909</v>
      </c>
      <c r="N16" s="2">
        <f>('Kwh Reading'!H17-'Kwh Reading'!H16)*1000</f>
        <v>909.99999999996817</v>
      </c>
      <c r="O16" s="2">
        <f>('Kwh Reading'!P17-'Kwh Reading'!P16)*1000</f>
        <v>990.00000000000909</v>
      </c>
      <c r="P16" s="2">
        <f>('Kwh Reading'!G17-'Kwh Reading'!G16)*1000</f>
        <v>940.00000000005457</v>
      </c>
      <c r="Q16" s="2">
        <f>('Kwh Reading'!Q17-'Kwh Reading'!Q16)*1000</f>
        <v>840.00000000003183</v>
      </c>
      <c r="R16" s="2">
        <f>('Kwh Reading'!N17-'Kwh Reading'!N16)*1000</f>
        <v>1060.0000000000591</v>
      </c>
      <c r="S16" s="33">
        <f>'Kwh Reading'!E17-'Kwh Reading'!E16</f>
        <v>2727.2899999991059</v>
      </c>
      <c r="T16" s="33">
        <f>'Kwh Reading'!D17-'Kwh Reading'!D16</f>
        <v>2205.5300000002608</v>
      </c>
      <c r="U16" s="27">
        <f>('Kwh Reading'!O17-'Kwh Reading'!O16)*1000</f>
        <v>100.00000000002274</v>
      </c>
      <c r="V16" s="16">
        <f t="shared" si="1"/>
        <v>5937.1800000000221</v>
      </c>
    </row>
    <row r="17" spans="1:22" x14ac:dyDescent="0.25">
      <c r="A17" s="3">
        <f>'Kwh Reading'!A17</f>
        <v>44514</v>
      </c>
      <c r="B17" s="26">
        <f>TOTAL!E15</f>
        <v>22460.000000000491</v>
      </c>
      <c r="C17" s="4">
        <f>('Kwh Reading'!T18-'Kwh Reading'!T17)*1000</f>
        <v>160.00000000002501</v>
      </c>
      <c r="D17" s="2">
        <f>('Kwh Reading'!F18-'Kwh Reading'!F17)*1000000</f>
        <v>2599.9999999997135</v>
      </c>
      <c r="E17" s="2">
        <f>('Kwh Reading'!C18-'Kwh Reading'!C17)*1000</f>
        <v>279.99999999997272</v>
      </c>
      <c r="F17" s="2">
        <f>('Kwh Reading'!J18-'Kwh Reading'!J17)*1000</f>
        <v>439.99999999999773</v>
      </c>
      <c r="G17" s="2">
        <f>('Kwh Reading'!K18-'Kwh Reading'!K17)*1000</f>
        <v>350.00000000002274</v>
      </c>
      <c r="H17" s="2">
        <f>('Kwh Reading'!L18-'Kwh Reading'!L17)*1000</f>
        <v>219.99999999997044</v>
      </c>
      <c r="I17" s="2">
        <f>('Kwh Reading'!R18-'Kwh Reading'!R17)*1000</f>
        <v>0</v>
      </c>
      <c r="J17" s="2">
        <f>('Kwh Reading'!S18-'Kwh Reading'!S17)*1000</f>
        <v>160.00000000002501</v>
      </c>
      <c r="K17" s="2">
        <f>('Kwh Reading'!I18-'Kwh Reading'!I17)*1000</f>
        <v>300.00000000001137</v>
      </c>
      <c r="L17" s="2">
        <f>('Kwh Reading'!B18-'Kwh Reading'!B17)*1000000</f>
        <v>1099.9999999998788</v>
      </c>
      <c r="M17" s="2">
        <f>('Kwh Reading'!M18-'Kwh Reading'!M17)*1000</f>
        <v>800.00000000006821</v>
      </c>
      <c r="N17" s="2">
        <f>('Kwh Reading'!H18-'Kwh Reading'!H17)*1000</f>
        <v>870.00000000000455</v>
      </c>
      <c r="O17" s="2">
        <f>('Kwh Reading'!P18-'Kwh Reading'!P17)*1000</f>
        <v>950.00000000004547</v>
      </c>
      <c r="P17" s="2">
        <f>('Kwh Reading'!G18-'Kwh Reading'!G17)*1000</f>
        <v>879.99999999999545</v>
      </c>
      <c r="Q17" s="2">
        <f>('Kwh Reading'!Q18-'Kwh Reading'!Q17)*1000</f>
        <v>730.00000000001819</v>
      </c>
      <c r="R17" s="2">
        <f>('Kwh Reading'!N18-'Kwh Reading'!N17)*1000</f>
        <v>979.9999999999045</v>
      </c>
      <c r="S17" s="33">
        <f>'Kwh Reading'!E18-'Kwh Reading'!E17</f>
        <v>2736.9900000002235</v>
      </c>
      <c r="T17" s="33">
        <f>'Kwh Reading'!D18-'Kwh Reading'!D17</f>
        <v>2168.9500000001863</v>
      </c>
      <c r="U17" s="27">
        <f>('Kwh Reading'!O18-'Kwh Reading'!O17)*1000</f>
        <v>89.999999999974989</v>
      </c>
      <c r="V17" s="16">
        <f t="shared" si="1"/>
        <v>6644.0600000004524</v>
      </c>
    </row>
    <row r="18" spans="1:22" x14ac:dyDescent="0.25">
      <c r="A18" s="3">
        <f>'Kwh Reading'!A18</f>
        <v>44515</v>
      </c>
      <c r="B18" s="26">
        <f>TOTAL!E16</f>
        <v>21350.000000000589</v>
      </c>
      <c r="C18" s="4">
        <f>('Kwh Reading'!T19-'Kwh Reading'!T18)*1000</f>
        <v>310.00000000000227</v>
      </c>
      <c r="D18" s="2">
        <f>('Kwh Reading'!F19-'Kwh Reading'!F18)*1000000</f>
        <v>2800.0000000001355</v>
      </c>
      <c r="E18" s="2">
        <f>('Kwh Reading'!C19-'Kwh Reading'!C18)*1000</f>
        <v>270.00000000003865</v>
      </c>
      <c r="F18" s="2">
        <f>('Kwh Reading'!J19-'Kwh Reading'!J18)*1000</f>
        <v>409.99999999996817</v>
      </c>
      <c r="G18" s="2">
        <f>('Kwh Reading'!K19-'Kwh Reading'!K18)*1000</f>
        <v>409.99999999996817</v>
      </c>
      <c r="H18" s="2">
        <f>('Kwh Reading'!L19-'Kwh Reading'!L18)*1000</f>
        <v>280.00000000002956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290.00000000002046</v>
      </c>
      <c r="L18" s="2">
        <f>('Kwh Reading'!B19-'Kwh Reading'!B18)*1000000</f>
        <v>1100.000000000101</v>
      </c>
      <c r="M18" s="2">
        <f>('Kwh Reading'!M19-'Kwh Reading'!M18)*1000</f>
        <v>759.99999999999091</v>
      </c>
      <c r="N18" s="2">
        <f>('Kwh Reading'!H19-'Kwh Reading'!H18)*1000</f>
        <v>889.99999999998636</v>
      </c>
      <c r="O18" s="2">
        <f>('Kwh Reading'!P19-'Kwh Reading'!P18)*1000</f>
        <v>1019.9999999999818</v>
      </c>
      <c r="P18" s="2">
        <f>('Kwh Reading'!G19-'Kwh Reading'!G18)*1000</f>
        <v>860.00000000001364</v>
      </c>
      <c r="Q18" s="2">
        <f>('Kwh Reading'!Q19-'Kwh Reading'!Q18)*1000</f>
        <v>710.00000000003638</v>
      </c>
      <c r="R18" s="2">
        <f>('Kwh Reading'!N19-'Kwh Reading'!N18)*1000</f>
        <v>850.00000000002274</v>
      </c>
      <c r="S18" s="33">
        <f>'Kwh Reading'!E19-'Kwh Reading'!E18</f>
        <v>2489.3799999989569</v>
      </c>
      <c r="T18" s="33">
        <f>'Kwh Reading'!D19-'Kwh Reading'!D18</f>
        <v>2119.2999999998137</v>
      </c>
      <c r="U18" s="27">
        <f>('Kwh Reading'!O19-'Kwh Reading'!O18)*1000</f>
        <v>100.00000000002274</v>
      </c>
      <c r="V18" s="16">
        <f t="shared" si="1"/>
        <v>5531.320000001524</v>
      </c>
    </row>
    <row r="19" spans="1:22" x14ac:dyDescent="0.25">
      <c r="A19" s="3">
        <f>'Kwh Reading'!A19</f>
        <v>44516</v>
      </c>
      <c r="B19" s="26">
        <f>TOTAL!E17</f>
        <v>21939.9999999996</v>
      </c>
      <c r="C19" s="4">
        <f>('Kwh Reading'!T20-'Kwh Reading'!T19)*1000</f>
        <v>509.99999999999091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530.00000000002956</v>
      </c>
      <c r="G19" s="2">
        <f>('Kwh Reading'!K20-'Kwh Reading'!K19)*1000</f>
        <v>300.00000000001137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140.00000000001478</v>
      </c>
      <c r="K19" s="2">
        <f>('Kwh Reading'!I20-'Kwh Reading'!I19)*1000</f>
        <v>289.99999999996362</v>
      </c>
      <c r="L19" s="2">
        <f>('Kwh Reading'!B20-'Kwh Reading'!B19)*1000000</f>
        <v>899.99999999990087</v>
      </c>
      <c r="M19" s="2">
        <f>('Kwh Reading'!M20-'Kwh Reading'!M19)*1000</f>
        <v>649.99999999997726</v>
      </c>
      <c r="N19" s="2">
        <f>('Kwh Reading'!H20-'Kwh Reading'!H19)*1000</f>
        <v>830.00000000004093</v>
      </c>
      <c r="O19" s="2">
        <f>('Kwh Reading'!P20-'Kwh Reading'!P19)*1000</f>
        <v>1059.9999999999454</v>
      </c>
      <c r="P19" s="2">
        <f>('Kwh Reading'!G20-'Kwh Reading'!G19)*1000</f>
        <v>769.99999999998181</v>
      </c>
      <c r="Q19" s="2">
        <f>('Kwh Reading'!Q20-'Kwh Reading'!Q19)*1000</f>
        <v>699.99999999993179</v>
      </c>
      <c r="R19" s="2">
        <f>('Kwh Reading'!N20-'Kwh Reading'!N19)*1000</f>
        <v>779.99999999997272</v>
      </c>
      <c r="S19" s="33">
        <f>'Kwh Reading'!E20-'Kwh Reading'!E19</f>
        <v>2559.0300000011921</v>
      </c>
      <c r="T19" s="33">
        <f>'Kwh Reading'!D20-'Kwh Reading'!D19</f>
        <v>2137.8700000001118</v>
      </c>
      <c r="U19" s="27">
        <f>('Kwh Reading'!O20-'Kwh Reading'!O19)*1000</f>
        <v>79.999999999984084</v>
      </c>
      <c r="V19" s="16">
        <f t="shared" si="1"/>
        <v>6813.0999999983651</v>
      </c>
    </row>
    <row r="20" spans="1:22" x14ac:dyDescent="0.25">
      <c r="A20" s="3">
        <f>'Kwh Reading'!A20</f>
        <v>44517</v>
      </c>
      <c r="B20" s="26">
        <f>TOTAL!E18</f>
        <v>22369.999999999207</v>
      </c>
      <c r="C20" s="4">
        <f>('Kwh Reading'!T21-'Kwh Reading'!T20)*1000</f>
        <v>519.99999999998181</v>
      </c>
      <c r="D20" s="2">
        <f>('Kwh Reading'!F21-'Kwh Reading'!F20)*1000000</f>
        <v>2599.9999999997135</v>
      </c>
      <c r="E20" s="2">
        <f>('Kwh Reading'!C21-'Kwh Reading'!C20)*1000</f>
        <v>259.99999999999091</v>
      </c>
      <c r="F20" s="2">
        <f>('Kwh Reading'!J21-'Kwh Reading'!J20)*1000</f>
        <v>579.99999999998408</v>
      </c>
      <c r="G20" s="2">
        <f>('Kwh Reading'!K21-'Kwh Reading'!K20)*1000</f>
        <v>350.00000000002274</v>
      </c>
      <c r="H20" s="2">
        <f>('Kwh Reading'!L21-'Kwh Reading'!L20)*1000</f>
        <v>259.99999999999091</v>
      </c>
      <c r="I20" s="2">
        <f>('Kwh Reading'!R21-'Kwh Reading'!R20)*1000</f>
        <v>0</v>
      </c>
      <c r="J20" s="2">
        <f>('Kwh Reading'!S21-'Kwh Reading'!S20)*1000</f>
        <v>139.99999999998636</v>
      </c>
      <c r="K20" s="2">
        <f>('Kwh Reading'!I21-'Kwh Reading'!I20)*1000</f>
        <v>300.00000000001137</v>
      </c>
      <c r="L20" s="2">
        <f>('Kwh Reading'!B21-'Kwh Reading'!B20)*1000000</f>
        <v>1000.0000000001119</v>
      </c>
      <c r="M20" s="2">
        <f>('Kwh Reading'!M21-'Kwh Reading'!M20)*1000</f>
        <v>730.00000000001819</v>
      </c>
      <c r="N20" s="2">
        <f>('Kwh Reading'!H21-'Kwh Reading'!H20)*1000</f>
        <v>899.99999999997726</v>
      </c>
      <c r="O20" s="2">
        <f>('Kwh Reading'!P21-'Kwh Reading'!P20)*1000</f>
        <v>1080.0000000000409</v>
      </c>
      <c r="P20" s="2">
        <f>('Kwh Reading'!G21-'Kwh Reading'!G20)*1000</f>
        <v>789.99999999996362</v>
      </c>
      <c r="Q20" s="2">
        <f>('Kwh Reading'!Q21-'Kwh Reading'!Q20)*1000</f>
        <v>690.00000000005457</v>
      </c>
      <c r="R20" s="2">
        <f>('Kwh Reading'!N21-'Kwh Reading'!N20)*1000</f>
        <v>870.00000000000455</v>
      </c>
      <c r="S20" s="33">
        <f>'Kwh Reading'!E21-'Kwh Reading'!E20</f>
        <v>2485.7400000002235</v>
      </c>
      <c r="T20" s="33">
        <f>'Kwh Reading'!D21-'Kwh Reading'!D20</f>
        <v>2236.839999999851</v>
      </c>
      <c r="U20" s="27">
        <f>('Kwh Reading'!O21-'Kwh Reading'!O20)*1000</f>
        <v>110.00000000001364</v>
      </c>
      <c r="V20" s="16">
        <f t="shared" si="1"/>
        <v>6467.419999999267</v>
      </c>
    </row>
    <row r="21" spans="1:22" ht="16.5" customHeight="1" x14ac:dyDescent="0.25">
      <c r="A21" s="3">
        <f>'Kwh Reading'!A21</f>
        <v>44518</v>
      </c>
      <c r="B21" s="26">
        <f>TOTAL!E19</f>
        <v>20810.000000000855</v>
      </c>
      <c r="C21" s="4">
        <f>('Kwh Reading'!T22-'Kwh Reading'!T21)*1000</f>
        <v>509.99999999999091</v>
      </c>
      <c r="D21" s="2">
        <f>('Kwh Reading'!F22-'Kwh Reading'!F21)*1000000</f>
        <v>2600.0000000001578</v>
      </c>
      <c r="E21" s="2">
        <f>('Kwh Reading'!C22-'Kwh Reading'!C21)*1000</f>
        <v>269.99999999998181</v>
      </c>
      <c r="F21" s="2">
        <f>('Kwh Reading'!J22-'Kwh Reading'!J21)*1000</f>
        <v>459.99999999997954</v>
      </c>
      <c r="G21" s="2">
        <f>('Kwh Reading'!K22-'Kwh Reading'!K21)*1000</f>
        <v>339.99999999997499</v>
      </c>
      <c r="H21" s="2">
        <f>('Kwh Reading'!L22-'Kwh Reading'!L21)*1000</f>
        <v>229.99999999996135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250</v>
      </c>
      <c r="L21" s="2">
        <f>('Kwh Reading'!B22-'Kwh Reading'!B21)*1000000</f>
        <v>999.99999999988984</v>
      </c>
      <c r="M21" s="2">
        <f>('Kwh Reading'!M22-'Kwh Reading'!M21)*1000</f>
        <v>689.99999999994088</v>
      </c>
      <c r="N21" s="2">
        <f>('Kwh Reading'!H22-'Kwh Reading'!H21)*1000</f>
        <v>889.99999999998636</v>
      </c>
      <c r="O21" s="2">
        <f>('Kwh Reading'!P22-'Kwh Reading'!P21)*1000</f>
        <v>1009.9999999999909</v>
      </c>
      <c r="P21" s="2">
        <f>('Kwh Reading'!G22-'Kwh Reading'!G21)*1000</f>
        <v>779.99999999997272</v>
      </c>
      <c r="Q21" s="2">
        <f>('Kwh Reading'!Q22-'Kwh Reading'!Q21)*1000</f>
        <v>679.99999999994998</v>
      </c>
      <c r="R21" s="2">
        <f>('Kwh Reading'!N22-'Kwh Reading'!N21)*1000</f>
        <v>850.00000000002274</v>
      </c>
      <c r="S21" s="33">
        <f>'Kwh Reading'!E22-'Kwh Reading'!E21</f>
        <v>2344.2099999990314</v>
      </c>
      <c r="T21" s="33">
        <f>'Kwh Reading'!D22-'Kwh Reading'!D21</f>
        <v>2261.5</v>
      </c>
      <c r="U21" s="27">
        <f>('Kwh Reading'!O22-'Kwh Reading'!O21)*1000</f>
        <v>129.99999999999545</v>
      </c>
      <c r="V21" s="16">
        <f t="shared" si="1"/>
        <v>5374.2900000020127</v>
      </c>
    </row>
    <row r="22" spans="1:22" x14ac:dyDescent="0.25">
      <c r="A22" s="3">
        <f>'Kwh Reading'!A22</f>
        <v>44519</v>
      </c>
      <c r="B22" s="26">
        <f>TOTAL!E20</f>
        <v>23379.99999999988</v>
      </c>
      <c r="C22" s="4">
        <f>('Kwh Reading'!T23-'Kwh Reading'!T22)*1000</f>
        <v>300.00000000001137</v>
      </c>
      <c r="D22" s="2">
        <f>('Kwh Reading'!F23-'Kwh Reading'!F22)*1000000</f>
        <v>2599.9999999997135</v>
      </c>
      <c r="E22" s="2">
        <f>('Kwh Reading'!C23-'Kwh Reading'!C22)*1000</f>
        <v>290.00000000002046</v>
      </c>
      <c r="F22" s="2">
        <f>('Kwh Reading'!J23-'Kwh Reading'!J22)*1000</f>
        <v>500</v>
      </c>
      <c r="G22" s="2">
        <f>('Kwh Reading'!K23-'Kwh Reading'!K22)*1000</f>
        <v>370.00000000000455</v>
      </c>
      <c r="H22" s="2">
        <f>('Kwh Reading'!L23-'Kwh Reading'!L22)*1000</f>
        <v>220.00000000002728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Reading'!B22)*1000000</f>
        <v>1000.0000000001119</v>
      </c>
      <c r="M22" s="2">
        <f>('Kwh Reading'!M23-'Kwh Reading'!M22)*1000</f>
        <v>750</v>
      </c>
      <c r="N22" s="2">
        <f>('Kwh Reading'!H23-'Kwh Reading'!H22)*1000</f>
        <v>819.99999999993634</v>
      </c>
      <c r="O22" s="2">
        <f>('Kwh Reading'!P23-'Kwh Reading'!P22)*1000</f>
        <v>1009.9999999999909</v>
      </c>
      <c r="P22" s="2">
        <f>('Kwh Reading'!G23-'Kwh Reading'!G22)*1000</f>
        <v>879.99999999999545</v>
      </c>
      <c r="Q22" s="2">
        <f>('Kwh Reading'!Q23-'Kwh Reading'!Q22)*1000</f>
        <v>670.00000000007276</v>
      </c>
      <c r="R22" s="2">
        <f>('Kwh Reading'!N23-'Kwh Reading'!N22)*1000</f>
        <v>920.00000000007276</v>
      </c>
      <c r="S22" s="33">
        <f>'Kwh Reading'!E23-'Kwh Reading'!E22</f>
        <v>2515.8300000000745</v>
      </c>
      <c r="T22" s="33">
        <f>'Kwh Reading'!D23-'Kwh Reading'!D22</f>
        <v>2502.339999999851</v>
      </c>
      <c r="U22" s="27">
        <f>('Kwh Reading'!O23-'Kwh Reading'!O22)*1000</f>
        <v>109.99999999998522</v>
      </c>
      <c r="V22" s="16">
        <f t="shared" si="1"/>
        <v>7541.8300000000163</v>
      </c>
    </row>
    <row r="23" spans="1:22" x14ac:dyDescent="0.25">
      <c r="A23" s="3">
        <f>'Kwh Reading'!A23</f>
        <v>44520</v>
      </c>
      <c r="B23" s="26">
        <f>TOTAL!E21</f>
        <v>22679.999999999607</v>
      </c>
      <c r="C23" s="4">
        <f>('Kwh Reading'!T24-'Kwh Reading'!T23)*1000</f>
        <v>500</v>
      </c>
      <c r="D23" s="2">
        <f>('Kwh Reading'!F24-'Kwh Reading'!F23)*1000000</f>
        <v>2600.0000000001578</v>
      </c>
      <c r="E23" s="2">
        <f>('Kwh Reading'!C24-'Kwh Reading'!C23)*1000</f>
        <v>259.99999999999091</v>
      </c>
      <c r="F23" s="2">
        <f>('Kwh Reading'!J24-'Kwh Reading'!J23)*1000</f>
        <v>490.00000000000909</v>
      </c>
      <c r="G23" s="2">
        <f>('Kwh Reading'!K24-'Kwh Reading'!K23)*1000</f>
        <v>319.99999999999318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250</v>
      </c>
      <c r="L23" s="2">
        <f>('Kwh Reading'!B24-'Kwh Reading'!B23)*1000000</f>
        <v>1099.9999999998788</v>
      </c>
      <c r="M23" s="2">
        <f>('Kwh Reading'!M24-'Kwh Reading'!M23)*1000</f>
        <v>730.00000000001819</v>
      </c>
      <c r="N23" s="2">
        <f>('Kwh Reading'!H24-'Kwh Reading'!H23)*1000</f>
        <v>900.00000000009095</v>
      </c>
      <c r="O23" s="2">
        <f>('Kwh Reading'!P24-'Kwh Reading'!P23)*1000</f>
        <v>1000</v>
      </c>
      <c r="P23" s="2">
        <f>('Kwh Reading'!G24-'Kwh Reading'!G23)*1000</f>
        <v>890.00000000010004</v>
      </c>
      <c r="Q23" s="2">
        <f>('Kwh Reading'!Q24-'Kwh Reading'!Q23)*1000</f>
        <v>789.99999999996362</v>
      </c>
      <c r="R23" s="2">
        <f>('Kwh Reading'!N24-'Kwh Reading'!N23)*1000</f>
        <v>909.99999999996817</v>
      </c>
      <c r="S23" s="33">
        <f>'Kwh Reading'!E24-'Kwh Reading'!E23</f>
        <v>2697.2100000008941</v>
      </c>
      <c r="T23" s="33">
        <f>'Kwh Reading'!D24-'Kwh Reading'!D23</f>
        <v>2297.7900000000373</v>
      </c>
      <c r="U23" s="27">
        <f>('Kwh Reading'!O24-'Kwh Reading'!O23)*1000</f>
        <v>110.00000000001364</v>
      </c>
      <c r="V23" s="16">
        <f t="shared" si="1"/>
        <v>6454.9999999984648</v>
      </c>
    </row>
    <row r="24" spans="1:22" x14ac:dyDescent="0.25">
      <c r="A24" s="3">
        <f>'Kwh Reading'!A24</f>
        <v>44521</v>
      </c>
      <c r="B24" s="26">
        <f>TOTAL!E22</f>
        <v>21230.000000001837</v>
      </c>
      <c r="C24" s="4">
        <f>('Kwh Reading'!T25-'Kwh Reading'!T24)*1000</f>
        <v>480.00000000001819</v>
      </c>
      <c r="D24" s="2">
        <f>('Kwh Reading'!F25-'Kwh Reading'!F24)*1000000</f>
        <v>2600.0000000001578</v>
      </c>
      <c r="E24" s="2">
        <f>('Kwh Reading'!C25-'Kwh Reading'!C24)*1000</f>
        <v>180.00000000000682</v>
      </c>
      <c r="F24" s="2">
        <f>('Kwh Reading'!J25-'Kwh Reading'!J24)*1000</f>
        <v>470.00000000002728</v>
      </c>
      <c r="G24" s="2">
        <f>('Kwh Reading'!K25-'Kwh Reading'!K24)*1000</f>
        <v>370.00000000000455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129.99999999999545</v>
      </c>
      <c r="K24" s="2">
        <f>('Kwh Reading'!I25-'Kwh Reading'!I24)*1000</f>
        <v>230.00000000001819</v>
      </c>
      <c r="L24" s="2">
        <f>('Kwh Reading'!B25-'Kwh Reading'!B24)*1000000</f>
        <v>1000.0000000001119</v>
      </c>
      <c r="M24" s="2">
        <f>('Kwh Reading'!M25-'Kwh Reading'!M24)*1000</f>
        <v>740.00000000000909</v>
      </c>
      <c r="N24" s="2">
        <f>('Kwh Reading'!H25-'Kwh Reading'!H24)*1000</f>
        <v>789.99999999996362</v>
      </c>
      <c r="O24" s="2">
        <f>('Kwh Reading'!P25-'Kwh Reading'!P24)*1000</f>
        <v>899.99999999997726</v>
      </c>
      <c r="P24" s="2">
        <f>('Kwh Reading'!G25-'Kwh Reading'!G24)*1000</f>
        <v>859.99999999989996</v>
      </c>
      <c r="Q24" s="2">
        <f>('Kwh Reading'!Q25-'Kwh Reading'!Q24)*1000</f>
        <v>679.99999999994998</v>
      </c>
      <c r="R24" s="2">
        <f>('Kwh Reading'!N25-'Kwh Reading'!N24)*1000</f>
        <v>740.00000000000909</v>
      </c>
      <c r="S24" s="2">
        <f>'Kwh Reading'!E25-'Kwh Reading'!E24</f>
        <v>2490.5800000000745</v>
      </c>
      <c r="T24" s="2">
        <f>'Kwh Reading'!D25-'Kwh Reading'!D24</f>
        <v>2177.230000000447</v>
      </c>
      <c r="U24" s="27">
        <f>('Kwh Reading'!O25-'Kwh Reading'!O24)*1000</f>
        <v>120.00000000000455</v>
      </c>
      <c r="V24" s="16">
        <f t="shared" si="1"/>
        <v>6042.1900000011992</v>
      </c>
    </row>
    <row r="25" spans="1:22" x14ac:dyDescent="0.25">
      <c r="A25" s="3">
        <f>'Kwh Reading'!A25</f>
        <v>44522</v>
      </c>
      <c r="B25" s="26">
        <f>TOTAL!E23</f>
        <v>23479.999999997061</v>
      </c>
      <c r="C25" s="4">
        <f>('Kwh Reading'!T26-'Kwh Reading'!T25)*1000</f>
        <v>509.99999999999091</v>
      </c>
      <c r="D25" s="2">
        <f>('Kwh Reading'!F26-'Kwh Reading'!F25)*1000000</f>
        <v>2599.9999999997135</v>
      </c>
      <c r="E25" s="2">
        <f>('Kwh Reading'!C26-'Kwh Reading'!C25)*1000</f>
        <v>170.00000000001592</v>
      </c>
      <c r="F25" s="2">
        <f>('Kwh Reading'!J26-'Kwh Reading'!J25)*1000</f>
        <v>500</v>
      </c>
      <c r="G25" s="2">
        <f>('Kwh Reading'!K26-'Kwh Reading'!K25)*1000</f>
        <v>389.99999999998636</v>
      </c>
      <c r="H25" s="2">
        <f>('Kwh Reading'!L26-'Kwh Reading'!L25)*1000</f>
        <v>250</v>
      </c>
      <c r="I25" s="2">
        <f>('Kwh Reading'!R26-'Kwh Reading'!R25)*1000</f>
        <v>0</v>
      </c>
      <c r="J25" s="2">
        <f>('Kwh Reading'!S26-'Kwh Reading'!S25)*1000</f>
        <v>139.99999999998636</v>
      </c>
      <c r="K25" s="2">
        <f>('Kwh Reading'!I26-'Kwh Reading'!I25)*1000</f>
        <v>250</v>
      </c>
      <c r="L25" s="2">
        <f>('Kwh Reading'!B26-'Kwh Reading'!B25)*1000000</f>
        <v>999.99999999988984</v>
      </c>
      <c r="M25" s="2">
        <f>('Kwh Reading'!M26-'Kwh Reading'!M25)*1000</f>
        <v>820.00000000005002</v>
      </c>
      <c r="N25" s="2">
        <f>('Kwh Reading'!H26-'Kwh Reading'!H25)*1000</f>
        <v>809.99999999994543</v>
      </c>
      <c r="O25" s="2">
        <f>('Kwh Reading'!P26-'Kwh Reading'!P25)*1000</f>
        <v>990.00000000000909</v>
      </c>
      <c r="P25" s="2">
        <f>('Kwh Reading'!G26-'Kwh Reading'!G25)*1000</f>
        <v>940.00000000005457</v>
      </c>
      <c r="Q25" s="2">
        <f>('Kwh Reading'!Q26-'Kwh Reading'!Q25)*1000</f>
        <v>770.0000000000955</v>
      </c>
      <c r="R25" s="2">
        <f>('Kwh Reading'!N26-'Kwh Reading'!N25)*1000</f>
        <v>789.99999999996362</v>
      </c>
      <c r="S25" s="2">
        <f>'Kwh Reading'!E26-'Kwh Reading'!E25</f>
        <v>2956.6399999987334</v>
      </c>
      <c r="T25" s="2">
        <f>'Kwh Reading'!D26-'Kwh Reading'!D25</f>
        <v>2458.269999999553</v>
      </c>
      <c r="U25" s="27">
        <f>('Kwh Reading'!O26-'Kwh Reading'!O25)*1000</f>
        <v>150.00000000000568</v>
      </c>
      <c r="V25" s="16">
        <f t="shared" si="1"/>
        <v>6985.0899999990652</v>
      </c>
    </row>
    <row r="26" spans="1:22" x14ac:dyDescent="0.25">
      <c r="A26" s="3">
        <f>'Kwh Reading'!A26</f>
        <v>44523</v>
      </c>
      <c r="B26" s="26">
        <f>TOTAL!E24</f>
        <v>22460.00000000163</v>
      </c>
      <c r="C26" s="4">
        <f>('Kwh Reading'!T27-'Kwh Reading'!T26)*1000</f>
        <v>509.99999999999091</v>
      </c>
      <c r="D26" s="2">
        <f>('Kwh Reading'!F27-'Kwh Reading'!F26)*1000000</f>
        <v>2600.0000000001578</v>
      </c>
      <c r="E26" s="2">
        <f>('Kwh Reading'!C27-'Kwh Reading'!C26)*1000</f>
        <v>189.99999999999773</v>
      </c>
      <c r="F26" s="2">
        <f>('Kwh Reading'!J27-'Kwh Reading'!J26)*1000</f>
        <v>469.99999999997044</v>
      </c>
      <c r="G26" s="2">
        <f>('Kwh Reading'!K27-'Kwh Reading'!K26)*1000</f>
        <v>320.00000000005002</v>
      </c>
      <c r="H26" s="2">
        <f>('Kwh Reading'!L27-'Kwh Reading'!L26)*1000</f>
        <v>210.00000000003638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250</v>
      </c>
      <c r="L26" s="2">
        <f>('Kwh Reading'!B27-'Kwh Reading'!B26)*1000000</f>
        <v>1000.0000000001119</v>
      </c>
      <c r="M26" s="2">
        <f>('Kwh Reading'!M27-'Kwh Reading'!M26)*1000</f>
        <v>829.99999999992724</v>
      </c>
      <c r="N26" s="2">
        <f>('Kwh Reading'!H27-'Kwh Reading'!H26)*1000</f>
        <v>800.00000000006821</v>
      </c>
      <c r="O26" s="2">
        <f>('Kwh Reading'!P27-'Kwh Reading'!P26)*1000</f>
        <v>1019.9999999999818</v>
      </c>
      <c r="P26" s="2">
        <f>('Kwh Reading'!G27-'Kwh Reading'!G26)*1000</f>
        <v>919.99999999995907</v>
      </c>
      <c r="Q26" s="2">
        <f>('Kwh Reading'!Q27-'Kwh Reading'!Q26)*1000</f>
        <v>799.99999999995453</v>
      </c>
      <c r="R26" s="2">
        <f>('Kwh Reading'!N27-'Kwh Reading'!N26)*1000</f>
        <v>779.99999999997272</v>
      </c>
      <c r="S26" s="2">
        <f>'Kwh Reading'!E27-'Kwh Reading'!E26</f>
        <v>3075.4500000011176</v>
      </c>
      <c r="T26" s="2">
        <f>'Kwh Reading'!D27-'Kwh Reading'!D26</f>
        <v>2017.4500000001863</v>
      </c>
      <c r="U26" s="27">
        <f>('Kwh Reading'!O27-'Kwh Reading'!O26)*1000</f>
        <v>139.99999999998636</v>
      </c>
      <c r="V26" s="16">
        <f t="shared" si="1"/>
        <v>6377.100000000155</v>
      </c>
    </row>
    <row r="27" spans="1:22" x14ac:dyDescent="0.25">
      <c r="A27" s="3">
        <f>'Kwh Reading'!A27</f>
        <v>44524</v>
      </c>
      <c r="B27" s="26">
        <f>TOTAL!E25</f>
        <v>22099.999999998996</v>
      </c>
      <c r="C27" s="4">
        <f>('Kwh Reading'!T28-'Kwh Reading'!T27)*1000</f>
        <v>509.99999999999091</v>
      </c>
      <c r="D27" s="2">
        <f>('Kwh Reading'!F28-'Kwh Reading'!F27)*1000000</f>
        <v>2600.0000000001578</v>
      </c>
      <c r="E27" s="2">
        <f>('Kwh Reading'!C28-'Kwh Reading'!C27)*1000</f>
        <v>180.00000000000682</v>
      </c>
      <c r="F27" s="2">
        <f>('Kwh Reading'!J28-'Kwh Reading'!J27)*1000</f>
        <v>480.00000000001819</v>
      </c>
      <c r="G27" s="2">
        <f>('Kwh Reading'!K28-'Kwh Reading'!K27)*1000</f>
        <v>359.9999999999568</v>
      </c>
      <c r="H27" s="2">
        <f>('Kwh Reading'!L28-'Kwh Reading'!L27)*1000</f>
        <v>209.99999999997954</v>
      </c>
      <c r="I27" s="2">
        <f>('Kwh Reading'!R28-'Kwh Reading'!R27)*1000</f>
        <v>0</v>
      </c>
      <c r="J27" s="2">
        <f>('Kwh Reading'!S28-'Kwh Reading'!S27)*1000</f>
        <v>140.00000000001478</v>
      </c>
      <c r="K27" s="2">
        <f>('Kwh Reading'!I28-'Kwh Reading'!I27)*1000</f>
        <v>219.99999999997044</v>
      </c>
      <c r="L27" s="2">
        <f>('Kwh Reading'!B28-'Kwh Reading'!B27)*1000000</f>
        <v>999.99999999988984</v>
      </c>
      <c r="M27" s="2">
        <f>('Kwh Reading'!M28-'Kwh Reading'!M27)*1000</f>
        <v>820.00000000005002</v>
      </c>
      <c r="N27" s="2">
        <f>('Kwh Reading'!H28-'Kwh Reading'!H27)*1000</f>
        <v>689.99999999994088</v>
      </c>
      <c r="O27" s="2">
        <f>('Kwh Reading'!P28-'Kwh Reading'!P27)*1000</f>
        <v>990.00000000000909</v>
      </c>
      <c r="P27" s="2">
        <f>('Kwh Reading'!G28-'Kwh Reading'!G27)*1000</f>
        <v>810.00000000005912</v>
      </c>
      <c r="Q27" s="2">
        <f>('Kwh Reading'!Q28-'Kwh Reading'!Q27)*1000</f>
        <v>700.00000000004547</v>
      </c>
      <c r="R27" s="2">
        <f>('Kwh Reading'!N28-'Kwh Reading'!N27)*1000</f>
        <v>680.00000000006366</v>
      </c>
      <c r="S27" s="2">
        <f>'Kwh Reading'!E28-'Kwh Reading'!E27</f>
        <v>2779.9199999999255</v>
      </c>
      <c r="T27" s="2">
        <f>'Kwh Reading'!D28-'Kwh Reading'!D27</f>
        <v>2558.4000000003725</v>
      </c>
      <c r="U27" s="27">
        <f>('Kwh Reading'!O28-'Kwh Reading'!O27)*1000</f>
        <v>150.00000000000568</v>
      </c>
      <c r="V27" s="16">
        <f t="shared" si="1"/>
        <v>6221.6799999985396</v>
      </c>
    </row>
    <row r="28" spans="1:22" x14ac:dyDescent="0.25">
      <c r="A28" s="3">
        <f>'Kwh Reading'!A28</f>
        <v>44525</v>
      </c>
      <c r="B28" s="26">
        <f>TOTAL!E26</f>
        <v>0</v>
      </c>
      <c r="C28" s="4">
        <f>('Kwh Reading'!T29-'Kwh Reading'!T28)*1000</f>
        <v>-488520</v>
      </c>
      <c r="D28" s="2">
        <f>('Kwh Reading'!F29-'Kwh Reading'!F28)*1000000</f>
        <v>-2744800</v>
      </c>
      <c r="E28" s="2">
        <f>('Kwh Reading'!C29-'Kwh Reading'!C28)*1000</f>
        <v>-265850</v>
      </c>
      <c r="F28" s="2">
        <f>('Kwh Reading'!J29-'Kwh Reading'!J28)*1000</f>
        <v>-361500</v>
      </c>
      <c r="G28" s="2">
        <f>('Kwh Reading'!K29-'Kwh Reading'!K28)*1000</f>
        <v>-384210</v>
      </c>
      <c r="H28" s="2">
        <f>('Kwh Reading'!L29-'Kwh Reading'!L28)*1000</f>
        <v>-264130</v>
      </c>
      <c r="I28" s="2">
        <f>('Kwh Reading'!R29-'Kwh Reading'!R28)*1000</f>
        <v>-190150</v>
      </c>
      <c r="J28" s="2">
        <f>('Kwh Reading'!S29-'Kwh Reading'!S28)*1000</f>
        <v>-133270</v>
      </c>
      <c r="K28" s="2">
        <f>('Kwh Reading'!I29-'Kwh Reading'!I28)*1000</f>
        <v>-277890</v>
      </c>
      <c r="L28" s="2">
        <f>('Kwh Reading'!B29-'Kwh Reading'!B28)*1000000</f>
        <v>-1167500</v>
      </c>
      <c r="M28" s="2">
        <f>('Kwh Reading'!M29-'Kwh Reading'!M28)*1000</f>
        <v>-630470</v>
      </c>
      <c r="N28" s="2">
        <f>('Kwh Reading'!H29-'Kwh Reading'!H28)*1000</f>
        <v>-716550</v>
      </c>
      <c r="O28" s="2">
        <f>('Kwh Reading'!P29-'Kwh Reading'!P28)*1000</f>
        <v>-762520</v>
      </c>
      <c r="P28" s="2">
        <f>('Kwh Reading'!G29-'Kwh Reading'!G28)*1000</f>
        <v>-870230</v>
      </c>
      <c r="Q28" s="2">
        <f>('Kwh Reading'!Q29-'Kwh Reading'!Q28)*1000</f>
        <v>-563190</v>
      </c>
      <c r="R28" s="2">
        <f>('Kwh Reading'!N29-'Kwh Reading'!N28)*1000</f>
        <v>-585600</v>
      </c>
      <c r="S28" s="2">
        <f>'Kwh Reading'!E29-'Kwh Reading'!E28</f>
        <v>-8616032.7300000004</v>
      </c>
      <c r="T28" s="2">
        <f>'Kwh Reading'!D29-'Kwh Reading'!D28</f>
        <v>-7812833.2400000002</v>
      </c>
      <c r="U28" s="27">
        <f>('Kwh Reading'!O29-'Kwh Reading'!O28)*1000</f>
        <v>-181900</v>
      </c>
      <c r="V28" s="16">
        <f t="shared" si="1"/>
        <v>27017145.969999999</v>
      </c>
    </row>
    <row r="29" spans="1:22" x14ac:dyDescent="0.25">
      <c r="A29" s="3">
        <f>'Kwh Reading'!A29</f>
        <v>44526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44527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44528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44529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44530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44531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530389.99999999651</v>
      </c>
      <c r="C35" s="72">
        <f t="shared" ref="C35" si="2">SUM(C4:C34)</f>
        <v>-477210</v>
      </c>
      <c r="D35" s="72">
        <f t="shared" ref="D35" si="3">SUM(D4:D34)</f>
        <v>-2682200</v>
      </c>
      <c r="E35" s="72">
        <f t="shared" ref="E35" si="4">SUM(E4:E34)</f>
        <v>-259910</v>
      </c>
      <c r="F35" s="72">
        <f t="shared" ref="F35" si="5">SUM(F4:F34)</f>
        <v>-350570</v>
      </c>
      <c r="G35" s="72">
        <f t="shared" ref="G35:U35" si="6">SUM(G4:G34)</f>
        <v>-375970.00000000006</v>
      </c>
      <c r="H35" s="72">
        <f t="shared" si="6"/>
        <v>-258670.00000000003</v>
      </c>
      <c r="I35" s="72">
        <f t="shared" si="6"/>
        <v>-189139.99999999997</v>
      </c>
      <c r="J35" s="72">
        <f t="shared" si="6"/>
        <v>-129930</v>
      </c>
      <c r="K35" s="72">
        <f t="shared" si="6"/>
        <v>-271940</v>
      </c>
      <c r="L35" s="72">
        <f t="shared" si="6"/>
        <v>-1142800</v>
      </c>
      <c r="M35" s="72">
        <f t="shared" si="6"/>
        <v>-612530</v>
      </c>
      <c r="N35" s="72">
        <f t="shared" si="6"/>
        <v>-697490</v>
      </c>
      <c r="O35" s="72">
        <f t="shared" si="6"/>
        <v>-738090</v>
      </c>
      <c r="P35" s="72">
        <f t="shared" si="6"/>
        <v>-850090</v>
      </c>
      <c r="Q35" s="72">
        <f t="shared" si="6"/>
        <v>-545919.99999999988</v>
      </c>
      <c r="R35" s="72">
        <f t="shared" si="6"/>
        <v>-565230</v>
      </c>
      <c r="S35" s="72">
        <f t="shared" si="6"/>
        <v>-8551552.0500000007</v>
      </c>
      <c r="T35" s="72">
        <f t="shared" si="6"/>
        <v>-7761780.0300000003</v>
      </c>
      <c r="U35" s="72">
        <f t="shared" si="6"/>
        <v>-178930</v>
      </c>
      <c r="V35" s="72">
        <f>SUM(V4:V34)</f>
        <v>27170342.079999994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21860.000000001037</v>
      </c>
      <c r="C8" s="1">
        <f>'Kwh Consumption'!C9</f>
        <v>520.00000000003865</v>
      </c>
      <c r="D8" s="1">
        <f>'Kwh Consumption'!D9</f>
        <v>2800.0000000001355</v>
      </c>
      <c r="E8" s="1">
        <f>'Kwh Consumption'!E9</f>
        <v>289.99999999996362</v>
      </c>
      <c r="F8" s="1">
        <f>('Kwh Consumption'!F9+'Kwh Consumption'!G9+'Kwh Consumption'!H9)</f>
        <v>1009.9999999999909</v>
      </c>
      <c r="G8" s="16">
        <f>('Kwh Consumption'!I9+'Kwh Consumption'!J9)</f>
        <v>220.00000000002728</v>
      </c>
      <c r="H8" s="1">
        <f>('Kwh Consumption'!K9+'Kwh Consumption'!L9)</f>
        <v>1220.0000000000823</v>
      </c>
      <c r="I8" s="1">
        <f>('Kwh Consumption'!M9+'Kwh Consumption'!N9+'Kwh Consumption'!O9+'Kwh Consumption'!P9+'Kwh Consumption'!Q9+'Kwh Consumption'!R9)</f>
        <v>4959.999999999809</v>
      </c>
      <c r="J8" s="1">
        <f>('Kwh Consumption'!S9+'Kwh Consumption'!T9)</f>
        <v>4593.929999999702</v>
      </c>
      <c r="K8" s="1">
        <f>'Kwh Consumption'!U9</f>
        <v>119.99999999997613</v>
      </c>
      <c r="L8" s="31">
        <f t="shared" si="0"/>
        <v>6126.0700000013112</v>
      </c>
    </row>
    <row r="9" spans="1:12" x14ac:dyDescent="0.25">
      <c r="A9" s="14">
        <f>'Kwh Reading'!A10</f>
        <v>44507</v>
      </c>
      <c r="B9" s="80">
        <f>TOTAL!E8</f>
        <v>21589.99999999992</v>
      </c>
      <c r="C9" s="1">
        <f>'Kwh Consumption'!C10</f>
        <v>479.99999999996135</v>
      </c>
      <c r="D9" s="1">
        <f>'Kwh Consumption'!D10</f>
        <v>2600.0000000001578</v>
      </c>
      <c r="E9" s="1">
        <f>'Kwh Consumption'!E10</f>
        <v>240.00000000000909</v>
      </c>
      <c r="F9" s="1">
        <f>('Kwh Consumption'!F10+'Kwh Consumption'!G10+'Kwh Consumption'!H10)</f>
        <v>939.99999999999773</v>
      </c>
      <c r="G9" s="16">
        <f>('Kwh Consumption'!I10+'Kwh Consumption'!J10)</f>
        <v>199.99999999998863</v>
      </c>
      <c r="H9" s="1">
        <f>('Kwh Consumption'!K10+'Kwh Consumption'!L10)</f>
        <v>1239.999999999899</v>
      </c>
      <c r="I9" s="1">
        <f>('Kwh Consumption'!M10+'Kwh Consumption'!N10+'Kwh Consumption'!O10+'Kwh Consumption'!P10+'Kwh Consumption'!Q10+'Kwh Consumption'!R10)</f>
        <v>4749.9999999998863</v>
      </c>
      <c r="J9" s="1">
        <f>('Kwh Consumption'!S10+'Kwh Consumption'!T10)</f>
        <v>4567.3899999996647</v>
      </c>
      <c r="K9" s="1">
        <f>'Kwh Consumption'!U10</f>
        <v>120.00000000000455</v>
      </c>
      <c r="L9" s="31">
        <f t="shared" si="0"/>
        <v>6452.6100000003562</v>
      </c>
    </row>
    <row r="10" spans="1:12" x14ac:dyDescent="0.25">
      <c r="A10" s="14">
        <f>'Kwh Reading'!A11</f>
        <v>44508</v>
      </c>
      <c r="B10" s="80">
        <f>TOTAL!E9</f>
        <v>23069.999999998574</v>
      </c>
      <c r="C10" s="1">
        <f>'Kwh Consumption'!C11</f>
        <v>460.00000000003638</v>
      </c>
      <c r="D10" s="1">
        <f>'Kwh Consumption'!D11</f>
        <v>2599.9999999997135</v>
      </c>
      <c r="E10" s="1">
        <f>'Kwh Consumption'!E11</f>
        <v>250</v>
      </c>
      <c r="F10" s="1">
        <f>('Kwh Consumption'!F11+'Kwh Consumption'!G11+'Kwh Consumption'!H11)</f>
        <v>1079.9999999999841</v>
      </c>
      <c r="G10" s="16">
        <f>('Kwh Consumption'!I11+'Kwh Consumption'!J11)</f>
        <v>129.99999999999545</v>
      </c>
      <c r="H10" s="1">
        <f>('Kwh Consumption'!K11+'Kwh Consumption'!L11)</f>
        <v>1250.0000000001119</v>
      </c>
      <c r="I10" s="1">
        <f>('Kwh Consumption'!M11+'Kwh Consumption'!N11+'Kwh Consumption'!O11+'Kwh Consumption'!P11+'Kwh Consumption'!Q11+'Kwh Consumption'!R11)</f>
        <v>5450.0000000000455</v>
      </c>
      <c r="J10" s="1">
        <f>('Kwh Consumption'!S11+'Kwh Consumption'!T11)</f>
        <v>5426.179999999702</v>
      </c>
      <c r="K10" s="1">
        <f>'Kwh Consumption'!U11</f>
        <v>80.000000000012506</v>
      </c>
      <c r="L10" s="31">
        <f t="shared" si="0"/>
        <v>6343.8199999989702</v>
      </c>
    </row>
    <row r="11" spans="1:12" x14ac:dyDescent="0.25">
      <c r="A11" s="14">
        <f>'Kwh Reading'!A12</f>
        <v>44509</v>
      </c>
      <c r="B11" s="80">
        <f>TOTAL!E10</f>
        <v>22010.000000000673</v>
      </c>
      <c r="C11" s="1">
        <f>'Kwh Consumption'!C12</f>
        <v>500</v>
      </c>
      <c r="D11" s="1">
        <f>'Kwh Consumption'!D12</f>
        <v>2300.0000000004129</v>
      </c>
      <c r="E11" s="1">
        <f>'Kwh Consumption'!E12</f>
        <v>230.00000000001819</v>
      </c>
      <c r="F11" s="1">
        <f>('Kwh Consumption'!F12+'Kwh Consumption'!G12+'Kwh Consumption'!H12)</f>
        <v>939.99999999999773</v>
      </c>
      <c r="G11" s="16">
        <f>('Kwh Consumption'!I12+'Kwh Consumption'!J12)</f>
        <v>170.00000000001592</v>
      </c>
      <c r="H11" s="1">
        <f>('Kwh Consumption'!K12+'Kwh Consumption'!L12)</f>
        <v>1239.999999999899</v>
      </c>
      <c r="I11" s="1">
        <f>('Kwh Consumption'!M12+'Kwh Consumption'!N12+'Kwh Consumption'!O12+'Kwh Consumption'!P12+'Kwh Consumption'!Q12+'Kwh Consumption'!R12)</f>
        <v>5230.0000000001319</v>
      </c>
      <c r="J11" s="1">
        <f>('Kwh Consumption'!S12+'Kwh Consumption'!T12)</f>
        <v>5375.7600000007078</v>
      </c>
      <c r="K11" s="1">
        <f>'Kwh Consumption'!U12</f>
        <v>79.999999999984084</v>
      </c>
      <c r="L11" s="31">
        <f t="shared" si="0"/>
        <v>5944.2399999995123</v>
      </c>
    </row>
    <row r="12" spans="1:12" x14ac:dyDescent="0.25">
      <c r="A12" s="14">
        <f>'Kwh Reading'!A13</f>
        <v>44510</v>
      </c>
      <c r="B12" s="80">
        <f>TOTAL!E11</f>
        <v>23249.999999999316</v>
      </c>
      <c r="C12" s="1">
        <f>'Kwh Consumption'!C13</f>
        <v>500</v>
      </c>
      <c r="D12" s="1">
        <f>'Kwh Consumption'!D13</f>
        <v>2599.9999999997135</v>
      </c>
      <c r="E12" s="1">
        <f>'Kwh Consumption'!E13</f>
        <v>250</v>
      </c>
      <c r="F12" s="1">
        <f>('Kwh Consumption'!F13+'Kwh Consumption'!G13+'Kwh Consumption'!H13)</f>
        <v>920.00000000001592</v>
      </c>
      <c r="G12" s="16">
        <f>('Kwh Consumption'!I13+'Kwh Consumption'!J13)</f>
        <v>139.99999999998636</v>
      </c>
      <c r="H12" s="1">
        <f>('Kwh Consumption'!K13+'Kwh Consumption'!L13)</f>
        <v>1280.0000000000846</v>
      </c>
      <c r="I12" s="1">
        <f>('Kwh Consumption'!M13+'Kwh Consumption'!N13+'Kwh Consumption'!O13+'Kwh Consumption'!P13+'Kwh Consumption'!Q13+'Kwh Consumption'!R13)</f>
        <v>5629.9999999999955</v>
      </c>
      <c r="J12" s="1">
        <f>('Kwh Consumption'!S13+'Kwh Consumption'!T13)</f>
        <v>5374.5999999986961</v>
      </c>
      <c r="K12" s="1">
        <f>'Kwh Consumption'!U13</f>
        <v>90.000000000003411</v>
      </c>
      <c r="L12" s="31">
        <f t="shared" si="0"/>
        <v>6465.4000000008236</v>
      </c>
    </row>
    <row r="13" spans="1:12" x14ac:dyDescent="0.25">
      <c r="A13" s="14">
        <f>'Kwh Reading'!A14</f>
        <v>44511</v>
      </c>
      <c r="B13" s="80">
        <f>TOTAL!E12</f>
        <v>23820.000000000393</v>
      </c>
      <c r="C13" s="1">
        <f>'Kwh Consumption'!C14</f>
        <v>469.99999999997044</v>
      </c>
      <c r="D13" s="1">
        <f>'Kwh Consumption'!D14</f>
        <v>2600.0000000001578</v>
      </c>
      <c r="E13" s="1">
        <f>'Kwh Consumption'!E14</f>
        <v>240.00000000000909</v>
      </c>
      <c r="F13" s="1">
        <f>('Kwh Consumption'!F14+'Kwh Consumption'!G14+'Kwh Consumption'!H14)</f>
        <v>1019.9999999999818</v>
      </c>
      <c r="G13" s="16">
        <f>('Kwh Consumption'!I14+'Kwh Consumption'!J14)</f>
        <v>170.00000000001592</v>
      </c>
      <c r="H13" s="1">
        <f>('Kwh Consumption'!K14+'Kwh Consumption'!L14)</f>
        <v>1389.9999999998993</v>
      </c>
      <c r="I13" s="1">
        <f>('Kwh Consumption'!M14+'Kwh Consumption'!N14+'Kwh Consumption'!O14+'Kwh Consumption'!P14+'Kwh Consumption'!Q14+'Kwh Consumption'!R14)</f>
        <v>5719.9999999999136</v>
      </c>
      <c r="J13" s="1">
        <f>('Kwh Consumption'!S14+'Kwh Consumption'!T14)</f>
        <v>5444.660000000149</v>
      </c>
      <c r="K13" s="1">
        <f>'Kwh Consumption'!U14</f>
        <v>120.00000000000455</v>
      </c>
      <c r="L13" s="31">
        <f t="shared" si="0"/>
        <v>6645.3400000002939</v>
      </c>
    </row>
    <row r="14" spans="1:12" x14ac:dyDescent="0.25">
      <c r="A14" s="14">
        <f>'Kwh Reading'!A15</f>
        <v>44512</v>
      </c>
      <c r="B14" s="80">
        <f>TOTAL!E13</f>
        <v>23229.999999999789</v>
      </c>
      <c r="C14" s="1">
        <f>'Kwh Consumption'!C15</f>
        <v>259.99999999999091</v>
      </c>
      <c r="D14" s="1">
        <f>'Kwh Consumption'!D15</f>
        <v>2699.9999999999245</v>
      </c>
      <c r="E14" s="1">
        <f>'Kwh Consumption'!E15</f>
        <v>279.99999999997272</v>
      </c>
      <c r="F14" s="1">
        <f>('Kwh Consumption'!F15+'Kwh Consumption'!G15+'Kwh Consumption'!H15)</f>
        <v>850.00000000002274</v>
      </c>
      <c r="G14" s="16">
        <f>('Kwh Consumption'!I15+'Kwh Consumption'!J15)</f>
        <v>139.99999999998636</v>
      </c>
      <c r="H14" s="1">
        <f>('Kwh Consumption'!K15+'Kwh Consumption'!L15)</f>
        <v>1390.0000000001214</v>
      </c>
      <c r="I14" s="1">
        <f>('Kwh Consumption'!M15+'Kwh Consumption'!N15+'Kwh Consumption'!O15+'Kwh Consumption'!P15+'Kwh Consumption'!Q15+'Kwh Consumption'!R15)</f>
        <v>5539.9999999999636</v>
      </c>
      <c r="J14" s="1">
        <f>('Kwh Consumption'!S15+'Kwh Consumption'!T15)</f>
        <v>4974.7300000013784</v>
      </c>
      <c r="K14" s="1">
        <f>'Kwh Consumption'!U15</f>
        <v>129.99999999999545</v>
      </c>
      <c r="L14" s="31">
        <f t="shared" si="0"/>
        <v>6965.2699999984334</v>
      </c>
    </row>
    <row r="15" spans="1:12" x14ac:dyDescent="0.25">
      <c r="A15" s="14">
        <f>'Kwh Reading'!A16</f>
        <v>44513</v>
      </c>
      <c r="B15" s="80">
        <f>TOTAL!E14</f>
        <v>22729.999999999789</v>
      </c>
      <c r="C15" s="1">
        <f>'Kwh Consumption'!C16</f>
        <v>1050.0000000000114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939.99999999999773</v>
      </c>
      <c r="G15" s="16">
        <f>('Kwh Consumption'!I16+'Kwh Consumption'!J16)</f>
        <v>159.99999999999659</v>
      </c>
      <c r="H15" s="1">
        <f>('Kwh Consumption'!K16+'Kwh Consumption'!L16)</f>
        <v>1290.0000000000755</v>
      </c>
      <c r="I15" s="1">
        <f>('Kwh Consumption'!M16+'Kwh Consumption'!N16+'Kwh Consumption'!O16+'Kwh Consumption'!P16+'Kwh Consumption'!Q16+'Kwh Consumption'!R16)</f>
        <v>5480.0000000001319</v>
      </c>
      <c r="J15" s="1">
        <f>('Kwh Consumption'!S16+'Kwh Consumption'!T16)</f>
        <v>4932.8199999993667</v>
      </c>
      <c r="K15" s="1">
        <f>'Kwh Consumption'!U16</f>
        <v>100.00000000002274</v>
      </c>
      <c r="L15" s="31">
        <f t="shared" si="0"/>
        <v>5937.1800000000248</v>
      </c>
    </row>
    <row r="16" spans="1:12" x14ac:dyDescent="0.25">
      <c r="A16" s="14">
        <f>'Kwh Reading'!A17</f>
        <v>44514</v>
      </c>
      <c r="B16" s="80">
        <f>TOTAL!E15</f>
        <v>22460.000000000491</v>
      </c>
      <c r="C16" s="1">
        <f>'Kwh Consumption'!C17</f>
        <v>160.00000000002501</v>
      </c>
      <c r="D16" s="1">
        <f>'Kwh Consumption'!D17</f>
        <v>2599.9999999997135</v>
      </c>
      <c r="E16" s="1">
        <f>'Kwh Consumption'!E17</f>
        <v>279.99999999997272</v>
      </c>
      <c r="F16" s="1">
        <f>('Kwh Consumption'!F17+'Kwh Consumption'!G17+'Kwh Consumption'!H17)</f>
        <v>1009.9999999999909</v>
      </c>
      <c r="G16" s="16">
        <f>('Kwh Consumption'!I17+'Kwh Consumption'!J17)</f>
        <v>160.00000000002501</v>
      </c>
      <c r="H16" s="1">
        <f>('Kwh Consumption'!K17+'Kwh Consumption'!L17)</f>
        <v>1399.9999999998902</v>
      </c>
      <c r="I16" s="1">
        <f>('Kwh Consumption'!M17+'Kwh Consumption'!N17+'Kwh Consumption'!O17+'Kwh Consumption'!P17+'Kwh Consumption'!Q17+'Kwh Consumption'!R17)</f>
        <v>5210.0000000000364</v>
      </c>
      <c r="J16" s="1">
        <f>('Kwh Consumption'!S17+'Kwh Consumption'!T17)</f>
        <v>4905.9400000004098</v>
      </c>
      <c r="K16" s="1">
        <f>'Kwh Consumption'!U17</f>
        <v>89.999999999974989</v>
      </c>
      <c r="L16" s="31">
        <f t="shared" si="0"/>
        <v>6644.0600000004488</v>
      </c>
    </row>
    <row r="17" spans="1:12" x14ac:dyDescent="0.25">
      <c r="A17" s="14">
        <f>'Kwh Reading'!A18</f>
        <v>44515</v>
      </c>
      <c r="B17" s="80">
        <f>TOTAL!E16</f>
        <v>21350.000000000589</v>
      </c>
      <c r="C17" s="1">
        <f>'Kwh Consumption'!C18</f>
        <v>310.00000000000227</v>
      </c>
      <c r="D17" s="1">
        <f>'Kwh Consumption'!D18</f>
        <v>2800.0000000001355</v>
      </c>
      <c r="E17" s="1">
        <f>'Kwh Consumption'!E18</f>
        <v>270.00000000003865</v>
      </c>
      <c r="F17" s="1">
        <f>('Kwh Consumption'!F18+'Kwh Consumption'!G18+'Kwh Consumption'!H18)</f>
        <v>1099.9999999999659</v>
      </c>
      <c r="G17" s="16">
        <f>('Kwh Consumption'!I18+'Kwh Consumption'!J18)</f>
        <v>149.99999999997726</v>
      </c>
      <c r="H17" s="1">
        <f>('Kwh Consumption'!K18+'Kwh Consumption'!L18)</f>
        <v>1390.0000000001214</v>
      </c>
      <c r="I17" s="1">
        <f>('Kwh Consumption'!M18+'Kwh Consumption'!N18+'Kwh Consumption'!O18+'Kwh Consumption'!P18+'Kwh Consumption'!Q18+'Kwh Consumption'!R18)</f>
        <v>5090.0000000000318</v>
      </c>
      <c r="J17" s="1">
        <f>('Kwh Consumption'!S18+'Kwh Consumption'!T18)</f>
        <v>4608.6799999987707</v>
      </c>
      <c r="K17" s="30">
        <f>'Kwh Consumption'!U18</f>
        <v>100.00000000002274</v>
      </c>
      <c r="L17" s="31">
        <f t="shared" si="0"/>
        <v>5531.3200000015195</v>
      </c>
    </row>
    <row r="18" spans="1:12" x14ac:dyDescent="0.25">
      <c r="A18" s="14">
        <f>'Kwh Reading'!A19</f>
        <v>44516</v>
      </c>
      <c r="B18" s="80">
        <f>TOTAL!E17</f>
        <v>21939.9999999996</v>
      </c>
      <c r="C18" s="1">
        <f>'Kwh Consumption'!C19</f>
        <v>509.99999999999091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1060.0000000000591</v>
      </c>
      <c r="G18" s="16">
        <f>('Kwh Consumption'!I19+'Kwh Consumption'!J19)</f>
        <v>140.00000000001478</v>
      </c>
      <c r="H18" s="1">
        <f>('Kwh Consumption'!K19+'Kwh Consumption'!L19)</f>
        <v>1189.9999999998645</v>
      </c>
      <c r="I18" s="1">
        <f>('Kwh Consumption'!M19+'Kwh Consumption'!N19+'Kwh Consumption'!O19+'Kwh Consumption'!P19+'Kwh Consumption'!Q19+'Kwh Consumption'!R19)</f>
        <v>4789.9999999998499</v>
      </c>
      <c r="J18" s="1">
        <f>('Kwh Consumption'!S19+'Kwh Consumption'!T19)</f>
        <v>4696.9000000013039</v>
      </c>
      <c r="K18" s="30">
        <f>'Kwh Consumption'!U19</f>
        <v>79.999999999984084</v>
      </c>
      <c r="L18" s="31">
        <f t="shared" si="0"/>
        <v>6813.0999999983633</v>
      </c>
    </row>
    <row r="19" spans="1:12" x14ac:dyDescent="0.25">
      <c r="A19" s="14">
        <f>'Kwh Reading'!A20</f>
        <v>44517</v>
      </c>
      <c r="B19" s="80">
        <f>TOTAL!E18</f>
        <v>22369.999999999207</v>
      </c>
      <c r="C19" s="1">
        <f>'Kwh Consumption'!C20</f>
        <v>519.99999999998181</v>
      </c>
      <c r="D19" s="1">
        <f>'Kwh Consumption'!D20</f>
        <v>2599.9999999997135</v>
      </c>
      <c r="E19" s="1">
        <f>'Kwh Consumption'!E20</f>
        <v>259.99999999999091</v>
      </c>
      <c r="F19" s="1">
        <f>('Kwh Consumption'!F20+'Kwh Consumption'!G20+'Kwh Consumption'!H20)</f>
        <v>1189.9999999999977</v>
      </c>
      <c r="G19" s="16">
        <f>('Kwh Consumption'!I20+'Kwh Consumption'!J20)</f>
        <v>139.99999999998636</v>
      </c>
      <c r="H19" s="1">
        <f>('Kwh Consumption'!K20+'Kwh Consumption'!L20)</f>
        <v>1300.0000000001232</v>
      </c>
      <c r="I19" s="1">
        <f>('Kwh Consumption'!M20+'Kwh Consumption'!N20+'Kwh Consumption'!O20+'Kwh Consumption'!P20+'Kwh Consumption'!Q20+'Kwh Consumption'!R20)</f>
        <v>5060.0000000000591</v>
      </c>
      <c r="J19" s="1">
        <f>('Kwh Consumption'!S20+'Kwh Consumption'!T20)</f>
        <v>4722.5800000000745</v>
      </c>
      <c r="K19" s="1">
        <f>'Kwh Consumption'!U20</f>
        <v>110.00000000001364</v>
      </c>
      <c r="L19" s="31">
        <f t="shared" si="0"/>
        <v>6467.4199999992679</v>
      </c>
    </row>
    <row r="20" spans="1:12" x14ac:dyDescent="0.25">
      <c r="A20" s="14">
        <f>'Kwh Reading'!A21</f>
        <v>44518</v>
      </c>
      <c r="B20" s="80">
        <f>TOTAL!E19</f>
        <v>20810.000000000855</v>
      </c>
      <c r="C20" s="1">
        <f>'Kwh Consumption'!C21</f>
        <v>509.99999999999091</v>
      </c>
      <c r="D20" s="1">
        <f>'Kwh Consumption'!D21</f>
        <v>2600.0000000001578</v>
      </c>
      <c r="E20" s="1">
        <f>'Kwh Consumption'!E21</f>
        <v>269.99999999998181</v>
      </c>
      <c r="F20" s="1">
        <f>('Kwh Consumption'!F21+'Kwh Consumption'!G21+'Kwh Consumption'!H21)</f>
        <v>1029.9999999999159</v>
      </c>
      <c r="G20" s="16">
        <f>('Kwh Consumption'!I21+'Kwh Consumption'!J21)</f>
        <v>140.00000000001478</v>
      </c>
      <c r="H20" s="1">
        <f>('Kwh Consumption'!K21+'Kwh Consumption'!L21)</f>
        <v>1249.99999999989</v>
      </c>
      <c r="I20" s="1">
        <f>('Kwh Consumption'!M21+'Kwh Consumption'!N21+'Kwh Consumption'!O21+'Kwh Consumption'!P21+'Kwh Consumption'!Q21+'Kwh Consumption'!R21)</f>
        <v>4899.9999999998636</v>
      </c>
      <c r="J20" s="1">
        <f>('Kwh Consumption'!S21+'Kwh Consumption'!T21)</f>
        <v>4605.7099999990314</v>
      </c>
      <c r="K20" s="1">
        <f>'Kwh Consumption'!U21</f>
        <v>129.99999999999545</v>
      </c>
      <c r="L20" s="31">
        <f t="shared" si="0"/>
        <v>5374.2900000020154</v>
      </c>
    </row>
    <row r="21" spans="1:12" x14ac:dyDescent="0.25">
      <c r="A21" s="14">
        <f>'Kwh Reading'!A22</f>
        <v>44519</v>
      </c>
      <c r="B21" s="80">
        <f>TOTAL!E20</f>
        <v>23379.99999999988</v>
      </c>
      <c r="C21" s="1">
        <f>'Kwh Consumption'!C22</f>
        <v>300.00000000001137</v>
      </c>
      <c r="D21" s="1">
        <f>'Kwh Consumption'!D22</f>
        <v>2599.9999999997135</v>
      </c>
      <c r="E21" s="1">
        <f>'Kwh Consumption'!E22</f>
        <v>290.00000000002046</v>
      </c>
      <c r="F21" s="1">
        <f>('Kwh Consumption'!F22+'Kwh Consumption'!G22+'Kwh Consumption'!H22)</f>
        <v>1090.0000000000318</v>
      </c>
      <c r="G21" s="16">
        <f>('Kwh Consumption'!I22+'Kwh Consumption'!J22)</f>
        <v>129.99999999999545</v>
      </c>
      <c r="H21" s="1">
        <f>('Kwh Consumption'!K22+'Kwh Consumption'!L22)</f>
        <v>1250.0000000001119</v>
      </c>
      <c r="I21" s="1">
        <f>('Kwh Consumption'!M22+'Kwh Consumption'!N22+'Kwh Consumption'!O22+'Kwh Consumption'!P22+'Kwh Consumption'!Q22+'Kwh Consumption'!R22)</f>
        <v>5050.0000000000682</v>
      </c>
      <c r="J21" s="1">
        <f>('Kwh Consumption'!S22+'Kwh Consumption'!T22)</f>
        <v>5018.1699999999255</v>
      </c>
      <c r="K21" s="1">
        <f>'Kwh Consumption'!U22</f>
        <v>109.99999999998522</v>
      </c>
      <c r="L21" s="31">
        <f t="shared" si="0"/>
        <v>7541.8300000000127</v>
      </c>
    </row>
    <row r="22" spans="1:12" x14ac:dyDescent="0.25">
      <c r="A22" s="14">
        <f>'Kwh Reading'!A23</f>
        <v>44520</v>
      </c>
      <c r="B22" s="80">
        <f>TOTAL!E21</f>
        <v>22679.999999999607</v>
      </c>
      <c r="C22" s="1">
        <f>'Kwh Consumption'!C23</f>
        <v>500</v>
      </c>
      <c r="D22" s="1">
        <f>'Kwh Consumption'!D23</f>
        <v>2600.0000000001578</v>
      </c>
      <c r="E22" s="1">
        <f>'Kwh Consumption'!E23</f>
        <v>259.99999999999091</v>
      </c>
      <c r="F22" s="1">
        <f>('Kwh Consumption'!F23+'Kwh Consumption'!G23+'Kwh Consumption'!H23)</f>
        <v>1040.0000000000205</v>
      </c>
      <c r="G22" s="16">
        <f>('Kwh Consumption'!I23+'Kwh Consumption'!J23)</f>
        <v>150.00000000000568</v>
      </c>
      <c r="H22" s="1">
        <f>('Kwh Consumption'!K23+'Kwh Consumption'!L23)</f>
        <v>1349.9999999998788</v>
      </c>
      <c r="I22" s="1">
        <f>('Kwh Consumption'!M23+'Kwh Consumption'!N23+'Kwh Consumption'!O23+'Kwh Consumption'!P23+'Kwh Consumption'!Q23+'Kwh Consumption'!R23)</f>
        <v>5220.000000000141</v>
      </c>
      <c r="J22" s="1">
        <f>('Kwh Consumption'!S23+'Kwh Consumption'!T23)</f>
        <v>4995.0000000009313</v>
      </c>
      <c r="K22" s="1">
        <f>'Kwh Consumption'!U23</f>
        <v>110.00000000001364</v>
      </c>
      <c r="L22" s="31">
        <f t="shared" si="0"/>
        <v>6454.9999999984657</v>
      </c>
    </row>
    <row r="23" spans="1:12" x14ac:dyDescent="0.25">
      <c r="A23" s="14">
        <f>'Kwh Reading'!A24</f>
        <v>44521</v>
      </c>
      <c r="B23" s="80">
        <f>TOTAL!E22</f>
        <v>21230.000000001837</v>
      </c>
      <c r="C23" s="1">
        <f>'Kwh Consumption'!C24</f>
        <v>480.00000000001819</v>
      </c>
      <c r="D23" s="1">
        <f>'Kwh Consumption'!D24</f>
        <v>2600.0000000001578</v>
      </c>
      <c r="E23" s="1">
        <f>'Kwh Consumption'!E24</f>
        <v>180.00000000000682</v>
      </c>
      <c r="F23" s="1">
        <f>('Kwh Consumption'!F24+'Kwh Consumption'!G24+'Kwh Consumption'!H24)</f>
        <v>1069.9999999999932</v>
      </c>
      <c r="G23" s="16">
        <f>('Kwh Consumption'!I24+'Kwh Consumption'!J24)</f>
        <v>129.99999999999545</v>
      </c>
      <c r="H23" s="1">
        <f>('Kwh Consumption'!K24+'Kwh Consumption'!L24)</f>
        <v>1230.0000000001301</v>
      </c>
      <c r="I23" s="1">
        <f>('Kwh Consumption'!M24+'Kwh Consumption'!N24+'Kwh Consumption'!O24+'Kwh Consumption'!P24+'Kwh Consumption'!Q24+'Kwh Consumption'!R24)</f>
        <v>4709.999999999809</v>
      </c>
      <c r="J23" s="1">
        <f>('Kwh Consumption'!S24+'Kwh Consumption'!T24)</f>
        <v>4667.8100000005215</v>
      </c>
      <c r="K23" s="1">
        <f>'Kwh Consumption'!U24</f>
        <v>120.00000000000455</v>
      </c>
      <c r="L23" s="31">
        <f t="shared" si="0"/>
        <v>6042.1900000012001</v>
      </c>
    </row>
    <row r="24" spans="1:12" x14ac:dyDescent="0.25">
      <c r="A24" s="14">
        <f>'Kwh Reading'!A25</f>
        <v>44522</v>
      </c>
      <c r="B24" s="80">
        <f>TOTAL!E23</f>
        <v>23479.999999997061</v>
      </c>
      <c r="C24" s="1">
        <f>'Kwh Consumption'!C25</f>
        <v>509.99999999999091</v>
      </c>
      <c r="D24" s="1">
        <f>'Kwh Consumption'!D25</f>
        <v>2599.9999999997135</v>
      </c>
      <c r="E24" s="1">
        <f>'Kwh Consumption'!E25</f>
        <v>170.00000000001592</v>
      </c>
      <c r="F24" s="1">
        <f>('Kwh Consumption'!F25+'Kwh Consumption'!G25+'Kwh Consumption'!H25)</f>
        <v>1139.9999999999864</v>
      </c>
      <c r="G24" s="16">
        <f>('Kwh Consumption'!I25+'Kwh Consumption'!J25)</f>
        <v>139.99999999998636</v>
      </c>
      <c r="H24" s="1">
        <f>('Kwh Consumption'!K25+'Kwh Consumption'!L25)</f>
        <v>1249.99999999989</v>
      </c>
      <c r="I24" s="1">
        <f>('Kwh Consumption'!M25+'Kwh Consumption'!N25+'Kwh Consumption'!O25+'Kwh Consumption'!P25+'Kwh Consumption'!Q25+'Kwh Consumption'!R25)</f>
        <v>5120.0000000001182</v>
      </c>
      <c r="J24" s="1">
        <f>('Kwh Consumption'!S25+'Kwh Consumption'!T25)</f>
        <v>5414.9099999982864</v>
      </c>
      <c r="K24" s="1">
        <f>'Kwh Consumption'!U25</f>
        <v>150.00000000000568</v>
      </c>
      <c r="L24" s="31">
        <f t="shared" si="0"/>
        <v>6985.0899999990688</v>
      </c>
    </row>
    <row r="25" spans="1:12" x14ac:dyDescent="0.25">
      <c r="A25" s="14">
        <f>'Kwh Reading'!A26</f>
        <v>44523</v>
      </c>
      <c r="B25" s="80">
        <f>TOTAL!E24</f>
        <v>22460.00000000163</v>
      </c>
      <c r="C25" s="1">
        <f>'Kwh Consumption'!C26</f>
        <v>509.99999999999091</v>
      </c>
      <c r="D25" s="1">
        <f>'Kwh Consumption'!D26</f>
        <v>2600.0000000001578</v>
      </c>
      <c r="E25" s="1">
        <f>'Kwh Consumption'!E26</f>
        <v>189.99999999999773</v>
      </c>
      <c r="F25" s="1">
        <f>('Kwh Consumption'!F26+'Kwh Consumption'!G26+'Kwh Consumption'!H26)</f>
        <v>1000.0000000000568</v>
      </c>
      <c r="G25" s="16">
        <f>('Kwh Consumption'!I26+'Kwh Consumption'!J26)</f>
        <v>150.00000000000568</v>
      </c>
      <c r="H25" s="1">
        <f>('Kwh Consumption'!K26+'Kwh Consumption'!L26)</f>
        <v>1250.0000000001119</v>
      </c>
      <c r="I25" s="1">
        <f>('Kwh Consumption'!M26+'Kwh Consumption'!N26+'Kwh Consumption'!O26+'Kwh Consumption'!P26+'Kwh Consumption'!Q26+'Kwh Consumption'!R26)</f>
        <v>5149.9999999998636</v>
      </c>
      <c r="J25" s="1">
        <f>('Kwh Consumption'!S26+'Kwh Consumption'!T26)</f>
        <v>5092.9000000013039</v>
      </c>
      <c r="K25" s="1">
        <f>'Kwh Consumption'!U26</f>
        <v>139.99999999998636</v>
      </c>
      <c r="L25" s="31">
        <f t="shared" si="0"/>
        <v>6377.1000000001522</v>
      </c>
    </row>
    <row r="26" spans="1:12" x14ac:dyDescent="0.25">
      <c r="A26" s="14">
        <f>'Kwh Reading'!A27</f>
        <v>44524</v>
      </c>
      <c r="B26" s="80">
        <f>TOTAL!E25</f>
        <v>22099.999999998996</v>
      </c>
      <c r="C26" s="1">
        <f>'Kwh Consumption'!C27</f>
        <v>509.99999999999091</v>
      </c>
      <c r="D26" s="1">
        <f>'Kwh Consumption'!D27</f>
        <v>2600.0000000001578</v>
      </c>
      <c r="E26" s="1">
        <f>'Kwh Consumption'!E27</f>
        <v>180.00000000000682</v>
      </c>
      <c r="F26" s="1">
        <f>('Kwh Consumption'!F27+'Kwh Consumption'!G27+'Kwh Consumption'!H27)</f>
        <v>1049.9999999999545</v>
      </c>
      <c r="G26" s="16">
        <f>('Kwh Consumption'!I27+'Kwh Consumption'!J27)</f>
        <v>140.00000000001478</v>
      </c>
      <c r="H26" s="1">
        <f>('Kwh Consumption'!K27+'Kwh Consumption'!L27)</f>
        <v>1219.9999999998604</v>
      </c>
      <c r="I26" s="1">
        <f>('Kwh Consumption'!M27+'Kwh Consumption'!N27+'Kwh Consumption'!O27+'Kwh Consumption'!P27+'Kwh Consumption'!Q27+'Kwh Consumption'!R27)</f>
        <v>4690.0000000001683</v>
      </c>
      <c r="J26" s="1">
        <f>('Kwh Consumption'!S27+'Kwh Consumption'!T27)</f>
        <v>5338.320000000298</v>
      </c>
      <c r="K26" s="1">
        <f>'Kwh Consumption'!U27</f>
        <v>150.00000000000568</v>
      </c>
      <c r="L26" s="31">
        <f t="shared" si="0"/>
        <v>6221.6799999985396</v>
      </c>
    </row>
    <row r="27" spans="1:12" x14ac:dyDescent="0.25">
      <c r="A27" s="14">
        <f>'Kwh Reading'!A28</f>
        <v>44525</v>
      </c>
      <c r="B27" s="80">
        <f>TOTAL!E26</f>
        <v>0</v>
      </c>
      <c r="C27" s="1">
        <f>'Kwh Consumption'!C28</f>
        <v>-488520</v>
      </c>
      <c r="D27" s="1">
        <f>'Kwh Consumption'!D28</f>
        <v>-2744800</v>
      </c>
      <c r="E27" s="1">
        <f>'Kwh Consumption'!E28</f>
        <v>-265850</v>
      </c>
      <c r="F27" s="1">
        <f>('Kwh Consumption'!F28+'Kwh Consumption'!G28+'Kwh Consumption'!H28)</f>
        <v>-1009840</v>
      </c>
      <c r="G27" s="16">
        <f>('Kwh Consumption'!I28+'Kwh Consumption'!J28)</f>
        <v>-323420</v>
      </c>
      <c r="H27" s="1">
        <f>('Kwh Consumption'!K28+'Kwh Consumption'!L28)</f>
        <v>-1445390</v>
      </c>
      <c r="I27" s="1">
        <f>('Kwh Consumption'!M28+'Kwh Consumption'!N28+'Kwh Consumption'!O28+'Kwh Consumption'!P28+'Kwh Consumption'!Q28+'Kwh Consumption'!R28)</f>
        <v>-4128560</v>
      </c>
      <c r="J27" s="1">
        <f>('Kwh Consumption'!S28+'Kwh Consumption'!T28)</f>
        <v>-16428865.970000001</v>
      </c>
      <c r="K27" s="1">
        <f>'Kwh Consumption'!U28</f>
        <v>-181900</v>
      </c>
      <c r="L27" s="31">
        <f t="shared" si="0"/>
        <v>27017145.969999999</v>
      </c>
    </row>
    <row r="28" spans="1:12" x14ac:dyDescent="0.25">
      <c r="A28" s="14">
        <f>'Kwh Reading'!A29</f>
        <v>44526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44527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44528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44529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44530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527769.99999999837</v>
      </c>
      <c r="C34" s="72">
        <f>SUM(C3:C33)</f>
        <v>-477210</v>
      </c>
      <c r="D34" s="72">
        <f t="shared" ref="D34:L34" si="1">SUM(D3:D33)</f>
        <v>-2682200</v>
      </c>
      <c r="E34" s="72">
        <f t="shared" si="1"/>
        <v>-259910</v>
      </c>
      <c r="F34" s="72">
        <f t="shared" si="1"/>
        <v>-985210</v>
      </c>
      <c r="G34" s="72">
        <f t="shared" si="1"/>
        <v>-319070</v>
      </c>
      <c r="H34" s="72">
        <f t="shared" si="1"/>
        <v>-1414740</v>
      </c>
      <c r="I34" s="72">
        <f t="shared" si="1"/>
        <v>-4009350</v>
      </c>
      <c r="J34" s="72">
        <f t="shared" si="1"/>
        <v>-16313332.080000002</v>
      </c>
      <c r="K34" s="72">
        <f t="shared" si="1"/>
        <v>-178930</v>
      </c>
      <c r="L34" s="72">
        <f t="shared" si="1"/>
        <v>27167722.079999998</v>
      </c>
      <c r="M34" s="81">
        <f>C34+D34+E34+F34+G34+H34+I34+J34+K34+L34</f>
        <v>527769.99999999627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-85897.8</v>
      </c>
      <c r="D36" s="72">
        <f>D34*B36</f>
        <v>-482796</v>
      </c>
      <c r="E36" s="72">
        <f>E34*B36</f>
        <v>-46783.799999999996</v>
      </c>
      <c r="F36" s="72">
        <f>F34*B36</f>
        <v>-177337.8</v>
      </c>
      <c r="G36" s="72">
        <f>G34*B36</f>
        <v>-57432.6</v>
      </c>
      <c r="H36" s="72">
        <f>H34*B36</f>
        <v>-254653.19999999998</v>
      </c>
      <c r="I36" s="72">
        <f>I34*B36</f>
        <v>-721683</v>
      </c>
      <c r="J36" s="72">
        <f>J34*B36</f>
        <v>-2936399.7744000005</v>
      </c>
      <c r="K36" s="72">
        <f>K34*B36</f>
        <v>-32207.399999999998</v>
      </c>
      <c r="L36" s="72">
        <f>L34*B36</f>
        <v>4890189.9743999997</v>
      </c>
      <c r="M36" s="81">
        <f>C36+D36+E36+F36+G36+H36+I36+J36+K36+L36</f>
        <v>94998.599999998696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0.18</v>
      </c>
      <c r="C3" s="11">
        <f>'Kwh Consumption'!B4*' Kwh area wise $ '!B3</f>
        <v>4593.5999999999995</v>
      </c>
      <c r="D3" s="1">
        <f>'Kwh Consumption'!C4*' Kwh area wise $ '!B3</f>
        <v>86.400000000003274</v>
      </c>
      <c r="E3" s="1">
        <f>'Kwh Consumption'!D4*' Kwh area wise $ '!B3</f>
        <v>504.00000000002439</v>
      </c>
      <c r="F3" s="1">
        <f>'Kwh Consumption'!E4*' Kwh area wise $ '!B3</f>
        <v>50.399999999995089</v>
      </c>
      <c r="G3" s="1">
        <f>('Kwh Consumption'!F4+'Kwh Consumption'!G4+'Kwh Consumption'!H4)*' Kwh area wise $ '!B3</f>
        <v>201.59999999999059</v>
      </c>
      <c r="H3" s="16">
        <f>('Kwh Consumption'!I4+'Kwh Consumption'!J4)*' Kwh area wise $ '!B3</f>
        <v>41.399999999998158</v>
      </c>
      <c r="I3" s="1">
        <f>('Kwh Consumption'!K4+'Kwh Consumption'!L4)*' Kwh area wise $ '!B3</f>
        <v>241.19999999997981</v>
      </c>
      <c r="J3" s="1">
        <f>('Kwh Consumption'!M4+'Kwh Consumption'!N4+'Kwh Consumption'!O4+'Kwh Consumption'!P4+'Kwh Consumption'!Q4+'Kwh Consumption'!R4)*' Kwh area wise $ '!B3</f>
        <v>903.59999999997626</v>
      </c>
      <c r="K3" s="1">
        <f>('Kwh Consumption'!S4+'Kwh Consumption'!T4)*' Kwh area wise $ '!B3</f>
        <v>874.37879999969152</v>
      </c>
      <c r="L3" s="1">
        <f>'Kwh Consumption'!U4*' Kwh area wise $ '!B3</f>
        <v>41.399999999998158</v>
      </c>
      <c r="M3" s="1">
        <f>'Kwh Consumption'!V4*' Kwh area wise $ '!B3</f>
        <v>1649.2212000003428</v>
      </c>
    </row>
    <row r="4" spans="1:13" x14ac:dyDescent="0.25">
      <c r="A4" s="14">
        <f>'Kwh Reading'!A5</f>
        <v>44502</v>
      </c>
      <c r="B4" s="11">
        <f>TOTAL!F3</f>
        <v>0.18</v>
      </c>
      <c r="C4" s="11">
        <f>'Kwh Consumption'!B5*' Kwh area wise $ '!B4</f>
        <v>3981.5999999996934</v>
      </c>
      <c r="D4" s="1">
        <f>'Kwh Consumption'!C5*' Kwh area wise $ '!B4</f>
        <v>104.39999999999714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169.19999999999959</v>
      </c>
      <c r="H4" s="16">
        <f>('Kwh Consumption'!I5+'Kwh Consumption'!J5)*' Kwh area wise $ '!B4</f>
        <v>62.999999999998977</v>
      </c>
      <c r="I4" s="1">
        <f>('Kwh Consumption'!K5+'Kwh Consumption'!L5)*' Kwh area wise $ '!B4</f>
        <v>234.00000000001612</v>
      </c>
      <c r="J4" s="1">
        <f>('Kwh Consumption'!M5+'Kwh Consumption'!N5+'Kwh Consumption'!O5+'Kwh Consumption'!P5+'Kwh Consumption'!Q5+'Kwh Consumption'!R5)*' Kwh area wise $ '!B4</f>
        <v>842.40000000003192</v>
      </c>
      <c r="K4" s="1">
        <f>('Kwh Consumption'!S5+'Kwh Consumption'!T5)*' Kwh area wise $ '!B4</f>
        <v>863.12880000019447</v>
      </c>
      <c r="L4" s="1">
        <f>'Kwh Consumption'!U5*' Kwh area wise $ '!B4</f>
        <v>27.000000000001023</v>
      </c>
      <c r="M4" s="1">
        <f>'Kwh Consumption'!V5*' Kwh area wise $ '!B4</f>
        <v>1167.271199999424</v>
      </c>
    </row>
    <row r="5" spans="1:13" x14ac:dyDescent="0.25">
      <c r="A5" s="14">
        <f>'Kwh Reading'!A6</f>
        <v>44503</v>
      </c>
      <c r="B5" s="11">
        <f>TOTAL!F4</f>
        <v>0.18</v>
      </c>
      <c r="C5" s="11">
        <f>'Kwh Consumption'!B6*' Kwh area wise $ '!B5</f>
        <v>3220.1999999999357</v>
      </c>
      <c r="D5" s="1">
        <f>'Kwh Consumption'!C6*' Kwh area wise $ '!B5</f>
        <v>77.400000000001228</v>
      </c>
      <c r="E5" s="1">
        <f>'Kwh Consumption'!D6*' Kwh area wise $ '!B5</f>
        <v>467.99999999994839</v>
      </c>
      <c r="F5" s="1">
        <f>'Kwh Consumption'!E6*' Kwh area wise $ '!B5</f>
        <v>50.399999999995089</v>
      </c>
      <c r="G5" s="1">
        <f>('Kwh Consumption'!F6+'Kwh Consumption'!G6+'Kwh Consumption'!H6)*' Kwh area wise $ '!B5</f>
        <v>192.600000000009</v>
      </c>
      <c r="H5" s="16">
        <f>('Kwh Consumption'!I6+'Kwh Consumption'!J6)*' Kwh area wise $ '!B5</f>
        <v>66.600000000005934</v>
      </c>
      <c r="I5" s="1">
        <f>('Kwh Consumption'!K6+'Kwh Consumption'!L6)*' Kwh area wise $ '!B5</f>
        <v>210.59999999998305</v>
      </c>
      <c r="J5" s="1">
        <f>('Kwh Consumption'!M6+'Kwh Consumption'!N6+'Kwh Consumption'!O6+'Kwh Consumption'!P6+'Kwh Consumption'!Q6+'Kwh Consumption'!R6)*' Kwh area wise $ '!B5</f>
        <v>653.39999999997872</v>
      </c>
      <c r="K5" s="1">
        <f>('Kwh Consumption'!S6+'Kwh Consumption'!T6)*' Kwh area wise $ '!B5</f>
        <v>681.9839999999665</v>
      </c>
      <c r="L5" s="1">
        <f>'Kwh Consumption'!U6*' Kwh area wise $ '!B5</f>
        <v>28.799999999999386</v>
      </c>
      <c r="M5" s="1">
        <f>'Kwh Consumption'!V6*' Kwh area wise $ '!B5</f>
        <v>790.41600000004826</v>
      </c>
    </row>
    <row r="6" spans="1:13" x14ac:dyDescent="0.25">
      <c r="A6" s="14">
        <f>'Kwh Reading'!A7</f>
        <v>44504</v>
      </c>
      <c r="B6" s="11">
        <f>TOTAL!F5</f>
        <v>0.18</v>
      </c>
      <c r="C6" s="11">
        <f>'Kwh Consumption'!B7*' Kwh area wise $ '!B6</f>
        <v>3396.6</v>
      </c>
      <c r="D6" s="1">
        <f>'Kwh Consumption'!C7*' Kwh area wise $ '!B6</f>
        <v>48.600000000006958</v>
      </c>
      <c r="E6" s="1">
        <f>'Kwh Consumption'!D7*' Kwh area wise $ '!B6</f>
        <v>485.99999999998641</v>
      </c>
      <c r="F6" s="1">
        <f>'Kwh Consumption'!E7*' Kwh area wise $ '!B6</f>
        <v>46.800000000008595</v>
      </c>
      <c r="G6" s="1">
        <f>('Kwh Consumption'!F7+'Kwh Consumption'!G7+'Kwh Consumption'!H7)*' Kwh area wise $ '!B6</f>
        <v>187.19999999999345</v>
      </c>
      <c r="H6" s="16">
        <f>('Kwh Consumption'!I7+'Kwh Consumption'!J7)*' Kwh area wise $ '!B6</f>
        <v>50.399999999995089</v>
      </c>
      <c r="I6" s="1">
        <f>('Kwh Consumption'!K7+'Kwh Consumption'!L7)*' Kwh area wise $ '!B6</f>
        <v>214.20000000001971</v>
      </c>
      <c r="J6" s="1">
        <f>('Kwh Consumption'!M7+'Kwh Consumption'!N7+'Kwh Consumption'!O7+'Kwh Consumption'!P7+'Kwh Consumption'!Q7+'Kwh Consumption'!R7)*' Kwh area wise $ '!B6</f>
        <v>687.60000000002947</v>
      </c>
      <c r="K6" s="1">
        <f>('Kwh Consumption'!S7+'Kwh Consumption'!T7)*' Kwh area wise $ '!B6</f>
        <v>585.67319999987262</v>
      </c>
      <c r="L6" s="1">
        <f>'Kwh Consumption'!U7*' Kwh area wise $ '!B6</f>
        <v>27.000000000001023</v>
      </c>
      <c r="M6" s="1">
        <f>'Kwh Consumption'!V7*' Kwh area wise $ '!B6</f>
        <v>1063.1268000000869</v>
      </c>
    </row>
    <row r="7" spans="1:13" x14ac:dyDescent="0.25">
      <c r="A7" s="14">
        <f>'Kwh Reading'!A8</f>
        <v>44505</v>
      </c>
      <c r="B7" s="11">
        <f>TOTAL!F6</f>
        <v>0.18</v>
      </c>
      <c r="C7" s="11">
        <f>'Kwh Consumption'!B8*' Kwh area wise $ '!B7</f>
        <v>3630.5999999998899</v>
      </c>
      <c r="D7" s="1">
        <f>'Kwh Consumption'!C8*' Kwh area wise $ '!B7</f>
        <v>88.199999999991405</v>
      </c>
      <c r="E7" s="1">
        <f>'Kwh Consumption'!D8*' Kwh area wise $ '!B7</f>
        <v>449.99999999999039</v>
      </c>
      <c r="F7" s="1">
        <f>'Kwh Consumption'!E8*' Kwh area wise $ '!B7</f>
        <v>45</v>
      </c>
      <c r="G7" s="1">
        <f>('Kwh Consumption'!F8+'Kwh Consumption'!G8+'Kwh Consumption'!H8)*' Kwh area wise $ '!B7</f>
        <v>176.40000000000327</v>
      </c>
      <c r="H7" s="16">
        <f>('Kwh Consumption'!I8+'Kwh Consumption'!J8)*' Kwh area wise $ '!B7</f>
        <v>39.599999999999795</v>
      </c>
      <c r="I7" s="1">
        <f>('Kwh Consumption'!K8+'Kwh Consumption'!L8)*' Kwh area wise $ '!B7</f>
        <v>228.59999999998104</v>
      </c>
      <c r="J7" s="1">
        <f>('Kwh Consumption'!M8+'Kwh Consumption'!N8+'Kwh Consumption'!O8+'Kwh Consumption'!P8+'Kwh Consumption'!Q8+'Kwh Consumption'!R8)*' Kwh area wise $ '!B7</f>
        <v>775.80000000001064</v>
      </c>
      <c r="K7" s="1">
        <f>('Kwh Consumption'!S8+'Kwh Consumption'!T8)*' Kwh area wise $ '!B7</f>
        <v>734.67720000017437</v>
      </c>
      <c r="L7" s="1">
        <f>'Kwh Consumption'!U8*' Kwh area wise $ '!B7</f>
        <v>27.000000000001023</v>
      </c>
      <c r="M7" s="1">
        <f>'Kwh Consumption'!V8*' Kwh area wise $ '!B7</f>
        <v>1065.3227999997382</v>
      </c>
    </row>
    <row r="8" spans="1:13" x14ac:dyDescent="0.25">
      <c r="A8" s="14">
        <f>'Kwh Reading'!A9</f>
        <v>44506</v>
      </c>
      <c r="B8" s="11">
        <f>TOTAL!F7</f>
        <v>0.18</v>
      </c>
      <c r="C8" s="11">
        <f>'Kwh Consumption'!B9*' Kwh area wise $ '!B8</f>
        <v>3934.8000000001866</v>
      </c>
      <c r="D8" s="1">
        <f>'Kwh Consumption'!C9*' Kwh area wise $ '!B8</f>
        <v>93.600000000006958</v>
      </c>
      <c r="E8" s="1">
        <f>'Kwh Consumption'!D9*' Kwh area wise $ '!B8</f>
        <v>504.00000000002439</v>
      </c>
      <c r="F8" s="1">
        <f>'Kwh Consumption'!E9*' Kwh area wise $ '!B8</f>
        <v>52.199999999993452</v>
      </c>
      <c r="G8" s="1">
        <f>('Kwh Consumption'!F9+'Kwh Consumption'!G9+'Kwh Consumption'!H9)*' Kwh area wise $ '!B8</f>
        <v>181.79999999999836</v>
      </c>
      <c r="H8" s="16">
        <f>('Kwh Consumption'!I9+'Kwh Consumption'!J9)*' Kwh area wise $ '!B8</f>
        <v>39.600000000004911</v>
      </c>
      <c r="I8" s="1">
        <f>('Kwh Consumption'!K9+'Kwh Consumption'!L9)*' Kwh area wise $ '!B8</f>
        <v>219.6000000000148</v>
      </c>
      <c r="J8" s="1">
        <f>('Kwh Consumption'!M9+'Kwh Consumption'!N9+'Kwh Consumption'!O9+'Kwh Consumption'!P9+'Kwh Consumption'!Q9+'Kwh Consumption'!R9)*' Kwh area wise $ '!B8</f>
        <v>892.79999999996562</v>
      </c>
      <c r="K8" s="1">
        <f>('Kwh Consumption'!S9+'Kwh Consumption'!T9)*' Kwh area wise $ '!B8</f>
        <v>826.90739999994628</v>
      </c>
      <c r="L8" s="1">
        <f>'Kwh Consumption'!U9*' Kwh area wise $ '!B8</f>
        <v>21.599999999995703</v>
      </c>
      <c r="M8" s="1">
        <f>'Kwh Consumption'!V9*' Kwh area wise $ '!B8</f>
        <v>1102.6926000002359</v>
      </c>
    </row>
    <row r="9" spans="1:13" x14ac:dyDescent="0.25">
      <c r="A9" s="14">
        <f>'Kwh Reading'!A10</f>
        <v>44507</v>
      </c>
      <c r="B9" s="11">
        <f>TOTAL!F8</f>
        <v>0.18</v>
      </c>
      <c r="C9" s="11">
        <f>'Kwh Consumption'!B10*' Kwh area wise $ '!B9</f>
        <v>3886.1999999999853</v>
      </c>
      <c r="D9" s="1">
        <f>'Kwh Consumption'!C10*' Kwh area wise $ '!B9</f>
        <v>86.399999999993042</v>
      </c>
      <c r="E9" s="1">
        <f>'Kwh Consumption'!D10*' Kwh area wise $ '!B9</f>
        <v>468.00000000002836</v>
      </c>
      <c r="F9" s="1">
        <f>'Kwh Consumption'!E10*' Kwh area wise $ '!B9</f>
        <v>43.200000000001637</v>
      </c>
      <c r="G9" s="1">
        <f>('Kwh Consumption'!F10+'Kwh Consumption'!G10+'Kwh Consumption'!H10)*' Kwh area wise $ '!B9</f>
        <v>169.19999999999959</v>
      </c>
      <c r="H9" s="16">
        <f>('Kwh Consumption'!I10+'Kwh Consumption'!J10)*' Kwh area wise $ '!B9</f>
        <v>35.999999999997954</v>
      </c>
      <c r="I9" s="1">
        <f>('Kwh Consumption'!K10+'Kwh Consumption'!L10)*' Kwh area wise $ '!B9</f>
        <v>223.19999999998183</v>
      </c>
      <c r="J9" s="1">
        <f>('Kwh Consumption'!M10+'Kwh Consumption'!N10+'Kwh Consumption'!O10+'Kwh Consumption'!P10+'Kwh Consumption'!Q10+'Kwh Consumption'!R10)*' Kwh area wise $ '!B9</f>
        <v>854.99999999997954</v>
      </c>
      <c r="K9" s="1">
        <f>('Kwh Consumption'!S10+'Kwh Consumption'!T10)*' Kwh area wise $ '!B9</f>
        <v>822.13019999993958</v>
      </c>
      <c r="L9" s="1">
        <f>'Kwh Consumption'!U10*' Kwh area wise $ '!B9</f>
        <v>21.600000000000819</v>
      </c>
      <c r="M9" s="1">
        <f>'Kwh Consumption'!V10*' Kwh area wise $ '!B9</f>
        <v>1161.4698000000635</v>
      </c>
    </row>
    <row r="10" spans="1:13" x14ac:dyDescent="0.25">
      <c r="A10" s="14">
        <f>'Kwh Reading'!A11</f>
        <v>44508</v>
      </c>
      <c r="B10" s="11">
        <f>TOTAL!F9</f>
        <v>0.18</v>
      </c>
      <c r="C10" s="11">
        <f>'Kwh Consumption'!B11*' Kwh area wise $ '!B10</f>
        <v>4152.599999999743</v>
      </c>
      <c r="D10" s="1">
        <f>'Kwh Consumption'!C11*' Kwh area wise $ '!B10</f>
        <v>82.800000000006548</v>
      </c>
      <c r="E10" s="1">
        <f>'Kwh Consumption'!D11*' Kwh area wise $ '!B10</f>
        <v>467.99999999994839</v>
      </c>
      <c r="F10" s="1">
        <f>'Kwh Consumption'!E11*' Kwh area wise $ '!B10</f>
        <v>45</v>
      </c>
      <c r="G10" s="1">
        <f>('Kwh Consumption'!F11+'Kwh Consumption'!G11+'Kwh Consumption'!H11)*' Kwh area wise $ '!B10</f>
        <v>194.39999999999714</v>
      </c>
      <c r="H10" s="16">
        <f>('Kwh Consumption'!I11+'Kwh Consumption'!J11)*' Kwh area wise $ '!B10</f>
        <v>23.399999999999181</v>
      </c>
      <c r="I10" s="1">
        <f>('Kwh Consumption'!K11+'Kwh Consumption'!L11)*' Kwh area wise $ '!B10</f>
        <v>225.00000000002012</v>
      </c>
      <c r="J10" s="1">
        <f>('Kwh Consumption'!M11+'Kwh Consumption'!N11+'Kwh Consumption'!O11+'Kwh Consumption'!P11+'Kwh Consumption'!Q11+'Kwh Consumption'!R11)*' Kwh area wise $ '!B10</f>
        <v>981.00000000000819</v>
      </c>
      <c r="K10" s="1">
        <f>('Kwh Consumption'!S11+'Kwh Consumption'!T11)*' Kwh area wise $ '!B10</f>
        <v>976.71239999994634</v>
      </c>
      <c r="L10" s="1">
        <f>'Kwh Consumption'!U11*' Kwh area wise $ '!B10</f>
        <v>14.400000000002251</v>
      </c>
      <c r="M10" s="1">
        <f>'Kwh Consumption'!V11*' Kwh area wise $ '!B10</f>
        <v>1141.8875999998152</v>
      </c>
    </row>
    <row r="11" spans="1:13" x14ac:dyDescent="0.25">
      <c r="A11" s="14">
        <f>'Kwh Reading'!A12</f>
        <v>44509</v>
      </c>
      <c r="B11" s="11">
        <f>TOTAL!F10</f>
        <v>0.18</v>
      </c>
      <c r="C11" s="11">
        <f>'Kwh Consumption'!B12*' Kwh area wise $ '!B11</f>
        <v>3961.8000000001211</v>
      </c>
      <c r="D11" s="1">
        <f>'Kwh Consumption'!C12*' Kwh area wise $ '!B11</f>
        <v>90</v>
      </c>
      <c r="E11" s="1">
        <f>'Kwh Consumption'!D12*' Kwh area wise $ '!B11</f>
        <v>414.00000000007429</v>
      </c>
      <c r="F11" s="1">
        <f>'Kwh Consumption'!E12*' Kwh area wise $ '!B11</f>
        <v>41.400000000003274</v>
      </c>
      <c r="G11" s="1">
        <f>('Kwh Consumption'!F12+'Kwh Consumption'!G12+'Kwh Consumption'!H12)*' Kwh area wise $ '!B11</f>
        <v>169.19999999999959</v>
      </c>
      <c r="H11" s="16">
        <f>('Kwh Consumption'!I12+'Kwh Consumption'!J12)*' Kwh area wise $ '!B11</f>
        <v>30.600000000002865</v>
      </c>
      <c r="I11" s="1">
        <f>('Kwh Consumption'!K12+'Kwh Consumption'!L12)*' Kwh area wise $ '!B11</f>
        <v>223.19999999998183</v>
      </c>
      <c r="J11" s="1">
        <f>('Kwh Consumption'!M12+'Kwh Consumption'!N12+'Kwh Consumption'!O12+'Kwh Consumption'!P12+'Kwh Consumption'!Q12+'Kwh Consumption'!R12)*' Kwh area wise $ '!B11</f>
        <v>941.40000000002374</v>
      </c>
      <c r="K11" s="1">
        <f>('Kwh Consumption'!S12+'Kwh Consumption'!T12)*' Kwh area wise $ '!B11</f>
        <v>967.63680000012732</v>
      </c>
      <c r="L11" s="1">
        <f>'Kwh Consumption'!U12*' Kwh area wise $ '!B11</f>
        <v>14.399999999997135</v>
      </c>
      <c r="M11" s="1">
        <f>'Kwh Consumption'!V12*' Kwh area wise $ '!B11</f>
        <v>1069.9631999999108</v>
      </c>
    </row>
    <row r="12" spans="1:13" x14ac:dyDescent="0.25">
      <c r="A12" s="14">
        <f>'Kwh Reading'!A13</f>
        <v>44510</v>
      </c>
      <c r="B12" s="11">
        <f>TOTAL!F11</f>
        <v>0.18</v>
      </c>
      <c r="C12" s="11">
        <f>'Kwh Consumption'!B13*' Kwh area wise $ '!B12</f>
        <v>4184.9999999998763</v>
      </c>
      <c r="D12" s="1">
        <f>'Kwh Consumption'!C13*' Kwh area wise $ '!B12</f>
        <v>90</v>
      </c>
      <c r="E12" s="1">
        <f>'Kwh Consumption'!D13*' Kwh area wise $ '!B12</f>
        <v>467.99999999994839</v>
      </c>
      <c r="F12" s="1">
        <f>'Kwh Consumption'!E13*' Kwh area wise $ '!B12</f>
        <v>45</v>
      </c>
      <c r="G12" s="1">
        <f>('Kwh Consumption'!F13+'Kwh Consumption'!G13+'Kwh Consumption'!H13)*' Kwh area wise $ '!B12</f>
        <v>165.60000000000286</v>
      </c>
      <c r="H12" s="16">
        <f>('Kwh Consumption'!I13+'Kwh Consumption'!J13)*' Kwh area wise $ '!B12</f>
        <v>25.199999999997544</v>
      </c>
      <c r="I12" s="1">
        <f>('Kwh Consumption'!K13+'Kwh Consumption'!L13)*' Kwh area wise $ '!B12</f>
        <v>230.40000000001521</v>
      </c>
      <c r="J12" s="1">
        <f>('Kwh Consumption'!M13+'Kwh Consumption'!N13+'Kwh Consumption'!O13+'Kwh Consumption'!P13+'Kwh Consumption'!Q13+'Kwh Consumption'!R13)*' Kwh area wise $ '!B12</f>
        <v>1013.3999999999992</v>
      </c>
      <c r="K12" s="1">
        <f>('Kwh Consumption'!S13+'Kwh Consumption'!T13)*' Kwh area wise $ '!B12</f>
        <v>967.42799999976523</v>
      </c>
      <c r="L12" s="1">
        <f>'Kwh Consumption'!U13*' Kwh area wise $ '!B12</f>
        <v>16.200000000000614</v>
      </c>
      <c r="M12" s="1">
        <f>'Kwh Consumption'!V13*' Kwh area wise $ '!B12</f>
        <v>1163.7720000001475</v>
      </c>
    </row>
    <row r="13" spans="1:13" x14ac:dyDescent="0.25">
      <c r="A13" s="14">
        <f>'Kwh Reading'!A14</f>
        <v>44511</v>
      </c>
      <c r="B13" s="11">
        <f>TOTAL!F12</f>
        <v>0.18</v>
      </c>
      <c r="C13" s="11">
        <f>'Kwh Consumption'!B14*' Kwh area wise $ '!B13</f>
        <v>4287.6000000000704</v>
      </c>
      <c r="D13" s="1">
        <f>'Kwh Consumption'!C14*' Kwh area wise $ '!B13</f>
        <v>84.599999999994679</v>
      </c>
      <c r="E13" s="1">
        <f>'Kwh Consumption'!D14*' Kwh area wise $ '!B13</f>
        <v>468.00000000002836</v>
      </c>
      <c r="F13" s="1">
        <f>'Kwh Consumption'!E14*' Kwh area wise $ '!B13</f>
        <v>43.200000000001637</v>
      </c>
      <c r="G13" s="1">
        <f>('Kwh Consumption'!F14+'Kwh Consumption'!G14+'Kwh Consumption'!H14)*' Kwh area wise $ '!B13</f>
        <v>183.59999999999673</v>
      </c>
      <c r="H13" s="16">
        <f>('Kwh Consumption'!I14+'Kwh Consumption'!J14)*' Kwh area wise $ '!B13</f>
        <v>30.600000000002865</v>
      </c>
      <c r="I13" s="1">
        <f>('Kwh Consumption'!K14+'Kwh Consumption'!L14)*' Kwh area wise $ '!B13</f>
        <v>250.19999999998186</v>
      </c>
      <c r="J13" s="1">
        <f>('Kwh Consumption'!M14+'Kwh Consumption'!N14+'Kwh Consumption'!O14+'Kwh Consumption'!P14+'Kwh Consumption'!Q14+'Kwh Consumption'!R14)*' Kwh area wise $ '!B13</f>
        <v>1029.5999999999844</v>
      </c>
      <c r="K13" s="1">
        <f>('Kwh Consumption'!S14+'Kwh Consumption'!T14)*' Kwh area wise $ '!B13</f>
        <v>980.03880000002675</v>
      </c>
      <c r="L13" s="1">
        <f>'Kwh Consumption'!U14*' Kwh area wise $ '!B13</f>
        <v>21.600000000000819</v>
      </c>
      <c r="M13" s="1">
        <f>'Kwh Consumption'!V14*' Kwh area wise $ '!B13</f>
        <v>1196.1612000000523</v>
      </c>
    </row>
    <row r="14" spans="1:13" x14ac:dyDescent="0.25">
      <c r="A14" s="14">
        <f>'Kwh Reading'!A15</f>
        <v>44512</v>
      </c>
      <c r="B14" s="11">
        <f>TOTAL!F13</f>
        <v>0.18</v>
      </c>
      <c r="C14" s="11">
        <f>'Kwh Consumption'!B15*' Kwh area wise $ '!B14</f>
        <v>4181.3999999999614</v>
      </c>
      <c r="D14" s="1">
        <f>'Kwh Consumption'!C15*' Kwh area wise $ '!B14</f>
        <v>46.799999999998363</v>
      </c>
      <c r="E14" s="1">
        <f>'Kwh Consumption'!D15*' Kwh area wise $ '!B14</f>
        <v>485.99999999998641</v>
      </c>
      <c r="F14" s="1">
        <f>'Kwh Consumption'!E15*' Kwh area wise $ '!B14</f>
        <v>50.399999999995089</v>
      </c>
      <c r="G14" s="1">
        <f>('Kwh Consumption'!F15+'Kwh Consumption'!G15+'Kwh Consumption'!H15)*' Kwh area wise $ '!B14</f>
        <v>153.00000000000409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250.20000000002184</v>
      </c>
      <c r="J14" s="1">
        <f>('Kwh Consumption'!M15+'Kwh Consumption'!N15+'Kwh Consumption'!O15+'Kwh Consumption'!P15+'Kwh Consumption'!Q15+'Kwh Consumption'!R15)*' Kwh area wise $ '!B14</f>
        <v>997.19999999999345</v>
      </c>
      <c r="K14" s="1">
        <f>('Kwh Consumption'!S15+'Kwh Consumption'!T15)*' Kwh area wise $ '!B14</f>
        <v>895.4514000002481</v>
      </c>
      <c r="L14" s="1">
        <f>'Kwh Consumption'!U15*' Kwh area wise $ '!B14</f>
        <v>23.399999999999181</v>
      </c>
      <c r="M14" s="1">
        <f>'Kwh Consumption'!V15*' Kwh area wise $ '!B14</f>
        <v>1253.7485999997177</v>
      </c>
    </row>
    <row r="15" spans="1:13" x14ac:dyDescent="0.25">
      <c r="A15" s="14">
        <f>'Kwh Reading'!A16</f>
        <v>44513</v>
      </c>
      <c r="B15" s="11">
        <f>TOTAL!F14</f>
        <v>0.18</v>
      </c>
      <c r="C15" s="11">
        <f>'Kwh Consumption'!B16*' Kwh area wise $ '!B15</f>
        <v>4091.3999999999619</v>
      </c>
      <c r="D15" s="1">
        <f>'Kwh Consumption'!C16*' Kwh area wise $ '!B15</f>
        <v>189.00000000000205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169.19999999999959</v>
      </c>
      <c r="H15" s="16">
        <f>('Kwh Consumption'!I16+'Kwh Consumption'!J16)*' Kwh area wise $ '!B15</f>
        <v>28.799999999999386</v>
      </c>
      <c r="I15" s="1">
        <f>('Kwh Consumption'!K16+'Kwh Consumption'!L16)*' Kwh area wise $ '!B15</f>
        <v>232.20000000001357</v>
      </c>
      <c r="J15" s="1">
        <f>('Kwh Consumption'!M16+'Kwh Consumption'!N16+'Kwh Consumption'!O16+'Kwh Consumption'!P16+'Kwh Consumption'!Q16+'Kwh Consumption'!R16)*' Kwh area wise $ '!B15</f>
        <v>986.40000000002374</v>
      </c>
      <c r="K15" s="1">
        <f>('Kwh Consumption'!S16+'Kwh Consumption'!T16)*' Kwh area wise $ '!B15</f>
        <v>887.90759999988597</v>
      </c>
      <c r="L15" s="1">
        <f>'Kwh Consumption'!U16*' Kwh area wise $ '!B15</f>
        <v>18.000000000004093</v>
      </c>
      <c r="M15" s="1">
        <f>'Kwh Consumption'!V16*' Kwh area wise $ '!B15</f>
        <v>1068.692400000004</v>
      </c>
    </row>
    <row r="16" spans="1:13" x14ac:dyDescent="0.25">
      <c r="A16" s="14">
        <f>'Kwh Reading'!A17</f>
        <v>44514</v>
      </c>
      <c r="B16" s="11">
        <f>TOTAL!F15</f>
        <v>0.18</v>
      </c>
      <c r="C16" s="11">
        <f>'Kwh Consumption'!B17*' Kwh area wise $ '!B16</f>
        <v>4042.8000000000884</v>
      </c>
      <c r="D16" s="1">
        <f>'Kwh Consumption'!C17*' Kwh area wise $ '!B16</f>
        <v>28.800000000004502</v>
      </c>
      <c r="E16" s="1">
        <f>'Kwh Consumption'!D17*' Kwh area wise $ '!B16</f>
        <v>467.99999999994839</v>
      </c>
      <c r="F16" s="1">
        <f>'Kwh Consumption'!E17*' Kwh area wise $ '!B16</f>
        <v>50.399999999995089</v>
      </c>
      <c r="G16" s="1">
        <f>('Kwh Consumption'!F17+'Kwh Consumption'!G17+'Kwh Consumption'!H17)*' Kwh area wise $ '!B16</f>
        <v>181.79999999999836</v>
      </c>
      <c r="H16" s="16">
        <f>('Kwh Consumption'!I17+'Kwh Consumption'!J17)*' Kwh area wise $ '!B16</f>
        <v>28.800000000004502</v>
      </c>
      <c r="I16" s="1">
        <f>('Kwh Consumption'!K17+'Kwh Consumption'!L17)*' Kwh area wise $ '!B16</f>
        <v>251.99999999998022</v>
      </c>
      <c r="J16" s="1">
        <f>('Kwh Consumption'!M17+'Kwh Consumption'!N17+'Kwh Consumption'!O17+'Kwh Consumption'!P17+'Kwh Consumption'!Q17+'Kwh Consumption'!R17)*' Kwh area wise $ '!B16</f>
        <v>937.80000000000655</v>
      </c>
      <c r="K16" s="1">
        <f>('Kwh Consumption'!S17+'Kwh Consumption'!T17)*' Kwh area wise $ '!B16</f>
        <v>883.06920000007369</v>
      </c>
      <c r="L16" s="1">
        <f>'Kwh Consumption'!U17*' Kwh area wise $ '!B16</f>
        <v>16.199999999995498</v>
      </c>
      <c r="M16" s="1">
        <f>'Kwh Consumption'!V17*' Kwh area wise $ '!B16</f>
        <v>1195.9308000000815</v>
      </c>
    </row>
    <row r="17" spans="1:13" x14ac:dyDescent="0.25">
      <c r="A17" s="14">
        <f>'Kwh Reading'!A18</f>
        <v>44515</v>
      </c>
      <c r="B17" s="11">
        <f>TOTAL!F16</f>
        <v>0.18</v>
      </c>
      <c r="C17" s="11">
        <f>'Kwh Consumption'!B18*' Kwh area wise $ '!B17</f>
        <v>3843.000000000106</v>
      </c>
      <c r="D17" s="1">
        <f>'Kwh Consumption'!C18*' Kwh area wise $ '!B17</f>
        <v>55.800000000000409</v>
      </c>
      <c r="E17" s="1">
        <f>'Kwh Consumption'!D18*' Kwh area wise $ '!B17</f>
        <v>504.00000000002439</v>
      </c>
      <c r="F17" s="1">
        <f>'Kwh Consumption'!E18*' Kwh area wise $ '!B17</f>
        <v>48.600000000006958</v>
      </c>
      <c r="G17" s="1">
        <f>('Kwh Consumption'!F18+'Kwh Consumption'!G18+'Kwh Consumption'!H18)*' Kwh area wise $ '!B17</f>
        <v>197.99999999999386</v>
      </c>
      <c r="H17" s="16">
        <f>('Kwh Consumption'!I18+'Kwh Consumption'!J18)*' Kwh area wise $ '!B17</f>
        <v>26.999999999995907</v>
      </c>
      <c r="I17" s="1">
        <f>('Kwh Consumption'!K18+'Kwh Consumption'!L18)*' Kwh area wise $ '!B17</f>
        <v>250.20000000002184</v>
      </c>
      <c r="J17" s="1">
        <f>('Kwh Consumption'!M18+'Kwh Consumption'!N18+'Kwh Consumption'!O18+'Kwh Consumption'!P18+'Kwh Consumption'!Q18+'Kwh Consumption'!R18)*' Kwh area wise $ '!B17</f>
        <v>916.20000000000573</v>
      </c>
      <c r="K17" s="1">
        <f>('Kwh Consumption'!S18+'Kwh Consumption'!T18)*' Kwh area wise $ '!B17</f>
        <v>829.56239999977868</v>
      </c>
      <c r="L17" s="1">
        <f>'Kwh Consumption'!U18*' Kwh area wise $ '!B17</f>
        <v>18.000000000004093</v>
      </c>
      <c r="M17" s="1">
        <f>'Kwh Consumption'!V18*' Kwh area wise $ '!B17</f>
        <v>995.63760000027423</v>
      </c>
    </row>
    <row r="18" spans="1:13" x14ac:dyDescent="0.25">
      <c r="A18" s="14">
        <f>'Kwh Reading'!A19</f>
        <v>44516</v>
      </c>
      <c r="B18" s="11">
        <f>TOTAL!F17</f>
        <v>0.18</v>
      </c>
      <c r="C18" s="11">
        <f>'Kwh Consumption'!B19*' Kwh area wise $ '!B18</f>
        <v>3949.199999999928</v>
      </c>
      <c r="D18" s="1">
        <f>'Kwh Consumption'!C19*' Kwh area wise $ '!B18</f>
        <v>91.799999999998363</v>
      </c>
      <c r="E18" s="1">
        <f>'Kwh Consumption'!D19*' Kwh area wise $ '!B18</f>
        <v>432.00000000003234</v>
      </c>
      <c r="F18" s="1">
        <f>'Kwh Consumption'!E19*' Kwh area wise $ '!B18</f>
        <v>46.799999999998363</v>
      </c>
      <c r="G18" s="1">
        <f>('Kwh Consumption'!F19+'Kwh Consumption'!G19+'Kwh Consumption'!H19)*' Kwh area wise $ '!B18</f>
        <v>190.80000000001064</v>
      </c>
      <c r="H18" s="16">
        <f>('Kwh Consumption'!I19+'Kwh Consumption'!J19)*' Kwh area wise $ '!B18</f>
        <v>25.20000000000266</v>
      </c>
      <c r="I18" s="1">
        <f>('Kwh Consumption'!K19+'Kwh Consumption'!L19)*' Kwh area wise $ '!B18</f>
        <v>214.1999999999756</v>
      </c>
      <c r="J18" s="1">
        <f>('Kwh Consumption'!M19+'Kwh Consumption'!N19+'Kwh Consumption'!O19+'Kwh Consumption'!P19+'Kwh Consumption'!Q19+'Kwh Consumption'!R19)*' Kwh area wise $ '!B18</f>
        <v>862.19999999997299</v>
      </c>
      <c r="K18" s="1">
        <f>('Kwh Consumption'!S19+'Kwh Consumption'!T19)*' Kwh area wise $ '!B18</f>
        <v>845.44200000023466</v>
      </c>
      <c r="L18" s="1">
        <f>'Kwh Consumption'!U19*' Kwh area wise $ '!B18</f>
        <v>14.399999999997135</v>
      </c>
      <c r="M18" s="1">
        <f>'Kwh Consumption'!V19*' Kwh area wise $ '!B18</f>
        <v>1226.3579999997057</v>
      </c>
    </row>
    <row r="19" spans="1:13" x14ac:dyDescent="0.25">
      <c r="A19" s="14">
        <f>'Kwh Reading'!A20</f>
        <v>44517</v>
      </c>
      <c r="B19" s="11">
        <f>TOTAL!F18</f>
        <v>0.18</v>
      </c>
      <c r="C19" s="11">
        <f>'Kwh Consumption'!B20*' Kwh area wise $ '!B19</f>
        <v>4026.5999999998571</v>
      </c>
      <c r="D19" s="1">
        <f>'Kwh Consumption'!C20*' Kwh area wise $ '!B19</f>
        <v>93.599999999996726</v>
      </c>
      <c r="E19" s="1">
        <f>'Kwh Consumption'!D20*' Kwh area wise $ '!B19</f>
        <v>467.99999999994839</v>
      </c>
      <c r="F19" s="1">
        <f>'Kwh Consumption'!E20*' Kwh area wise $ '!B19</f>
        <v>46.799999999998363</v>
      </c>
      <c r="G19" s="1">
        <f>('Kwh Consumption'!F20+'Kwh Consumption'!G20+'Kwh Consumption'!H20)*' Kwh area wise $ '!B19</f>
        <v>214.19999999999959</v>
      </c>
      <c r="H19" s="16">
        <f>('Kwh Consumption'!I20+'Kwh Consumption'!J20)*' Kwh area wise $ '!B19</f>
        <v>25.199999999997544</v>
      </c>
      <c r="I19" s="1">
        <f>('Kwh Consumption'!K20+'Kwh Consumption'!L20)*' Kwh area wise $ '!B19</f>
        <v>234.00000000002217</v>
      </c>
      <c r="J19" s="1">
        <f>('Kwh Consumption'!M20+'Kwh Consumption'!N20+'Kwh Consumption'!O20+'Kwh Consumption'!P20+'Kwh Consumption'!Q20+'Kwh Consumption'!R20)*' Kwh area wise $ '!B19</f>
        <v>910.80000000001064</v>
      </c>
      <c r="K19" s="1">
        <f>('Kwh Consumption'!S20+'Kwh Consumption'!T20)*' Kwh area wise $ '!B19</f>
        <v>850.06440000001339</v>
      </c>
      <c r="L19" s="1">
        <f>'Kwh Consumption'!U20*' Kwh area wise $ '!B19</f>
        <v>19.800000000002456</v>
      </c>
      <c r="M19" s="1">
        <f>'Kwh Consumption'!V20*' Kwh area wise $ '!B19</f>
        <v>1164.135599999868</v>
      </c>
    </row>
    <row r="20" spans="1:13" x14ac:dyDescent="0.25">
      <c r="A20" s="14">
        <f>'Kwh Reading'!A21</f>
        <v>44518</v>
      </c>
      <c r="B20" s="11">
        <f>TOTAL!F19</f>
        <v>0.18</v>
      </c>
      <c r="C20" s="11">
        <f>'Kwh Consumption'!B21*' Kwh area wise $ '!B20</f>
        <v>3745.8000000001539</v>
      </c>
      <c r="D20" s="1">
        <f>'Kwh Consumption'!C21*' Kwh area wise $ '!B20</f>
        <v>91.799999999998363</v>
      </c>
      <c r="E20" s="1">
        <f>'Kwh Consumption'!D21*' Kwh area wise $ '!B20</f>
        <v>468.00000000002836</v>
      </c>
      <c r="F20" s="1">
        <f>'Kwh Consumption'!E21*' Kwh area wise $ '!B20</f>
        <v>48.599999999996726</v>
      </c>
      <c r="G20" s="1">
        <f>('Kwh Consumption'!F21+'Kwh Consumption'!G21+'Kwh Consumption'!H21)*' Kwh area wise $ '!B20</f>
        <v>185.39999999998486</v>
      </c>
      <c r="H20" s="16">
        <f>('Kwh Consumption'!I21+'Kwh Consumption'!J21)*' Kwh area wise $ '!B20</f>
        <v>25.20000000000266</v>
      </c>
      <c r="I20" s="1">
        <f>('Kwh Consumption'!K21+'Kwh Consumption'!L21)*' Kwh area wise $ '!B20</f>
        <v>224.99999999998019</v>
      </c>
      <c r="J20" s="1">
        <f>('Kwh Consumption'!M21+'Kwh Consumption'!N21+'Kwh Consumption'!O21+'Kwh Consumption'!P21+'Kwh Consumption'!Q21+'Kwh Consumption'!R21)*' Kwh area wise $ '!B20</f>
        <v>881.99999999997544</v>
      </c>
      <c r="K20" s="1">
        <f>('Kwh Consumption'!S21+'Kwh Consumption'!T21)*' Kwh area wise $ '!B20</f>
        <v>829.02779999982567</v>
      </c>
      <c r="L20" s="1">
        <f>'Kwh Consumption'!U21*' Kwh area wise $ '!B20</f>
        <v>23.399999999999181</v>
      </c>
      <c r="M20" s="1">
        <f>'Kwh Consumption'!V21*' Kwh area wise $ '!B20</f>
        <v>967.37220000036223</v>
      </c>
    </row>
    <row r="21" spans="1:13" x14ac:dyDescent="0.25">
      <c r="A21" s="14">
        <f>'Kwh Reading'!A22</f>
        <v>44519</v>
      </c>
      <c r="B21" s="11">
        <f>TOTAL!F20</f>
        <v>0.18</v>
      </c>
      <c r="C21" s="11">
        <f>'Kwh Consumption'!B22*' Kwh area wise $ '!B21</f>
        <v>4208.3999999999778</v>
      </c>
      <c r="D21" s="1">
        <f>'Kwh Consumption'!C22*' Kwh area wise $ '!B21</f>
        <v>54.000000000002046</v>
      </c>
      <c r="E21" s="1">
        <f>'Kwh Consumption'!D22*' Kwh area wise $ '!B21</f>
        <v>467.99999999994839</v>
      </c>
      <c r="F21" s="1">
        <f>'Kwh Consumption'!E22*' Kwh area wise $ '!B21</f>
        <v>52.200000000003683</v>
      </c>
      <c r="G21" s="1">
        <f>('Kwh Consumption'!F22+'Kwh Consumption'!G22+'Kwh Consumption'!H22)*' Kwh area wise $ '!B21</f>
        <v>196.20000000000573</v>
      </c>
      <c r="H21" s="16">
        <f>('Kwh Consumption'!I22+'Kwh Consumption'!J22)*' Kwh area wise $ '!B21</f>
        <v>23.399999999999181</v>
      </c>
      <c r="I21" s="1">
        <f>('Kwh Consumption'!K22+'Kwh Consumption'!L22)*' Kwh area wise $ '!B21</f>
        <v>225.00000000002012</v>
      </c>
      <c r="J21" s="1">
        <f>('Kwh Consumption'!M22+'Kwh Consumption'!N22+'Kwh Consumption'!O22+'Kwh Consumption'!P22+'Kwh Consumption'!Q22+'Kwh Consumption'!R22)*' Kwh area wise $ '!B21</f>
        <v>909.00000000001228</v>
      </c>
      <c r="K21" s="1">
        <f>('Kwh Consumption'!S22+'Kwh Consumption'!T22)*' Kwh area wise $ '!B21</f>
        <v>903.27059999998653</v>
      </c>
      <c r="L21" s="1">
        <f>'Kwh Consumption'!U22*' Kwh area wise $ '!B21</f>
        <v>19.79999999999734</v>
      </c>
      <c r="M21" s="1">
        <f>'Kwh Consumption'!V22*' Kwh area wise $ '!B21</f>
        <v>1357.5294000000029</v>
      </c>
    </row>
    <row r="22" spans="1:13" x14ac:dyDescent="0.25">
      <c r="A22" s="14">
        <f>'Kwh Reading'!A23</f>
        <v>44520</v>
      </c>
      <c r="B22" s="11">
        <f>TOTAL!F21</f>
        <v>0.18</v>
      </c>
      <c r="C22" s="11">
        <f>'Kwh Consumption'!B23*' Kwh area wise $ '!B22</f>
        <v>4082.3999999999292</v>
      </c>
      <c r="D22" s="1">
        <f>'Kwh Consumption'!C23*' Kwh area wise $ '!B22</f>
        <v>90</v>
      </c>
      <c r="E22" s="1">
        <f>'Kwh Consumption'!D23*' Kwh area wise $ '!B22</f>
        <v>468.00000000002836</v>
      </c>
      <c r="F22" s="1">
        <f>'Kwh Consumption'!E23*' Kwh area wise $ '!B22</f>
        <v>46.799999999998363</v>
      </c>
      <c r="G22" s="1">
        <f>('Kwh Consumption'!F23+'Kwh Consumption'!G23+'Kwh Consumption'!H23)*' Kwh area wise $ '!B22</f>
        <v>187.20000000000368</v>
      </c>
      <c r="H22" s="16">
        <f>('Kwh Consumption'!I23+'Kwh Consumption'!J23)*' Kwh area wise $ '!B22</f>
        <v>27.000000000001023</v>
      </c>
      <c r="I22" s="1">
        <f>('Kwh Consumption'!K23+'Kwh Consumption'!L23)*' Kwh area wise $ '!B22</f>
        <v>242.99999999997817</v>
      </c>
      <c r="J22" s="1">
        <f>('Kwh Consumption'!M23+'Kwh Consumption'!N23+'Kwh Consumption'!O23+'Kwh Consumption'!P23+'Kwh Consumption'!Q23+'Kwh Consumption'!R23)*' Kwh area wise $ '!B22</f>
        <v>939.60000000002537</v>
      </c>
      <c r="K22" s="1">
        <f>('Kwh Consumption'!S23+'Kwh Consumption'!T23)*' Kwh area wise $ '!B22</f>
        <v>899.1000000001676</v>
      </c>
      <c r="L22" s="1">
        <f>'Kwh Consumption'!U23*' Kwh area wise $ '!B22</f>
        <v>19.800000000002456</v>
      </c>
      <c r="M22" s="1">
        <f>'Kwh Consumption'!V23*' Kwh area wise $ '!B22</f>
        <v>1161.8999999997236</v>
      </c>
    </row>
    <row r="23" spans="1:13" x14ac:dyDescent="0.25">
      <c r="A23" s="14">
        <f>'Kwh Reading'!A24</f>
        <v>44521</v>
      </c>
      <c r="B23" s="11">
        <f>TOTAL!F22</f>
        <v>0.18</v>
      </c>
      <c r="C23" s="11">
        <f>'Kwh Consumption'!B24*' Kwh area wise $ '!B23</f>
        <v>3821.4000000003307</v>
      </c>
      <c r="D23" s="1">
        <f>'Kwh Consumption'!C24*' Kwh area wise $ '!B23</f>
        <v>86.400000000003274</v>
      </c>
      <c r="E23" s="1">
        <f>'Kwh Consumption'!D24*' Kwh area wise $ '!B23</f>
        <v>468.00000000002836</v>
      </c>
      <c r="F23" s="1">
        <f>'Kwh Consumption'!E24*' Kwh area wise $ '!B23</f>
        <v>32.400000000001228</v>
      </c>
      <c r="G23" s="1">
        <f>('Kwh Consumption'!F24+'Kwh Consumption'!G24+'Kwh Consumption'!H24)*' Kwh area wise $ '!B23</f>
        <v>192.59999999999877</v>
      </c>
      <c r="H23" s="16">
        <f>('Kwh Consumption'!I24+'Kwh Consumption'!J24)*' Kwh area wise $ '!B23</f>
        <v>23.399999999999181</v>
      </c>
      <c r="I23" s="1">
        <f>('Kwh Consumption'!K24+'Kwh Consumption'!L24)*' Kwh area wise $ '!B23</f>
        <v>221.4000000000234</v>
      </c>
      <c r="J23" s="1">
        <f>('Kwh Consumption'!M24+'Kwh Consumption'!N24+'Kwh Consumption'!O24+'Kwh Consumption'!P24+'Kwh Consumption'!Q24+'Kwh Consumption'!R24)*' Kwh area wise $ '!B23</f>
        <v>847.79999999996562</v>
      </c>
      <c r="K23" s="1">
        <f>('Kwh Consumption'!S24+'Kwh Consumption'!T24)*' Kwh area wise $ '!B23</f>
        <v>840.20580000009386</v>
      </c>
      <c r="L23" s="1">
        <f>'Kwh Consumption'!U24*' Kwh area wise $ '!B23</f>
        <v>21.600000000000819</v>
      </c>
      <c r="M23" s="1">
        <f>'Kwh Consumption'!V24*' Kwh area wise $ '!B23</f>
        <v>1087.5942000002158</v>
      </c>
    </row>
    <row r="24" spans="1:13" x14ac:dyDescent="0.25">
      <c r="A24" s="14">
        <f>'Kwh Reading'!A25</f>
        <v>44522</v>
      </c>
      <c r="B24" s="11">
        <f>TOTAL!F23</f>
        <v>0.18</v>
      </c>
      <c r="C24" s="11">
        <f>'Kwh Consumption'!B25*' Kwh area wise $ '!B24</f>
        <v>4226.3999999994703</v>
      </c>
      <c r="D24" s="1">
        <f>'Kwh Consumption'!C25*' Kwh area wise $ '!B24</f>
        <v>91.799999999998363</v>
      </c>
      <c r="E24" s="1">
        <f>'Kwh Consumption'!D25*' Kwh area wise $ '!B24</f>
        <v>467.99999999994839</v>
      </c>
      <c r="F24" s="1">
        <f>'Kwh Consumption'!E25*' Kwh area wise $ '!B24</f>
        <v>30.600000000002865</v>
      </c>
      <c r="G24" s="1">
        <f>('Kwh Consumption'!F25+'Kwh Consumption'!G25+'Kwh Consumption'!H25)*' Kwh area wise $ '!B24</f>
        <v>205.19999999999754</v>
      </c>
      <c r="H24" s="16">
        <f>('Kwh Consumption'!I25+'Kwh Consumption'!J25)*' Kwh area wise $ '!B24</f>
        <v>25.199999999997544</v>
      </c>
      <c r="I24" s="1">
        <f>('Kwh Consumption'!K25+'Kwh Consumption'!L25)*' Kwh area wise $ '!B24</f>
        <v>224.99999999998019</v>
      </c>
      <c r="J24" s="1">
        <f>('Kwh Consumption'!M25+'Kwh Consumption'!N25+'Kwh Consumption'!O25+'Kwh Consumption'!P25+'Kwh Consumption'!Q25+'Kwh Consumption'!R25)*' Kwh area wise $ '!B24</f>
        <v>921.60000000002128</v>
      </c>
      <c r="K24" s="1">
        <f>('Kwh Consumption'!S25+'Kwh Consumption'!T25)*' Kwh area wise $ '!B24</f>
        <v>974.68379999969147</v>
      </c>
      <c r="L24" s="1">
        <f>'Kwh Consumption'!U25*' Kwh area wise $ '!B24</f>
        <v>27.000000000001023</v>
      </c>
      <c r="M24" s="1">
        <f>'Kwh Consumption'!V25*' Kwh area wise $ '!B24</f>
        <v>1257.3161999998317</v>
      </c>
    </row>
    <row r="25" spans="1:13" x14ac:dyDescent="0.25">
      <c r="A25" s="14">
        <f>'Kwh Reading'!A26</f>
        <v>44523</v>
      </c>
      <c r="B25" s="11">
        <f>TOTAL!F24</f>
        <v>0.18</v>
      </c>
      <c r="C25" s="11">
        <f>'Kwh Consumption'!B26*' Kwh area wise $ '!B25</f>
        <v>4042.800000000293</v>
      </c>
      <c r="D25" s="1">
        <f>'Kwh Consumption'!C26*' Kwh area wise $ '!B25</f>
        <v>91.799999999998363</v>
      </c>
      <c r="E25" s="1">
        <f>'Kwh Consumption'!D26*' Kwh area wise $ '!B25</f>
        <v>468.00000000002836</v>
      </c>
      <c r="F25" s="1">
        <f>'Kwh Consumption'!E26*' Kwh area wise $ '!B25</f>
        <v>34.199999999999591</v>
      </c>
      <c r="G25" s="1">
        <f>('Kwh Consumption'!F26+'Kwh Consumption'!G26+'Kwh Consumption'!H26)*' Kwh area wise $ '!B25</f>
        <v>180.00000000001023</v>
      </c>
      <c r="H25" s="16">
        <f>('Kwh Consumption'!I26+'Kwh Consumption'!J26)*' Kwh area wise $ '!B25</f>
        <v>27.000000000001023</v>
      </c>
      <c r="I25" s="1">
        <f>('Kwh Consumption'!K26+'Kwh Consumption'!L26)*' Kwh area wise $ '!B25</f>
        <v>225.00000000002012</v>
      </c>
      <c r="J25" s="1">
        <f>('Kwh Consumption'!M26+'Kwh Consumption'!N26+'Kwh Consumption'!O26+'Kwh Consumption'!P26+'Kwh Consumption'!Q26+'Kwh Consumption'!R26)*' Kwh area wise $ '!B25</f>
        <v>926.99999999997544</v>
      </c>
      <c r="K25" s="1">
        <f>('Kwh Consumption'!S26+'Kwh Consumption'!T26)*' Kwh area wise $ '!B25</f>
        <v>916.72200000023463</v>
      </c>
      <c r="L25" s="1">
        <f>'Kwh Consumption'!U26*' Kwh area wise $ '!B25</f>
        <v>25.199999999997544</v>
      </c>
      <c r="M25" s="1">
        <f>'Kwh Consumption'!V26*' Kwh area wise $ '!B25</f>
        <v>1147.8780000000279</v>
      </c>
    </row>
    <row r="26" spans="1:13" x14ac:dyDescent="0.25">
      <c r="A26" s="14">
        <f>'Kwh Reading'!A27</f>
        <v>44524</v>
      </c>
      <c r="B26" s="11">
        <f>TOTAL!F25</f>
        <v>0.18</v>
      </c>
      <c r="C26" s="11">
        <f>'Kwh Consumption'!B27*' Kwh area wise $ '!B26</f>
        <v>3977.999999999819</v>
      </c>
      <c r="D26" s="1">
        <f>'Kwh Consumption'!C27*' Kwh area wise $ '!B26</f>
        <v>91.799999999998363</v>
      </c>
      <c r="E26" s="1">
        <f>'Kwh Consumption'!D27*' Kwh area wise $ '!B26</f>
        <v>468.00000000002836</v>
      </c>
      <c r="F26" s="1">
        <f>'Kwh Consumption'!E27*' Kwh area wise $ '!B26</f>
        <v>32.400000000001228</v>
      </c>
      <c r="G26" s="1">
        <f>('Kwh Consumption'!F27+'Kwh Consumption'!G27+'Kwh Consumption'!H27)*' Kwh area wise $ '!B26</f>
        <v>188.99999999999181</v>
      </c>
      <c r="H26" s="16">
        <f>('Kwh Consumption'!I27+'Kwh Consumption'!J27)*' Kwh area wise $ '!B26</f>
        <v>25.20000000000266</v>
      </c>
      <c r="I26" s="1">
        <f>('Kwh Consumption'!K27+'Kwh Consumption'!L27)*' Kwh area wise $ '!B26</f>
        <v>219.59999999997487</v>
      </c>
      <c r="J26" s="1">
        <f>('Kwh Consumption'!M27+'Kwh Consumption'!N27+'Kwh Consumption'!O27+'Kwh Consumption'!P27+'Kwh Consumption'!Q27+'Kwh Consumption'!R27)*' Kwh area wise $ '!B26</f>
        <v>844.20000000003029</v>
      </c>
      <c r="K26" s="1">
        <f>('Kwh Consumption'!S27+'Kwh Consumption'!T27)*' Kwh area wise $ '!B26</f>
        <v>960.89760000005356</v>
      </c>
      <c r="L26" s="1">
        <f>'Kwh Consumption'!U27*' Kwh area wise $ '!B26</f>
        <v>27.000000000001023</v>
      </c>
      <c r="M26" s="1">
        <f>'Kwh Consumption'!V27*' Kwh area wise $ '!B26</f>
        <v>1119.9023999997371</v>
      </c>
    </row>
    <row r="27" spans="1:13" x14ac:dyDescent="0.25">
      <c r="A27" s="14">
        <f>'Kwh Reading'!A28</f>
        <v>44525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-87933.599999999991</v>
      </c>
      <c r="E27" s="1">
        <f>'Kwh Consumption'!D28*' Kwh area wise $ '!B27</f>
        <v>-494064</v>
      </c>
      <c r="F27" s="1">
        <f>'Kwh Consumption'!E28*' Kwh area wise $ '!B27</f>
        <v>-47853</v>
      </c>
      <c r="G27" s="1">
        <f>('Kwh Consumption'!F28+'Kwh Consumption'!G28+'Kwh Consumption'!H28)*' Kwh area wise $ '!B27</f>
        <v>-181771.19999999998</v>
      </c>
      <c r="H27" s="16">
        <f>('Kwh Consumption'!I28+'Kwh Consumption'!J28)*' Kwh area wise $ '!B27</f>
        <v>-58215.6</v>
      </c>
      <c r="I27" s="1">
        <f>('Kwh Consumption'!K28+'Kwh Consumption'!L28)*' Kwh area wise $ '!B27</f>
        <v>-260170.19999999998</v>
      </c>
      <c r="J27" s="1">
        <f>('Kwh Consumption'!M28+'Kwh Consumption'!N28+'Kwh Consumption'!O28+'Kwh Consumption'!P28+'Kwh Consumption'!Q28+'Kwh Consumption'!R28)*' Kwh area wise $ '!B27</f>
        <v>-743140.79999999993</v>
      </c>
      <c r="K27" s="1">
        <f>('Kwh Consumption'!S28+'Kwh Consumption'!T28)*' Kwh area wise $ '!B27</f>
        <v>-2957195.8746000002</v>
      </c>
      <c r="L27" s="1">
        <f>'Kwh Consumption'!U28*' Kwh area wise $ '!B27</f>
        <v>-32742</v>
      </c>
      <c r="M27" s="1">
        <f>'Kwh Consumption'!V28*' Kwh area wise $ '!B27</f>
        <v>4863086.2745999992</v>
      </c>
    </row>
    <row r="28" spans="1:13" x14ac:dyDescent="0.25">
      <c r="A28" s="14">
        <f>'Kwh Reading'!A29</f>
        <v>44526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44527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44528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44529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44530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44531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95470.1999999994</v>
      </c>
      <c r="D34" s="72">
        <f t="shared" si="0"/>
        <v>-85897.799999999988</v>
      </c>
      <c r="E34" s="72">
        <f t="shared" si="0"/>
        <v>-482795.99999999994</v>
      </c>
      <c r="F34" s="72">
        <f t="shared" si="0"/>
        <v>-46783.8</v>
      </c>
      <c r="G34" s="72">
        <f t="shared" si="0"/>
        <v>-177337.8</v>
      </c>
      <c r="H34" s="72">
        <f t="shared" si="0"/>
        <v>-57432.599999999991</v>
      </c>
      <c r="I34" s="72">
        <f t="shared" si="0"/>
        <v>-254653.19999999998</v>
      </c>
      <c r="J34" s="72">
        <f t="shared" si="0"/>
        <v>-721682.99999999988</v>
      </c>
      <c r="K34" s="72">
        <f t="shared" si="0"/>
        <v>-2936399.7744000005</v>
      </c>
      <c r="L34" s="72">
        <f t="shared" si="0"/>
        <v>-32207.4</v>
      </c>
      <c r="M34" s="72">
        <f>SUM(M3:M33)</f>
        <v>4890661.5743999984</v>
      </c>
      <c r="N34" s="81">
        <f>D34+E34+F34+G34+H34+I34+J34+K34+L34+M34</f>
        <v>95470.199999997392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R28" sqref="R2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>
        <v>191018</v>
      </c>
      <c r="C9" s="32">
        <v>155451</v>
      </c>
      <c r="D9" s="104">
        <v>227976</v>
      </c>
      <c r="E9" s="104">
        <v>255318</v>
      </c>
      <c r="F9" s="104">
        <v>67017</v>
      </c>
      <c r="G9" s="104">
        <v>114035</v>
      </c>
      <c r="H9" s="104">
        <v>57842</v>
      </c>
      <c r="I9" s="104">
        <v>67818</v>
      </c>
      <c r="J9" s="104">
        <v>21603</v>
      </c>
      <c r="K9" s="104">
        <v>1024</v>
      </c>
      <c r="L9" s="104">
        <v>18143</v>
      </c>
      <c r="M9" s="104">
        <v>26013</v>
      </c>
      <c r="N9" s="104">
        <v>8044</v>
      </c>
      <c r="O9" s="104">
        <v>1809</v>
      </c>
      <c r="P9" s="104">
        <v>28521</v>
      </c>
      <c r="Q9" s="104">
        <v>1088</v>
      </c>
      <c r="R9" s="104">
        <v>6952</v>
      </c>
    </row>
    <row r="10" spans="1:21" x14ac:dyDescent="0.25">
      <c r="A10" s="52">
        <v>44508</v>
      </c>
      <c r="B10" s="32">
        <v>191150</v>
      </c>
      <c r="C10" s="54">
        <v>155510</v>
      </c>
      <c r="D10" s="104">
        <v>228106</v>
      </c>
      <c r="E10" s="104">
        <v>255386</v>
      </c>
      <c r="F10" s="104">
        <v>67018</v>
      </c>
      <c r="G10" s="104">
        <v>114085</v>
      </c>
      <c r="H10" s="104">
        <v>57881</v>
      </c>
      <c r="I10" s="104">
        <v>67872</v>
      </c>
      <c r="J10" s="104">
        <v>21609</v>
      </c>
      <c r="K10" s="104">
        <v>1024</v>
      </c>
      <c r="L10" s="104">
        <v>18145</v>
      </c>
      <c r="M10" s="104">
        <v>26019</v>
      </c>
      <c r="N10" s="104">
        <v>8078</v>
      </c>
      <c r="O10" s="104">
        <v>1811</v>
      </c>
      <c r="P10" s="104">
        <v>28545</v>
      </c>
      <c r="Q10" s="104">
        <v>1088</v>
      </c>
      <c r="R10" s="104">
        <v>6958</v>
      </c>
    </row>
    <row r="11" spans="1:21" x14ac:dyDescent="0.25">
      <c r="A11" s="52">
        <v>44509</v>
      </c>
      <c r="B11" s="54">
        <v>191296</v>
      </c>
      <c r="C11" s="32">
        <v>155623</v>
      </c>
      <c r="D11" s="104">
        <v>228262</v>
      </c>
      <c r="E11" s="104">
        <v>255446</v>
      </c>
      <c r="F11" s="104">
        <v>67019</v>
      </c>
      <c r="G11" s="104">
        <v>114085</v>
      </c>
      <c r="H11" s="104">
        <v>57945</v>
      </c>
      <c r="I11" s="104">
        <v>67909</v>
      </c>
      <c r="J11" s="104">
        <v>21615</v>
      </c>
      <c r="K11" s="104">
        <v>1024</v>
      </c>
      <c r="L11" s="104">
        <v>18146</v>
      </c>
      <c r="M11" s="104">
        <v>26023</v>
      </c>
      <c r="N11" s="104">
        <v>8078</v>
      </c>
      <c r="O11" s="104">
        <v>1813</v>
      </c>
      <c r="P11" s="104">
        <v>28559</v>
      </c>
      <c r="Q11" s="104">
        <v>1092</v>
      </c>
      <c r="R11" s="104">
        <v>6964</v>
      </c>
    </row>
    <row r="12" spans="1:21" x14ac:dyDescent="0.25">
      <c r="A12" s="52">
        <v>44510</v>
      </c>
      <c r="B12" s="32">
        <v>191420</v>
      </c>
      <c r="C12" s="54">
        <v>155711</v>
      </c>
      <c r="D12" s="104">
        <v>228391</v>
      </c>
      <c r="E12" s="104">
        <v>255507</v>
      </c>
      <c r="F12" s="104">
        <v>67019</v>
      </c>
      <c r="G12" s="104">
        <v>114108</v>
      </c>
      <c r="H12" s="104">
        <v>57993</v>
      </c>
      <c r="I12" s="104">
        <v>67946</v>
      </c>
      <c r="J12" s="104">
        <v>21622</v>
      </c>
      <c r="K12" s="104">
        <v>1024</v>
      </c>
      <c r="L12" s="104">
        <v>18148</v>
      </c>
      <c r="M12" s="104">
        <v>26027</v>
      </c>
      <c r="N12" s="104">
        <v>8078</v>
      </c>
      <c r="O12" s="104">
        <v>1814</v>
      </c>
      <c r="P12" s="104">
        <v>28569</v>
      </c>
      <c r="Q12" s="104">
        <v>1095</v>
      </c>
      <c r="R12" s="104">
        <v>6970</v>
      </c>
    </row>
    <row r="13" spans="1:21" x14ac:dyDescent="0.25">
      <c r="A13" s="52">
        <v>44511</v>
      </c>
      <c r="B13" s="54">
        <v>191566</v>
      </c>
      <c r="C13" s="32">
        <v>155801</v>
      </c>
      <c r="D13" s="104">
        <v>228581</v>
      </c>
      <c r="E13" s="104">
        <v>255547</v>
      </c>
      <c r="F13" s="104">
        <v>67020</v>
      </c>
      <c r="G13" s="104">
        <v>114131</v>
      </c>
      <c r="H13" s="104">
        <v>58042</v>
      </c>
      <c r="I13" s="104">
        <v>67996</v>
      </c>
      <c r="J13" s="104">
        <v>21628</v>
      </c>
      <c r="K13" s="104">
        <v>1024</v>
      </c>
      <c r="L13" s="104">
        <v>18150</v>
      </c>
      <c r="M13" s="104">
        <v>26034</v>
      </c>
      <c r="N13" s="104">
        <v>8078</v>
      </c>
      <c r="O13" s="104">
        <v>1816</v>
      </c>
      <c r="P13" s="104">
        <v>28593</v>
      </c>
      <c r="Q13" s="104">
        <v>1098</v>
      </c>
      <c r="R13" s="104">
        <v>6977</v>
      </c>
    </row>
    <row r="14" spans="1:21" x14ac:dyDescent="0.25">
      <c r="A14" s="52">
        <v>44512</v>
      </c>
      <c r="B14" s="32">
        <v>191715</v>
      </c>
      <c r="C14" s="32">
        <v>156195</v>
      </c>
      <c r="D14" s="104">
        <v>228722</v>
      </c>
      <c r="E14" s="104">
        <v>255640</v>
      </c>
      <c r="F14" s="104">
        <v>67021</v>
      </c>
      <c r="G14" s="104">
        <v>114156</v>
      </c>
      <c r="H14" s="104">
        <v>58091</v>
      </c>
      <c r="I14" s="104">
        <v>68030</v>
      </c>
      <c r="J14" s="104">
        <v>21635</v>
      </c>
      <c r="K14" s="104">
        <v>1024</v>
      </c>
      <c r="L14" s="104">
        <v>18152</v>
      </c>
      <c r="M14" s="104">
        <v>26040</v>
      </c>
      <c r="N14" s="104">
        <v>8083</v>
      </c>
      <c r="O14" s="104">
        <v>1817</v>
      </c>
      <c r="P14" s="104">
        <v>28605</v>
      </c>
      <c r="Q14" s="104">
        <v>1100</v>
      </c>
      <c r="R14" s="104">
        <v>6983</v>
      </c>
    </row>
    <row r="15" spans="1:21" x14ac:dyDescent="0.25">
      <c r="A15" s="52">
        <v>44513</v>
      </c>
      <c r="B15" s="32">
        <v>191849</v>
      </c>
      <c r="C15" s="32">
        <v>156259</v>
      </c>
      <c r="D15" s="104">
        <v>228861</v>
      </c>
      <c r="E15" s="104">
        <v>255709</v>
      </c>
      <c r="F15" s="104">
        <v>67021</v>
      </c>
      <c r="G15" s="104">
        <v>114177</v>
      </c>
      <c r="H15" s="104">
        <v>58147</v>
      </c>
      <c r="I15" s="104">
        <v>68055</v>
      </c>
      <c r="J15" s="104">
        <v>21641</v>
      </c>
      <c r="K15" s="104">
        <v>1024</v>
      </c>
      <c r="L15" s="104">
        <v>18154</v>
      </c>
      <c r="M15" s="104">
        <v>26044</v>
      </c>
      <c r="N15" s="104">
        <v>8086</v>
      </c>
      <c r="O15" s="104">
        <v>1820</v>
      </c>
      <c r="P15" s="104">
        <v>28605</v>
      </c>
      <c r="Q15" s="104">
        <v>1104</v>
      </c>
      <c r="R15" s="104">
        <v>6984</v>
      </c>
      <c r="T15" s="102"/>
      <c r="U15" s="102"/>
    </row>
    <row r="16" spans="1:21" x14ac:dyDescent="0.25">
      <c r="A16" s="52">
        <v>44514</v>
      </c>
      <c r="B16" s="32">
        <v>191989</v>
      </c>
      <c r="C16" s="54"/>
      <c r="D16" s="104">
        <v>229016</v>
      </c>
      <c r="E16" s="104">
        <v>255772</v>
      </c>
      <c r="F16" s="104">
        <v>67022</v>
      </c>
      <c r="G16" s="104">
        <v>114199</v>
      </c>
      <c r="H16" s="104">
        <v>58197</v>
      </c>
      <c r="I16" s="104">
        <v>68094</v>
      </c>
      <c r="J16" s="104">
        <v>21647</v>
      </c>
      <c r="K16" s="104">
        <v>1024</v>
      </c>
      <c r="L16" s="104">
        <v>18157</v>
      </c>
      <c r="M16" s="104">
        <v>26055</v>
      </c>
      <c r="N16" s="104">
        <v>8088</v>
      </c>
      <c r="O16" s="104">
        <v>1822</v>
      </c>
      <c r="P16" s="104">
        <v>28620</v>
      </c>
      <c r="Q16" s="104">
        <v>1107</v>
      </c>
      <c r="R16" s="104">
        <v>6992</v>
      </c>
    </row>
    <row r="17" spans="1:22" x14ac:dyDescent="0.25">
      <c r="A17" s="52">
        <v>44515</v>
      </c>
      <c r="B17" s="32">
        <v>192119</v>
      </c>
      <c r="C17" s="32"/>
      <c r="D17" s="104">
        <v>229144</v>
      </c>
      <c r="E17" s="104">
        <v>255837</v>
      </c>
      <c r="F17" s="104">
        <v>67022</v>
      </c>
      <c r="G17" s="104">
        <v>114223</v>
      </c>
      <c r="H17" s="104">
        <v>58245</v>
      </c>
      <c r="I17" s="104">
        <v>68131</v>
      </c>
      <c r="J17" s="104">
        <v>21654</v>
      </c>
      <c r="K17" s="104">
        <v>1024</v>
      </c>
      <c r="L17" s="104">
        <v>18160</v>
      </c>
      <c r="M17" s="104">
        <v>26064</v>
      </c>
      <c r="N17" s="104">
        <v>8088</v>
      </c>
      <c r="O17" s="104">
        <v>1824</v>
      </c>
      <c r="P17" s="104">
        <v>28629</v>
      </c>
      <c r="Q17" s="104">
        <v>1108</v>
      </c>
      <c r="R17" s="104">
        <v>7000</v>
      </c>
    </row>
    <row r="18" spans="1:22" x14ac:dyDescent="0.25">
      <c r="A18" s="52">
        <v>44516</v>
      </c>
      <c r="B18" s="32">
        <v>192245</v>
      </c>
      <c r="C18" s="54"/>
      <c r="D18" s="104">
        <v>229284</v>
      </c>
      <c r="E18" s="104">
        <v>255903</v>
      </c>
      <c r="F18" s="104">
        <v>67023</v>
      </c>
      <c r="G18" s="104">
        <v>114252</v>
      </c>
      <c r="H18" s="104">
        <v>58279</v>
      </c>
      <c r="I18" s="104">
        <v>68154</v>
      </c>
      <c r="J18" s="104">
        <v>21660</v>
      </c>
      <c r="K18" s="104">
        <v>1024</v>
      </c>
      <c r="L18" s="104">
        <v>18163</v>
      </c>
      <c r="M18" s="104">
        <v>26072</v>
      </c>
      <c r="N18" s="104">
        <v>8089</v>
      </c>
      <c r="O18" s="104">
        <v>1825</v>
      </c>
      <c r="P18" s="104">
        <v>28629</v>
      </c>
      <c r="Q18" s="104">
        <v>1108</v>
      </c>
      <c r="R18" s="104">
        <v>7007</v>
      </c>
      <c r="U18" s="102"/>
    </row>
    <row r="19" spans="1:22" x14ac:dyDescent="0.25">
      <c r="A19" s="52">
        <v>44517</v>
      </c>
      <c r="B19" s="32">
        <v>192364</v>
      </c>
      <c r="C19" s="32"/>
      <c r="D19" s="104">
        <v>229409</v>
      </c>
      <c r="E19" s="104">
        <v>255969</v>
      </c>
      <c r="F19" s="104">
        <v>67024</v>
      </c>
      <c r="G19" s="104">
        <v>114275</v>
      </c>
      <c r="H19" s="104">
        <v>58304</v>
      </c>
      <c r="I19" s="104">
        <v>68183</v>
      </c>
      <c r="J19" s="104">
        <v>21666</v>
      </c>
      <c r="K19" s="104">
        <v>1024</v>
      </c>
      <c r="L19" s="104">
        <v>18165</v>
      </c>
      <c r="M19" s="104">
        <v>26080</v>
      </c>
      <c r="N19" s="104">
        <v>8089</v>
      </c>
      <c r="O19" s="104">
        <v>1827</v>
      </c>
      <c r="P19" s="104">
        <v>28640</v>
      </c>
      <c r="Q19" s="104">
        <v>1108</v>
      </c>
      <c r="R19" s="104">
        <v>7013</v>
      </c>
    </row>
    <row r="20" spans="1:22" x14ac:dyDescent="0.25">
      <c r="A20" s="52">
        <v>44518</v>
      </c>
      <c r="B20" s="32">
        <v>192490</v>
      </c>
      <c r="C20" s="54"/>
      <c r="D20" s="105">
        <v>229553</v>
      </c>
      <c r="E20" s="104">
        <v>256033</v>
      </c>
      <c r="F20" s="104">
        <v>67025</v>
      </c>
      <c r="G20" s="104">
        <v>114302</v>
      </c>
      <c r="H20" s="104">
        <v>58320</v>
      </c>
      <c r="I20" s="104">
        <v>68211</v>
      </c>
      <c r="J20" s="104">
        <v>21672</v>
      </c>
      <c r="K20" s="104">
        <v>1224</v>
      </c>
      <c r="L20" s="104">
        <v>18169</v>
      </c>
      <c r="M20" s="104">
        <v>26087</v>
      </c>
      <c r="N20" s="104">
        <v>8089</v>
      </c>
      <c r="O20" s="104">
        <v>1830</v>
      </c>
      <c r="P20" s="104">
        <v>28647</v>
      </c>
      <c r="Q20" s="104">
        <v>1110</v>
      </c>
      <c r="R20" s="104">
        <v>7020</v>
      </c>
    </row>
    <row r="21" spans="1:22" x14ac:dyDescent="0.25">
      <c r="A21" s="52">
        <v>44519</v>
      </c>
      <c r="B21" s="32">
        <v>192620</v>
      </c>
      <c r="C21" s="32"/>
      <c r="D21" s="104">
        <v>229708</v>
      </c>
      <c r="E21" s="104">
        <v>256101</v>
      </c>
      <c r="F21" s="104">
        <v>67026</v>
      </c>
      <c r="G21" s="104">
        <v>114323</v>
      </c>
      <c r="H21" s="104">
        <v>58357</v>
      </c>
      <c r="I21" s="104">
        <v>68233</v>
      </c>
      <c r="J21" s="104">
        <v>21679</v>
      </c>
      <c r="K21" s="104">
        <v>1024</v>
      </c>
      <c r="L21" s="104">
        <v>18172</v>
      </c>
      <c r="M21" s="104">
        <v>26096</v>
      </c>
      <c r="N21" s="104">
        <v>8090</v>
      </c>
      <c r="O21" s="104">
        <v>1831</v>
      </c>
      <c r="P21" s="104">
        <v>28647</v>
      </c>
      <c r="Q21" s="104">
        <v>1111</v>
      </c>
      <c r="R21" s="104">
        <v>7024</v>
      </c>
    </row>
    <row r="22" spans="1:22" x14ac:dyDescent="0.25">
      <c r="A22" s="52">
        <v>44520</v>
      </c>
      <c r="B22" s="32">
        <v>192790</v>
      </c>
      <c r="C22" s="54"/>
      <c r="D22" s="104">
        <v>229951</v>
      </c>
      <c r="E22" s="104">
        <v>256164</v>
      </c>
      <c r="F22" s="104">
        <v>67027</v>
      </c>
      <c r="G22" s="104">
        <v>114348</v>
      </c>
      <c r="H22" s="104">
        <v>58395</v>
      </c>
      <c r="I22" s="104">
        <v>68254</v>
      </c>
      <c r="J22" s="104">
        <v>21685</v>
      </c>
      <c r="K22" s="104">
        <v>1024</v>
      </c>
      <c r="L22" s="104">
        <v>18174</v>
      </c>
      <c r="M22" s="104">
        <v>26104</v>
      </c>
      <c r="N22" s="104">
        <v>8091</v>
      </c>
      <c r="O22" s="104">
        <v>1834</v>
      </c>
      <c r="P22" s="104">
        <v>28647</v>
      </c>
      <c r="Q22" s="104">
        <v>1121</v>
      </c>
      <c r="R22" s="104">
        <v>7026</v>
      </c>
    </row>
    <row r="23" spans="1:22" x14ac:dyDescent="0.25">
      <c r="A23" s="52">
        <v>44521</v>
      </c>
      <c r="B23" s="32">
        <v>192953</v>
      </c>
      <c r="C23" s="32"/>
      <c r="D23" s="104">
        <v>230162</v>
      </c>
      <c r="E23" s="104">
        <v>256230</v>
      </c>
      <c r="F23" s="104">
        <v>67027</v>
      </c>
      <c r="G23" s="104">
        <v>114372</v>
      </c>
      <c r="H23" s="104">
        <v>58415</v>
      </c>
      <c r="I23" s="104">
        <v>68283</v>
      </c>
      <c r="J23" s="104">
        <v>21691</v>
      </c>
      <c r="K23" s="104">
        <v>1024</v>
      </c>
      <c r="L23" s="104">
        <v>18178</v>
      </c>
      <c r="M23" s="104">
        <v>26112</v>
      </c>
      <c r="N23" s="104">
        <v>8092</v>
      </c>
      <c r="O23" s="104">
        <v>1835</v>
      </c>
      <c r="P23" s="104">
        <v>28656</v>
      </c>
      <c r="Q23" s="104">
        <v>1123</v>
      </c>
      <c r="R23" s="104">
        <v>7032</v>
      </c>
      <c r="S23" s="10" t="s">
        <v>127</v>
      </c>
    </row>
    <row r="24" spans="1:22" x14ac:dyDescent="0.25">
      <c r="A24" s="52">
        <v>44522</v>
      </c>
      <c r="B24" s="32">
        <v>193087</v>
      </c>
      <c r="C24" s="54"/>
      <c r="D24" s="104">
        <v>230318</v>
      </c>
      <c r="E24" s="104">
        <v>256290</v>
      </c>
      <c r="F24" s="104">
        <v>67028</v>
      </c>
      <c r="G24" s="104">
        <v>114396</v>
      </c>
      <c r="H24" s="104">
        <v>58461</v>
      </c>
      <c r="I24" s="104">
        <v>68320</v>
      </c>
      <c r="J24" s="104">
        <v>21697</v>
      </c>
      <c r="K24" s="104">
        <v>1024</v>
      </c>
      <c r="L24" s="104">
        <v>18182</v>
      </c>
      <c r="M24" s="104">
        <v>26119</v>
      </c>
      <c r="N24" s="104">
        <v>8093</v>
      </c>
      <c r="O24" s="104">
        <v>1835</v>
      </c>
      <c r="P24" s="104">
        <v>28669</v>
      </c>
      <c r="Q24" s="104">
        <v>1123</v>
      </c>
      <c r="R24" s="104">
        <v>7037</v>
      </c>
    </row>
    <row r="25" spans="1:22" x14ac:dyDescent="0.25">
      <c r="A25" s="52">
        <v>44523</v>
      </c>
      <c r="B25" s="32">
        <v>193226</v>
      </c>
      <c r="C25" s="32"/>
      <c r="D25" s="104">
        <v>230446</v>
      </c>
      <c r="E25" s="104">
        <v>256359</v>
      </c>
      <c r="F25" s="104">
        <v>67029</v>
      </c>
      <c r="G25" s="104">
        <v>114424</v>
      </c>
      <c r="H25" s="104">
        <v>58511</v>
      </c>
      <c r="I25" s="104">
        <v>68340</v>
      </c>
      <c r="J25" s="104">
        <v>21703</v>
      </c>
      <c r="K25" s="104">
        <v>1024</v>
      </c>
      <c r="L25" s="104">
        <v>18185</v>
      </c>
      <c r="M25" s="104">
        <v>26127</v>
      </c>
      <c r="N25" s="104">
        <v>8097</v>
      </c>
      <c r="O25" s="104">
        <v>1836</v>
      </c>
      <c r="P25" s="104">
        <v>28669</v>
      </c>
      <c r="Q25" s="104">
        <v>1123</v>
      </c>
      <c r="R25" s="104">
        <v>7043</v>
      </c>
    </row>
    <row r="26" spans="1:22" x14ac:dyDescent="0.25">
      <c r="A26" s="52">
        <v>44524</v>
      </c>
      <c r="B26" s="32">
        <v>193375</v>
      </c>
      <c r="C26" s="54"/>
      <c r="D26" s="104">
        <v>230594</v>
      </c>
      <c r="E26" s="104">
        <v>256423</v>
      </c>
      <c r="F26" s="104">
        <v>67030</v>
      </c>
      <c r="G26" s="104">
        <v>114446</v>
      </c>
      <c r="H26" s="104">
        <v>58575</v>
      </c>
      <c r="I26" s="104">
        <v>68376</v>
      </c>
      <c r="J26" s="104">
        <v>21710</v>
      </c>
      <c r="K26" s="104">
        <v>1024</v>
      </c>
      <c r="L26" s="104">
        <v>18188</v>
      </c>
      <c r="M26" s="104">
        <v>26136</v>
      </c>
      <c r="N26" s="104">
        <v>8100</v>
      </c>
      <c r="O26" s="104">
        <v>1838</v>
      </c>
      <c r="P26" s="104">
        <v>28682</v>
      </c>
      <c r="Q26" s="104">
        <v>1128</v>
      </c>
      <c r="R26" s="104">
        <v>7048</v>
      </c>
    </row>
    <row r="27" spans="1:22" x14ac:dyDescent="0.25">
      <c r="A27" s="52">
        <v>44525</v>
      </c>
      <c r="B27" s="32">
        <v>193577</v>
      </c>
      <c r="C27" s="32"/>
      <c r="D27" s="104">
        <v>230846</v>
      </c>
      <c r="E27" s="104">
        <v>256488</v>
      </c>
      <c r="F27" s="104">
        <v>67031</v>
      </c>
      <c r="G27" s="104">
        <v>114470</v>
      </c>
      <c r="H27" s="104">
        <v>58691</v>
      </c>
      <c r="I27" s="104">
        <v>68398</v>
      </c>
      <c r="J27" s="104">
        <v>21715</v>
      </c>
      <c r="K27" s="104">
        <v>1024</v>
      </c>
      <c r="L27" s="104">
        <v>18191</v>
      </c>
      <c r="M27" s="104">
        <v>26143</v>
      </c>
      <c r="N27" s="104">
        <v>8101</v>
      </c>
      <c r="O27" s="104">
        <v>1840</v>
      </c>
      <c r="P27" s="104">
        <v>28682</v>
      </c>
      <c r="Q27" s="104">
        <v>1131</v>
      </c>
      <c r="R27" s="104">
        <v>7054</v>
      </c>
    </row>
    <row r="28" spans="1:22" x14ac:dyDescent="0.25">
      <c r="A28" s="52">
        <v>44526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44527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44528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44529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44530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44531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M10" sqref="M1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4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4" si="2">C5/B5</f>
        <v>0.61754385964912284</v>
      </c>
      <c r="E5" s="84">
        <f>'Water Reading'!H5-'Water Reading'!H4</f>
        <v>46</v>
      </c>
      <c r="F5" s="85">
        <f t="shared" ref="F5:F34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4" si="4">G5/C5</f>
        <v>0.63068181818181823</v>
      </c>
      <c r="I5" s="86">
        <f>'Water Reading'!P5-'Water Reading'!P4</f>
        <v>2</v>
      </c>
      <c r="J5" s="66">
        <f t="shared" ref="J5:J34" si="5">I5/C5</f>
        <v>1.1363636363636364E-2</v>
      </c>
      <c r="K5" s="87">
        <f>('Water Reading'!I5-'Water Reading'!I4)-('Water Reading'!P5-'Water Reading'!P4)</f>
        <v>21</v>
      </c>
      <c r="L5" s="66">
        <f t="shared" ref="L5:L34" si="6">K5/C5</f>
        <v>0.11931818181818182</v>
      </c>
      <c r="M5" s="86">
        <f>'Water Reading'!R5-'Water Reading'!R4</f>
        <v>7</v>
      </c>
      <c r="N5" s="88">
        <f t="shared" ref="N5:N34" si="7">M5/C5</f>
        <v>3.9772727272727272E-2</v>
      </c>
      <c r="O5" s="86">
        <f>'Water Reading'!Q5-'Water Reading'!Q4</f>
        <v>0</v>
      </c>
      <c r="P5" s="93">
        <f t="shared" ref="P5:P34" si="8">O5/C5</f>
        <v>0</v>
      </c>
      <c r="Q5" s="87">
        <f>'Water Reading'!N5-'Water Reading'!N4</f>
        <v>1</v>
      </c>
      <c r="R5" s="94">
        <f t="shared" ref="R5:R34" si="9">Q5/C5</f>
        <v>5.681818181818182E-3</v>
      </c>
      <c r="S5" s="86">
        <f>'Water Reading'!M5-'Water Reading'!M4</f>
        <v>11</v>
      </c>
      <c r="T5" s="94">
        <f t="shared" ref="T5:T34" si="10">S5/C5</f>
        <v>6.25E-2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308</v>
      </c>
      <c r="C9" s="64">
        <f>('Water Reading'!B9-'Water Reading'!B8)+('Water Reading'!C9-'Water Reading'!C8)</f>
        <v>221</v>
      </c>
      <c r="D9" s="65">
        <f t="shared" si="2"/>
        <v>0.71753246753246758</v>
      </c>
      <c r="E9" s="84">
        <f>'Water Reading'!H9-'Water Reading'!H8</f>
        <v>41</v>
      </c>
      <c r="F9" s="85">
        <f t="shared" si="3"/>
        <v>0.18552036199095023</v>
      </c>
      <c r="G9" s="89">
        <f>('Water Reading'!D9-'Water Reading'!D8)-('Water Reading'!R9-'Water Reading'!R8)-('Water Reading'!Q9-'Water Reading'!Q8)</f>
        <v>117</v>
      </c>
      <c r="H9" s="85">
        <f t="shared" si="4"/>
        <v>0.52941176470588236</v>
      </c>
      <c r="I9" s="86">
        <f>'Water Reading'!P9-'Water Reading'!P8</f>
        <v>7</v>
      </c>
      <c r="J9" s="66">
        <f t="shared" si="5"/>
        <v>3.1674208144796379E-2</v>
      </c>
      <c r="K9" s="87">
        <f>('Water Reading'!I9-'Water Reading'!I8)-('Water Reading'!P9-'Water Reading'!P8)</f>
        <v>26</v>
      </c>
      <c r="L9" s="66">
        <f t="shared" si="6"/>
        <v>0.11764705882352941</v>
      </c>
      <c r="M9" s="86">
        <f>'Water Reading'!R9-'Water Reading'!R8</f>
        <v>6</v>
      </c>
      <c r="N9" s="88">
        <f t="shared" si="7"/>
        <v>2.7149321266968326E-2</v>
      </c>
      <c r="O9" s="86">
        <f>'Water Reading'!Q9-'Water Reading'!Q8</f>
        <v>0</v>
      </c>
      <c r="P9" s="93">
        <f t="shared" si="8"/>
        <v>0</v>
      </c>
      <c r="Q9" s="87">
        <f>'Water Reading'!N9-'Water Reading'!N8</f>
        <v>10</v>
      </c>
      <c r="R9" s="94">
        <f t="shared" si="9"/>
        <v>4.5248868778280542E-2</v>
      </c>
      <c r="S9" s="86">
        <f>'Water Reading'!M9-'Water Reading'!M8</f>
        <v>7</v>
      </c>
      <c r="T9" s="94">
        <f t="shared" si="10"/>
        <v>3.1674208144796379E-2</v>
      </c>
      <c r="U9" s="86">
        <f>'Water Reading'!O9-'Water Reading'!O8</f>
        <v>3</v>
      </c>
      <c r="V9" s="94">
        <f t="shared" si="11"/>
        <v>1.3574660633484163E-2</v>
      </c>
      <c r="W9" s="86">
        <f>'Water Reading'!R9-'Water Reading'!R8</f>
        <v>6</v>
      </c>
      <c r="X9" s="94">
        <f t="shared" si="12"/>
        <v>2.7149321266968326E-2</v>
      </c>
      <c r="Y9" s="64">
        <f t="shared" si="0"/>
        <v>223</v>
      </c>
      <c r="Z9" s="65">
        <f t="shared" si="1"/>
        <v>0.72402597402597402</v>
      </c>
    </row>
    <row r="10" spans="1:26" x14ac:dyDescent="0.25">
      <c r="A10" s="8">
        <f>'Water Reading'!A9</f>
        <v>44507</v>
      </c>
      <c r="B10" s="63">
        <f>TOTAL!I8</f>
        <v>267</v>
      </c>
      <c r="C10" s="64">
        <f>('Water Reading'!B10-'Water Reading'!B9)+('Water Reading'!C10-'Water Reading'!C9)</f>
        <v>191</v>
      </c>
      <c r="D10" s="65">
        <f t="shared" si="2"/>
        <v>0.71535580524344566</v>
      </c>
      <c r="E10" s="84">
        <f>'Water Reading'!H10-'Water Reading'!H9</f>
        <v>39</v>
      </c>
      <c r="F10" s="85">
        <f t="shared" si="3"/>
        <v>0.20418848167539266</v>
      </c>
      <c r="G10" s="89">
        <f>('Water Reading'!D10-'Water Reading'!D9)-('Water Reading'!R10-'Water Reading'!R9)-('Water Reading'!Q10-'Water Reading'!Q9)</f>
        <v>124</v>
      </c>
      <c r="H10" s="85">
        <f t="shared" si="4"/>
        <v>0.64921465968586389</v>
      </c>
      <c r="I10" s="86">
        <f>'Water Reading'!P10-'Water Reading'!P9</f>
        <v>24</v>
      </c>
      <c r="J10" s="66">
        <f t="shared" si="5"/>
        <v>0.1256544502617801</v>
      </c>
      <c r="K10" s="87">
        <f>('Water Reading'!I10-'Water Reading'!I9)-('Water Reading'!P10-'Water Reading'!P9)</f>
        <v>30</v>
      </c>
      <c r="L10" s="66">
        <f t="shared" si="6"/>
        <v>0.15706806282722513</v>
      </c>
      <c r="M10" s="86">
        <f>'Water Reading'!R10-'Water Reading'!R9</f>
        <v>6</v>
      </c>
      <c r="N10" s="88">
        <f t="shared" si="7"/>
        <v>3.1413612565445025E-2</v>
      </c>
      <c r="O10" s="86">
        <f>'Water Reading'!Q10-'Water Reading'!Q9</f>
        <v>0</v>
      </c>
      <c r="P10" s="93">
        <f t="shared" si="8"/>
        <v>0</v>
      </c>
      <c r="Q10" s="87">
        <f>'Water Reading'!N10-'Water Reading'!N9</f>
        <v>34</v>
      </c>
      <c r="R10" s="94">
        <f t="shared" si="9"/>
        <v>0.17801047120418848</v>
      </c>
      <c r="S10" s="86">
        <f>'Water Reading'!M10-'Water Reading'!M9</f>
        <v>6</v>
      </c>
      <c r="T10" s="94">
        <f t="shared" si="10"/>
        <v>3.1413612565445025E-2</v>
      </c>
      <c r="U10" s="86">
        <f>'Water Reading'!O10-'Water Reading'!O9</f>
        <v>2</v>
      </c>
      <c r="V10" s="94">
        <f t="shared" si="11"/>
        <v>1.0471204188481676E-2</v>
      </c>
      <c r="W10" s="86">
        <f>'Water Reading'!R10-'Water Reading'!R9</f>
        <v>6</v>
      </c>
      <c r="X10" s="94">
        <f t="shared" si="12"/>
        <v>3.1413612565445025E-2</v>
      </c>
      <c r="Y10" s="64">
        <f t="shared" si="0"/>
        <v>271</v>
      </c>
      <c r="Z10" s="65">
        <f t="shared" si="1"/>
        <v>1.0149812734082397</v>
      </c>
    </row>
    <row r="11" spans="1:26" x14ac:dyDescent="0.25">
      <c r="A11" s="8">
        <f>'Water Reading'!A10</f>
        <v>44508</v>
      </c>
      <c r="B11" s="63">
        <f>TOTAL!I9</f>
        <v>324</v>
      </c>
      <c r="C11" s="64">
        <f>('Water Reading'!B11-'Water Reading'!B10)+('Water Reading'!C11-'Water Reading'!C10)</f>
        <v>259</v>
      </c>
      <c r="D11" s="65">
        <f t="shared" si="2"/>
        <v>0.79938271604938271</v>
      </c>
      <c r="E11" s="84">
        <f>'Water Reading'!H11-'Water Reading'!H10</f>
        <v>64</v>
      </c>
      <c r="F11" s="85">
        <f t="shared" si="3"/>
        <v>0.24710424710424711</v>
      </c>
      <c r="G11" s="89">
        <f>('Water Reading'!D11-'Water Reading'!D10)-('Water Reading'!R11-'Water Reading'!R10)-('Water Reading'!Q11-'Water Reading'!Q10)</f>
        <v>146</v>
      </c>
      <c r="H11" s="85">
        <f t="shared" si="4"/>
        <v>0.56370656370656369</v>
      </c>
      <c r="I11" s="86">
        <f>'Water Reading'!P11-'Water Reading'!P10</f>
        <v>14</v>
      </c>
      <c r="J11" s="66">
        <f t="shared" si="5"/>
        <v>5.4054054054054057E-2</v>
      </c>
      <c r="K11" s="87">
        <f>('Water Reading'!I11-'Water Reading'!I10)-('Water Reading'!P11-'Water Reading'!P10)</f>
        <v>23</v>
      </c>
      <c r="L11" s="66">
        <f t="shared" si="6"/>
        <v>8.8803088803088806E-2</v>
      </c>
      <c r="M11" s="86">
        <f>'Water Reading'!R11-'Water Reading'!R10</f>
        <v>6</v>
      </c>
      <c r="N11" s="88">
        <f t="shared" si="7"/>
        <v>2.3166023166023165E-2</v>
      </c>
      <c r="O11" s="86">
        <f>'Water Reading'!Q11-'Water Reading'!Q10</f>
        <v>4</v>
      </c>
      <c r="P11" s="93">
        <f t="shared" si="8"/>
        <v>1.5444015444015444E-2</v>
      </c>
      <c r="Q11" s="87">
        <f>'Water Reading'!N11-'Water Reading'!N10</f>
        <v>0</v>
      </c>
      <c r="R11" s="94">
        <f t="shared" si="9"/>
        <v>0</v>
      </c>
      <c r="S11" s="86">
        <f>'Water Reading'!M11-'Water Reading'!M10</f>
        <v>4</v>
      </c>
      <c r="T11" s="94">
        <f t="shared" si="10"/>
        <v>1.5444015444015444E-2</v>
      </c>
      <c r="U11" s="86">
        <f>'Water Reading'!O11-'Water Reading'!O10</f>
        <v>2</v>
      </c>
      <c r="V11" s="94">
        <f t="shared" si="11"/>
        <v>7.7220077220077222E-3</v>
      </c>
      <c r="W11" s="86">
        <f>'Water Reading'!R11-'Water Reading'!R10</f>
        <v>6</v>
      </c>
      <c r="X11" s="94">
        <f t="shared" si="12"/>
        <v>2.3166023166023165E-2</v>
      </c>
      <c r="Y11" s="64">
        <f t="shared" si="0"/>
        <v>269</v>
      </c>
      <c r="Z11" s="65">
        <f t="shared" si="1"/>
        <v>0.83024691358024694</v>
      </c>
    </row>
    <row r="12" spans="1:26" x14ac:dyDescent="0.25">
      <c r="A12" s="8">
        <f>'Water Reading'!A11</f>
        <v>44509</v>
      </c>
      <c r="B12" s="63">
        <f>TOTAL!I10</f>
        <v>290</v>
      </c>
      <c r="C12" s="64">
        <f>('Water Reading'!B12-'Water Reading'!B11)+('Water Reading'!C12-'Water Reading'!C11)</f>
        <v>212</v>
      </c>
      <c r="D12" s="65">
        <f t="shared" si="2"/>
        <v>0.73103448275862071</v>
      </c>
      <c r="E12" s="84">
        <f>'Water Reading'!H12-'Water Reading'!H11</f>
        <v>48</v>
      </c>
      <c r="F12" s="85">
        <f t="shared" si="3"/>
        <v>0.22641509433962265</v>
      </c>
      <c r="G12" s="89">
        <f>('Water Reading'!D12-'Water Reading'!D11)-('Water Reading'!R12-'Water Reading'!R11)-('Water Reading'!Q12-'Water Reading'!Q11)</f>
        <v>120</v>
      </c>
      <c r="H12" s="85">
        <f t="shared" si="4"/>
        <v>0.56603773584905659</v>
      </c>
      <c r="I12" s="86">
        <f>'Water Reading'!P12-'Water Reading'!P11</f>
        <v>10</v>
      </c>
      <c r="J12" s="66">
        <f t="shared" si="5"/>
        <v>4.716981132075472E-2</v>
      </c>
      <c r="K12" s="87">
        <f>('Water Reading'!I12-'Water Reading'!I11)-('Water Reading'!P12-'Water Reading'!P11)</f>
        <v>27</v>
      </c>
      <c r="L12" s="66">
        <f t="shared" si="6"/>
        <v>0.12735849056603774</v>
      </c>
      <c r="M12" s="86">
        <f>'Water Reading'!R12-'Water Reading'!R11</f>
        <v>6</v>
      </c>
      <c r="N12" s="88">
        <f t="shared" si="7"/>
        <v>2.8301886792452831E-2</v>
      </c>
      <c r="O12" s="86">
        <f>'Water Reading'!Q12-'Water Reading'!Q11</f>
        <v>3</v>
      </c>
      <c r="P12" s="93">
        <f t="shared" si="8"/>
        <v>1.4150943396226415E-2</v>
      </c>
      <c r="Q12" s="87">
        <f>'Water Reading'!N12-'Water Reading'!N11</f>
        <v>0</v>
      </c>
      <c r="R12" s="94">
        <f t="shared" si="9"/>
        <v>0</v>
      </c>
      <c r="S12" s="86">
        <f>'Water Reading'!M12-'Water Reading'!M11</f>
        <v>4</v>
      </c>
      <c r="T12" s="94">
        <f t="shared" si="10"/>
        <v>1.8867924528301886E-2</v>
      </c>
      <c r="U12" s="86">
        <f>'Water Reading'!O12-'Water Reading'!O11</f>
        <v>1</v>
      </c>
      <c r="V12" s="94">
        <f t="shared" si="11"/>
        <v>4.7169811320754715E-3</v>
      </c>
      <c r="W12" s="86">
        <f>'Water Reading'!R12-'Water Reading'!R11</f>
        <v>6</v>
      </c>
      <c r="X12" s="94">
        <f t="shared" si="12"/>
        <v>2.8301886792452831E-2</v>
      </c>
      <c r="Y12" s="64">
        <f t="shared" si="0"/>
        <v>225</v>
      </c>
      <c r="Z12" s="65">
        <f t="shared" si="1"/>
        <v>0.77586206896551724</v>
      </c>
    </row>
    <row r="13" spans="1:26" x14ac:dyDescent="0.25">
      <c r="A13" s="8">
        <f>'Water Reading'!A12</f>
        <v>44510</v>
      </c>
      <c r="B13" s="63">
        <f>TOTAL!I11</f>
        <v>307</v>
      </c>
      <c r="C13" s="64">
        <f>('Water Reading'!B13-'Water Reading'!B12)+('Water Reading'!C13-'Water Reading'!C12)</f>
        <v>236</v>
      </c>
      <c r="D13" s="65">
        <f t="shared" si="2"/>
        <v>0.76872964169381108</v>
      </c>
      <c r="E13" s="84">
        <f>'Water Reading'!H13-'Water Reading'!H12</f>
        <v>49</v>
      </c>
      <c r="F13" s="85">
        <f t="shared" si="3"/>
        <v>0.2076271186440678</v>
      </c>
      <c r="G13" s="89">
        <f>('Water Reading'!D13-'Water Reading'!D12)-('Water Reading'!R13-'Water Reading'!R12)-('Water Reading'!Q13-'Water Reading'!Q12)</f>
        <v>180</v>
      </c>
      <c r="H13" s="85">
        <f t="shared" si="4"/>
        <v>0.76271186440677963</v>
      </c>
      <c r="I13" s="86">
        <f>'Water Reading'!P13-'Water Reading'!P12</f>
        <v>24</v>
      </c>
      <c r="J13" s="66">
        <f t="shared" si="5"/>
        <v>0.10169491525423729</v>
      </c>
      <c r="K13" s="87">
        <f>('Water Reading'!I13-'Water Reading'!I12)-('Water Reading'!P13-'Water Reading'!P12)</f>
        <v>26</v>
      </c>
      <c r="L13" s="66">
        <f t="shared" si="6"/>
        <v>0.11016949152542373</v>
      </c>
      <c r="M13" s="86">
        <f>'Water Reading'!R13-'Water Reading'!R12</f>
        <v>7</v>
      </c>
      <c r="N13" s="88">
        <f t="shared" si="7"/>
        <v>2.9661016949152543E-2</v>
      </c>
      <c r="O13" s="86">
        <f>'Water Reading'!Q13-'Water Reading'!Q12</f>
        <v>3</v>
      </c>
      <c r="P13" s="93">
        <f t="shared" si="8"/>
        <v>1.2711864406779662E-2</v>
      </c>
      <c r="Q13" s="87">
        <f>'Water Reading'!N13-'Water Reading'!N12</f>
        <v>0</v>
      </c>
      <c r="R13" s="94">
        <f t="shared" si="9"/>
        <v>0</v>
      </c>
      <c r="S13" s="86">
        <f>'Water Reading'!M13-'Water Reading'!M12</f>
        <v>7</v>
      </c>
      <c r="T13" s="94">
        <f t="shared" si="10"/>
        <v>2.9661016949152543E-2</v>
      </c>
      <c r="U13" s="86">
        <f>'Water Reading'!O13-'Water Reading'!O12</f>
        <v>2</v>
      </c>
      <c r="V13" s="94">
        <f t="shared" si="11"/>
        <v>8.4745762711864406E-3</v>
      </c>
      <c r="W13" s="86">
        <f>'Water Reading'!R13-'Water Reading'!R12</f>
        <v>7</v>
      </c>
      <c r="X13" s="94">
        <f t="shared" si="12"/>
        <v>2.9661016949152543E-2</v>
      </c>
      <c r="Y13" s="64">
        <f t="shared" si="0"/>
        <v>305</v>
      </c>
      <c r="Z13" s="65">
        <f t="shared" si="1"/>
        <v>0.99348534201954397</v>
      </c>
    </row>
    <row r="14" spans="1:26" x14ac:dyDescent="0.25">
      <c r="A14" s="8">
        <f>'Water Reading'!A13</f>
        <v>44511</v>
      </c>
      <c r="B14" s="63">
        <f>TOTAL!I12</f>
        <v>328</v>
      </c>
      <c r="C14" s="64">
        <f>('Water Reading'!B14-'Water Reading'!B13)+('Water Reading'!C14-'Water Reading'!C13)</f>
        <v>543</v>
      </c>
      <c r="D14" s="65">
        <f t="shared" si="2"/>
        <v>1.6554878048780488</v>
      </c>
      <c r="E14" s="84">
        <f>'Water Reading'!H14-'Water Reading'!H13</f>
        <v>49</v>
      </c>
      <c r="F14" s="85">
        <f t="shared" si="3"/>
        <v>9.0239410681399637E-2</v>
      </c>
      <c r="G14" s="89">
        <f>('Water Reading'!D14-'Water Reading'!D13)-('Water Reading'!R14-'Water Reading'!R13)-('Water Reading'!Q14-'Water Reading'!Q13)</f>
        <v>133</v>
      </c>
      <c r="H14" s="85">
        <f t="shared" si="4"/>
        <v>0.24493554327808473</v>
      </c>
      <c r="I14" s="86">
        <f>'Water Reading'!P14-'Water Reading'!P13</f>
        <v>12</v>
      </c>
      <c r="J14" s="66">
        <f t="shared" si="5"/>
        <v>2.2099447513812154E-2</v>
      </c>
      <c r="K14" s="87">
        <f>('Water Reading'!I14-'Water Reading'!I13)-('Water Reading'!P14-'Water Reading'!P13)</f>
        <v>22</v>
      </c>
      <c r="L14" s="66">
        <f t="shared" si="6"/>
        <v>4.0515653775322284E-2</v>
      </c>
      <c r="M14" s="86">
        <f>'Water Reading'!R14-'Water Reading'!R13</f>
        <v>6</v>
      </c>
      <c r="N14" s="88">
        <f t="shared" si="7"/>
        <v>1.1049723756906077E-2</v>
      </c>
      <c r="O14" s="86">
        <f>'Water Reading'!Q14-'Water Reading'!Q13</f>
        <v>2</v>
      </c>
      <c r="P14" s="93">
        <f t="shared" si="8"/>
        <v>3.6832412523020259E-3</v>
      </c>
      <c r="Q14" s="87">
        <f>'Water Reading'!N14-'Water Reading'!N13</f>
        <v>5</v>
      </c>
      <c r="R14" s="94">
        <f t="shared" si="9"/>
        <v>9.2081031307550652E-3</v>
      </c>
      <c r="S14" s="86">
        <f>'Water Reading'!M14-'Water Reading'!M13</f>
        <v>6</v>
      </c>
      <c r="T14" s="94">
        <f t="shared" si="10"/>
        <v>1.1049723756906077E-2</v>
      </c>
      <c r="U14" s="86">
        <f>'Water Reading'!O14-'Water Reading'!O13</f>
        <v>1</v>
      </c>
      <c r="V14" s="94">
        <f t="shared" si="11"/>
        <v>1.841620626151013E-3</v>
      </c>
      <c r="W14" s="86">
        <f>'Water Reading'!R14-'Water Reading'!R13</f>
        <v>6</v>
      </c>
      <c r="X14" s="94">
        <f t="shared" si="12"/>
        <v>1.1049723756906077E-2</v>
      </c>
      <c r="Y14" s="64">
        <f t="shared" si="0"/>
        <v>242</v>
      </c>
      <c r="Z14" s="65">
        <f t="shared" si="1"/>
        <v>0.73780487804878048</v>
      </c>
    </row>
    <row r="15" spans="1:26" x14ac:dyDescent="0.25">
      <c r="A15" s="8">
        <f>'Water Reading'!A14</f>
        <v>44512</v>
      </c>
      <c r="B15" s="63">
        <f>TOTAL!I13</f>
        <v>313</v>
      </c>
      <c r="C15" s="64">
        <f>('Water Reading'!B15-'Water Reading'!B14)+('Water Reading'!C15-'Water Reading'!C14)</f>
        <v>198</v>
      </c>
      <c r="D15" s="65">
        <f t="shared" si="2"/>
        <v>0.63258785942492013</v>
      </c>
      <c r="E15" s="84">
        <f>'Water Reading'!H15-'Water Reading'!H14</f>
        <v>56</v>
      </c>
      <c r="F15" s="85">
        <f t="shared" si="3"/>
        <v>0.28282828282828282</v>
      </c>
      <c r="G15" s="89">
        <f>('Water Reading'!D15-'Water Reading'!D14)-('Water Reading'!R15-'Water Reading'!R14)-('Water Reading'!Q15-'Water Reading'!Q14)</f>
        <v>134</v>
      </c>
      <c r="H15" s="85">
        <f t="shared" si="4"/>
        <v>0.6767676767676768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25</v>
      </c>
      <c r="L15" s="66">
        <f t="shared" si="6"/>
        <v>0.12626262626262627</v>
      </c>
      <c r="M15" s="86">
        <f>'Water Reading'!R15-'Water Reading'!R14</f>
        <v>1</v>
      </c>
      <c r="N15" s="88">
        <f t="shared" si="7"/>
        <v>5.0505050505050509E-3</v>
      </c>
      <c r="O15" s="86">
        <f>'Water Reading'!Q15-'Water Reading'!Q14</f>
        <v>4</v>
      </c>
      <c r="P15" s="93">
        <f t="shared" si="8"/>
        <v>2.0202020202020204E-2</v>
      </c>
      <c r="Q15" s="87">
        <f>'Water Reading'!N15-'Water Reading'!N14</f>
        <v>3</v>
      </c>
      <c r="R15" s="94">
        <f t="shared" si="9"/>
        <v>1.5151515151515152E-2</v>
      </c>
      <c r="S15" s="86">
        <f>'Water Reading'!M15-'Water Reading'!M14</f>
        <v>4</v>
      </c>
      <c r="T15" s="94">
        <f t="shared" si="10"/>
        <v>2.0202020202020204E-2</v>
      </c>
      <c r="U15" s="86">
        <f>'Water Reading'!O15-'Water Reading'!O14</f>
        <v>3</v>
      </c>
      <c r="V15" s="94">
        <f t="shared" si="11"/>
        <v>1.5151515151515152E-2</v>
      </c>
      <c r="W15" s="86">
        <f>'Water Reading'!R15-'Water Reading'!R14</f>
        <v>1</v>
      </c>
      <c r="X15" s="94">
        <f t="shared" si="12"/>
        <v>5.0505050505050509E-3</v>
      </c>
      <c r="Y15" s="64">
        <f t="shared" si="0"/>
        <v>231</v>
      </c>
      <c r="Z15" s="65">
        <f t="shared" si="1"/>
        <v>0.73801916932907352</v>
      </c>
    </row>
    <row r="16" spans="1:26" x14ac:dyDescent="0.25">
      <c r="A16" s="8">
        <f>'Water Reading'!A15</f>
        <v>44513</v>
      </c>
      <c r="B16" s="63">
        <f>TOTAL!I14</f>
        <v>326</v>
      </c>
      <c r="C16" s="64">
        <f>('Water Reading'!B16-'Water Reading'!B15)+('Water Reading'!C16-'Water Reading'!C15)</f>
        <v>-156119</v>
      </c>
      <c r="D16" s="65">
        <f t="shared" si="2"/>
        <v>-478.89263803680984</v>
      </c>
      <c r="E16" s="84">
        <f>'Water Reading'!H16-'Water Reading'!H15</f>
        <v>50</v>
      </c>
      <c r="F16" s="85">
        <f t="shared" si="3"/>
        <v>-3.2026851312140096E-4</v>
      </c>
      <c r="G16" s="89">
        <f>('Water Reading'!D16-'Water Reading'!D15)-('Water Reading'!R16-'Water Reading'!R15)-('Water Reading'!Q16-'Water Reading'!Q15)</f>
        <v>144</v>
      </c>
      <c r="H16" s="85">
        <f t="shared" si="4"/>
        <v>-9.2237331778963487E-4</v>
      </c>
      <c r="I16" s="86">
        <f>'Water Reading'!P16-'Water Reading'!P15</f>
        <v>15</v>
      </c>
      <c r="J16" s="66">
        <f t="shared" si="5"/>
        <v>-9.6080553936420295E-5</v>
      </c>
      <c r="K16" s="87">
        <f>('Water Reading'!I16-'Water Reading'!I15)-('Water Reading'!P16-'Water Reading'!P15)</f>
        <v>24</v>
      </c>
      <c r="L16" s="66">
        <f t="shared" si="6"/>
        <v>-1.5372888629827246E-4</v>
      </c>
      <c r="M16" s="86">
        <f>'Water Reading'!R16-'Water Reading'!R15</f>
        <v>8</v>
      </c>
      <c r="N16" s="88">
        <f t="shared" si="7"/>
        <v>-5.1242962099424158E-5</v>
      </c>
      <c r="O16" s="86">
        <f>'Water Reading'!Q16-'Water Reading'!Q15</f>
        <v>3</v>
      </c>
      <c r="P16" s="93">
        <f t="shared" si="8"/>
        <v>-1.9216110787284058E-5</v>
      </c>
      <c r="Q16" s="87">
        <f>'Water Reading'!N16-'Water Reading'!N15</f>
        <v>2</v>
      </c>
      <c r="R16" s="94">
        <f t="shared" si="9"/>
        <v>-1.281074052485604E-5</v>
      </c>
      <c r="S16" s="86">
        <f>'Water Reading'!M16-'Water Reading'!M15</f>
        <v>11</v>
      </c>
      <c r="T16" s="94">
        <f t="shared" si="10"/>
        <v>-7.0459072886708222E-5</v>
      </c>
      <c r="U16" s="86">
        <f>'Water Reading'!O16-'Water Reading'!O15</f>
        <v>2</v>
      </c>
      <c r="V16" s="94">
        <f t="shared" si="11"/>
        <v>-1.281074052485604E-5</v>
      </c>
      <c r="W16" s="86">
        <f>'Water Reading'!R16-'Water Reading'!R15</f>
        <v>8</v>
      </c>
      <c r="X16" s="94">
        <f t="shared" si="12"/>
        <v>-5.1242962099424158E-5</v>
      </c>
      <c r="Y16" s="64">
        <f t="shared" si="0"/>
        <v>267</v>
      </c>
      <c r="Z16" s="65">
        <f t="shared" si="1"/>
        <v>0.81901840490797551</v>
      </c>
    </row>
    <row r="17" spans="1:26" x14ac:dyDescent="0.25">
      <c r="A17" s="8">
        <f>'Water Reading'!A16</f>
        <v>44514</v>
      </c>
      <c r="B17" s="63">
        <f>TOTAL!I15</f>
        <v>259</v>
      </c>
      <c r="C17" s="64">
        <f>('Water Reading'!B17-'Water Reading'!B16)+('Water Reading'!C17-'Water Reading'!C16)</f>
        <v>130</v>
      </c>
      <c r="D17" s="65">
        <f t="shared" si="2"/>
        <v>0.50193050193050193</v>
      </c>
      <c r="E17" s="84">
        <f>'Water Reading'!H17-'Water Reading'!H16</f>
        <v>48</v>
      </c>
      <c r="F17" s="85">
        <f t="shared" si="3"/>
        <v>0.36923076923076925</v>
      </c>
      <c r="G17" s="89">
        <f>('Water Reading'!D17-'Water Reading'!D16)-('Water Reading'!R17-'Water Reading'!R16)-('Water Reading'!Q17-'Water Reading'!Q16)</f>
        <v>119</v>
      </c>
      <c r="H17" s="85">
        <f t="shared" si="4"/>
        <v>0.91538461538461535</v>
      </c>
      <c r="I17" s="86">
        <f>'Water Reading'!P17-'Water Reading'!P16</f>
        <v>9</v>
      </c>
      <c r="J17" s="66">
        <f t="shared" si="5"/>
        <v>6.9230769230769235E-2</v>
      </c>
      <c r="K17" s="87">
        <f>('Water Reading'!I17-'Water Reading'!I16)-('Water Reading'!P17-'Water Reading'!P16)</f>
        <v>28</v>
      </c>
      <c r="L17" s="66">
        <f t="shared" si="6"/>
        <v>0.2153846153846154</v>
      </c>
      <c r="M17" s="86">
        <f>'Water Reading'!R17-'Water Reading'!R16</f>
        <v>8</v>
      </c>
      <c r="N17" s="88">
        <f t="shared" si="7"/>
        <v>6.1538461538461542E-2</v>
      </c>
      <c r="O17" s="86">
        <f>'Water Reading'!Q17-'Water Reading'!Q16</f>
        <v>1</v>
      </c>
      <c r="P17" s="93">
        <f t="shared" si="8"/>
        <v>7.6923076923076927E-3</v>
      </c>
      <c r="Q17" s="87">
        <f>'Water Reading'!N17-'Water Reading'!N16</f>
        <v>0</v>
      </c>
      <c r="R17" s="94">
        <f t="shared" si="9"/>
        <v>0</v>
      </c>
      <c r="S17" s="86">
        <f>'Water Reading'!M17-'Water Reading'!M16</f>
        <v>9</v>
      </c>
      <c r="T17" s="94">
        <f t="shared" si="10"/>
        <v>6.9230769230769235E-2</v>
      </c>
      <c r="U17" s="86">
        <f>'Water Reading'!O17-'Water Reading'!O16</f>
        <v>2</v>
      </c>
      <c r="V17" s="94">
        <f t="shared" si="11"/>
        <v>1.5384615384615385E-2</v>
      </c>
      <c r="W17" s="86">
        <f>'Water Reading'!R17-'Water Reading'!R16</f>
        <v>8</v>
      </c>
      <c r="X17" s="94">
        <f t="shared" si="12"/>
        <v>6.1538461538461542E-2</v>
      </c>
      <c r="Y17" s="64">
        <f t="shared" si="0"/>
        <v>232</v>
      </c>
      <c r="Z17" s="65">
        <f t="shared" si="1"/>
        <v>0.89575289575289574</v>
      </c>
    </row>
    <row r="18" spans="1:26" x14ac:dyDescent="0.25">
      <c r="A18" s="8">
        <f>'Water Reading'!A17</f>
        <v>44515</v>
      </c>
      <c r="B18" s="63">
        <f>TOTAL!I16</f>
        <v>274</v>
      </c>
      <c r="C18" s="64">
        <f>('Water Reading'!B18-'Water Reading'!B17)+('Water Reading'!C18-'Water Reading'!C17)</f>
        <v>126</v>
      </c>
      <c r="D18" s="65">
        <f t="shared" si="2"/>
        <v>0.45985401459854014</v>
      </c>
      <c r="E18" s="84">
        <f>'Water Reading'!H18-'Water Reading'!H17</f>
        <v>34</v>
      </c>
      <c r="F18" s="85">
        <f t="shared" si="3"/>
        <v>0.26984126984126983</v>
      </c>
      <c r="G18" s="89">
        <f>('Water Reading'!D18-'Water Reading'!D17)-('Water Reading'!R18-'Water Reading'!R17)-('Water Reading'!Q18-'Water Reading'!Q17)</f>
        <v>133</v>
      </c>
      <c r="H18" s="85">
        <f t="shared" si="4"/>
        <v>1.0555555555555556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23</v>
      </c>
      <c r="L18" s="66">
        <f t="shared" si="6"/>
        <v>0.18253968253968253</v>
      </c>
      <c r="M18" s="86">
        <f>'Water Reading'!R18-'Water Reading'!R17</f>
        <v>7</v>
      </c>
      <c r="N18" s="88">
        <f t="shared" si="7"/>
        <v>5.5555555555555552E-2</v>
      </c>
      <c r="O18" s="86">
        <f>'Water Reading'!Q18-'Water Reading'!Q17</f>
        <v>0</v>
      </c>
      <c r="P18" s="93">
        <f t="shared" si="8"/>
        <v>0</v>
      </c>
      <c r="Q18" s="87">
        <f>'Water Reading'!N18-'Water Reading'!N17</f>
        <v>1</v>
      </c>
      <c r="R18" s="94">
        <f t="shared" si="9"/>
        <v>7.9365079365079361E-3</v>
      </c>
      <c r="S18" s="86">
        <f>'Water Reading'!M18-'Water Reading'!M17</f>
        <v>8</v>
      </c>
      <c r="T18" s="94">
        <f t="shared" si="10"/>
        <v>6.3492063492063489E-2</v>
      </c>
      <c r="U18" s="86">
        <f>'Water Reading'!O18-'Water Reading'!O17</f>
        <v>1</v>
      </c>
      <c r="V18" s="94">
        <f t="shared" si="11"/>
        <v>7.9365079365079361E-3</v>
      </c>
      <c r="W18" s="86">
        <f>'Water Reading'!R18-'Water Reading'!R17</f>
        <v>7</v>
      </c>
      <c r="X18" s="94">
        <f t="shared" si="12"/>
        <v>5.5555555555555552E-2</v>
      </c>
      <c r="Y18" s="64">
        <f t="shared" si="0"/>
        <v>214</v>
      </c>
      <c r="Z18" s="65">
        <f t="shared" si="1"/>
        <v>0.78102189781021902</v>
      </c>
    </row>
    <row r="19" spans="1:26" x14ac:dyDescent="0.25">
      <c r="A19" s="8">
        <f>'Water Reading'!A18</f>
        <v>44516</v>
      </c>
      <c r="B19" s="63">
        <f>TOTAL!I17</f>
        <v>274</v>
      </c>
      <c r="C19" s="64">
        <f>('Water Reading'!B19-'Water Reading'!B18)+('Water Reading'!C19-'Water Reading'!C18)</f>
        <v>119</v>
      </c>
      <c r="D19" s="65">
        <f t="shared" si="2"/>
        <v>0.43430656934306572</v>
      </c>
      <c r="E19" s="84">
        <f>'Water Reading'!H19-'Water Reading'!H18</f>
        <v>25</v>
      </c>
      <c r="F19" s="85">
        <f t="shared" si="3"/>
        <v>0.21008403361344538</v>
      </c>
      <c r="G19" s="89">
        <f>('Water Reading'!D19-'Water Reading'!D18)-('Water Reading'!R19-'Water Reading'!R18)-('Water Reading'!Q19-'Water Reading'!Q18)</f>
        <v>119</v>
      </c>
      <c r="H19" s="85">
        <f t="shared" si="4"/>
        <v>1</v>
      </c>
      <c r="I19" s="86">
        <f>'Water Reading'!P19-'Water Reading'!P18</f>
        <v>11</v>
      </c>
      <c r="J19" s="66">
        <f t="shared" si="5"/>
        <v>9.2436974789915971E-2</v>
      </c>
      <c r="K19" s="87">
        <f>('Water Reading'!I19-'Water Reading'!I18)-('Water Reading'!P19-'Water Reading'!P18)</f>
        <v>18</v>
      </c>
      <c r="L19" s="66">
        <f t="shared" si="6"/>
        <v>0.15126050420168066</v>
      </c>
      <c r="M19" s="86">
        <f>'Water Reading'!R19-'Water Reading'!R18</f>
        <v>6</v>
      </c>
      <c r="N19" s="88">
        <f t="shared" si="7"/>
        <v>5.0420168067226892E-2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0</v>
      </c>
      <c r="R19" s="94">
        <f t="shared" si="9"/>
        <v>0</v>
      </c>
      <c r="S19" s="86">
        <f>'Water Reading'!M19-'Water Reading'!M18</f>
        <v>8</v>
      </c>
      <c r="T19" s="94">
        <f t="shared" si="10"/>
        <v>6.7226890756302518E-2</v>
      </c>
      <c r="U19" s="86">
        <f>'Water Reading'!O19-'Water Reading'!O18</f>
        <v>2</v>
      </c>
      <c r="V19" s="94">
        <f t="shared" si="11"/>
        <v>1.680672268907563E-2</v>
      </c>
      <c r="W19" s="86">
        <f>'Water Reading'!R19-'Water Reading'!R18</f>
        <v>6</v>
      </c>
      <c r="X19" s="94">
        <f t="shared" si="12"/>
        <v>5.0420168067226892E-2</v>
      </c>
      <c r="Y19" s="64">
        <f t="shared" si="0"/>
        <v>195</v>
      </c>
      <c r="Z19" s="65">
        <f t="shared" si="1"/>
        <v>0.71167883211678828</v>
      </c>
    </row>
    <row r="20" spans="1:26" x14ac:dyDescent="0.25">
      <c r="A20" s="8">
        <f>'Water Reading'!A19</f>
        <v>44517</v>
      </c>
      <c r="B20" s="63">
        <f>TOTAL!I18</f>
        <v>294</v>
      </c>
      <c r="C20" s="64">
        <f>('Water Reading'!B20-'Water Reading'!B19)+('Water Reading'!C20-'Water Reading'!C19)</f>
        <v>126</v>
      </c>
      <c r="D20" s="65">
        <f t="shared" si="2"/>
        <v>0.42857142857142855</v>
      </c>
      <c r="E20" s="84">
        <f>'Water Reading'!H20-'Water Reading'!H19</f>
        <v>16</v>
      </c>
      <c r="F20" s="85">
        <f t="shared" si="3"/>
        <v>0.12698412698412698</v>
      </c>
      <c r="G20" s="89">
        <f>('Water Reading'!D20-'Water Reading'!D19)-('Water Reading'!R20-'Water Reading'!R19)-('Water Reading'!Q20-'Water Reading'!Q19)</f>
        <v>135</v>
      </c>
      <c r="H20" s="85">
        <f t="shared" si="4"/>
        <v>1.0714285714285714</v>
      </c>
      <c r="I20" s="86">
        <f>'Water Reading'!P20-'Water Reading'!P19</f>
        <v>7</v>
      </c>
      <c r="J20" s="66">
        <f t="shared" si="5"/>
        <v>5.5555555555555552E-2</v>
      </c>
      <c r="K20" s="87">
        <f>('Water Reading'!I20-'Water Reading'!I19)-('Water Reading'!P20-'Water Reading'!P19)</f>
        <v>21</v>
      </c>
      <c r="L20" s="66">
        <f t="shared" si="6"/>
        <v>0.16666666666666666</v>
      </c>
      <c r="M20" s="86">
        <f>'Water Reading'!R20-'Water Reading'!R19</f>
        <v>7</v>
      </c>
      <c r="N20" s="88">
        <f t="shared" si="7"/>
        <v>5.5555555555555552E-2</v>
      </c>
      <c r="O20" s="86">
        <f>'Water Reading'!Q20-'Water Reading'!Q19</f>
        <v>2</v>
      </c>
      <c r="P20" s="93">
        <f t="shared" si="8"/>
        <v>1.5873015873015872E-2</v>
      </c>
      <c r="Q20" s="87">
        <f>'Water Reading'!N20-'Water Reading'!N19</f>
        <v>0</v>
      </c>
      <c r="R20" s="94">
        <f t="shared" si="9"/>
        <v>0</v>
      </c>
      <c r="S20" s="86">
        <f>'Water Reading'!M20-'Water Reading'!M19</f>
        <v>7</v>
      </c>
      <c r="T20" s="94">
        <f t="shared" si="10"/>
        <v>5.5555555555555552E-2</v>
      </c>
      <c r="U20" s="86">
        <f>'Water Reading'!O20-'Water Reading'!O19</f>
        <v>3</v>
      </c>
      <c r="V20" s="94">
        <f t="shared" si="11"/>
        <v>2.3809523809523808E-2</v>
      </c>
      <c r="W20" s="86">
        <f>'Water Reading'!R20-'Water Reading'!R19</f>
        <v>7</v>
      </c>
      <c r="X20" s="94">
        <f t="shared" si="12"/>
        <v>5.5555555555555552E-2</v>
      </c>
      <c r="Y20" s="64">
        <f t="shared" si="0"/>
        <v>205</v>
      </c>
      <c r="Z20" s="65">
        <f t="shared" si="1"/>
        <v>0.69727891156462585</v>
      </c>
    </row>
    <row r="21" spans="1:26" x14ac:dyDescent="0.25">
      <c r="A21" s="8">
        <f>'Water Reading'!A20</f>
        <v>44518</v>
      </c>
      <c r="B21" s="63">
        <f>TOTAL!I19</f>
        <v>288</v>
      </c>
      <c r="C21" s="64">
        <f>('Water Reading'!B21-'Water Reading'!B20)+('Water Reading'!C21-'Water Reading'!C20)</f>
        <v>130</v>
      </c>
      <c r="D21" s="65">
        <f t="shared" si="2"/>
        <v>0.4513888888888889</v>
      </c>
      <c r="E21" s="84">
        <f>'Water Reading'!H21-'Water Reading'!H20</f>
        <v>37</v>
      </c>
      <c r="F21" s="85">
        <f t="shared" si="3"/>
        <v>0.2846153846153846</v>
      </c>
      <c r="G21" s="89">
        <f>('Water Reading'!D21-'Water Reading'!D20)-('Water Reading'!R21-'Water Reading'!R20)-('Water Reading'!Q21-'Water Reading'!Q20)</f>
        <v>150</v>
      </c>
      <c r="H21" s="85">
        <f t="shared" si="4"/>
        <v>1.1538461538461537</v>
      </c>
      <c r="I21" s="86">
        <f>'Water Reading'!P21-'Water Reading'!P20</f>
        <v>0</v>
      </c>
      <c r="J21" s="66">
        <f t="shared" si="5"/>
        <v>0</v>
      </c>
      <c r="K21" s="87">
        <f>('Water Reading'!I21-'Water Reading'!I20)-('Water Reading'!P21-'Water Reading'!P20)</f>
        <v>22</v>
      </c>
      <c r="L21" s="66">
        <f t="shared" si="6"/>
        <v>0.16923076923076924</v>
      </c>
      <c r="M21" s="86">
        <f>'Water Reading'!R21-'Water Reading'!R20</f>
        <v>4</v>
      </c>
      <c r="N21" s="88">
        <f t="shared" si="7"/>
        <v>3.0769230769230771E-2</v>
      </c>
      <c r="O21" s="86">
        <f>'Water Reading'!Q21-'Water Reading'!Q20</f>
        <v>1</v>
      </c>
      <c r="P21" s="93">
        <f t="shared" si="8"/>
        <v>7.6923076923076927E-3</v>
      </c>
      <c r="Q21" s="87">
        <f>'Water Reading'!N21-'Water Reading'!N20</f>
        <v>1</v>
      </c>
      <c r="R21" s="94">
        <f t="shared" si="9"/>
        <v>7.6923076923076927E-3</v>
      </c>
      <c r="S21" s="86">
        <f>'Water Reading'!M21-'Water Reading'!M20</f>
        <v>9</v>
      </c>
      <c r="T21" s="94">
        <f t="shared" si="10"/>
        <v>6.9230769230769235E-2</v>
      </c>
      <c r="U21" s="86">
        <f>'Water Reading'!O21-'Water Reading'!O20</f>
        <v>1</v>
      </c>
      <c r="V21" s="94">
        <f t="shared" si="11"/>
        <v>7.6923076923076927E-3</v>
      </c>
      <c r="W21" s="86">
        <f>'Water Reading'!R21-'Water Reading'!R20</f>
        <v>4</v>
      </c>
      <c r="X21" s="94">
        <f t="shared" si="12"/>
        <v>3.0769230769230771E-2</v>
      </c>
      <c r="Y21" s="64">
        <f t="shared" si="0"/>
        <v>229</v>
      </c>
      <c r="Z21" s="65">
        <f t="shared" si="1"/>
        <v>0.79513888888888884</v>
      </c>
    </row>
    <row r="22" spans="1:26" x14ac:dyDescent="0.25">
      <c r="A22" s="8">
        <f>'Water Reading'!A21</f>
        <v>44519</v>
      </c>
      <c r="B22" s="63">
        <f>TOTAL!I20</f>
        <v>340</v>
      </c>
      <c r="C22" s="64">
        <f>('Water Reading'!B22-'Water Reading'!B21)+('Water Reading'!C22-'Water Reading'!C21)</f>
        <v>170</v>
      </c>
      <c r="D22" s="65">
        <f t="shared" si="2"/>
        <v>0.5</v>
      </c>
      <c r="E22" s="84">
        <f>'Water Reading'!H22-'Water Reading'!H21</f>
        <v>38</v>
      </c>
      <c r="F22" s="85">
        <f t="shared" si="3"/>
        <v>0.22352941176470589</v>
      </c>
      <c r="G22" s="89">
        <f>('Water Reading'!D22-'Water Reading'!D21)-('Water Reading'!R22-'Water Reading'!R21)-('Water Reading'!Q22-'Water Reading'!Q21)</f>
        <v>231</v>
      </c>
      <c r="H22" s="85">
        <f t="shared" si="4"/>
        <v>1.3588235294117648</v>
      </c>
      <c r="I22" s="86">
        <f>'Water Reading'!P22-'Water Reading'!P21</f>
        <v>0</v>
      </c>
      <c r="J22" s="66">
        <f t="shared" si="5"/>
        <v>0</v>
      </c>
      <c r="K22" s="87">
        <f>('Water Reading'!I22-'Water Reading'!I21)-('Water Reading'!P22-'Water Reading'!P21)</f>
        <v>21</v>
      </c>
      <c r="L22" s="66">
        <f t="shared" si="6"/>
        <v>0.12352941176470589</v>
      </c>
      <c r="M22" s="86">
        <f>'Water Reading'!R22-'Water Reading'!R21</f>
        <v>2</v>
      </c>
      <c r="N22" s="88">
        <f t="shared" si="7"/>
        <v>1.1764705882352941E-2</v>
      </c>
      <c r="O22" s="86">
        <f>'Water Reading'!Q22-'Water Reading'!Q21</f>
        <v>10</v>
      </c>
      <c r="P22" s="93">
        <f t="shared" si="8"/>
        <v>5.8823529411764705E-2</v>
      </c>
      <c r="Q22" s="87">
        <f>'Water Reading'!N22-'Water Reading'!N21</f>
        <v>1</v>
      </c>
      <c r="R22" s="94">
        <f t="shared" si="9"/>
        <v>5.8823529411764705E-3</v>
      </c>
      <c r="S22" s="86">
        <f>'Water Reading'!M22-'Water Reading'!M21</f>
        <v>8</v>
      </c>
      <c r="T22" s="94">
        <f t="shared" si="10"/>
        <v>4.7058823529411764E-2</v>
      </c>
      <c r="U22" s="86">
        <f>'Water Reading'!O22-'Water Reading'!O21</f>
        <v>3</v>
      </c>
      <c r="V22" s="94">
        <f t="shared" si="11"/>
        <v>1.7647058823529412E-2</v>
      </c>
      <c r="W22" s="86">
        <f>'Water Reading'!R22-'Water Reading'!R21</f>
        <v>2</v>
      </c>
      <c r="X22" s="94">
        <f t="shared" si="12"/>
        <v>1.1764705882352941E-2</v>
      </c>
      <c r="Y22" s="64">
        <f t="shared" si="0"/>
        <v>316</v>
      </c>
      <c r="Z22" s="65">
        <f t="shared" si="1"/>
        <v>0.92941176470588238</v>
      </c>
    </row>
    <row r="23" spans="1:26" x14ac:dyDescent="0.25">
      <c r="A23" s="8">
        <f>'Water Reading'!A22</f>
        <v>44520</v>
      </c>
      <c r="B23" s="63">
        <f>TOTAL!I21</f>
        <v>365</v>
      </c>
      <c r="C23" s="64">
        <f>('Water Reading'!B23-'Water Reading'!B22)+('Water Reading'!C23-'Water Reading'!C22)</f>
        <v>163</v>
      </c>
      <c r="D23" s="65">
        <f t="shared" si="2"/>
        <v>0.44657534246575342</v>
      </c>
      <c r="E23" s="84">
        <f>'Water Reading'!H23-'Water Reading'!H22</f>
        <v>20</v>
      </c>
      <c r="F23" s="85">
        <f t="shared" si="3"/>
        <v>0.12269938650306748</v>
      </c>
      <c r="G23" s="89">
        <f>('Water Reading'!D23-'Water Reading'!D22)-('Water Reading'!R23-'Water Reading'!R22)-('Water Reading'!Q23-'Water Reading'!Q22)</f>
        <v>203</v>
      </c>
      <c r="H23" s="85">
        <f t="shared" si="4"/>
        <v>1.2453987730061349</v>
      </c>
      <c r="I23" s="86">
        <f>'Water Reading'!P23-'Water Reading'!P22</f>
        <v>9</v>
      </c>
      <c r="J23" s="66">
        <f t="shared" si="5"/>
        <v>5.5214723926380369E-2</v>
      </c>
      <c r="K23" s="87">
        <f>('Water Reading'!I23-'Water Reading'!I22)-('Water Reading'!P23-'Water Reading'!P22)</f>
        <v>20</v>
      </c>
      <c r="L23" s="66">
        <f t="shared" si="6"/>
        <v>0.12269938650306748</v>
      </c>
      <c r="M23" s="86">
        <f>'Water Reading'!R23-'Water Reading'!R22</f>
        <v>6</v>
      </c>
      <c r="N23" s="88">
        <f t="shared" si="7"/>
        <v>3.6809815950920248E-2</v>
      </c>
      <c r="O23" s="86">
        <f>'Water Reading'!Q23-'Water Reading'!Q22</f>
        <v>2</v>
      </c>
      <c r="P23" s="93">
        <f t="shared" si="8"/>
        <v>1.2269938650306749E-2</v>
      </c>
      <c r="Q23" s="87">
        <f>'Water Reading'!N23-'Water Reading'!N22</f>
        <v>1</v>
      </c>
      <c r="R23" s="94">
        <f t="shared" si="9"/>
        <v>6.1349693251533744E-3</v>
      </c>
      <c r="S23" s="86">
        <f>'Water Reading'!M23-'Water Reading'!M22</f>
        <v>8</v>
      </c>
      <c r="T23" s="94">
        <f t="shared" si="10"/>
        <v>4.9079754601226995E-2</v>
      </c>
      <c r="U23" s="86">
        <f>'Water Reading'!O23-'Water Reading'!O22</f>
        <v>1</v>
      </c>
      <c r="V23" s="94">
        <f t="shared" si="11"/>
        <v>6.1349693251533744E-3</v>
      </c>
      <c r="W23" s="86">
        <f>'Water Reading'!R23-'Water Reading'!R22</f>
        <v>6</v>
      </c>
      <c r="X23" s="94">
        <f t="shared" si="12"/>
        <v>3.6809815950920248E-2</v>
      </c>
      <c r="Y23" s="64">
        <f t="shared" si="0"/>
        <v>276</v>
      </c>
      <c r="Z23" s="65">
        <f t="shared" si="1"/>
        <v>0.75616438356164384</v>
      </c>
    </row>
    <row r="24" spans="1:26" x14ac:dyDescent="0.25">
      <c r="A24" s="8">
        <f>'Water Reading'!A23</f>
        <v>44521</v>
      </c>
      <c r="B24" s="63">
        <f>TOTAL!I22</f>
        <v>317</v>
      </c>
      <c r="C24" s="64">
        <f>('Water Reading'!B24-'Water Reading'!B23)+('Water Reading'!C24-'Water Reading'!C23)</f>
        <v>134</v>
      </c>
      <c r="D24" s="65">
        <f t="shared" si="2"/>
        <v>0.4227129337539432</v>
      </c>
      <c r="E24" s="84">
        <f>'Water Reading'!H24-'Water Reading'!H23</f>
        <v>46</v>
      </c>
      <c r="F24" s="85">
        <f t="shared" si="3"/>
        <v>0.34328358208955223</v>
      </c>
      <c r="G24" s="89">
        <f>('Water Reading'!D24-'Water Reading'!D23)-('Water Reading'!R24-'Water Reading'!R23)-('Water Reading'!Q24-'Water Reading'!Q23)</f>
        <v>151</v>
      </c>
      <c r="H24" s="85">
        <f t="shared" si="4"/>
        <v>1.1268656716417911</v>
      </c>
      <c r="I24" s="86">
        <f>'Water Reading'!P24-'Water Reading'!P23</f>
        <v>13</v>
      </c>
      <c r="J24" s="66">
        <f t="shared" si="5"/>
        <v>9.7014925373134331E-2</v>
      </c>
      <c r="K24" s="87">
        <f>('Water Reading'!I24-'Water Reading'!I23)-('Water Reading'!P24-'Water Reading'!P23)</f>
        <v>24</v>
      </c>
      <c r="L24" s="66">
        <f t="shared" si="6"/>
        <v>0.17910447761194029</v>
      </c>
      <c r="M24" s="86">
        <f>'Water Reading'!R24-'Water Reading'!R23</f>
        <v>5</v>
      </c>
      <c r="N24" s="88">
        <f t="shared" si="7"/>
        <v>3.7313432835820892E-2</v>
      </c>
      <c r="O24" s="86">
        <f>'Water Reading'!Q24-'Water Reading'!Q23</f>
        <v>0</v>
      </c>
      <c r="P24" s="93">
        <f t="shared" si="8"/>
        <v>0</v>
      </c>
      <c r="Q24" s="87">
        <f>'Water Reading'!N24-'Water Reading'!N23</f>
        <v>1</v>
      </c>
      <c r="R24" s="94">
        <f t="shared" si="9"/>
        <v>7.462686567164179E-3</v>
      </c>
      <c r="S24" s="86">
        <f>'Water Reading'!M24-'Water Reading'!M23</f>
        <v>7</v>
      </c>
      <c r="T24" s="94">
        <f t="shared" si="10"/>
        <v>5.2238805970149252E-2</v>
      </c>
      <c r="U24" s="86">
        <f>'Water Reading'!O24-'Water Reading'!O23</f>
        <v>0</v>
      </c>
      <c r="V24" s="94">
        <f t="shared" si="11"/>
        <v>0</v>
      </c>
      <c r="W24" s="86">
        <f>'Water Reading'!R24-'Water Reading'!R23</f>
        <v>5</v>
      </c>
      <c r="X24" s="94">
        <f t="shared" si="12"/>
        <v>3.7313432835820892E-2</v>
      </c>
      <c r="Y24" s="64">
        <f t="shared" si="0"/>
        <v>252</v>
      </c>
      <c r="Z24" s="65">
        <f t="shared" si="1"/>
        <v>0.79495268138801267</v>
      </c>
    </row>
    <row r="25" spans="1:26" x14ac:dyDescent="0.25">
      <c r="A25" s="8">
        <f>'Water Reading'!A24</f>
        <v>44522</v>
      </c>
      <c r="B25" s="63">
        <f>TOTAL!I23</f>
        <v>295</v>
      </c>
      <c r="C25" s="64">
        <f>('Water Reading'!B25-'Water Reading'!B24)+('Water Reading'!C25-'Water Reading'!C24)</f>
        <v>139</v>
      </c>
      <c r="D25" s="65">
        <f t="shared" si="2"/>
        <v>0.47118644067796611</v>
      </c>
      <c r="E25" s="84">
        <f>'Water Reading'!H25-'Water Reading'!H24</f>
        <v>50</v>
      </c>
      <c r="F25" s="85">
        <f t="shared" si="3"/>
        <v>0.35971223021582732</v>
      </c>
      <c r="G25" s="89">
        <f>('Water Reading'!D25-'Water Reading'!D24)-('Water Reading'!R25-'Water Reading'!R24)-('Water Reading'!Q25-'Water Reading'!Q24)</f>
        <v>122</v>
      </c>
      <c r="H25" s="85">
        <f t="shared" si="4"/>
        <v>0.87769784172661869</v>
      </c>
      <c r="I25" s="86">
        <f>'Water Reading'!P25-'Water Reading'!P24</f>
        <v>0</v>
      </c>
      <c r="J25" s="66">
        <f t="shared" si="5"/>
        <v>0</v>
      </c>
      <c r="K25" s="87">
        <f>('Water Reading'!I25-'Water Reading'!I24)-('Water Reading'!P25-'Water Reading'!P24)</f>
        <v>20</v>
      </c>
      <c r="L25" s="66">
        <f t="shared" si="6"/>
        <v>0.14388489208633093</v>
      </c>
      <c r="M25" s="86">
        <f>'Water Reading'!R25-'Water Reading'!R24</f>
        <v>6</v>
      </c>
      <c r="N25" s="88">
        <f t="shared" si="7"/>
        <v>4.3165467625899283E-2</v>
      </c>
      <c r="O25" s="86">
        <f>'Water Reading'!Q25-'Water Reading'!Q24</f>
        <v>0</v>
      </c>
      <c r="P25" s="93">
        <f t="shared" si="8"/>
        <v>0</v>
      </c>
      <c r="Q25" s="87">
        <f>'Water Reading'!N25-'Water Reading'!N24</f>
        <v>4</v>
      </c>
      <c r="R25" s="94">
        <f t="shared" si="9"/>
        <v>2.8776978417266189E-2</v>
      </c>
      <c r="S25" s="86">
        <f>'Water Reading'!M25-'Water Reading'!M24</f>
        <v>8</v>
      </c>
      <c r="T25" s="94">
        <f t="shared" si="10"/>
        <v>5.7553956834532377E-2</v>
      </c>
      <c r="U25" s="86">
        <f>'Water Reading'!O25-'Water Reading'!O24</f>
        <v>1</v>
      </c>
      <c r="V25" s="94">
        <f t="shared" si="11"/>
        <v>7.1942446043165471E-3</v>
      </c>
      <c r="W25" s="86">
        <f>'Water Reading'!R25-'Water Reading'!R24</f>
        <v>6</v>
      </c>
      <c r="X25" s="94">
        <f t="shared" si="12"/>
        <v>4.3165467625899283E-2</v>
      </c>
      <c r="Y25" s="64">
        <f t="shared" si="0"/>
        <v>217</v>
      </c>
      <c r="Z25" s="65">
        <f t="shared" si="1"/>
        <v>0.735593220338983</v>
      </c>
    </row>
    <row r="26" spans="1:26" x14ac:dyDescent="0.25">
      <c r="A26" s="8">
        <f>'Water Reading'!A25</f>
        <v>44523</v>
      </c>
      <c r="B26" s="63">
        <f>TOTAL!I24</f>
        <v>322</v>
      </c>
      <c r="C26" s="64">
        <f>('Water Reading'!B26-'Water Reading'!B25)+('Water Reading'!C26-'Water Reading'!C25)</f>
        <v>149</v>
      </c>
      <c r="D26" s="65">
        <f t="shared" si="2"/>
        <v>0.46273291925465837</v>
      </c>
      <c r="E26" s="84">
        <f>'Water Reading'!H26-'Water Reading'!H25</f>
        <v>64</v>
      </c>
      <c r="F26" s="85">
        <f t="shared" si="3"/>
        <v>0.42953020134228187</v>
      </c>
      <c r="G26" s="89">
        <f>('Water Reading'!D26-'Water Reading'!D25)-('Water Reading'!R26-'Water Reading'!R25)-('Water Reading'!Q26-'Water Reading'!Q25)</f>
        <v>138</v>
      </c>
      <c r="H26" s="85">
        <f t="shared" si="4"/>
        <v>0.9261744966442953</v>
      </c>
      <c r="I26" s="86">
        <f>'Water Reading'!P26-'Water Reading'!P25</f>
        <v>13</v>
      </c>
      <c r="J26" s="66">
        <f t="shared" si="5"/>
        <v>8.7248322147651006E-2</v>
      </c>
      <c r="K26" s="87">
        <f>('Water Reading'!I26-'Water Reading'!I25)-('Water Reading'!P26-'Water Reading'!P25)</f>
        <v>23</v>
      </c>
      <c r="L26" s="66">
        <f t="shared" si="6"/>
        <v>0.15436241610738255</v>
      </c>
      <c r="M26" s="86">
        <f>'Water Reading'!R26-'Water Reading'!R25</f>
        <v>5</v>
      </c>
      <c r="N26" s="88">
        <f t="shared" si="7"/>
        <v>3.3557046979865772E-2</v>
      </c>
      <c r="O26" s="86">
        <f>'Water Reading'!Q26-'Water Reading'!Q25</f>
        <v>5</v>
      </c>
      <c r="P26" s="93">
        <f t="shared" si="8"/>
        <v>3.3557046979865772E-2</v>
      </c>
      <c r="Q26" s="87">
        <f>'Water Reading'!N26-'Water Reading'!N25</f>
        <v>3</v>
      </c>
      <c r="R26" s="94">
        <f t="shared" si="9"/>
        <v>2.0134228187919462E-2</v>
      </c>
      <c r="S26" s="86">
        <f>'Water Reading'!M26-'Water Reading'!M25</f>
        <v>9</v>
      </c>
      <c r="T26" s="94">
        <f t="shared" si="10"/>
        <v>6.0402684563758392E-2</v>
      </c>
      <c r="U26" s="86">
        <f>'Water Reading'!O26-'Water Reading'!O25</f>
        <v>2</v>
      </c>
      <c r="V26" s="94">
        <f t="shared" si="11"/>
        <v>1.3422818791946308E-2</v>
      </c>
      <c r="W26" s="86">
        <f>'Water Reading'!R26-'Water Reading'!R25</f>
        <v>5</v>
      </c>
      <c r="X26" s="94">
        <f t="shared" si="12"/>
        <v>3.3557046979865772E-2</v>
      </c>
      <c r="Y26" s="64">
        <f t="shared" si="0"/>
        <v>267</v>
      </c>
      <c r="Z26" s="65">
        <f t="shared" si="1"/>
        <v>0.82919254658385089</v>
      </c>
    </row>
    <row r="27" spans="1:26" x14ac:dyDescent="0.25">
      <c r="A27" s="8">
        <f>'Water Reading'!A26</f>
        <v>44524</v>
      </c>
      <c r="B27" s="63">
        <f>TOTAL!I25</f>
        <v>444</v>
      </c>
      <c r="C27" s="64">
        <f>('Water Reading'!B27-'Water Reading'!B26)+('Water Reading'!C27-'Water Reading'!C26)</f>
        <v>202</v>
      </c>
      <c r="D27" s="65">
        <f t="shared" si="2"/>
        <v>0.45495495495495497</v>
      </c>
      <c r="E27" s="84">
        <f>'Water Reading'!H27-'Water Reading'!H26</f>
        <v>116</v>
      </c>
      <c r="F27" s="85">
        <f t="shared" si="3"/>
        <v>0.57425742574257421</v>
      </c>
      <c r="G27" s="89">
        <f>('Water Reading'!D27-'Water Reading'!D26)-('Water Reading'!R27-'Water Reading'!R26)-('Water Reading'!Q27-'Water Reading'!Q26)</f>
        <v>243</v>
      </c>
      <c r="H27" s="85">
        <f t="shared" si="4"/>
        <v>1.2029702970297029</v>
      </c>
      <c r="I27" s="86">
        <f>'Water Reading'!P27-'Water Reading'!P26</f>
        <v>0</v>
      </c>
      <c r="J27" s="66">
        <f t="shared" si="5"/>
        <v>0</v>
      </c>
      <c r="K27" s="87">
        <f>('Water Reading'!I27-'Water Reading'!I26)-('Water Reading'!P27-'Water Reading'!P26)</f>
        <v>22</v>
      </c>
      <c r="L27" s="66">
        <f t="shared" si="6"/>
        <v>0.10891089108910891</v>
      </c>
      <c r="M27" s="86">
        <f>'Water Reading'!R27-'Water Reading'!R26</f>
        <v>6</v>
      </c>
      <c r="N27" s="88">
        <f t="shared" si="7"/>
        <v>2.9702970297029702E-2</v>
      </c>
      <c r="O27" s="86">
        <f>'Water Reading'!Q27-'Water Reading'!Q26</f>
        <v>3</v>
      </c>
      <c r="P27" s="93">
        <f t="shared" si="8"/>
        <v>1.4851485148514851E-2</v>
      </c>
      <c r="Q27" s="87">
        <f>'Water Reading'!N27-'Water Reading'!N26</f>
        <v>1</v>
      </c>
      <c r="R27" s="94">
        <f t="shared" si="9"/>
        <v>4.9504950495049506E-3</v>
      </c>
      <c r="S27" s="86">
        <f>'Water Reading'!M27-'Water Reading'!M26</f>
        <v>7</v>
      </c>
      <c r="T27" s="94">
        <f t="shared" si="10"/>
        <v>3.4653465346534656E-2</v>
      </c>
      <c r="U27" s="86">
        <f>'Water Reading'!O27-'Water Reading'!O26</f>
        <v>2</v>
      </c>
      <c r="V27" s="94">
        <f t="shared" si="11"/>
        <v>9.9009900990099011E-3</v>
      </c>
      <c r="W27" s="86">
        <f>'Water Reading'!R27-'Water Reading'!R26</f>
        <v>6</v>
      </c>
      <c r="X27" s="94">
        <f t="shared" si="12"/>
        <v>2.9702970297029702E-2</v>
      </c>
      <c r="Y27" s="64">
        <f t="shared" si="0"/>
        <v>406</v>
      </c>
      <c r="Z27" s="65">
        <f t="shared" si="1"/>
        <v>0.9144144144144144</v>
      </c>
    </row>
    <row r="28" spans="1:26" x14ac:dyDescent="0.25">
      <c r="A28" s="8">
        <f>'Water Reading'!A27</f>
        <v>44525</v>
      </c>
      <c r="B28" s="63">
        <f>TOTAL!I26</f>
        <v>0</v>
      </c>
      <c r="C28" s="64">
        <f>('Water Reading'!B28-'Water Reading'!B27)+('Water Reading'!C28-'Water Reading'!C27)</f>
        <v>-193577</v>
      </c>
      <c r="D28" s="65" t="e">
        <f t="shared" si="2"/>
        <v>#DIV/0!</v>
      </c>
      <c r="E28" s="84">
        <f>'Water Reading'!H28-'Water Reading'!H27</f>
        <v>-58691</v>
      </c>
      <c r="F28" s="85">
        <f t="shared" si="3"/>
        <v>0.30319201144764096</v>
      </c>
      <c r="G28" s="89">
        <f>('Water Reading'!D28-'Water Reading'!D27)-('Water Reading'!R28-'Water Reading'!R27)-('Water Reading'!Q28-'Water Reading'!Q27)</f>
        <v>-222661</v>
      </c>
      <c r="H28" s="85">
        <f t="shared" si="4"/>
        <v>1.1502451220961167</v>
      </c>
      <c r="I28" s="86">
        <f>'Water Reading'!P28-'Water Reading'!P27</f>
        <v>-28682</v>
      </c>
      <c r="J28" s="66">
        <f t="shared" si="5"/>
        <v>0.14816842910056463</v>
      </c>
      <c r="K28" s="87">
        <f>('Water Reading'!I28-'Water Reading'!I27)-('Water Reading'!P28-'Water Reading'!P27)</f>
        <v>-39716</v>
      </c>
      <c r="L28" s="66">
        <f t="shared" si="6"/>
        <v>0.20516900251579476</v>
      </c>
      <c r="M28" s="86">
        <f>'Water Reading'!R28-'Water Reading'!R27</f>
        <v>-7054</v>
      </c>
      <c r="N28" s="88">
        <f t="shared" si="7"/>
        <v>3.6440279578668952E-2</v>
      </c>
      <c r="O28" s="86">
        <f>'Water Reading'!Q28-'Water Reading'!Q27</f>
        <v>-1131</v>
      </c>
      <c r="P28" s="93">
        <f t="shared" si="8"/>
        <v>5.8426362636056972E-3</v>
      </c>
      <c r="Q28" s="87">
        <f>'Water Reading'!N28-'Water Reading'!N27</f>
        <v>-8101</v>
      </c>
      <c r="R28" s="94">
        <f t="shared" si="9"/>
        <v>4.1848979992457784E-2</v>
      </c>
      <c r="S28" s="86">
        <f>'Water Reading'!M28-'Water Reading'!M27</f>
        <v>-26143</v>
      </c>
      <c r="T28" s="94">
        <f t="shared" si="10"/>
        <v>0.13505220144955238</v>
      </c>
      <c r="U28" s="86">
        <f>'Water Reading'!O28-'Water Reading'!O27</f>
        <v>-1840</v>
      </c>
      <c r="V28" s="94">
        <f t="shared" si="11"/>
        <v>9.5052614721790295E-3</v>
      </c>
      <c r="W28" s="86">
        <f>'Water Reading'!R28-'Water Reading'!R27</f>
        <v>-7054</v>
      </c>
      <c r="X28" s="94">
        <f t="shared" si="12"/>
        <v>3.6440279578668952E-2</v>
      </c>
      <c r="Y28" s="64">
        <f t="shared" si="0"/>
        <v>-401073</v>
      </c>
      <c r="Z28" s="65" t="e">
        <f t="shared" si="1"/>
        <v>#DIV/0!</v>
      </c>
    </row>
    <row r="29" spans="1:26" x14ac:dyDescent="0.25">
      <c r="A29" s="8">
        <f>'Water Reading'!A28</f>
        <v>44526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44527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44528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44529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44530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44531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7524</v>
      </c>
      <c r="C35" s="72">
        <f>SUM(C4:C34)</f>
        <v>-344703</v>
      </c>
      <c r="D35" s="91">
        <f>C35/B35</f>
        <v>-45.813795853269539</v>
      </c>
      <c r="E35" s="7">
        <f>SUM(E4:E34)</f>
        <v>-57642</v>
      </c>
      <c r="F35" s="90">
        <f>E35/C35</f>
        <v>0.16722221738714196</v>
      </c>
      <c r="G35" s="72">
        <f>SUM(G4:G34)</f>
        <v>-219232</v>
      </c>
      <c r="H35" s="90">
        <f>G35/C35</f>
        <v>0.63600258773494867</v>
      </c>
      <c r="I35" s="7">
        <f>SUM(I4:I34)</f>
        <v>-28505</v>
      </c>
      <c r="J35" s="90">
        <f>I35/C35</f>
        <v>8.2694377478583006E-2</v>
      </c>
      <c r="K35" s="7">
        <f>SUM(K4:K34)</f>
        <v>-39115</v>
      </c>
      <c r="L35" s="90">
        <f>K35/C35</f>
        <v>0.11347449833624888</v>
      </c>
      <c r="M35" s="7">
        <f>SUM(M4:M34)</f>
        <v>-6919</v>
      </c>
      <c r="N35" s="90">
        <f>M35/C35</f>
        <v>2.0072352140828482E-2</v>
      </c>
      <c r="O35" s="7">
        <f>SUM(O4:O34)</f>
        <v>-1088</v>
      </c>
      <c r="P35" s="90">
        <f>O35/C35</f>
        <v>3.1563403857813826E-3</v>
      </c>
      <c r="Q35" s="7">
        <f>SUM(Q4:Q34)</f>
        <v>-8025</v>
      </c>
      <c r="R35" s="90">
        <f>Q35/C35</f>
        <v>2.3280911393286394E-2</v>
      </c>
      <c r="S35" s="72">
        <f>SUM(S4:S34)</f>
        <v>-25946</v>
      </c>
      <c r="T35" s="90">
        <f>S35/C35</f>
        <v>7.5270595266069634E-2</v>
      </c>
      <c r="U35" s="7">
        <f>SUM(U4:U34)</f>
        <v>-1801</v>
      </c>
      <c r="V35" s="90">
        <f>U35/C35</f>
        <v>5.2247877158017189E-3</v>
      </c>
      <c r="W35" s="7">
        <f>SUM(W4:W34)</f>
        <v>-6919</v>
      </c>
      <c r="X35" s="90">
        <f>W35/C35</f>
        <v>2.0072352140828482E-2</v>
      </c>
      <c r="Y35" s="72">
        <f>SUM(Y4:Y34)</f>
        <v>-395192</v>
      </c>
      <c r="Z35" s="90">
        <f t="shared" si="1"/>
        <v>-52.524189261031367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2021-11-26T01:09:40Z</dcterms:modified>
  <cp:category/>
  <cp:contentStatus/>
</cp:coreProperties>
</file>