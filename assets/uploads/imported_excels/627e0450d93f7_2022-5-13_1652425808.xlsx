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295" yWindow="-240" windowWidth="14325" windowHeight="11805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Q7" i="2"/>
  <c r="M7"/>
  <c r="K7"/>
  <c r="I7"/>
  <c r="G7"/>
  <c r="E7"/>
  <c r="N7" l="1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8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9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6" i="5"/>
  <c r="AT7" s="1"/>
  <c r="AT8" s="1"/>
  <c r="AT11" s="1"/>
  <c r="AT12" s="1"/>
  <c r="AT13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1" s="1"/>
  <c r="AV12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1" s="1"/>
  <c r="AX12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C19" s="1"/>
  <c r="C20" s="1"/>
  <c r="C21" s="1"/>
  <c r="C22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10" s="1"/>
  <c r="M11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D9" i="2"/>
  <c r="D10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6"/>
  <c r="P9"/>
  <c r="P10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6"/>
  <c r="J9"/>
  <c r="J10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6"/>
  <c r="H9"/>
  <c r="H10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6"/>
  <c r="L9"/>
  <c r="L10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6"/>
  <c r="F9"/>
  <c r="F10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6"/>
  <c r="C23" i="1"/>
  <c r="C24" s="1"/>
  <c r="C25" s="1"/>
  <c r="C26" s="1"/>
  <c r="C27" s="1"/>
  <c r="C28" s="1"/>
  <c r="C29" s="1"/>
  <c r="C30" s="1"/>
  <c r="C31" s="1"/>
  <c r="C32" s="1"/>
  <c r="C33" s="1"/>
  <c r="C34" s="1"/>
  <c r="C35" s="1"/>
  <c r="K6" i="5"/>
  <c r="B16" i="76" l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Y10" i="3" l="1"/>
  <c r="X12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2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C27" i="3"/>
  <c r="C26"/>
  <c r="S26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E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S10" l="1"/>
  <c r="AS9"/>
  <c r="AR6"/>
  <c r="AS6" s="1"/>
  <c r="BC15"/>
  <c r="E21" i="82"/>
  <c r="AS11" i="7"/>
  <c r="AS14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20" i="3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BK7" i="7" l="1"/>
  <c r="AG4" i="3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Z12"/>
  <c r="V29" i="5" l="1"/>
  <c r="W28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V30" i="5"/>
  <c r="W29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BK18" i="7" l="1"/>
  <c r="AG15" i="3"/>
  <c r="AK16"/>
  <c r="AL16"/>
  <c r="AE16"/>
  <c r="AF16" s="1"/>
  <c r="F16" i="63"/>
  <c r="V33" i="5"/>
  <c r="W32"/>
  <c r="AL32" s="1"/>
  <c r="Z17" i="3"/>
  <c r="K18"/>
  <c r="W33" i="5" l="1"/>
  <c r="AL33" s="1"/>
  <c r="V34"/>
  <c r="AK17" i="3"/>
  <c r="AE17"/>
  <c r="AF17" s="1"/>
  <c r="F17" i="63"/>
  <c r="AL17" i="3"/>
  <c r="BK19" i="7"/>
  <c r="AG16" i="3"/>
  <c r="K19"/>
  <c r="Z18"/>
  <c r="V35" i="5" l="1"/>
  <c r="W34"/>
  <c r="AL34" s="1"/>
  <c r="K20" i="3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AB21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C23" i="3"/>
  <c r="AL23"/>
  <c r="AE23"/>
  <c r="AF23" s="1"/>
  <c r="AK23"/>
  <c r="BK25" i="7"/>
  <c r="AG22" i="3"/>
  <c r="BK26" i="7" l="1"/>
  <c r="AG23" i="3"/>
  <c r="AH23" s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AB30"/>
  <c r="Z30"/>
  <c r="BK31" i="7"/>
  <c r="AG28" i="3"/>
  <c r="AL31" l="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9" l="1"/>
  <c r="AB9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L26" l="1"/>
  <c r="M25"/>
  <c r="AB31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L27" l="1"/>
  <c r="M26"/>
  <c r="E3"/>
  <c r="AA3" s="1"/>
  <c r="AC3" s="1"/>
  <c r="AH3" s="1"/>
  <c r="L28" l="1"/>
  <c r="M27"/>
  <c r="E4"/>
  <c r="AA4" s="1"/>
  <c r="AC4" s="1"/>
  <c r="AH4" s="1"/>
  <c r="L29" l="1"/>
  <c r="M28"/>
  <c r="E5"/>
  <c r="AA5" l="1"/>
  <c r="AC5" s="1"/>
  <c r="AH5" s="1"/>
  <c r="F5"/>
  <c r="AB5" s="1"/>
  <c r="L30"/>
  <c r="M29"/>
  <c r="E6"/>
  <c r="F6" s="1"/>
  <c r="L31" l="1"/>
  <c r="M30"/>
  <c r="AA6"/>
  <c r="AC6" s="1"/>
  <c r="AH6" s="1"/>
  <c r="AB6"/>
  <c r="E7"/>
  <c r="F7" s="1"/>
  <c r="AB7" s="1"/>
  <c r="L32" l="1"/>
  <c r="M31"/>
  <c r="AA7"/>
  <c r="AC7" s="1"/>
  <c r="AH7" s="1"/>
  <c r="E8"/>
  <c r="AA8" l="1"/>
  <c r="AC8" s="1"/>
  <c r="AH8" s="1"/>
  <c r="F8"/>
  <c r="AB8" s="1"/>
  <c r="L33"/>
  <c r="M33" s="1"/>
  <c r="M32"/>
  <c r="E9"/>
  <c r="AA9" s="1"/>
  <c r="AC9" s="1"/>
  <c r="AH9" s="1"/>
  <c r="E10" l="1"/>
  <c r="AA10" l="1"/>
  <c r="AC10" s="1"/>
  <c r="AH10" s="1"/>
  <c r="F10"/>
  <c r="AB10" s="1"/>
  <c r="E11"/>
  <c r="AA11" l="1"/>
  <c r="AC11" s="1"/>
  <c r="AH11" s="1"/>
  <c r="F11"/>
  <c r="AB11" s="1"/>
  <c r="E12"/>
  <c r="AA12" l="1"/>
  <c r="AC12" s="1"/>
  <c r="AH12" s="1"/>
  <c r="F12"/>
  <c r="AB12" s="1"/>
  <c r="E13"/>
  <c r="AA13" l="1"/>
  <c r="AC13" s="1"/>
  <c r="AH13" s="1"/>
  <c r="F13"/>
  <c r="AB13" s="1"/>
  <c r="E14"/>
  <c r="AA14" l="1"/>
  <c r="AC14" s="1"/>
  <c r="AH14" s="1"/>
  <c r="F14"/>
  <c r="AB14" s="1"/>
  <c r="E15"/>
  <c r="AA15" s="1"/>
  <c r="AC15" s="1"/>
  <c r="AH15" s="1"/>
  <c r="E16" l="1"/>
  <c r="AA16" s="1"/>
  <c r="AC16" s="1"/>
  <c r="AH16" s="1"/>
  <c r="E17" l="1"/>
  <c r="AA17" s="1"/>
  <c r="AC17" s="1"/>
  <c r="AH17" s="1"/>
  <c r="E18" l="1"/>
  <c r="AA18" s="1"/>
  <c r="AC18" s="1"/>
  <c r="AH18" s="1"/>
  <c r="E19" l="1"/>
  <c r="AA19" s="1"/>
  <c r="AC19" s="1"/>
  <c r="AH19" s="1"/>
  <c r="E20" l="1"/>
  <c r="AA20" s="1"/>
  <c r="AC20" s="1"/>
  <c r="AH20" s="1"/>
  <c r="E21" l="1"/>
  <c r="AA21" s="1"/>
  <c r="AC21" s="1"/>
  <c r="AH21" s="1"/>
  <c r="E24" l="1"/>
  <c r="AA24" s="1"/>
  <c r="AC24" s="1"/>
  <c r="AH24" s="1"/>
  <c r="E25" l="1"/>
  <c r="AA25" s="1"/>
  <c r="AC25" s="1"/>
  <c r="AH25" s="1"/>
  <c r="E26" l="1"/>
  <c r="AA26" s="1"/>
  <c r="AC26" s="1"/>
  <c r="AH26" s="1"/>
  <c r="E27" l="1"/>
  <c r="AA27" s="1"/>
  <c r="AC27" s="1"/>
  <c r="AH27" s="1"/>
  <c r="E28" l="1"/>
  <c r="AA28" s="1"/>
  <c r="AC28" s="1"/>
  <c r="AH28" s="1"/>
  <c r="E29" l="1"/>
  <c r="AA29" s="1"/>
  <c r="AC29" s="1"/>
  <c r="AH29" s="1"/>
  <c r="E30" l="1"/>
  <c r="AA30" s="1"/>
  <c r="AC30" s="1"/>
  <c r="AH30" s="1"/>
  <c r="E31" l="1"/>
  <c r="AA31" s="1"/>
  <c r="AC31" s="1"/>
  <c r="AH31" s="1"/>
  <c r="E33" l="1"/>
  <c r="AA33" s="1"/>
  <c r="E32"/>
  <c r="AA32" s="1"/>
  <c r="AP5" i="1"/>
  <c r="AN5"/>
  <c r="AR5"/>
  <c r="AP6" l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N26"/>
  <c r="AR26"/>
  <c r="AS25"/>
  <c r="AP26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<sst xmlns="http://schemas.openxmlformats.org/spreadsheetml/2006/main" count="665" uniqueCount="417">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</sst>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9618944"/>
        <c:axId val="159620480"/>
      </c:lineChart>
      <c:catAx>
        <c:axId val="15961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20480"/>
        <c:crosses val="autoZero"/>
        <c:auto val="1"/>
        <c:lblAlgn val="ctr"/>
        <c:lblOffset val="100"/>
      </c:catAx>
      <c:valAx>
        <c:axId val="159620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1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9920128"/>
        <c:axId val="159921664"/>
      </c:lineChart>
      <c:catAx>
        <c:axId val="15992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21664"/>
        <c:crosses val="autoZero"/>
        <c:auto val="1"/>
        <c:lblAlgn val="ctr"/>
        <c:lblOffset val="100"/>
      </c:catAx>
      <c:valAx>
        <c:axId val="15992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2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4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347"/>
          <c:w val="0.77663126001868432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9950336"/>
        <c:axId val="159951872"/>
      </c:lineChart>
      <c:catAx>
        <c:axId val="15995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51872"/>
        <c:crosses val="autoZero"/>
        <c:auto val="1"/>
        <c:lblAlgn val="ctr"/>
        <c:lblOffset val="100"/>
      </c:catAx>
      <c:valAx>
        <c:axId val="159951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5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59968256"/>
        <c:axId val="159453952"/>
      </c:lineChart>
      <c:catAx>
        <c:axId val="15996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53952"/>
        <c:crosses val="autoZero"/>
        <c:auto val="1"/>
        <c:lblAlgn val="ctr"/>
        <c:lblOffset val="100"/>
      </c:catAx>
      <c:valAx>
        <c:axId val="159453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6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98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59486720"/>
        <c:axId val="159488256"/>
      </c:lineChart>
      <c:catAx>
        <c:axId val="15948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88256"/>
        <c:crosses val="autoZero"/>
        <c:auto val="1"/>
        <c:lblAlgn val="ctr"/>
        <c:lblOffset val="100"/>
      </c:catAx>
      <c:valAx>
        <c:axId val="159488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8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08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60483968"/>
        <c:axId val="160301440"/>
      </c:lineChart>
      <c:catAx>
        <c:axId val="16048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1440"/>
        <c:crosses val="autoZero"/>
        <c:auto val="1"/>
        <c:lblAlgn val="ctr"/>
        <c:lblOffset val="100"/>
      </c:catAx>
      <c:valAx>
        <c:axId val="16030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60321920"/>
        <c:axId val="160323456"/>
      </c:lineChart>
      <c:catAx>
        <c:axId val="16032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23456"/>
        <c:crosses val="autoZero"/>
        <c:auto val="1"/>
        <c:lblAlgn val="ctr"/>
        <c:lblOffset val="100"/>
      </c:catAx>
      <c:valAx>
        <c:axId val="160323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2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60351744"/>
        <c:axId val="160353280"/>
      </c:lineChart>
      <c:catAx>
        <c:axId val="16035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3280"/>
        <c:crosses val="autoZero"/>
        <c:auto val="1"/>
        <c:lblAlgn val="ctr"/>
        <c:lblOffset val="100"/>
      </c:catAx>
      <c:valAx>
        <c:axId val="16035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60521216"/>
        <c:axId val="160523008"/>
      </c:lineChart>
      <c:catAx>
        <c:axId val="16052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3008"/>
        <c:crosses val="autoZero"/>
        <c:auto val="1"/>
        <c:lblAlgn val="ctr"/>
        <c:lblOffset val="100"/>
      </c:catAx>
      <c:valAx>
        <c:axId val="160523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03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60559872"/>
        <c:axId val="160561408"/>
      </c:lineChart>
      <c:catAx>
        <c:axId val="16055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61408"/>
        <c:crosses val="autoZero"/>
        <c:auto val="1"/>
        <c:lblAlgn val="ctr"/>
        <c:lblOffset val="100"/>
      </c:catAx>
      <c:valAx>
        <c:axId val="160561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5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60835840"/>
        <c:axId val="160849920"/>
      </c:lineChart>
      <c:catAx>
        <c:axId val="16083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49920"/>
        <c:crosses val="autoZero"/>
        <c:auto val="1"/>
        <c:lblAlgn val="ctr"/>
        <c:lblOffset val="100"/>
      </c:catAx>
      <c:valAx>
        <c:axId val="1608499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61411456"/>
        <c:axId val="161412992"/>
      </c:lineChart>
      <c:catAx>
        <c:axId val="16141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12992"/>
        <c:crosses val="autoZero"/>
        <c:auto val="1"/>
        <c:lblAlgn val="ctr"/>
        <c:lblOffset val="100"/>
      </c:catAx>
      <c:valAx>
        <c:axId val="16141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1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35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61257728"/>
        <c:axId val="161415168"/>
      </c:lineChart>
      <c:catAx>
        <c:axId val="16125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15168"/>
        <c:crosses val="autoZero"/>
        <c:auto val="1"/>
        <c:lblAlgn val="ctr"/>
        <c:lblOffset val="100"/>
      </c:catAx>
      <c:valAx>
        <c:axId val="16141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5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61456128"/>
        <c:axId val="161457664"/>
      </c:lineChart>
      <c:catAx>
        <c:axId val="16145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57664"/>
        <c:crosses val="autoZero"/>
        <c:auto val="1"/>
        <c:lblAlgn val="ctr"/>
        <c:lblOffset val="100"/>
      </c:catAx>
      <c:valAx>
        <c:axId val="161457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5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61482624"/>
        <c:axId val="161484160"/>
      </c:lineChart>
      <c:catAx>
        <c:axId val="16148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84160"/>
        <c:crosses val="autoZero"/>
        <c:auto val="1"/>
        <c:lblAlgn val="ctr"/>
        <c:lblOffset val="100"/>
      </c:catAx>
      <c:valAx>
        <c:axId val="161484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8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61508736"/>
        <c:axId val="161518720"/>
      </c:lineChart>
      <c:catAx>
        <c:axId val="16150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18720"/>
        <c:crosses val="autoZero"/>
        <c:auto val="1"/>
        <c:lblAlgn val="ctr"/>
        <c:lblOffset val="100"/>
      </c:catAx>
      <c:valAx>
        <c:axId val="16151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0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61621120"/>
        <c:axId val="161622656"/>
      </c:lineChart>
      <c:catAx>
        <c:axId val="16162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2656"/>
        <c:crosses val="autoZero"/>
        <c:auto val="1"/>
        <c:lblAlgn val="ctr"/>
        <c:lblOffset val="100"/>
      </c:catAx>
      <c:valAx>
        <c:axId val="161622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89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61647232"/>
        <c:axId val="161665408"/>
      </c:lineChart>
      <c:catAx>
        <c:axId val="16164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5408"/>
        <c:crosses val="autoZero"/>
        <c:auto val="1"/>
        <c:lblAlgn val="ctr"/>
        <c:lblOffset val="100"/>
      </c:catAx>
      <c:valAx>
        <c:axId val="161665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4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61698560"/>
        <c:axId val="161700096"/>
      </c:lineChart>
      <c:catAx>
        <c:axId val="16169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0096"/>
        <c:crosses val="autoZero"/>
        <c:auto val="1"/>
        <c:lblAlgn val="ctr"/>
        <c:lblOffset val="100"/>
      </c:catAx>
      <c:valAx>
        <c:axId val="16170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9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0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61552640"/>
        <c:axId val="161554432"/>
      </c:lineChart>
      <c:catAx>
        <c:axId val="16155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4432"/>
        <c:crosses val="autoZero"/>
        <c:auto val="1"/>
        <c:lblAlgn val="ctr"/>
        <c:lblOffset val="100"/>
      </c:catAx>
      <c:valAx>
        <c:axId val="1615544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61574912"/>
        <c:axId val="161576448"/>
      </c:lineChart>
      <c:catAx>
        <c:axId val="16157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76448"/>
        <c:crosses val="autoZero"/>
        <c:auto val="1"/>
        <c:lblAlgn val="ctr"/>
        <c:lblOffset val="100"/>
      </c:catAx>
      <c:valAx>
        <c:axId val="161576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7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61605120"/>
        <c:axId val="161606656"/>
      </c:lineChart>
      <c:catAx>
        <c:axId val="16160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06656"/>
        <c:crosses val="autoZero"/>
        <c:auto val="1"/>
        <c:lblAlgn val="ctr"/>
        <c:lblOffset val="100"/>
      </c:catAx>
      <c:valAx>
        <c:axId val="16160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0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83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61758208"/>
        <c:axId val="161792768"/>
      </c:lineChart>
      <c:catAx>
        <c:axId val="16175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92768"/>
        <c:crosses val="autoZero"/>
        <c:auto val="1"/>
        <c:lblAlgn val="ctr"/>
        <c:lblOffset val="100"/>
      </c:catAx>
      <c:valAx>
        <c:axId val="161792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5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61899264"/>
        <c:axId val="161900800"/>
      </c:lineChart>
      <c:catAx>
        <c:axId val="16189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0800"/>
        <c:crosses val="autoZero"/>
        <c:auto val="1"/>
        <c:lblAlgn val="ctr"/>
        <c:lblOffset val="100"/>
      </c:catAx>
      <c:valAx>
        <c:axId val="16190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9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983"/>
          <c:w val="0.1234311819809461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-384.30000000000013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12.399999999999995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61922432"/>
        <c:axId val="161936512"/>
      </c:lineChart>
      <c:catAx>
        <c:axId val="1619224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6512"/>
        <c:crosses val="autoZero"/>
        <c:auto val="1"/>
        <c:lblAlgn val="ctr"/>
        <c:lblOffset val="100"/>
      </c:catAx>
      <c:valAx>
        <c:axId val="1619365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2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193"/>
          <c:w val="0.1569039853282472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61960704"/>
        <c:axId val="161962240"/>
      </c:lineChart>
      <c:catAx>
        <c:axId val="16196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62240"/>
        <c:crosses val="autoZero"/>
        <c:auto val="1"/>
        <c:lblAlgn val="ctr"/>
        <c:lblOffset val="100"/>
      </c:catAx>
      <c:valAx>
        <c:axId val="1619622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6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6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62060928"/>
        <c:axId val="162062720"/>
      </c:lineChart>
      <c:catAx>
        <c:axId val="1620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2720"/>
        <c:crosses val="autoZero"/>
        <c:auto val="1"/>
        <c:lblAlgn val="ctr"/>
        <c:lblOffset val="100"/>
      </c:catAx>
      <c:valAx>
        <c:axId val="162062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7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-384.30000000000013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12.399999999999995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8557184"/>
        <c:axId val="188558720"/>
      </c:lineChart>
      <c:catAx>
        <c:axId val="188557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58720"/>
        <c:crosses val="autoZero"/>
        <c:auto val="1"/>
        <c:lblAlgn val="ctr"/>
        <c:lblOffset val="100"/>
      </c:catAx>
      <c:valAx>
        <c:axId val="1885587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5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1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  <row r="19">
          <cell r="E19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9" sqref="I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0.44501661376501139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0.4322663220194361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0.35528705836405372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-0.15376004228825321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0.40530902202006924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0.35063057758302979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0.41807997706479416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0.49109209527647979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1.085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1.085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1.085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1.085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1.085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1.085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1.085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1.085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1.085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1.085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-89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15" sqref="Q15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1">
        <f>[2]ELEC!D33</f>
        <v>286340</v>
      </c>
      <c r="E3" s="591">
        <f>[2]ELEC!E33</f>
        <v>0</v>
      </c>
      <c r="F3" s="591">
        <f>[2]ELEC!F33</f>
        <v>4130656</v>
      </c>
      <c r="G3" s="591">
        <f>[2]ELEC!G33</f>
        <v>0</v>
      </c>
      <c r="H3" s="591">
        <f>[2]ELEC!H33</f>
        <v>18038570</v>
      </c>
      <c r="I3" s="591">
        <f>[2]ELEC!I33</f>
        <v>0</v>
      </c>
      <c r="J3" s="591">
        <f>[2]ELEC!J33</f>
        <v>29783774</v>
      </c>
      <c r="K3" s="591">
        <f>[2]ELEC!K33</f>
        <v>0</v>
      </c>
      <c r="L3" s="591">
        <f>[2]ELEC!L33</f>
        <v>24577264</v>
      </c>
      <c r="M3" s="591">
        <f>[2]ELEC!M33</f>
        <v>0</v>
      </c>
      <c r="N3" s="591">
        <f>[2]ELEC!N33</f>
        <v>0</v>
      </c>
      <c r="O3" s="591">
        <f>[2]ELEC!O33</f>
        <v>0</v>
      </c>
      <c r="P3" s="591">
        <f>[2]ELEC!P33</f>
        <v>19199.525000000001</v>
      </c>
      <c r="Q3" s="591">
        <f>[2]ELEC!Q33</f>
        <v>0</v>
      </c>
      <c r="R3" s="591">
        <f>[2]ELEC!R33</f>
        <v>0</v>
      </c>
      <c r="S3" s="591">
        <f>[2]ELEC!S33</f>
        <v>10175</v>
      </c>
      <c r="T3" s="591">
        <f>[2]ELEC!T33</f>
        <v>0</v>
      </c>
      <c r="U3" s="591">
        <f>[2]ELEC!U33</f>
        <v>429166</v>
      </c>
      <c r="V3" s="591">
        <f>[2]ELEC!V33</f>
        <v>0</v>
      </c>
      <c r="W3" s="591">
        <f>[2]ELEC!W33</f>
        <v>33484</v>
      </c>
      <c r="X3" s="591">
        <f>[2]ELEC!X33</f>
        <v>0</v>
      </c>
      <c r="Y3" s="591">
        <f>[2]ELEC!Y33</f>
        <v>996900</v>
      </c>
      <c r="Z3" s="591">
        <f>[2]ELEC!Z33</f>
        <v>0</v>
      </c>
      <c r="AA3" s="591">
        <f>[2]ELEC!AA33</f>
        <v>36796</v>
      </c>
      <c r="AB3" s="591">
        <f>[2]ELEC!AB33</f>
        <v>0</v>
      </c>
      <c r="AC3" s="591">
        <f>[2]ELEC!AC33</f>
        <v>1170505</v>
      </c>
      <c r="AD3" s="591">
        <f>[2]ELEC!AD33</f>
        <v>0</v>
      </c>
      <c r="AE3" s="591">
        <f>[2]ELEC!AE33</f>
        <v>0</v>
      </c>
      <c r="AF3" s="591">
        <f>[2]ELEC!AF33</f>
        <v>0</v>
      </c>
      <c r="AG3" s="591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2">
        <f>D3</f>
        <v>286340</v>
      </c>
      <c r="E4" s="580">
        <f>D4-D3</f>
        <v>0</v>
      </c>
      <c r="F4" s="569">
        <f>F3</f>
        <v>4130656</v>
      </c>
      <c r="G4" s="581">
        <f>F4-F3</f>
        <v>0</v>
      </c>
      <c r="H4" s="426">
        <f>H3</f>
        <v>18038570</v>
      </c>
      <c r="I4" s="581">
        <f>H4-H3</f>
        <v>0</v>
      </c>
      <c r="J4" s="426">
        <f>J3</f>
        <v>29783774</v>
      </c>
      <c r="K4" s="581">
        <f>J4-J3</f>
        <v>0</v>
      </c>
      <c r="L4" s="426">
        <f>L3</f>
        <v>24577264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2">
        <f t="shared" ref="D5:D34" si="7">D4</f>
        <v>286340</v>
      </c>
      <c r="E5" s="580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2">
        <v>288240</v>
      </c>
      <c r="E6" s="580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2">
        <v>289480</v>
      </c>
      <c r="E7" s="580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2">
        <v>290260</v>
      </c>
      <c r="E8" s="580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2">
        <f t="shared" si="7"/>
        <v>290260</v>
      </c>
      <c r="E9" s="580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2">
        <f t="shared" si="7"/>
        <v>290260</v>
      </c>
      <c r="E10" s="580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2">
        <v>291370</v>
      </c>
      <c r="E11" s="580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2">
        <v>292210</v>
      </c>
      <c r="E12" s="580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4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2">
        <v>292980</v>
      </c>
      <c r="E13" s="580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2">
        <v>293750</v>
      </c>
      <c r="E14" s="580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2">
        <v>294440</v>
      </c>
      <c r="E15" s="580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4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2">
        <f t="shared" si="7"/>
        <v>294440</v>
      </c>
      <c r="E16" s="580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2">
        <f t="shared" si="7"/>
        <v>294440</v>
      </c>
      <c r="E17" s="580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2">
        <f t="shared" si="7"/>
        <v>294440</v>
      </c>
      <c r="E18" s="580">
        <f t="shared" si="8"/>
        <v>0</v>
      </c>
      <c r="F18" s="569">
        <f t="shared" si="9"/>
        <v>4133116</v>
      </c>
      <c r="G18" s="449">
        <f t="shared" si="34"/>
        <v>0</v>
      </c>
      <c r="H18" s="426">
        <f t="shared" si="10"/>
        <v>18042302</v>
      </c>
      <c r="I18" s="449">
        <f t="shared" si="35"/>
        <v>0</v>
      </c>
      <c r="J18" s="426">
        <f t="shared" si="11"/>
        <v>29791200</v>
      </c>
      <c r="K18" s="449">
        <f t="shared" si="36"/>
        <v>0</v>
      </c>
      <c r="L18" s="426">
        <f t="shared" si="12"/>
        <v>24584732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3">
        <f t="shared" si="13"/>
        <v>19227.006000000001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2">
        <f t="shared" si="7"/>
        <v>294440</v>
      </c>
      <c r="E19" s="580">
        <f t="shared" si="8"/>
        <v>0</v>
      </c>
      <c r="F19" s="569">
        <f t="shared" si="9"/>
        <v>4133116</v>
      </c>
      <c r="G19" s="449">
        <f t="shared" si="34"/>
        <v>0</v>
      </c>
      <c r="H19" s="426">
        <f t="shared" si="10"/>
        <v>18042302</v>
      </c>
      <c r="I19" s="449">
        <f t="shared" si="35"/>
        <v>0</v>
      </c>
      <c r="J19" s="426">
        <f t="shared" si="11"/>
        <v>29791200</v>
      </c>
      <c r="K19" s="449">
        <f t="shared" si="36"/>
        <v>0</v>
      </c>
      <c r="L19" s="426">
        <f t="shared" si="12"/>
        <v>24584732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3">
        <f t="shared" si="13"/>
        <v>19227.006000000001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2">
        <f t="shared" si="7"/>
        <v>294440</v>
      </c>
      <c r="E20" s="580">
        <f t="shared" si="8"/>
        <v>0</v>
      </c>
      <c r="F20" s="569">
        <f t="shared" si="9"/>
        <v>4133116</v>
      </c>
      <c r="G20" s="449">
        <f t="shared" si="34"/>
        <v>0</v>
      </c>
      <c r="H20" s="426">
        <f t="shared" si="10"/>
        <v>18042302</v>
      </c>
      <c r="I20" s="449">
        <f t="shared" si="35"/>
        <v>0</v>
      </c>
      <c r="J20" s="426">
        <f t="shared" si="11"/>
        <v>29791200</v>
      </c>
      <c r="K20" s="449">
        <f t="shared" si="36"/>
        <v>0</v>
      </c>
      <c r="L20" s="426">
        <f t="shared" si="12"/>
        <v>24584732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13"/>
        <v>19227.006000000001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2">
        <f t="shared" si="7"/>
        <v>294440</v>
      </c>
      <c r="E21" s="580">
        <f t="shared" si="8"/>
        <v>0</v>
      </c>
      <c r="F21" s="569">
        <f t="shared" si="9"/>
        <v>4133116</v>
      </c>
      <c r="G21" s="449">
        <f t="shared" si="34"/>
        <v>0</v>
      </c>
      <c r="H21" s="426">
        <f t="shared" si="10"/>
        <v>18042302</v>
      </c>
      <c r="I21" s="449">
        <f t="shared" si="35"/>
        <v>0</v>
      </c>
      <c r="J21" s="426">
        <f t="shared" si="11"/>
        <v>29791200</v>
      </c>
      <c r="K21" s="449">
        <f t="shared" si="36"/>
        <v>0</v>
      </c>
      <c r="L21" s="426">
        <f t="shared" si="12"/>
        <v>24584732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13"/>
        <v>19227.006000000001</v>
      </c>
      <c r="Q21" s="446">
        <f t="shared" si="1"/>
        <v>0</v>
      </c>
      <c r="R21" s="594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2">
        <f t="shared" si="7"/>
        <v>294440</v>
      </c>
      <c r="E22" s="580">
        <f t="shared" ref="E22" si="44">D22-D21</f>
        <v>0</v>
      </c>
      <c r="F22" s="569">
        <f t="shared" si="9"/>
        <v>4133116</v>
      </c>
      <c r="G22" s="449">
        <f t="shared" ref="G22" si="45">F22-F21</f>
        <v>0</v>
      </c>
      <c r="H22" s="426">
        <f t="shared" si="10"/>
        <v>18042302</v>
      </c>
      <c r="I22" s="449">
        <f t="shared" ref="I22" si="46">H22-H21</f>
        <v>0</v>
      </c>
      <c r="J22" s="426">
        <f t="shared" si="11"/>
        <v>29791200</v>
      </c>
      <c r="K22" s="449">
        <f t="shared" ref="K22" si="47">J22-J21</f>
        <v>0</v>
      </c>
      <c r="L22" s="426">
        <f t="shared" si="12"/>
        <v>24584732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13"/>
        <v>19227.006000000001</v>
      </c>
      <c r="Q22" s="446">
        <f t="shared" ref="Q22" si="51">(P22-P21)*1000</f>
        <v>0</v>
      </c>
      <c r="R22" s="594">
        <f t="shared" ref="R22" si="52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2">
        <f t="shared" si="7"/>
        <v>294440</v>
      </c>
      <c r="E23" s="580">
        <f t="shared" si="8"/>
        <v>0</v>
      </c>
      <c r="F23" s="569">
        <f t="shared" si="9"/>
        <v>4133116</v>
      </c>
      <c r="G23" s="449">
        <f t="shared" si="34"/>
        <v>0</v>
      </c>
      <c r="H23" s="426">
        <f t="shared" si="10"/>
        <v>18042302</v>
      </c>
      <c r="I23" s="449">
        <f t="shared" si="35"/>
        <v>0</v>
      </c>
      <c r="J23" s="426">
        <f t="shared" si="11"/>
        <v>29791200</v>
      </c>
      <c r="K23" s="449">
        <f t="shared" si="36"/>
        <v>0</v>
      </c>
      <c r="L23" s="426">
        <f t="shared" si="12"/>
        <v>24584732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19227.006000000001</v>
      </c>
      <c r="Q23" s="446">
        <f t="shared" si="1"/>
        <v>0</v>
      </c>
      <c r="R23" s="594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2">
        <f t="shared" si="7"/>
        <v>294440</v>
      </c>
      <c r="E24" s="580">
        <f t="shared" si="8"/>
        <v>0</v>
      </c>
      <c r="F24" s="569">
        <f t="shared" si="9"/>
        <v>4133116</v>
      </c>
      <c r="G24" s="449">
        <f t="shared" si="34"/>
        <v>0</v>
      </c>
      <c r="H24" s="426">
        <f t="shared" si="10"/>
        <v>18042302</v>
      </c>
      <c r="I24" s="599">
        <f t="shared" si="35"/>
        <v>0</v>
      </c>
      <c r="J24" s="426">
        <f t="shared" si="11"/>
        <v>29791200</v>
      </c>
      <c r="K24" s="449">
        <f t="shared" si="36"/>
        <v>0</v>
      </c>
      <c r="L24" s="426">
        <f t="shared" si="12"/>
        <v>24584732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19227.006000000001</v>
      </c>
      <c r="Q24" s="446">
        <f t="shared" si="1"/>
        <v>0</v>
      </c>
      <c r="R24" s="594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2">
        <f t="shared" si="7"/>
        <v>294440</v>
      </c>
      <c r="E25" s="580">
        <f t="shared" si="8"/>
        <v>0</v>
      </c>
      <c r="F25" s="569">
        <f t="shared" si="9"/>
        <v>4133116</v>
      </c>
      <c r="G25" s="449">
        <f t="shared" si="34"/>
        <v>0</v>
      </c>
      <c r="H25" s="426">
        <f t="shared" si="10"/>
        <v>18042302</v>
      </c>
      <c r="I25" s="449">
        <f t="shared" si="35"/>
        <v>0</v>
      </c>
      <c r="J25" s="426">
        <f t="shared" si="11"/>
        <v>29791200</v>
      </c>
      <c r="K25" s="449">
        <f t="shared" si="36"/>
        <v>0</v>
      </c>
      <c r="L25" s="426">
        <f t="shared" si="12"/>
        <v>24584732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13"/>
        <v>19227.006000000001</v>
      </c>
      <c r="Q25" s="446">
        <f t="shared" si="1"/>
        <v>0</v>
      </c>
      <c r="R25" s="594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2">
        <f t="shared" si="7"/>
        <v>294440</v>
      </c>
      <c r="E26" s="580">
        <f t="shared" si="8"/>
        <v>0</v>
      </c>
      <c r="F26" s="569">
        <f t="shared" si="9"/>
        <v>4133116</v>
      </c>
      <c r="G26" s="449">
        <f t="shared" si="34"/>
        <v>0</v>
      </c>
      <c r="H26" s="426">
        <f t="shared" si="10"/>
        <v>18042302</v>
      </c>
      <c r="I26" s="449">
        <f t="shared" si="35"/>
        <v>0</v>
      </c>
      <c r="J26" s="426">
        <f t="shared" si="11"/>
        <v>29791200</v>
      </c>
      <c r="K26" s="449">
        <f t="shared" si="36"/>
        <v>0</v>
      </c>
      <c r="L26" s="426">
        <f t="shared" si="12"/>
        <v>24584732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13"/>
        <v>19227.006000000001</v>
      </c>
      <c r="Q26" s="446">
        <f t="shared" si="1"/>
        <v>0</v>
      </c>
      <c r="R26" s="594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2">
        <f t="shared" si="7"/>
        <v>294440</v>
      </c>
      <c r="E27" s="580">
        <f t="shared" si="8"/>
        <v>0</v>
      </c>
      <c r="F27" s="569">
        <f t="shared" si="9"/>
        <v>4133116</v>
      </c>
      <c r="G27" s="449">
        <f t="shared" si="34"/>
        <v>0</v>
      </c>
      <c r="H27" s="426">
        <f t="shared" si="10"/>
        <v>18042302</v>
      </c>
      <c r="I27" s="449">
        <f t="shared" si="35"/>
        <v>0</v>
      </c>
      <c r="J27" s="426">
        <f t="shared" si="11"/>
        <v>29791200</v>
      </c>
      <c r="K27" s="449">
        <f t="shared" si="36"/>
        <v>0</v>
      </c>
      <c r="L27" s="426">
        <f t="shared" si="12"/>
        <v>24584732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13"/>
        <v>19227.006000000001</v>
      </c>
      <c r="Q27" s="446">
        <f t="shared" si="1"/>
        <v>0</v>
      </c>
      <c r="R27" s="594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2">
        <f t="shared" si="7"/>
        <v>294440</v>
      </c>
      <c r="E28" s="580">
        <f t="shared" si="8"/>
        <v>0</v>
      </c>
      <c r="F28" s="569">
        <f t="shared" si="9"/>
        <v>4133116</v>
      </c>
      <c r="G28" s="449">
        <f>F28-F27</f>
        <v>0</v>
      </c>
      <c r="H28" s="426">
        <f t="shared" si="10"/>
        <v>18042302</v>
      </c>
      <c r="I28" s="449">
        <f t="shared" si="35"/>
        <v>0</v>
      </c>
      <c r="J28" s="426">
        <f t="shared" si="11"/>
        <v>29791200</v>
      </c>
      <c r="K28" s="449">
        <f t="shared" si="36"/>
        <v>0</v>
      </c>
      <c r="L28" s="426">
        <f t="shared" si="12"/>
        <v>24584732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13"/>
        <v>19227.006000000001</v>
      </c>
      <c r="Q28" s="446">
        <f t="shared" si="1"/>
        <v>0</v>
      </c>
      <c r="R28" s="594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2">
        <f t="shared" si="7"/>
        <v>294440</v>
      </c>
      <c r="E29" s="580">
        <f t="shared" si="8"/>
        <v>0</v>
      </c>
      <c r="F29" s="569">
        <f t="shared" si="9"/>
        <v>4133116</v>
      </c>
      <c r="G29" s="449">
        <f>F29-F28</f>
        <v>0</v>
      </c>
      <c r="H29" s="426">
        <f t="shared" si="10"/>
        <v>18042302</v>
      </c>
      <c r="I29" s="449">
        <f>H29-H28</f>
        <v>0</v>
      </c>
      <c r="J29" s="426">
        <f t="shared" si="11"/>
        <v>29791200</v>
      </c>
      <c r="K29" s="449">
        <f>J29-J28</f>
        <v>0</v>
      </c>
      <c r="L29" s="426">
        <f t="shared" si="12"/>
        <v>24584732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19227.006000000001</v>
      </c>
      <c r="Q29" s="446">
        <f>(P29-P28)*1000</f>
        <v>0</v>
      </c>
      <c r="R29" s="594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2">
        <f t="shared" si="7"/>
        <v>294440</v>
      </c>
      <c r="E30" s="580">
        <f t="shared" si="8"/>
        <v>0</v>
      </c>
      <c r="F30" s="569">
        <f t="shared" si="9"/>
        <v>4133116</v>
      </c>
      <c r="G30" s="449">
        <f t="shared" si="34"/>
        <v>0</v>
      </c>
      <c r="H30" s="426">
        <f t="shared" si="10"/>
        <v>18042302</v>
      </c>
      <c r="I30" s="449">
        <f t="shared" si="35"/>
        <v>0</v>
      </c>
      <c r="J30" s="426">
        <f t="shared" si="11"/>
        <v>29791200</v>
      </c>
      <c r="K30" s="449">
        <f t="shared" si="36"/>
        <v>0</v>
      </c>
      <c r="L30" s="426">
        <f t="shared" si="12"/>
        <v>24584732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19227.006000000001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2">
        <f t="shared" si="7"/>
        <v>294440</v>
      </c>
      <c r="E31" s="580">
        <f t="shared" si="8"/>
        <v>0</v>
      </c>
      <c r="F31" s="569">
        <f t="shared" si="9"/>
        <v>4133116</v>
      </c>
      <c r="G31" s="449">
        <f t="shared" si="34"/>
        <v>0</v>
      </c>
      <c r="H31" s="426">
        <f t="shared" si="10"/>
        <v>18042302</v>
      </c>
      <c r="I31" s="449">
        <f t="shared" si="35"/>
        <v>0</v>
      </c>
      <c r="J31" s="426">
        <f t="shared" si="11"/>
        <v>29791200</v>
      </c>
      <c r="K31" s="449">
        <f t="shared" si="36"/>
        <v>0</v>
      </c>
      <c r="L31" s="426">
        <f t="shared" si="12"/>
        <v>24584732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19227.006000000001</v>
      </c>
      <c r="Q31" s="446">
        <f t="shared" si="1"/>
        <v>0</v>
      </c>
      <c r="R31" s="594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44710</v>
      </c>
      <c r="D32" s="592">
        <f t="shared" si="7"/>
        <v>294440</v>
      </c>
      <c r="E32" s="580">
        <f t="shared" si="8"/>
        <v>0</v>
      </c>
      <c r="F32" s="569">
        <f t="shared" si="9"/>
        <v>4133116</v>
      </c>
      <c r="G32" s="449">
        <f t="shared" si="34"/>
        <v>0</v>
      </c>
      <c r="H32" s="426">
        <f t="shared" si="10"/>
        <v>18042302</v>
      </c>
      <c r="I32" s="449">
        <f t="shared" si="35"/>
        <v>0</v>
      </c>
      <c r="J32" s="426">
        <f t="shared" si="11"/>
        <v>29791200</v>
      </c>
      <c r="K32" s="449">
        <f t="shared" si="36"/>
        <v>0</v>
      </c>
      <c r="L32" s="426">
        <f t="shared" si="12"/>
        <v>24584732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13"/>
        <v>19227.006000000001</v>
      </c>
      <c r="Q32" s="446">
        <f t="shared" ref="Q32:Q34" si="57">(P32-P31)*1000</f>
        <v>0</v>
      </c>
      <c r="R32" s="594">
        <f t="shared" ref="R32:R34" si="58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9">W32-W31</f>
        <v>0</v>
      </c>
      <c r="Y32" s="426">
        <f t="shared" si="17"/>
        <v>996900</v>
      </c>
      <c r="Z32" s="428">
        <f t="shared" ref="Z32:Z34" si="60">Y32-Y31</f>
        <v>0</v>
      </c>
      <c r="AA32" s="426">
        <f t="shared" si="18"/>
        <v>36796</v>
      </c>
      <c r="AB32" s="428">
        <f t="shared" ref="AB32:AB34" si="61">AA32-AA31</f>
        <v>0</v>
      </c>
      <c r="AC32" s="426">
        <f t="shared" si="19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44711</v>
      </c>
      <c r="D33" s="592">
        <f t="shared" si="7"/>
        <v>294440</v>
      </c>
      <c r="E33" s="580">
        <f t="shared" si="8"/>
        <v>0</v>
      </c>
      <c r="F33" s="569">
        <f t="shared" si="9"/>
        <v>4133116</v>
      </c>
      <c r="G33" s="449">
        <f t="shared" si="34"/>
        <v>0</v>
      </c>
      <c r="H33" s="426">
        <f t="shared" si="10"/>
        <v>18042302</v>
      </c>
      <c r="I33" s="449">
        <f t="shared" si="35"/>
        <v>0</v>
      </c>
      <c r="J33" s="426">
        <f t="shared" si="11"/>
        <v>29791200</v>
      </c>
      <c r="K33" s="449">
        <f t="shared" si="36"/>
        <v>0</v>
      </c>
      <c r="L33" s="426">
        <f t="shared" si="12"/>
        <v>24584732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13"/>
        <v>19227.006000000001</v>
      </c>
      <c r="Q33" s="446">
        <f t="shared" si="57"/>
        <v>0</v>
      </c>
      <c r="R33" s="594">
        <f t="shared" si="58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5">U33-U32</f>
        <v>0</v>
      </c>
      <c r="W33" s="426">
        <f t="shared" si="16"/>
        <v>33484</v>
      </c>
      <c r="X33" s="448">
        <f t="shared" si="59"/>
        <v>0</v>
      </c>
      <c r="Y33" s="426">
        <f t="shared" si="17"/>
        <v>996900</v>
      </c>
      <c r="Z33" s="428">
        <f t="shared" si="60"/>
        <v>0</v>
      </c>
      <c r="AA33" s="426">
        <f t="shared" si="18"/>
        <v>36796</v>
      </c>
      <c r="AB33" s="428">
        <f t="shared" si="61"/>
        <v>0</v>
      </c>
      <c r="AC33" s="426">
        <f t="shared" si="19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44712</v>
      </c>
      <c r="D34" s="592">
        <f t="shared" si="7"/>
        <v>294440</v>
      </c>
      <c r="E34" s="580">
        <f t="shared" si="8"/>
        <v>0</v>
      </c>
      <c r="F34" s="569">
        <f t="shared" si="9"/>
        <v>4133116</v>
      </c>
      <c r="G34" s="449">
        <f t="shared" si="34"/>
        <v>0</v>
      </c>
      <c r="H34" s="426">
        <f t="shared" si="10"/>
        <v>18042302</v>
      </c>
      <c r="I34" s="449">
        <f t="shared" si="35"/>
        <v>0</v>
      </c>
      <c r="J34" s="426">
        <f t="shared" si="11"/>
        <v>29791200</v>
      </c>
      <c r="K34" s="449">
        <f t="shared" si="36"/>
        <v>0</v>
      </c>
      <c r="L34" s="426">
        <f t="shared" si="12"/>
        <v>24584732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13"/>
        <v>19227.006000000001</v>
      </c>
      <c r="Q34" s="446">
        <f t="shared" si="57"/>
        <v>0</v>
      </c>
      <c r="R34" s="594">
        <f t="shared" si="58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9"/>
        <v>0</v>
      </c>
      <c r="Y34" s="426">
        <f t="shared" si="17"/>
        <v>996900</v>
      </c>
      <c r="Z34" s="428">
        <f t="shared" si="60"/>
        <v>0</v>
      </c>
      <c r="AA34" s="426">
        <f t="shared" si="18"/>
        <v>36796</v>
      </c>
      <c r="AB34" s="428">
        <f t="shared" si="61"/>
        <v>0</v>
      </c>
      <c r="AC34" s="426">
        <f t="shared" si="19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2" activePane="bottomLeft" state="frozen"/>
      <selection activeCell="K1" sqref="K1"/>
      <selection pane="bottomLeft" activeCell="AA16" sqref="AA1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1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f t="shared" si="12"/>
        <v>234</v>
      </c>
      <c r="C19" s="537">
        <f t="shared" si="13"/>
        <v>240</v>
      </c>
      <c r="D19" s="45">
        <f t="shared" si="36"/>
        <v>0</v>
      </c>
      <c r="E19" s="45">
        <f t="shared" si="14"/>
        <v>0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f t="shared" si="18"/>
        <v>2425</v>
      </c>
      <c r="L19" s="52">
        <f t="shared" si="19"/>
        <v>0</v>
      </c>
      <c r="M19" s="537">
        <f t="shared" si="20"/>
        <v>179797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2199</v>
      </c>
      <c r="Q19" s="537">
        <f t="shared" si="46"/>
        <v>183999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f t="shared" si="12"/>
        <v>234</v>
      </c>
      <c r="C20" s="537">
        <f t="shared" si="13"/>
        <v>240</v>
      </c>
      <c r="D20" s="45">
        <f>C19-C20</f>
        <v>0</v>
      </c>
      <c r="E20" s="45">
        <f t="shared" si="14"/>
        <v>0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2425</v>
      </c>
      <c r="L20" s="52">
        <f t="shared" si="19"/>
        <v>0</v>
      </c>
      <c r="M20" s="537">
        <f t="shared" si="20"/>
        <v>179797</v>
      </c>
      <c r="N20" s="380">
        <f t="shared" si="2"/>
        <v>0</v>
      </c>
      <c r="O20" s="64">
        <f t="shared" si="48"/>
        <v>1869</v>
      </c>
      <c r="P20" s="537">
        <f t="shared" si="45"/>
        <v>2199</v>
      </c>
      <c r="Q20" s="537">
        <f t="shared" si="46"/>
        <v>183999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f t="shared" si="12"/>
        <v>234</v>
      </c>
      <c r="C21" s="537">
        <f t="shared" si="13"/>
        <v>240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2425</v>
      </c>
      <c r="L21" s="52">
        <f t="shared" si="19"/>
        <v>0</v>
      </c>
      <c r="M21" s="537">
        <f t="shared" si="20"/>
        <v>179797</v>
      </c>
      <c r="N21" s="380">
        <f t="shared" si="2"/>
        <v>0</v>
      </c>
      <c r="O21" s="64">
        <f t="shared" si="48"/>
        <v>1869</v>
      </c>
      <c r="P21" s="537">
        <f t="shared" si="45"/>
        <v>2199</v>
      </c>
      <c r="Q21" s="537">
        <f t="shared" si="46"/>
        <v>183999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f t="shared" si="12"/>
        <v>234</v>
      </c>
      <c r="C22" s="537">
        <f t="shared" si="13"/>
        <v>240</v>
      </c>
      <c r="D22" s="45">
        <f t="shared" si="49"/>
        <v>0</v>
      </c>
      <c r="E22" s="45">
        <f t="shared" si="14"/>
        <v>0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2425</v>
      </c>
      <c r="L22" s="52">
        <f t="shared" si="19"/>
        <v>0</v>
      </c>
      <c r="M22" s="537">
        <f t="shared" si="20"/>
        <v>179797</v>
      </c>
      <c r="N22" s="380">
        <f t="shared" si="2"/>
        <v>0</v>
      </c>
      <c r="O22" s="64">
        <f t="shared" si="48"/>
        <v>1869</v>
      </c>
      <c r="P22" s="537">
        <f t="shared" si="45"/>
        <v>2199</v>
      </c>
      <c r="Q22" s="537">
        <f t="shared" si="46"/>
        <v>183999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2479</v>
      </c>
      <c r="Y22" s="52">
        <f t="shared" si="25"/>
        <v>0</v>
      </c>
      <c r="Z22" s="537">
        <f t="shared" si="26"/>
        <v>139861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f t="shared" si="12"/>
        <v>234</v>
      </c>
      <c r="C23" s="537">
        <f t="shared" si="13"/>
        <v>240</v>
      </c>
      <c r="D23" s="45">
        <f t="shared" si="49"/>
        <v>0</v>
      </c>
      <c r="E23" s="45">
        <f t="shared" si="14"/>
        <v>0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2425</v>
      </c>
      <c r="L23" s="52">
        <f t="shared" si="19"/>
        <v>0</v>
      </c>
      <c r="M23" s="537">
        <f t="shared" si="20"/>
        <v>179797</v>
      </c>
      <c r="N23" s="380">
        <f t="shared" si="2"/>
        <v>0</v>
      </c>
      <c r="O23" s="64">
        <f t="shared" si="48"/>
        <v>1869</v>
      </c>
      <c r="P23" s="537">
        <f t="shared" si="45"/>
        <v>2199</v>
      </c>
      <c r="Q23" s="537">
        <f t="shared" si="46"/>
        <v>183999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2479</v>
      </c>
      <c r="Y23" s="52">
        <f t="shared" si="25"/>
        <v>0</v>
      </c>
      <c r="Z23" s="537">
        <f t="shared" si="26"/>
        <v>139861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234</v>
      </c>
      <c r="C24" s="537">
        <f t="shared" si="13"/>
        <v>240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2425</v>
      </c>
      <c r="L24" s="52">
        <f t="shared" si="19"/>
        <v>0</v>
      </c>
      <c r="M24" s="537">
        <f t="shared" si="20"/>
        <v>179797</v>
      </c>
      <c r="N24" s="380">
        <f t="shared" si="2"/>
        <v>0</v>
      </c>
      <c r="O24" s="64">
        <f t="shared" si="48"/>
        <v>1869</v>
      </c>
      <c r="P24" s="537">
        <f t="shared" si="45"/>
        <v>2199</v>
      </c>
      <c r="Q24" s="537">
        <f t="shared" si="46"/>
        <v>183999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2479</v>
      </c>
      <c r="Y24" s="52">
        <f t="shared" si="25"/>
        <v>0</v>
      </c>
      <c r="Z24" s="537">
        <f t="shared" si="26"/>
        <v>139861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f t="shared" si="12"/>
        <v>234</v>
      </c>
      <c r="C25" s="537">
        <f t="shared" si="13"/>
        <v>240</v>
      </c>
      <c r="D25" s="45">
        <f t="shared" si="49"/>
        <v>0</v>
      </c>
      <c r="E25" s="45">
        <f t="shared" si="14"/>
        <v>0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2425</v>
      </c>
      <c r="L25" s="52">
        <f t="shared" si="19"/>
        <v>0</v>
      </c>
      <c r="M25" s="537">
        <f t="shared" si="20"/>
        <v>179797</v>
      </c>
      <c r="N25" s="380">
        <f t="shared" si="2"/>
        <v>0</v>
      </c>
      <c r="O25" s="64">
        <f t="shared" si="48"/>
        <v>1869</v>
      </c>
      <c r="P25" s="537">
        <f t="shared" si="45"/>
        <v>2199</v>
      </c>
      <c r="Q25" s="537">
        <f t="shared" si="46"/>
        <v>183999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2479</v>
      </c>
      <c r="Y25" s="52">
        <f t="shared" si="25"/>
        <v>0</v>
      </c>
      <c r="Z25" s="537">
        <f t="shared" si="26"/>
        <v>139861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f t="shared" si="12"/>
        <v>234</v>
      </c>
      <c r="C26" s="537">
        <f t="shared" si="13"/>
        <v>240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2425</v>
      </c>
      <c r="L26" s="52">
        <f t="shared" si="19"/>
        <v>0</v>
      </c>
      <c r="M26" s="537">
        <f t="shared" si="20"/>
        <v>179797</v>
      </c>
      <c r="N26" s="380">
        <f t="shared" si="2"/>
        <v>0</v>
      </c>
      <c r="O26" s="64">
        <f t="shared" si="48"/>
        <v>1869</v>
      </c>
      <c r="P26" s="537">
        <f t="shared" si="45"/>
        <v>2199</v>
      </c>
      <c r="Q26" s="537">
        <f t="shared" si="46"/>
        <v>183999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2479</v>
      </c>
      <c r="Y26" s="52">
        <f t="shared" si="25"/>
        <v>0</v>
      </c>
      <c r="Z26" s="537">
        <f t="shared" si="26"/>
        <v>139861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f t="shared" si="12"/>
        <v>234</v>
      </c>
      <c r="C27" s="537">
        <f t="shared" si="13"/>
        <v>240</v>
      </c>
      <c r="D27" s="45">
        <f t="shared" si="49"/>
        <v>0</v>
      </c>
      <c r="E27" s="45">
        <f t="shared" si="14"/>
        <v>0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2425</v>
      </c>
      <c r="L27" s="52">
        <f t="shared" si="19"/>
        <v>0</v>
      </c>
      <c r="M27" s="537">
        <f t="shared" si="20"/>
        <v>179797</v>
      </c>
      <c r="N27" s="380">
        <f t="shared" si="2"/>
        <v>0</v>
      </c>
      <c r="O27" s="64">
        <f t="shared" si="48"/>
        <v>1869</v>
      </c>
      <c r="P27" s="537">
        <f t="shared" si="45"/>
        <v>2199</v>
      </c>
      <c r="Q27" s="537">
        <f t="shared" si="46"/>
        <v>183999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2479</v>
      </c>
      <c r="Y27" s="52">
        <f t="shared" si="25"/>
        <v>0</v>
      </c>
      <c r="Z27" s="537">
        <f t="shared" si="26"/>
        <v>139861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f t="shared" si="12"/>
        <v>234</v>
      </c>
      <c r="C28" s="537">
        <f t="shared" si="13"/>
        <v>240</v>
      </c>
      <c r="D28" s="45">
        <f t="shared" si="49"/>
        <v>0</v>
      </c>
      <c r="E28" s="45">
        <f t="shared" si="14"/>
        <v>0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2425</v>
      </c>
      <c r="L28" s="52">
        <f t="shared" si="19"/>
        <v>0</v>
      </c>
      <c r="M28" s="537">
        <f t="shared" si="20"/>
        <v>179797</v>
      </c>
      <c r="N28" s="380">
        <f t="shared" si="2"/>
        <v>0</v>
      </c>
      <c r="O28" s="64">
        <f t="shared" si="48"/>
        <v>1869</v>
      </c>
      <c r="P28" s="537">
        <f t="shared" si="45"/>
        <v>2199</v>
      </c>
      <c r="Q28" s="537">
        <f t="shared" si="46"/>
        <v>183999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2479</v>
      </c>
      <c r="Y28" s="52">
        <f t="shared" si="25"/>
        <v>0</v>
      </c>
      <c r="Z28" s="537">
        <f t="shared" si="26"/>
        <v>139861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f t="shared" si="12"/>
        <v>234</v>
      </c>
      <c r="C29" s="537">
        <f t="shared" si="13"/>
        <v>240</v>
      </c>
      <c r="D29" s="45">
        <f t="shared" si="49"/>
        <v>0</v>
      </c>
      <c r="E29" s="45">
        <f t="shared" si="14"/>
        <v>0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f t="shared" si="18"/>
        <v>2425</v>
      </c>
      <c r="L29" s="52">
        <f t="shared" si="19"/>
        <v>0</v>
      </c>
      <c r="M29" s="537">
        <f t="shared" si="20"/>
        <v>179797</v>
      </c>
      <c r="N29" s="380">
        <f t="shared" si="2"/>
        <v>0</v>
      </c>
      <c r="O29" s="64">
        <f t="shared" si="48"/>
        <v>1869</v>
      </c>
      <c r="P29" s="537">
        <f t="shared" si="45"/>
        <v>2199</v>
      </c>
      <c r="Q29" s="537">
        <f t="shared" si="46"/>
        <v>183999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2479</v>
      </c>
      <c r="Y29" s="52">
        <f t="shared" si="25"/>
        <v>0</v>
      </c>
      <c r="Z29" s="537">
        <f t="shared" si="26"/>
        <v>139861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f t="shared" si="12"/>
        <v>234</v>
      </c>
      <c r="C30" s="537">
        <f t="shared" si="13"/>
        <v>240</v>
      </c>
      <c r="D30" s="45">
        <f>C29-C30</f>
        <v>0</v>
      </c>
      <c r="E30" s="45">
        <f>D30*8.38</f>
        <v>0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f t="shared" si="18"/>
        <v>2425</v>
      </c>
      <c r="L30" s="52">
        <f>K30-K29</f>
        <v>0</v>
      </c>
      <c r="M30" s="537">
        <f t="shared" si="20"/>
        <v>179797</v>
      </c>
      <c r="N30" s="380">
        <f>M30-M29</f>
        <v>0</v>
      </c>
      <c r="O30" s="64">
        <f t="shared" si="48"/>
        <v>1869</v>
      </c>
      <c r="P30" s="537">
        <f t="shared" si="45"/>
        <v>2199</v>
      </c>
      <c r="Q30" s="537">
        <f t="shared" si="46"/>
        <v>183999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2479</v>
      </c>
      <c r="Y30" s="52">
        <f>X30-X29</f>
        <v>0</v>
      </c>
      <c r="Z30" s="537">
        <f t="shared" si="26"/>
        <v>139861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234</v>
      </c>
      <c r="C31" s="537">
        <f t="shared" si="13"/>
        <v>240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2425</v>
      </c>
      <c r="L31" s="52">
        <f t="shared" si="19"/>
        <v>0</v>
      </c>
      <c r="M31" s="537">
        <f t="shared" si="20"/>
        <v>179797</v>
      </c>
      <c r="N31" s="380">
        <f t="shared" si="2"/>
        <v>0</v>
      </c>
      <c r="O31" s="64">
        <f t="shared" si="48"/>
        <v>1869</v>
      </c>
      <c r="P31" s="537">
        <f t="shared" si="45"/>
        <v>2199</v>
      </c>
      <c r="Q31" s="537">
        <f t="shared" si="46"/>
        <v>183999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2479</v>
      </c>
      <c r="Y31" s="52">
        <f t="shared" si="25"/>
        <v>0</v>
      </c>
      <c r="Z31" s="537">
        <f t="shared" si="26"/>
        <v>139861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234</v>
      </c>
      <c r="C32" s="537">
        <f t="shared" si="13"/>
        <v>240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2425</v>
      </c>
      <c r="L32" s="52">
        <f t="shared" si="19"/>
        <v>0</v>
      </c>
      <c r="M32" s="537">
        <f t="shared" si="20"/>
        <v>179797</v>
      </c>
      <c r="N32" s="380">
        <f t="shared" si="2"/>
        <v>0</v>
      </c>
      <c r="O32" s="64">
        <f t="shared" si="48"/>
        <v>1869</v>
      </c>
      <c r="P32" s="537">
        <f t="shared" si="45"/>
        <v>2199</v>
      </c>
      <c r="Q32" s="537">
        <f t="shared" si="46"/>
        <v>183999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2479</v>
      </c>
      <c r="Y32" s="52">
        <f t="shared" si="25"/>
        <v>0</v>
      </c>
      <c r="Z32" s="537">
        <f t="shared" si="26"/>
        <v>139861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234</v>
      </c>
      <c r="C33" s="537">
        <f t="shared" si="13"/>
        <v>240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2425</v>
      </c>
      <c r="L33" s="52">
        <f t="shared" ref="L33:L35" si="59">K33-K32</f>
        <v>0</v>
      </c>
      <c r="M33" s="537">
        <f t="shared" si="20"/>
        <v>179797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2199</v>
      </c>
      <c r="Q33" s="537">
        <f t="shared" si="46"/>
        <v>183999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2479</v>
      </c>
      <c r="Y33" s="52">
        <f t="shared" ref="Y33:Y35" si="66">X33-X32</f>
        <v>0</v>
      </c>
      <c r="Z33" s="537">
        <f t="shared" si="26"/>
        <v>139861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234</v>
      </c>
      <c r="C34" s="537">
        <f t="shared" si="13"/>
        <v>240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2425</v>
      </c>
      <c r="L34" s="52">
        <f t="shared" si="59"/>
        <v>0</v>
      </c>
      <c r="M34" s="537">
        <f t="shared" si="20"/>
        <v>179797</v>
      </c>
      <c r="N34" s="380">
        <f t="shared" si="60"/>
        <v>0</v>
      </c>
      <c r="O34" s="64">
        <f t="shared" si="48"/>
        <v>1869</v>
      </c>
      <c r="P34" s="537">
        <f t="shared" si="45"/>
        <v>2199</v>
      </c>
      <c r="Q34" s="537">
        <f t="shared" si="46"/>
        <v>183999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2479</v>
      </c>
      <c r="Y34" s="52">
        <f t="shared" si="66"/>
        <v>0</v>
      </c>
      <c r="Z34" s="537">
        <f t="shared" si="26"/>
        <v>139861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234</v>
      </c>
      <c r="C35" s="537">
        <f t="shared" si="13"/>
        <v>240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2425</v>
      </c>
      <c r="L35" s="52">
        <f t="shared" si="59"/>
        <v>0</v>
      </c>
      <c r="M35" s="537">
        <f t="shared" si="20"/>
        <v>179797</v>
      </c>
      <c r="N35" s="380">
        <f t="shared" si="60"/>
        <v>0</v>
      </c>
      <c r="O35" s="64">
        <f t="shared" si="48"/>
        <v>1869</v>
      </c>
      <c r="P35" s="537">
        <f t="shared" si="45"/>
        <v>2199</v>
      </c>
      <c r="Q35" s="537">
        <f t="shared" si="46"/>
        <v>183999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2479</v>
      </c>
      <c r="Y35" s="52">
        <f t="shared" si="66"/>
        <v>0</v>
      </c>
      <c r="Z35" s="537">
        <f t="shared" si="26"/>
        <v>139861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13</v>
      </c>
      <c r="V36" s="62">
        <f>SUM(V5:V35)</f>
        <v>1203</v>
      </c>
      <c r="AE36" s="71" t="s">
        <v>379</v>
      </c>
      <c r="AG36" s="329"/>
      <c r="AH36" s="62">
        <f>SUM(AH5:AH35)</f>
        <v>163</v>
      </c>
      <c r="AL36" s="62">
        <f>SUM(AL5:AL35)</f>
        <v>13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92.538461538461533</v>
      </c>
      <c r="AH37" s="62">
        <f>AF37+AA37</f>
        <v>0</v>
      </c>
      <c r="AI37" s="306">
        <f>SUM(AI5:AI35)</f>
        <v>1366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5" activePane="bottomLeft" state="frozen"/>
      <selection pane="bottomLeft" activeCell="AY17" sqref="AY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8170266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628482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f t="shared" si="21"/>
        <v>242.23</v>
      </c>
      <c r="AF20" s="83">
        <f t="shared" si="22"/>
        <v>0</v>
      </c>
      <c r="AG20" s="5">
        <f t="shared" si="23"/>
        <v>2229.7600000000002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f t="shared" si="29"/>
        <v>153</v>
      </c>
      <c r="AU20" s="408">
        <f t="shared" si="43"/>
        <v>1.1000000000000001</v>
      </c>
      <c r="AV20" s="201">
        <f t="shared" si="30"/>
        <v>98</v>
      </c>
      <c r="AW20" s="5">
        <v>2.9</v>
      </c>
      <c r="AX20" s="201">
        <f t="shared" si="31"/>
        <v>108</v>
      </c>
      <c r="AY20" s="409">
        <f>AS20*AT20</f>
        <v>137.70000000000002</v>
      </c>
      <c r="AZ20" s="409">
        <f>AU20*AV20</f>
        <v>107.80000000000001</v>
      </c>
      <c r="BA20" s="409">
        <f>AW20*AX20</f>
        <v>313.2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628482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242.23</v>
      </c>
      <c r="AF21" s="83">
        <f t="shared" si="22"/>
        <v>0</v>
      </c>
      <c r="AG21" s="5">
        <f t="shared" si="23"/>
        <v>2229.7600000000002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153</v>
      </c>
      <c r="AU21" s="408">
        <f t="shared" si="43"/>
        <v>1.1000000000000001</v>
      </c>
      <c r="AV21" s="201">
        <f t="shared" si="30"/>
        <v>98</v>
      </c>
      <c r="AW21" s="5">
        <v>2.9</v>
      </c>
      <c r="AX21" s="201">
        <f t="shared" si="31"/>
        <v>108</v>
      </c>
      <c r="AY21" s="409">
        <f>AS21*AT21</f>
        <v>137.70000000000002</v>
      </c>
      <c r="AZ21" s="409">
        <f>AU21*AV21</f>
        <v>107.80000000000001</v>
      </c>
      <c r="BA21" s="409">
        <f>AW21*AX21</f>
        <v>313.2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628482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242.23</v>
      </c>
      <c r="AF22" s="83">
        <f t="shared" si="22"/>
        <v>0</v>
      </c>
      <c r="AG22" s="5">
        <f t="shared" si="23"/>
        <v>2229.7600000000002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f t="shared" si="49"/>
        <v>153</v>
      </c>
      <c r="AU22" s="408">
        <f t="shared" si="43"/>
        <v>1.1000000000000001</v>
      </c>
      <c r="AV22" s="201">
        <f t="shared" si="30"/>
        <v>98</v>
      </c>
      <c r="AW22" s="5">
        <v>2.9</v>
      </c>
      <c r="AX22" s="201">
        <f t="shared" si="31"/>
        <v>108</v>
      </c>
      <c r="AY22" s="409">
        <f t="shared" si="37"/>
        <v>137.70000000000002</v>
      </c>
      <c r="AZ22" s="409">
        <f t="shared" si="38"/>
        <v>107.80000000000001</v>
      </c>
      <c r="BA22" s="409">
        <f t="shared" si="39"/>
        <v>313.2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628482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f t="shared" si="16"/>
        <v>155365</v>
      </c>
      <c r="Y23" s="309">
        <f t="shared" si="42"/>
        <v>0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242.23</v>
      </c>
      <c r="AF23" s="83">
        <f t="shared" si="22"/>
        <v>0</v>
      </c>
      <c r="AG23" s="5">
        <f t="shared" si="23"/>
        <v>2229.7600000000002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f t="shared" si="49"/>
        <v>153</v>
      </c>
      <c r="AU23" s="408">
        <f t="shared" si="43"/>
        <v>1.1000000000000001</v>
      </c>
      <c r="AV23" s="201">
        <f t="shared" si="30"/>
        <v>98</v>
      </c>
      <c r="AW23" s="5">
        <v>2.9</v>
      </c>
      <c r="AX23" s="201">
        <f t="shared" si="31"/>
        <v>108</v>
      </c>
      <c r="AY23" s="409">
        <f t="shared" si="37"/>
        <v>137.70000000000002</v>
      </c>
      <c r="AZ23" s="409">
        <f t="shared" si="38"/>
        <v>107.80000000000001</v>
      </c>
      <c r="BA23" s="409">
        <f t="shared" si="39"/>
        <v>313.2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628482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155365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242.23</v>
      </c>
      <c r="AF24" s="83">
        <f t="shared" si="22"/>
        <v>0</v>
      </c>
      <c r="AG24" s="5">
        <f t="shared" si="23"/>
        <v>2229.7600000000002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f t="shared" si="49"/>
        <v>153</v>
      </c>
      <c r="AU24" s="408">
        <f t="shared" si="43"/>
        <v>1.1000000000000001</v>
      </c>
      <c r="AV24" s="201">
        <f t="shared" si="30"/>
        <v>98</v>
      </c>
      <c r="AW24" s="5">
        <v>2.9</v>
      </c>
      <c r="AX24" s="201">
        <f t="shared" si="31"/>
        <v>108</v>
      </c>
      <c r="AY24" s="409">
        <f t="shared" si="37"/>
        <v>137.70000000000002</v>
      </c>
      <c r="AZ24" s="409">
        <f t="shared" si="38"/>
        <v>107.80000000000001</v>
      </c>
      <c r="BA24" s="409">
        <f t="shared" si="39"/>
        <v>313.2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628482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155365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242.23</v>
      </c>
      <c r="AF25" s="83">
        <f t="shared" si="22"/>
        <v>0</v>
      </c>
      <c r="AG25" s="5">
        <f t="shared" si="23"/>
        <v>2229.7600000000002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153</v>
      </c>
      <c r="AU25" s="408">
        <f t="shared" si="43"/>
        <v>1.1000000000000001</v>
      </c>
      <c r="AV25" s="201">
        <f t="shared" si="30"/>
        <v>98</v>
      </c>
      <c r="AW25" s="5">
        <v>2.9</v>
      </c>
      <c r="AX25" s="201">
        <f t="shared" si="31"/>
        <v>108</v>
      </c>
      <c r="AY25" s="409">
        <f t="shared" si="37"/>
        <v>137.70000000000002</v>
      </c>
      <c r="AZ25" s="409">
        <f t="shared" si="38"/>
        <v>107.80000000000001</v>
      </c>
      <c r="BA25" s="409">
        <f t="shared" si="39"/>
        <v>313.2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628482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-11</v>
      </c>
      <c r="X26" s="5">
        <f t="shared" si="16"/>
        <v>155365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242.23</v>
      </c>
      <c r="AF26" s="83">
        <f t="shared" si="22"/>
        <v>0</v>
      </c>
      <c r="AG26" s="5">
        <f t="shared" si="23"/>
        <v>2229.7600000000002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11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153</v>
      </c>
      <c r="AU26" s="408">
        <f t="shared" si="43"/>
        <v>1.1000000000000001</v>
      </c>
      <c r="AV26" s="201">
        <f t="shared" si="30"/>
        <v>98</v>
      </c>
      <c r="AW26" s="5">
        <v>2.9</v>
      </c>
      <c r="AX26" s="201">
        <f t="shared" si="31"/>
        <v>108</v>
      </c>
      <c r="AY26" s="409">
        <f t="shared" si="37"/>
        <v>137.70000000000002</v>
      </c>
      <c r="AZ26" s="409">
        <f t="shared" si="38"/>
        <v>107.80000000000001</v>
      </c>
      <c r="BA26" s="409">
        <f t="shared" si="39"/>
        <v>313.2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628482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155365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f t="shared" si="19"/>
        <v>249</v>
      </c>
      <c r="AC27" s="5">
        <f t="shared" si="20"/>
        <v>790</v>
      </c>
      <c r="AD27" s="83">
        <f t="shared" si="35"/>
        <v>0</v>
      </c>
      <c r="AE27" s="5">
        <f t="shared" si="21"/>
        <v>242.23</v>
      </c>
      <c r="AF27" s="83">
        <f t="shared" si="22"/>
        <v>0</v>
      </c>
      <c r="AG27" s="5">
        <f t="shared" si="23"/>
        <v>2229.7600000000002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f t="shared" si="49"/>
        <v>153</v>
      </c>
      <c r="AU27" s="408">
        <f t="shared" si="43"/>
        <v>1.1000000000000001</v>
      </c>
      <c r="AV27" s="201">
        <f t="shared" si="30"/>
        <v>98</v>
      </c>
      <c r="AW27" s="5">
        <v>2.9</v>
      </c>
      <c r="AX27" s="201">
        <f t="shared" si="31"/>
        <v>108</v>
      </c>
      <c r="AY27" s="409">
        <f t="shared" si="37"/>
        <v>137.70000000000002</v>
      </c>
      <c r="AZ27" s="409">
        <f t="shared" si="38"/>
        <v>107.80000000000001</v>
      </c>
      <c r="BA27" s="409">
        <f t="shared" si="39"/>
        <v>313.2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628482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155365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249</v>
      </c>
      <c r="AC28" s="5">
        <f t="shared" si="20"/>
        <v>790</v>
      </c>
      <c r="AD28" s="83">
        <f t="shared" si="35"/>
        <v>0</v>
      </c>
      <c r="AE28" s="5">
        <f t="shared" si="21"/>
        <v>242.23</v>
      </c>
      <c r="AF28" s="83">
        <f t="shared" si="22"/>
        <v>0</v>
      </c>
      <c r="AG28" s="5">
        <f t="shared" si="23"/>
        <v>2229.7600000000002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153</v>
      </c>
      <c r="AU28" s="408">
        <f t="shared" si="43"/>
        <v>1.1000000000000001</v>
      </c>
      <c r="AV28" s="201">
        <f t="shared" si="30"/>
        <v>98</v>
      </c>
      <c r="AW28" s="5">
        <v>2.9</v>
      </c>
      <c r="AX28" s="201">
        <f t="shared" si="31"/>
        <v>108</v>
      </c>
      <c r="AY28" s="409">
        <f t="shared" si="37"/>
        <v>137.70000000000002</v>
      </c>
      <c r="AZ28" s="409">
        <f t="shared" si="38"/>
        <v>107.80000000000001</v>
      </c>
      <c r="BA28" s="409">
        <f t="shared" si="39"/>
        <v>313.2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628482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155365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249</v>
      </c>
      <c r="AC29" s="5">
        <f t="shared" si="20"/>
        <v>790</v>
      </c>
      <c r="AD29" s="83">
        <f t="shared" si="35"/>
        <v>0</v>
      </c>
      <c r="AE29" s="5">
        <f t="shared" si="21"/>
        <v>242.23</v>
      </c>
      <c r="AF29" s="83">
        <f t="shared" si="22"/>
        <v>0</v>
      </c>
      <c r="AG29" s="5">
        <f t="shared" si="23"/>
        <v>2229.7600000000002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f t="shared" si="49"/>
        <v>153</v>
      </c>
      <c r="AU29" s="408">
        <f t="shared" si="43"/>
        <v>1.1000000000000001</v>
      </c>
      <c r="AV29" s="201">
        <f t="shared" si="30"/>
        <v>98</v>
      </c>
      <c r="AW29" s="5">
        <v>2.9</v>
      </c>
      <c r="AX29" s="201">
        <f t="shared" si="31"/>
        <v>108</v>
      </c>
      <c r="AY29" s="409">
        <f t="shared" si="37"/>
        <v>137.70000000000002</v>
      </c>
      <c r="AZ29" s="409">
        <f t="shared" si="38"/>
        <v>107.80000000000001</v>
      </c>
      <c r="BA29" s="409">
        <f t="shared" si="39"/>
        <v>313.2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628482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155365</v>
      </c>
      <c r="Y30" s="309">
        <f t="shared" si="42"/>
        <v>0</v>
      </c>
      <c r="Z30" s="5">
        <f t="shared" si="17"/>
        <v>99383</v>
      </c>
      <c r="AA30" s="83">
        <f t="shared" si="18"/>
        <v>0</v>
      </c>
      <c r="AB30" s="5">
        <f t="shared" si="19"/>
        <v>249</v>
      </c>
      <c r="AC30" s="5">
        <f t="shared" si="20"/>
        <v>790</v>
      </c>
      <c r="AD30" s="83">
        <f t="shared" si="35"/>
        <v>0</v>
      </c>
      <c r="AE30" s="5">
        <f t="shared" si="21"/>
        <v>242.23</v>
      </c>
      <c r="AF30" s="83">
        <f t="shared" si="22"/>
        <v>0</v>
      </c>
      <c r="AG30" s="5">
        <f t="shared" si="23"/>
        <v>2229.7600000000002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f t="shared" si="49"/>
        <v>153</v>
      </c>
      <c r="AU30" s="408">
        <f t="shared" si="43"/>
        <v>1.1000000000000001</v>
      </c>
      <c r="AV30" s="201">
        <f t="shared" si="30"/>
        <v>98</v>
      </c>
      <c r="AW30" s="5">
        <v>2.9</v>
      </c>
      <c r="AX30" s="201">
        <f t="shared" si="31"/>
        <v>108</v>
      </c>
      <c r="AY30" s="409">
        <f t="shared" si="37"/>
        <v>137.70000000000002</v>
      </c>
      <c r="AZ30" s="409">
        <f t="shared" si="38"/>
        <v>107.80000000000001</v>
      </c>
      <c r="BA30" s="409">
        <f t="shared" si="39"/>
        <v>313.2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628482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v>155276</v>
      </c>
      <c r="Y31" s="309">
        <f t="shared" si="42"/>
        <v>-89</v>
      </c>
      <c r="Z31" s="5">
        <f t="shared" si="17"/>
        <v>99383</v>
      </c>
      <c r="AA31" s="83">
        <f t="shared" si="18"/>
        <v>0</v>
      </c>
      <c r="AB31" s="5">
        <f t="shared" si="19"/>
        <v>249</v>
      </c>
      <c r="AC31" s="5">
        <f t="shared" si="20"/>
        <v>790</v>
      </c>
      <c r="AD31" s="83">
        <f t="shared" si="35"/>
        <v>0</v>
      </c>
      <c r="AE31" s="5">
        <f t="shared" si="21"/>
        <v>242.23</v>
      </c>
      <c r="AF31" s="83">
        <f t="shared" si="22"/>
        <v>0</v>
      </c>
      <c r="AG31" s="5">
        <f t="shared" si="23"/>
        <v>2229.7600000000002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-89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f t="shared" si="49"/>
        <v>153</v>
      </c>
      <c r="AU31" s="408">
        <f t="shared" si="43"/>
        <v>1.1000000000000001</v>
      </c>
      <c r="AV31" s="201">
        <f t="shared" si="30"/>
        <v>98</v>
      </c>
      <c r="AW31" s="5">
        <v>2.9</v>
      </c>
      <c r="AX31" s="201">
        <f t="shared" si="31"/>
        <v>108</v>
      </c>
      <c r="AY31" s="409">
        <f t="shared" si="37"/>
        <v>137.70000000000002</v>
      </c>
      <c r="AZ31" s="409">
        <f>AU31*AV31</f>
        <v>107.80000000000001</v>
      </c>
      <c r="BA31" s="409">
        <f t="shared" si="39"/>
        <v>313.2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628482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155276</v>
      </c>
      <c r="Y32" s="309">
        <f t="shared" si="42"/>
        <v>0</v>
      </c>
      <c r="Z32" s="5">
        <f t="shared" si="17"/>
        <v>99383</v>
      </c>
      <c r="AA32" s="83">
        <f t="shared" si="18"/>
        <v>0</v>
      </c>
      <c r="AB32" s="5">
        <f t="shared" si="19"/>
        <v>249</v>
      </c>
      <c r="AC32" s="5">
        <f t="shared" si="20"/>
        <v>790</v>
      </c>
      <c r="AD32" s="83">
        <f t="shared" si="35"/>
        <v>0</v>
      </c>
      <c r="AE32" s="5">
        <f t="shared" si="21"/>
        <v>242.23</v>
      </c>
      <c r="AF32" s="83">
        <f t="shared" si="22"/>
        <v>0</v>
      </c>
      <c r="AG32" s="5">
        <f t="shared" si="23"/>
        <v>2229.7600000000002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153</v>
      </c>
      <c r="AU32" s="408">
        <f t="shared" si="43"/>
        <v>1.1000000000000001</v>
      </c>
      <c r="AV32" s="201">
        <f t="shared" si="30"/>
        <v>98</v>
      </c>
      <c r="AW32" s="5">
        <v>2.9</v>
      </c>
      <c r="AX32" s="201">
        <f t="shared" si="31"/>
        <v>108</v>
      </c>
      <c r="AY32" s="409">
        <f t="shared" si="37"/>
        <v>137.70000000000002</v>
      </c>
      <c r="AZ32" s="409">
        <f t="shared" si="38"/>
        <v>107.80000000000001</v>
      </c>
      <c r="BA32" s="409">
        <f t="shared" si="39"/>
        <v>313.2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628482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155276</v>
      </c>
      <c r="Y33" s="309">
        <f t="shared" si="42"/>
        <v>0</v>
      </c>
      <c r="Z33" s="5">
        <f t="shared" si="17"/>
        <v>99383</v>
      </c>
      <c r="AA33" s="83">
        <f t="shared" si="18"/>
        <v>0</v>
      </c>
      <c r="AB33" s="5">
        <f t="shared" si="19"/>
        <v>249</v>
      </c>
      <c r="AC33" s="5">
        <f t="shared" si="20"/>
        <v>790</v>
      </c>
      <c r="AD33" s="83">
        <f t="shared" si="35"/>
        <v>0</v>
      </c>
      <c r="AE33" s="5">
        <f t="shared" si="21"/>
        <v>242.23</v>
      </c>
      <c r="AF33" s="83">
        <f>AE33-AE32</f>
        <v>0</v>
      </c>
      <c r="AG33" s="5">
        <f t="shared" si="23"/>
        <v>2229.7600000000002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153</v>
      </c>
      <c r="AU33" s="408">
        <f t="shared" si="43"/>
        <v>1.1000000000000001</v>
      </c>
      <c r="AV33" s="201">
        <f t="shared" si="30"/>
        <v>98</v>
      </c>
      <c r="AW33" s="5">
        <v>2.9</v>
      </c>
      <c r="AX33" s="201">
        <f t="shared" si="31"/>
        <v>108</v>
      </c>
      <c r="AY33" s="409">
        <f t="shared" si="37"/>
        <v>137.70000000000002</v>
      </c>
      <c r="AZ33" s="409">
        <f t="shared" si="38"/>
        <v>107.80000000000001</v>
      </c>
      <c r="BA33" s="409">
        <f t="shared" si="39"/>
        <v>313.2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628482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155276</v>
      </c>
      <c r="Y34" s="309">
        <f t="shared" ref="Y34:Y36" si="61">SUM(X34-X33)</f>
        <v>0</v>
      </c>
      <c r="Z34" s="5">
        <f t="shared" si="17"/>
        <v>99383</v>
      </c>
      <c r="AA34" s="83">
        <f t="shared" ref="AA34:AA36" si="62">Z34-Z33</f>
        <v>0</v>
      </c>
      <c r="AB34" s="5">
        <f t="shared" si="19"/>
        <v>249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242.23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-7.6200000000003456</v>
      </c>
      <c r="AI34" s="83">
        <f t="shared" ref="AI34:AI36" si="66">AF34+AH34</f>
        <v>-7.6200000000003456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153</v>
      </c>
      <c r="AU34" s="408">
        <f t="shared" si="43"/>
        <v>1.1000000000000001</v>
      </c>
      <c r="AV34" s="201">
        <f t="shared" si="30"/>
        <v>98</v>
      </c>
      <c r="AW34" s="5">
        <v>2.9</v>
      </c>
      <c r="AX34" s="201">
        <f t="shared" si="31"/>
        <v>108</v>
      </c>
      <c r="AY34" s="409">
        <f t="shared" ref="AY34:AY36" si="71">AS34*AT34</f>
        <v>137.70000000000002</v>
      </c>
      <c r="AZ34" s="409">
        <f t="shared" ref="AZ34:AZ36" si="72">AU34*AV34</f>
        <v>107.80000000000001</v>
      </c>
      <c r="BA34" s="409">
        <f t="shared" ref="BA34:BA36" si="73">AW34*AX34</f>
        <v>313.2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628482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155276</v>
      </c>
      <c r="Y35" s="309">
        <f t="shared" si="61"/>
        <v>0</v>
      </c>
      <c r="Z35" s="5">
        <f t="shared" si="17"/>
        <v>99383</v>
      </c>
      <c r="AA35" s="83">
        <f t="shared" si="62"/>
        <v>0</v>
      </c>
      <c r="AB35" s="5">
        <f t="shared" si="19"/>
        <v>249</v>
      </c>
      <c r="AC35" s="5">
        <f t="shared" si="20"/>
        <v>790</v>
      </c>
      <c r="AD35" s="83">
        <f t="shared" si="63"/>
        <v>0</v>
      </c>
      <c r="AE35" s="5">
        <f t="shared" si="21"/>
        <v>242.23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153</v>
      </c>
      <c r="AU35" s="408">
        <f t="shared" si="43"/>
        <v>1.1000000000000001</v>
      </c>
      <c r="AV35" s="201">
        <f t="shared" si="30"/>
        <v>98</v>
      </c>
      <c r="AW35" s="5">
        <v>2.9</v>
      </c>
      <c r="AX35" s="201">
        <f t="shared" si="31"/>
        <v>108</v>
      </c>
      <c r="AY35" s="409">
        <f t="shared" si="71"/>
        <v>137.70000000000002</v>
      </c>
      <c r="AZ35" s="409">
        <f t="shared" si="72"/>
        <v>107.80000000000001</v>
      </c>
      <c r="BA35" s="409">
        <f t="shared" si="73"/>
        <v>313.2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628482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155276</v>
      </c>
      <c r="Y36" s="309">
        <f t="shared" si="61"/>
        <v>0</v>
      </c>
      <c r="Z36" s="5">
        <f t="shared" si="17"/>
        <v>99383</v>
      </c>
      <c r="AA36" s="83">
        <f t="shared" si="62"/>
        <v>0</v>
      </c>
      <c r="AB36" s="5">
        <f t="shared" si="19"/>
        <v>249</v>
      </c>
      <c r="AC36" s="5">
        <f t="shared" si="20"/>
        <v>790</v>
      </c>
      <c r="AD36" s="83">
        <f t="shared" si="63"/>
        <v>0</v>
      </c>
      <c r="AE36" s="5">
        <f t="shared" si="21"/>
        <v>242.23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153</v>
      </c>
      <c r="AU36" s="408">
        <f t="shared" si="43"/>
        <v>1.1000000000000001</v>
      </c>
      <c r="AV36" s="201">
        <f t="shared" si="30"/>
        <v>98</v>
      </c>
      <c r="AW36" s="5">
        <v>2.9</v>
      </c>
      <c r="AX36" s="201">
        <f t="shared" si="31"/>
        <v>108</v>
      </c>
      <c r="AY36" s="409">
        <f t="shared" si="71"/>
        <v>137.70000000000002</v>
      </c>
      <c r="AZ36" s="409">
        <f t="shared" si="72"/>
        <v>107.80000000000001</v>
      </c>
      <c r="BA36" s="409">
        <f t="shared" si="73"/>
        <v>313.2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298</v>
      </c>
      <c r="I37" s="395">
        <f>SUM(I6:I36)</f>
        <v>298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-89</v>
      </c>
      <c r="AJ37" s="307">
        <f>SUM(AJ6:AJ36)</f>
        <v>27</v>
      </c>
      <c r="AK37" s="312">
        <f>SUM(Y37-L37)</f>
        <v>-105</v>
      </c>
      <c r="AL37" s="307">
        <f>SUM(AL6:AL36)</f>
        <v>27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298</v>
      </c>
      <c r="Z38" s="307">
        <f>SUM(Y37:AJ37)</f>
        <v>-62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298</v>
      </c>
      <c r="H39" s="1">
        <f>SUM(H38+C38)</f>
        <v>7500</v>
      </c>
      <c r="K39" s="1">
        <f>SUM(H39/G39)</f>
        <v>25.167785234899331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C14" sqref="C14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f t="shared" si="14"/>
        <v>11690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11690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>H6</f>
        <v>11690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11690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11690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v>11690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11690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11690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11690</v>
      </c>
      <c r="I13" s="276" t="str">
        <f t="shared" si="1"/>
        <v>ok</v>
      </c>
      <c r="J13" s="502">
        <f t="shared" si="15"/>
        <v>10798</v>
      </c>
      <c r="K13" s="276">
        <f t="shared" si="2"/>
        <v>0</v>
      </c>
      <c r="L13" s="503">
        <f t="shared" si="30"/>
        <v>382191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10</v>
      </c>
      <c r="AA13" s="276">
        <f t="shared" si="21"/>
        <v>850</v>
      </c>
      <c r="AB13" s="276">
        <f t="shared" si="22"/>
        <v>585</v>
      </c>
      <c r="AC13" s="276">
        <f t="shared" si="23"/>
        <v>85</v>
      </c>
      <c r="AD13" s="73">
        <f>ELEC!Q14</f>
        <v>3001.0000000002037</v>
      </c>
      <c r="AE13" s="73">
        <f t="shared" si="27"/>
        <v>300.10000000002037</v>
      </c>
      <c r="AF13" s="387">
        <f t="shared" si="28"/>
        <v>0.18756250000001273</v>
      </c>
      <c r="AG13" s="387">
        <f t="shared" si="28"/>
        <v>1.1722656250000796E-4</v>
      </c>
      <c r="AH13" s="388">
        <f t="shared" si="24"/>
        <v>84.999882773437506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77.240928270047448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11690</v>
      </c>
      <c r="I14" s="276" t="str">
        <f t="shared" si="1"/>
        <v>oil change</v>
      </c>
      <c r="J14" s="502">
        <f t="shared" si="15"/>
        <v>10798</v>
      </c>
      <c r="K14" s="276">
        <f t="shared" si="2"/>
        <v>0</v>
      </c>
      <c r="L14" s="503">
        <f t="shared" si="30"/>
        <v>382191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11690</v>
      </c>
      <c r="I15" s="276" t="str">
        <f t="shared" si="1"/>
        <v>oil change</v>
      </c>
      <c r="J15" s="502">
        <f t="shared" si="15"/>
        <v>10798</v>
      </c>
      <c r="K15" s="276">
        <f t="shared" si="2"/>
        <v>0</v>
      </c>
      <c r="L15" s="503">
        <f t="shared" si="30"/>
        <v>382191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11690</v>
      </c>
      <c r="I16" s="276" t="str">
        <f t="shared" si="1"/>
        <v>oil change</v>
      </c>
      <c r="J16" s="502">
        <f t="shared" si="15"/>
        <v>10798</v>
      </c>
      <c r="K16" s="276">
        <f t="shared" si="2"/>
        <v>0</v>
      </c>
      <c r="L16" s="503">
        <f t="shared" si="30"/>
        <v>382191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f t="shared" si="11"/>
        <v>11692</v>
      </c>
      <c r="C17" s="276">
        <f t="shared" si="12"/>
        <v>0</v>
      </c>
      <c r="D17" s="503">
        <f t="shared" si="26"/>
        <v>675621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11690</v>
      </c>
      <c r="I17" s="276" t="str">
        <f t="shared" si="1"/>
        <v>oil change</v>
      </c>
      <c r="J17" s="502">
        <f t="shared" si="15"/>
        <v>10798</v>
      </c>
      <c r="K17" s="276">
        <f t="shared" si="2"/>
        <v>0</v>
      </c>
      <c r="L17" s="503">
        <f t="shared" si="30"/>
        <v>382191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44697</v>
      </c>
      <c r="B18" s="502">
        <f t="shared" si="11"/>
        <v>11692</v>
      </c>
      <c r="C18" s="276">
        <f t="shared" si="12"/>
        <v>0</v>
      </c>
      <c r="D18" s="503">
        <f t="shared" si="26"/>
        <v>675621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11690</v>
      </c>
      <c r="I18" s="276" t="str">
        <f t="shared" si="1"/>
        <v>oil change</v>
      </c>
      <c r="J18" s="502">
        <f t="shared" si="15"/>
        <v>10798</v>
      </c>
      <c r="K18" s="276">
        <f t="shared" si="2"/>
        <v>0</v>
      </c>
      <c r="L18" s="503">
        <f t="shared" si="30"/>
        <v>382191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44698</v>
      </c>
      <c r="B19" s="502">
        <f t="shared" si="11"/>
        <v>11692</v>
      </c>
      <c r="C19" s="276">
        <f t="shared" si="12"/>
        <v>0</v>
      </c>
      <c r="D19" s="503">
        <f t="shared" si="26"/>
        <v>675621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11690</v>
      </c>
      <c r="I19" s="276" t="str">
        <f t="shared" si="1"/>
        <v>oil change</v>
      </c>
      <c r="J19" s="502">
        <f t="shared" si="15"/>
        <v>10798</v>
      </c>
      <c r="K19" s="276">
        <f t="shared" si="2"/>
        <v>0</v>
      </c>
      <c r="L19" s="503">
        <f t="shared" si="30"/>
        <v>382191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44699</v>
      </c>
      <c r="B20" s="502">
        <f t="shared" si="11"/>
        <v>11692</v>
      </c>
      <c r="C20" s="276">
        <f>B20-B19</f>
        <v>0</v>
      </c>
      <c r="D20" s="503">
        <f t="shared" si="26"/>
        <v>675621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11690</v>
      </c>
      <c r="I20" s="276" t="str">
        <f t="shared" si="1"/>
        <v>oil change</v>
      </c>
      <c r="J20" s="502">
        <f t="shared" si="15"/>
        <v>10798</v>
      </c>
      <c r="K20" s="276">
        <f t="shared" si="2"/>
        <v>0</v>
      </c>
      <c r="L20" s="503">
        <f t="shared" si="30"/>
        <v>382191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44700</v>
      </c>
      <c r="B21" s="502">
        <f t="shared" si="11"/>
        <v>11692</v>
      </c>
      <c r="C21" s="276">
        <f>B21-B20</f>
        <v>0</v>
      </c>
      <c r="D21" s="503">
        <f t="shared" si="26"/>
        <v>675621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11690</v>
      </c>
      <c r="I21" s="276" t="str">
        <f t="shared" si="1"/>
        <v>oil change</v>
      </c>
      <c r="J21" s="502">
        <f t="shared" si="15"/>
        <v>10798</v>
      </c>
      <c r="K21" s="276">
        <f t="shared" si="2"/>
        <v>0</v>
      </c>
      <c r="L21" s="503">
        <f t="shared" si="30"/>
        <v>382191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44701</v>
      </c>
      <c r="B22" s="502">
        <f t="shared" si="11"/>
        <v>11692</v>
      </c>
      <c r="C22" s="276">
        <f t="shared" si="12"/>
        <v>0</v>
      </c>
      <c r="D22" s="503">
        <f t="shared" si="26"/>
        <v>675621</v>
      </c>
      <c r="E22" s="276">
        <f>150*C22</f>
        <v>0</v>
      </c>
      <c r="F22" s="276">
        <f t="shared" si="0"/>
        <v>0</v>
      </c>
      <c r="G22" s="196"/>
      <c r="H22" s="260">
        <f t="shared" si="14"/>
        <v>11690</v>
      </c>
      <c r="I22" s="276" t="str">
        <f t="shared" si="1"/>
        <v>oil change</v>
      </c>
      <c r="J22" s="502">
        <f t="shared" si="15"/>
        <v>10798</v>
      </c>
      <c r="K22" s="276">
        <f t="shared" si="2"/>
        <v>0</v>
      </c>
      <c r="L22" s="503">
        <f t="shared" si="30"/>
        <v>382191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11692</v>
      </c>
      <c r="C23" s="276">
        <f t="shared" si="12"/>
        <v>0</v>
      </c>
      <c r="D23" s="503">
        <f t="shared" si="26"/>
        <v>675621</v>
      </c>
      <c r="E23" s="276">
        <f>150*C23</f>
        <v>0</v>
      </c>
      <c r="F23" s="276">
        <f t="shared" si="0"/>
        <v>0</v>
      </c>
      <c r="G23" s="196"/>
      <c r="H23" s="260">
        <f t="shared" si="14"/>
        <v>11690</v>
      </c>
      <c r="I23" s="276" t="str">
        <f t="shared" si="1"/>
        <v>oil change</v>
      </c>
      <c r="J23" s="502">
        <f t="shared" si="15"/>
        <v>10798</v>
      </c>
      <c r="K23" s="276">
        <f t="shared" si="2"/>
        <v>0</v>
      </c>
      <c r="L23" s="503">
        <f t="shared" si="30"/>
        <v>382191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f t="shared" si="11"/>
        <v>11692</v>
      </c>
      <c r="C24" s="276">
        <f t="shared" si="12"/>
        <v>0</v>
      </c>
      <c r="D24" s="503">
        <f t="shared" si="26"/>
        <v>675621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11690</v>
      </c>
      <c r="I24" s="276" t="str">
        <f t="shared" si="1"/>
        <v>oil change</v>
      </c>
      <c r="J24" s="502">
        <f t="shared" si="15"/>
        <v>10798</v>
      </c>
      <c r="K24" s="276">
        <f t="shared" si="2"/>
        <v>0</v>
      </c>
      <c r="L24" s="503">
        <f t="shared" si="30"/>
        <v>382191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f t="shared" si="18"/>
        <v>13901</v>
      </c>
      <c r="S24" s="276">
        <f t="shared" si="5"/>
        <v>0</v>
      </c>
      <c r="T24" s="503">
        <f t="shared" si="31"/>
        <v>414762</v>
      </c>
      <c r="U24" s="276">
        <f t="shared" si="32"/>
        <v>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44704</v>
      </c>
      <c r="B25" s="502">
        <f t="shared" si="11"/>
        <v>11692</v>
      </c>
      <c r="C25" s="276">
        <f t="shared" si="12"/>
        <v>0</v>
      </c>
      <c r="D25" s="503">
        <f t="shared" si="26"/>
        <v>675621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11690</v>
      </c>
      <c r="I25" s="276" t="str">
        <f t="shared" si="1"/>
        <v>oil change</v>
      </c>
      <c r="J25" s="502">
        <f t="shared" si="15"/>
        <v>10798</v>
      </c>
      <c r="K25" s="276">
        <f t="shared" si="2"/>
        <v>0</v>
      </c>
      <c r="L25" s="503">
        <f t="shared" si="30"/>
        <v>382191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13901</v>
      </c>
      <c r="S25" s="276">
        <f t="shared" si="5"/>
        <v>0</v>
      </c>
      <c r="T25" s="503">
        <f t="shared" si="31"/>
        <v>414762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44705</v>
      </c>
      <c r="B26" s="502">
        <f t="shared" si="11"/>
        <v>11692</v>
      </c>
      <c r="C26" s="276">
        <f>B26-B25</f>
        <v>0</v>
      </c>
      <c r="D26" s="503">
        <f t="shared" si="26"/>
        <v>675621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11690</v>
      </c>
      <c r="I26" s="276" t="str">
        <f t="shared" si="1"/>
        <v>oil change</v>
      </c>
      <c r="J26" s="502">
        <f t="shared" si="15"/>
        <v>10798</v>
      </c>
      <c r="K26" s="276">
        <f t="shared" si="2"/>
        <v>0</v>
      </c>
      <c r="L26" s="503">
        <f t="shared" si="30"/>
        <v>382191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13901</v>
      </c>
      <c r="S26" s="276">
        <f>R26-R25</f>
        <v>0</v>
      </c>
      <c r="T26" s="503">
        <f t="shared" si="31"/>
        <v>414762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44706</v>
      </c>
      <c r="B27" s="502">
        <f t="shared" si="11"/>
        <v>11692</v>
      </c>
      <c r="C27" s="276">
        <f>B27-B26</f>
        <v>0</v>
      </c>
      <c r="D27" s="503">
        <f t="shared" si="26"/>
        <v>675621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11690</v>
      </c>
      <c r="I27" s="276" t="str">
        <f>IF(B27-H27&lt;=0,"ok","oil change")</f>
        <v>oil change</v>
      </c>
      <c r="J27" s="502">
        <f t="shared" si="15"/>
        <v>10798</v>
      </c>
      <c r="K27" s="276">
        <f t="shared" si="2"/>
        <v>0</v>
      </c>
      <c r="L27" s="503">
        <f t="shared" si="30"/>
        <v>382191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13901</v>
      </c>
      <c r="S27" s="276">
        <f t="shared" si="5"/>
        <v>0</v>
      </c>
      <c r="T27" s="503">
        <f t="shared" si="31"/>
        <v>414762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44707</v>
      </c>
      <c r="B28" s="502">
        <f t="shared" si="11"/>
        <v>11692</v>
      </c>
      <c r="C28" s="276">
        <f t="shared" si="12"/>
        <v>0</v>
      </c>
      <c r="D28" s="503">
        <f t="shared" si="26"/>
        <v>675621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11690</v>
      </c>
      <c r="I28" s="276" t="str">
        <f t="shared" si="1"/>
        <v>oil change</v>
      </c>
      <c r="J28" s="502">
        <f t="shared" si="15"/>
        <v>10798</v>
      </c>
      <c r="K28" s="276">
        <f t="shared" si="2"/>
        <v>0</v>
      </c>
      <c r="L28" s="503">
        <f t="shared" si="30"/>
        <v>382191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13901</v>
      </c>
      <c r="S28" s="276">
        <f t="shared" si="5"/>
        <v>0</v>
      </c>
      <c r="T28" s="503">
        <f t="shared" si="31"/>
        <v>414762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44708</v>
      </c>
      <c r="B29" s="502">
        <f t="shared" si="11"/>
        <v>11692</v>
      </c>
      <c r="C29" s="276">
        <f t="shared" si="12"/>
        <v>0</v>
      </c>
      <c r="D29" s="503">
        <f t="shared" si="26"/>
        <v>675621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11690</v>
      </c>
      <c r="I29" s="276" t="str">
        <f t="shared" si="1"/>
        <v>oil change</v>
      </c>
      <c r="J29" s="502">
        <f t="shared" si="15"/>
        <v>10798</v>
      </c>
      <c r="K29" s="276">
        <f t="shared" si="2"/>
        <v>0</v>
      </c>
      <c r="L29" s="503">
        <f t="shared" si="30"/>
        <v>382191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13901</v>
      </c>
      <c r="S29" s="276">
        <f t="shared" si="5"/>
        <v>0</v>
      </c>
      <c r="T29" s="503">
        <f t="shared" si="31"/>
        <v>414762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11692</v>
      </c>
      <c r="C30" s="276">
        <f t="shared" si="12"/>
        <v>0</v>
      </c>
      <c r="D30" s="503">
        <f t="shared" si="26"/>
        <v>675621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11690</v>
      </c>
      <c r="I30" s="276" t="str">
        <f t="shared" si="1"/>
        <v>oil change</v>
      </c>
      <c r="J30" s="502">
        <f t="shared" si="15"/>
        <v>10798</v>
      </c>
      <c r="K30" s="276">
        <f t="shared" si="2"/>
        <v>0</v>
      </c>
      <c r="L30" s="503">
        <f t="shared" si="30"/>
        <v>382191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13901</v>
      </c>
      <c r="S30" s="276">
        <f t="shared" si="5"/>
        <v>0</v>
      </c>
      <c r="T30" s="503">
        <f t="shared" si="31"/>
        <v>414762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11692</v>
      </c>
      <c r="C31" s="276">
        <f t="shared" ref="C31:C33" si="34">B31-B30</f>
        <v>0</v>
      </c>
      <c r="D31" s="503">
        <f t="shared" si="26"/>
        <v>675621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11690</v>
      </c>
      <c r="I31" s="276" t="str">
        <f t="shared" ref="I31:I33" si="37">IF(B31-H31&lt;=0,"ok","oil change")</f>
        <v>oil change</v>
      </c>
      <c r="J31" s="502">
        <f t="shared" si="15"/>
        <v>10798</v>
      </c>
      <c r="K31" s="276">
        <f t="shared" si="2"/>
        <v>0</v>
      </c>
      <c r="L31" s="503">
        <f t="shared" si="30"/>
        <v>382191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13901</v>
      </c>
      <c r="S31" s="276">
        <f t="shared" ref="S31:S33" si="39">R31-R30</f>
        <v>0</v>
      </c>
      <c r="T31" s="503">
        <f t="shared" si="31"/>
        <v>414762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11692</v>
      </c>
      <c r="C32" s="276">
        <f t="shared" si="34"/>
        <v>0</v>
      </c>
      <c r="D32" s="503">
        <f t="shared" si="26"/>
        <v>675621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11690</v>
      </c>
      <c r="I32" s="276" t="str">
        <f t="shared" si="37"/>
        <v>oil change</v>
      </c>
      <c r="J32" s="502">
        <f t="shared" si="15"/>
        <v>10798</v>
      </c>
      <c r="K32" s="276">
        <f t="shared" si="2"/>
        <v>0</v>
      </c>
      <c r="L32" s="503">
        <f t="shared" si="30"/>
        <v>382191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13901</v>
      </c>
      <c r="S32" s="276">
        <f t="shared" si="39"/>
        <v>0</v>
      </c>
      <c r="T32" s="503">
        <f t="shared" si="31"/>
        <v>414762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11692</v>
      </c>
      <c r="C33" s="276">
        <f t="shared" si="34"/>
        <v>0</v>
      </c>
      <c r="D33" s="503">
        <f t="shared" si="26"/>
        <v>675621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11690</v>
      </c>
      <c r="I33" s="276" t="str">
        <f t="shared" si="37"/>
        <v>oil change</v>
      </c>
      <c r="J33" s="502">
        <f t="shared" si="15"/>
        <v>10798</v>
      </c>
      <c r="K33" s="276">
        <f t="shared" si="2"/>
        <v>0</v>
      </c>
      <c r="L33" s="503">
        <f t="shared" si="30"/>
        <v>382191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13901</v>
      </c>
      <c r="S33" s="276">
        <f t="shared" si="39"/>
        <v>0</v>
      </c>
      <c r="T33" s="503">
        <f t="shared" si="31"/>
        <v>414762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86</v>
      </c>
      <c r="V34" s="40"/>
      <c r="X34">
        <v>341</v>
      </c>
      <c r="Z34" s="404">
        <f>SUM(Z3:Z33)</f>
        <v>86</v>
      </c>
      <c r="AF34" s="387">
        <f>SUM(AE34/1600)</f>
        <v>0</v>
      </c>
      <c r="AL34">
        <f>SUM(AL3:AL33)</f>
        <v>8</v>
      </c>
    </row>
    <row r="35" spans="1:38">
      <c r="C35" s="40">
        <f>SUM(C3:C33)</f>
        <v>63</v>
      </c>
      <c r="K35" s="40">
        <f>SUM(K3:K33)</f>
        <v>2</v>
      </c>
      <c r="S35" s="40">
        <f>SUM(S3:S33)</f>
        <v>21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I1" activePane="topRight" state="frozen"/>
      <selection pane="topRight" activeCell="A16" sqref="A16:XFD1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2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 t="e">
        <f>GEN!AF8</f>
        <v>#DIV/0!</v>
      </c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 t="e">
        <f>GEN!AF9</f>
        <v>#DIV/0!</v>
      </c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0.18756250000001273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44696</v>
      </c>
      <c r="B20">
        <f>'B5'!B19</f>
        <v>234</v>
      </c>
      <c r="C20" s="203">
        <f t="shared" si="18"/>
        <v>5034.7741935483873</v>
      </c>
      <c r="D20">
        <f t="shared" si="19"/>
        <v>234</v>
      </c>
      <c r="E20" s="203">
        <f t="shared" si="18"/>
        <v>5034.7741935483873</v>
      </c>
      <c r="F20">
        <f t="shared" si="20"/>
        <v>234</v>
      </c>
      <c r="G20" s="203">
        <f t="shared" si="1"/>
        <v>5034.7741935483873</v>
      </c>
      <c r="H20" s="203">
        <f t="shared" si="21"/>
        <v>234</v>
      </c>
      <c r="I20" s="203">
        <f t="shared" si="2"/>
        <v>5034.7741935483873</v>
      </c>
      <c r="J20" s="203">
        <f t="shared" si="22"/>
        <v>234</v>
      </c>
      <c r="K20" s="203">
        <f t="shared" si="3"/>
        <v>5034.7741935483873</v>
      </c>
      <c r="L20" s="203">
        <f t="shared" si="23"/>
        <v>234</v>
      </c>
      <c r="M20" s="203">
        <f t="shared" si="4"/>
        <v>5034.7741935483873</v>
      </c>
      <c r="N20" s="203">
        <f t="shared" si="24"/>
        <v>234</v>
      </c>
      <c r="O20" s="203">
        <f t="shared" si="5"/>
        <v>5034.7741935483873</v>
      </c>
      <c r="P20" s="203">
        <f t="shared" si="25"/>
        <v>234</v>
      </c>
      <c r="Q20" s="203">
        <f t="shared" si="6"/>
        <v>5034.7741935483873</v>
      </c>
      <c r="R20" s="203">
        <f t="shared" si="26"/>
        <v>234</v>
      </c>
      <c r="S20" s="203">
        <f t="shared" si="7"/>
        <v>5034.7741935483873</v>
      </c>
      <c r="T20" s="203">
        <f t="shared" si="27"/>
        <v>234</v>
      </c>
      <c r="U20" s="203">
        <f t="shared" si="8"/>
        <v>5034.7741935483873</v>
      </c>
      <c r="V20" s="203">
        <f t="shared" si="28"/>
        <v>234</v>
      </c>
      <c r="W20" s="203">
        <f t="shared" si="9"/>
        <v>5034.7741935483873</v>
      </c>
      <c r="X20" s="35">
        <f t="shared" si="10"/>
        <v>0.75483870967741939</v>
      </c>
      <c r="Y20" s="36">
        <f t="shared" si="29"/>
        <v>55382.516129032258</v>
      </c>
      <c r="Z20" s="203">
        <f>'B5'!C19</f>
        <v>240</v>
      </c>
      <c r="AA20" s="203">
        <f t="shared" si="30"/>
        <v>2400</v>
      </c>
      <c r="AB20" s="203">
        <f t="shared" si="31"/>
        <v>240</v>
      </c>
      <c r="AC20" s="203">
        <f t="shared" si="30"/>
        <v>2400</v>
      </c>
      <c r="AD20" s="203">
        <f t="shared" si="32"/>
        <v>240</v>
      </c>
      <c r="AE20" s="203">
        <f t="shared" si="11"/>
        <v>2400</v>
      </c>
      <c r="AF20" s="203">
        <f t="shared" si="33"/>
        <v>240</v>
      </c>
      <c r="AG20" s="203">
        <f t="shared" si="12"/>
        <v>2400</v>
      </c>
      <c r="AH20" s="203">
        <f t="shared" si="34"/>
        <v>240</v>
      </c>
      <c r="AI20" s="203">
        <f t="shared" si="13"/>
        <v>2400</v>
      </c>
      <c r="AJ20" s="203">
        <f t="shared" si="35"/>
        <v>240</v>
      </c>
      <c r="AK20" s="203">
        <f t="shared" si="14"/>
        <v>2400</v>
      </c>
      <c r="AL20" s="203">
        <f t="shared" si="36"/>
        <v>240</v>
      </c>
      <c r="AM20" s="203">
        <f t="shared" si="15"/>
        <v>2400</v>
      </c>
      <c r="AN20" s="35">
        <f t="shared" si="16"/>
        <v>0.8571428571428571</v>
      </c>
      <c r="AO20" s="36">
        <f t="shared" si="39"/>
        <v>16800</v>
      </c>
      <c r="AQ20" s="223">
        <f t="shared" si="40"/>
        <v>0.77640654113189478</v>
      </c>
      <c r="AR20" s="38">
        <f t="shared" si="41"/>
        <v>72182.516129032258</v>
      </c>
      <c r="AS20" s="197">
        <f>SUM(AR20-AR19-AT20)</f>
        <v>0</v>
      </c>
      <c r="AT20" s="340"/>
      <c r="AU20" s="548"/>
      <c r="AV20" s="485">
        <f t="shared" si="45"/>
        <v>1.085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44697</v>
      </c>
      <c r="B21">
        <f>'B5'!B20</f>
        <v>234</v>
      </c>
      <c r="C21" s="203">
        <f t="shared" si="18"/>
        <v>5034.7741935483873</v>
      </c>
      <c r="D21">
        <f t="shared" si="19"/>
        <v>234</v>
      </c>
      <c r="E21" s="203">
        <f t="shared" si="18"/>
        <v>5034.7741935483873</v>
      </c>
      <c r="F21">
        <f t="shared" si="20"/>
        <v>234</v>
      </c>
      <c r="G21" s="203">
        <f t="shared" si="1"/>
        <v>5034.7741935483873</v>
      </c>
      <c r="H21" s="203">
        <f t="shared" si="21"/>
        <v>234</v>
      </c>
      <c r="I21" s="203">
        <f t="shared" si="2"/>
        <v>5034.7741935483873</v>
      </c>
      <c r="J21" s="203">
        <f t="shared" si="22"/>
        <v>234</v>
      </c>
      <c r="K21" s="203">
        <f t="shared" si="3"/>
        <v>5034.7741935483873</v>
      </c>
      <c r="L21" s="203">
        <f t="shared" si="23"/>
        <v>234</v>
      </c>
      <c r="M21" s="203">
        <f t="shared" si="4"/>
        <v>5034.7741935483873</v>
      </c>
      <c r="N21" s="203">
        <f t="shared" si="24"/>
        <v>234</v>
      </c>
      <c r="O21" s="203">
        <f t="shared" si="5"/>
        <v>5034.7741935483873</v>
      </c>
      <c r="P21" s="203">
        <f t="shared" si="25"/>
        <v>234</v>
      </c>
      <c r="Q21" s="203">
        <f t="shared" si="6"/>
        <v>5034.7741935483873</v>
      </c>
      <c r="R21" s="203">
        <f t="shared" si="26"/>
        <v>234</v>
      </c>
      <c r="S21" s="203">
        <f t="shared" si="7"/>
        <v>5034.7741935483873</v>
      </c>
      <c r="T21" s="203">
        <f t="shared" si="27"/>
        <v>234</v>
      </c>
      <c r="U21" s="203">
        <f t="shared" si="8"/>
        <v>5034.7741935483873</v>
      </c>
      <c r="V21" s="203">
        <f t="shared" si="28"/>
        <v>234</v>
      </c>
      <c r="W21" s="203">
        <f t="shared" si="9"/>
        <v>5034.7741935483873</v>
      </c>
      <c r="X21" s="35">
        <f t="shared" si="10"/>
        <v>0.75483870967741939</v>
      </c>
      <c r="Y21" s="36">
        <f t="shared" si="29"/>
        <v>55382.516129032258</v>
      </c>
      <c r="Z21" s="203">
        <f>'B5'!C20</f>
        <v>240</v>
      </c>
      <c r="AA21" s="203">
        <f t="shared" si="30"/>
        <v>2400</v>
      </c>
      <c r="AB21" s="203">
        <f t="shared" si="31"/>
        <v>240</v>
      </c>
      <c r="AC21" s="203">
        <f t="shared" si="30"/>
        <v>2400</v>
      </c>
      <c r="AD21" s="203">
        <f t="shared" si="32"/>
        <v>240</v>
      </c>
      <c r="AE21" s="203">
        <f t="shared" si="11"/>
        <v>2400</v>
      </c>
      <c r="AF21" s="203">
        <f t="shared" si="33"/>
        <v>240</v>
      </c>
      <c r="AG21" s="203">
        <f t="shared" si="12"/>
        <v>2400</v>
      </c>
      <c r="AH21" s="203">
        <f t="shared" si="34"/>
        <v>240</v>
      </c>
      <c r="AI21" s="203">
        <f t="shared" si="13"/>
        <v>2400</v>
      </c>
      <c r="AJ21" s="203">
        <f t="shared" si="35"/>
        <v>240</v>
      </c>
      <c r="AK21" s="203">
        <f t="shared" si="14"/>
        <v>2400</v>
      </c>
      <c r="AL21" s="203">
        <f t="shared" si="36"/>
        <v>240</v>
      </c>
      <c r="AM21" s="203">
        <f t="shared" si="15"/>
        <v>2400</v>
      </c>
      <c r="AN21" s="35">
        <f t="shared" si="16"/>
        <v>0.8571428571428571</v>
      </c>
      <c r="AO21" s="36">
        <f t="shared" si="39"/>
        <v>16800</v>
      </c>
      <c r="AQ21" s="223">
        <f t="shared" si="40"/>
        <v>0.77640654113189478</v>
      </c>
      <c r="AR21" s="38">
        <f t="shared" si="41"/>
        <v>72182.516129032258</v>
      </c>
      <c r="AS21" s="197">
        <f>SUM(AR21-AR20-AT21)</f>
        <v>0</v>
      </c>
      <c r="AT21" s="340"/>
      <c r="AU21" s="548"/>
      <c r="AV21" s="485">
        <f t="shared" si="45"/>
        <v>1.085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44698</v>
      </c>
      <c r="B22">
        <f>'B5'!B21</f>
        <v>234</v>
      </c>
      <c r="C22" s="203">
        <f t="shared" si="18"/>
        <v>5034.7741935483873</v>
      </c>
      <c r="D22">
        <f t="shared" si="19"/>
        <v>234</v>
      </c>
      <c r="E22" s="203">
        <f t="shared" si="18"/>
        <v>5034.7741935483873</v>
      </c>
      <c r="F22">
        <f t="shared" si="20"/>
        <v>234</v>
      </c>
      <c r="G22" s="203">
        <f t="shared" si="1"/>
        <v>5034.7741935483873</v>
      </c>
      <c r="H22" s="203">
        <f t="shared" si="21"/>
        <v>234</v>
      </c>
      <c r="I22" s="203">
        <f t="shared" si="2"/>
        <v>5034.7741935483873</v>
      </c>
      <c r="J22" s="203">
        <f t="shared" si="22"/>
        <v>234</v>
      </c>
      <c r="K22" s="203">
        <f t="shared" si="3"/>
        <v>5034.7741935483873</v>
      </c>
      <c r="L22" s="203">
        <f t="shared" si="23"/>
        <v>234</v>
      </c>
      <c r="M22" s="203">
        <f t="shared" si="4"/>
        <v>5034.7741935483873</v>
      </c>
      <c r="N22" s="203">
        <f t="shared" si="24"/>
        <v>234</v>
      </c>
      <c r="O22" s="203">
        <f t="shared" si="5"/>
        <v>5034.7741935483873</v>
      </c>
      <c r="P22" s="203">
        <f t="shared" si="25"/>
        <v>234</v>
      </c>
      <c r="Q22" s="203">
        <f t="shared" si="6"/>
        <v>5034.7741935483873</v>
      </c>
      <c r="R22" s="203">
        <f t="shared" si="26"/>
        <v>234</v>
      </c>
      <c r="S22" s="203">
        <f t="shared" si="7"/>
        <v>5034.7741935483873</v>
      </c>
      <c r="T22" s="203">
        <f t="shared" si="27"/>
        <v>234</v>
      </c>
      <c r="U22" s="203">
        <f t="shared" si="8"/>
        <v>5034.7741935483873</v>
      </c>
      <c r="V22" s="203">
        <f t="shared" si="28"/>
        <v>234</v>
      </c>
      <c r="W22" s="203">
        <f t="shared" si="9"/>
        <v>5034.7741935483873</v>
      </c>
      <c r="X22" s="35">
        <f t="shared" si="10"/>
        <v>0.75483870967741939</v>
      </c>
      <c r="Y22" s="36">
        <f t="shared" si="29"/>
        <v>55382.516129032258</v>
      </c>
      <c r="Z22" s="203">
        <f>'B5'!C21</f>
        <v>240</v>
      </c>
      <c r="AA22" s="203">
        <f t="shared" si="30"/>
        <v>2400</v>
      </c>
      <c r="AB22" s="203">
        <f t="shared" si="31"/>
        <v>240</v>
      </c>
      <c r="AC22" s="203">
        <f t="shared" si="30"/>
        <v>2400</v>
      </c>
      <c r="AD22" s="203">
        <f t="shared" si="32"/>
        <v>240</v>
      </c>
      <c r="AE22" s="203">
        <f t="shared" si="11"/>
        <v>2400</v>
      </c>
      <c r="AF22" s="203">
        <f t="shared" si="33"/>
        <v>240</v>
      </c>
      <c r="AG22" s="203">
        <f t="shared" si="12"/>
        <v>2400</v>
      </c>
      <c r="AH22" s="203">
        <f t="shared" si="34"/>
        <v>240</v>
      </c>
      <c r="AI22" s="203">
        <f t="shared" si="13"/>
        <v>2400</v>
      </c>
      <c r="AJ22" s="203">
        <f t="shared" si="35"/>
        <v>240</v>
      </c>
      <c r="AK22" s="203">
        <f t="shared" si="14"/>
        <v>2400</v>
      </c>
      <c r="AL22" s="203">
        <f t="shared" si="36"/>
        <v>240</v>
      </c>
      <c r="AM22" s="203">
        <f t="shared" si="15"/>
        <v>2400</v>
      </c>
      <c r="AN22" s="35">
        <f t="shared" si="16"/>
        <v>0.8571428571428571</v>
      </c>
      <c r="AO22" s="36">
        <f t="shared" si="39"/>
        <v>16800</v>
      </c>
      <c r="AQ22" s="223">
        <f t="shared" si="40"/>
        <v>0.77640654113189478</v>
      </c>
      <c r="AR22" s="38">
        <f t="shared" si="41"/>
        <v>72182.516129032258</v>
      </c>
      <c r="AS22" s="197">
        <f t="shared" si="47"/>
        <v>0</v>
      </c>
      <c r="AT22" s="340"/>
      <c r="AU22" s="548"/>
      <c r="AV22" s="485">
        <f t="shared" si="43"/>
        <v>1.085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44699</v>
      </c>
      <c r="B23">
        <f>'B5'!B22</f>
        <v>234</v>
      </c>
      <c r="C23" s="203">
        <f t="shared" si="18"/>
        <v>5034.7741935483873</v>
      </c>
      <c r="D23">
        <f t="shared" si="19"/>
        <v>234</v>
      </c>
      <c r="E23" s="203">
        <f t="shared" si="18"/>
        <v>5034.7741935483873</v>
      </c>
      <c r="F23">
        <f t="shared" si="20"/>
        <v>234</v>
      </c>
      <c r="G23" s="203">
        <f t="shared" si="1"/>
        <v>5034.7741935483873</v>
      </c>
      <c r="H23" s="203">
        <f t="shared" si="21"/>
        <v>234</v>
      </c>
      <c r="I23" s="203">
        <f t="shared" si="2"/>
        <v>5034.7741935483873</v>
      </c>
      <c r="J23" s="203">
        <f t="shared" si="22"/>
        <v>234</v>
      </c>
      <c r="K23" s="203">
        <f t="shared" si="3"/>
        <v>5034.7741935483873</v>
      </c>
      <c r="L23" s="203">
        <f t="shared" si="23"/>
        <v>234</v>
      </c>
      <c r="M23" s="203">
        <f t="shared" si="4"/>
        <v>5034.7741935483873</v>
      </c>
      <c r="N23" s="203">
        <f t="shared" si="24"/>
        <v>234</v>
      </c>
      <c r="O23" s="203">
        <f t="shared" si="5"/>
        <v>5034.7741935483873</v>
      </c>
      <c r="P23" s="203">
        <f t="shared" si="25"/>
        <v>234</v>
      </c>
      <c r="Q23" s="203">
        <f t="shared" si="6"/>
        <v>5034.7741935483873</v>
      </c>
      <c r="R23" s="203">
        <f t="shared" si="26"/>
        <v>234</v>
      </c>
      <c r="S23" s="203">
        <f t="shared" si="7"/>
        <v>5034.7741935483873</v>
      </c>
      <c r="T23" s="203">
        <f t="shared" si="27"/>
        <v>234</v>
      </c>
      <c r="U23" s="203">
        <f t="shared" si="8"/>
        <v>5034.7741935483873</v>
      </c>
      <c r="V23" s="203">
        <f t="shared" si="28"/>
        <v>234</v>
      </c>
      <c r="W23" s="203">
        <f t="shared" si="9"/>
        <v>5034.7741935483873</v>
      </c>
      <c r="X23" s="35">
        <f t="shared" si="10"/>
        <v>0.75483870967741939</v>
      </c>
      <c r="Y23" s="36">
        <f t="shared" si="29"/>
        <v>55382.516129032258</v>
      </c>
      <c r="Z23" s="203">
        <f>'B5'!C22</f>
        <v>240</v>
      </c>
      <c r="AA23" s="203">
        <f t="shared" si="30"/>
        <v>2400</v>
      </c>
      <c r="AB23" s="203">
        <f t="shared" si="31"/>
        <v>240</v>
      </c>
      <c r="AC23" s="203">
        <f t="shared" si="30"/>
        <v>2400</v>
      </c>
      <c r="AD23" s="203">
        <f t="shared" si="32"/>
        <v>240</v>
      </c>
      <c r="AE23" s="203">
        <f t="shared" si="11"/>
        <v>2400</v>
      </c>
      <c r="AF23" s="203">
        <f t="shared" si="33"/>
        <v>240</v>
      </c>
      <c r="AG23" s="203">
        <f t="shared" si="12"/>
        <v>2400</v>
      </c>
      <c r="AH23" s="203">
        <f t="shared" si="34"/>
        <v>240</v>
      </c>
      <c r="AI23" s="203">
        <f t="shared" si="13"/>
        <v>2400</v>
      </c>
      <c r="AJ23" s="203">
        <f t="shared" si="35"/>
        <v>240</v>
      </c>
      <c r="AK23" s="203">
        <f t="shared" si="14"/>
        <v>2400</v>
      </c>
      <c r="AL23" s="203">
        <f t="shared" si="36"/>
        <v>240</v>
      </c>
      <c r="AM23" s="203">
        <f t="shared" si="15"/>
        <v>2400</v>
      </c>
      <c r="AN23" s="35">
        <f t="shared" si="16"/>
        <v>0.8571428571428571</v>
      </c>
      <c r="AO23" s="36">
        <f t="shared" si="39"/>
        <v>16800</v>
      </c>
      <c r="AQ23" s="223">
        <f t="shared" si="40"/>
        <v>0.77640654113189478</v>
      </c>
      <c r="AR23" s="38">
        <f t="shared" si="41"/>
        <v>72182.516129032258</v>
      </c>
      <c r="AS23" s="197">
        <f t="shared" si="47"/>
        <v>0</v>
      </c>
      <c r="AT23" s="340"/>
      <c r="AU23" s="548"/>
      <c r="AV23" s="485">
        <f t="shared" si="43"/>
        <v>1.085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44700</v>
      </c>
      <c r="B24">
        <f>'B5'!B23</f>
        <v>234</v>
      </c>
      <c r="C24" s="203">
        <f t="shared" si="18"/>
        <v>5034.7741935483873</v>
      </c>
      <c r="D24">
        <f t="shared" si="19"/>
        <v>234</v>
      </c>
      <c r="E24" s="203">
        <f t="shared" si="18"/>
        <v>5034.7741935483873</v>
      </c>
      <c r="F24">
        <f t="shared" si="20"/>
        <v>234</v>
      </c>
      <c r="G24" s="203">
        <f t="shared" si="1"/>
        <v>5034.7741935483873</v>
      </c>
      <c r="H24" s="203">
        <f t="shared" si="21"/>
        <v>234</v>
      </c>
      <c r="I24" s="203">
        <f t="shared" si="2"/>
        <v>5034.7741935483873</v>
      </c>
      <c r="J24" s="203">
        <f t="shared" si="22"/>
        <v>234</v>
      </c>
      <c r="K24" s="203">
        <f t="shared" si="3"/>
        <v>5034.7741935483873</v>
      </c>
      <c r="L24" s="203">
        <f t="shared" si="23"/>
        <v>234</v>
      </c>
      <c r="M24" s="203">
        <f t="shared" si="4"/>
        <v>5034.7741935483873</v>
      </c>
      <c r="N24" s="203">
        <f t="shared" si="24"/>
        <v>234</v>
      </c>
      <c r="O24" s="203">
        <f t="shared" si="5"/>
        <v>5034.7741935483873</v>
      </c>
      <c r="P24" s="203">
        <f t="shared" si="25"/>
        <v>234</v>
      </c>
      <c r="Q24" s="203">
        <f t="shared" si="6"/>
        <v>5034.7741935483873</v>
      </c>
      <c r="R24" s="203">
        <f t="shared" si="26"/>
        <v>234</v>
      </c>
      <c r="S24" s="203">
        <f t="shared" si="7"/>
        <v>5034.7741935483873</v>
      </c>
      <c r="T24" s="203">
        <f t="shared" si="27"/>
        <v>234</v>
      </c>
      <c r="U24" s="203">
        <f t="shared" si="8"/>
        <v>5034.7741935483873</v>
      </c>
      <c r="V24" s="203">
        <f t="shared" si="28"/>
        <v>234</v>
      </c>
      <c r="W24" s="203">
        <f t="shared" si="9"/>
        <v>5034.7741935483873</v>
      </c>
      <c r="X24" s="35">
        <f t="shared" si="10"/>
        <v>0.75483870967741939</v>
      </c>
      <c r="Y24" s="36">
        <f t="shared" si="29"/>
        <v>55382.516129032258</v>
      </c>
      <c r="Z24" s="203">
        <f>'B5'!C23</f>
        <v>240</v>
      </c>
      <c r="AA24" s="203">
        <f t="shared" si="30"/>
        <v>2400</v>
      </c>
      <c r="AB24" s="203">
        <f t="shared" si="31"/>
        <v>240</v>
      </c>
      <c r="AC24" s="203">
        <f t="shared" si="30"/>
        <v>2400</v>
      </c>
      <c r="AD24" s="203">
        <f t="shared" si="32"/>
        <v>240</v>
      </c>
      <c r="AE24" s="203">
        <f t="shared" si="11"/>
        <v>2400</v>
      </c>
      <c r="AF24" s="203">
        <f t="shared" si="33"/>
        <v>240</v>
      </c>
      <c r="AG24" s="203">
        <f t="shared" si="12"/>
        <v>2400</v>
      </c>
      <c r="AH24" s="203">
        <f t="shared" si="34"/>
        <v>240</v>
      </c>
      <c r="AI24" s="203">
        <f t="shared" si="13"/>
        <v>2400</v>
      </c>
      <c r="AJ24" s="203">
        <f t="shared" si="35"/>
        <v>240</v>
      </c>
      <c r="AK24" s="203">
        <f t="shared" si="14"/>
        <v>2400</v>
      </c>
      <c r="AL24" s="203">
        <f t="shared" si="36"/>
        <v>240</v>
      </c>
      <c r="AM24" s="203">
        <f t="shared" si="15"/>
        <v>2400</v>
      </c>
      <c r="AN24" s="35">
        <f t="shared" si="16"/>
        <v>0.8571428571428571</v>
      </c>
      <c r="AO24" s="36">
        <f t="shared" si="39"/>
        <v>16800</v>
      </c>
      <c r="AQ24" s="223">
        <f t="shared" si="40"/>
        <v>0.77640654113189478</v>
      </c>
      <c r="AR24" s="38">
        <f t="shared" si="41"/>
        <v>72182.516129032258</v>
      </c>
      <c r="AS24" s="197">
        <f t="shared" si="47"/>
        <v>0</v>
      </c>
      <c r="AT24" s="340"/>
      <c r="AU24" s="548"/>
      <c r="AV24" s="485">
        <f t="shared" si="43"/>
        <v>1.085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44701</v>
      </c>
      <c r="B25">
        <f>'B5'!B24</f>
        <v>234</v>
      </c>
      <c r="C25" s="203">
        <f t="shared" si="18"/>
        <v>5034.7741935483873</v>
      </c>
      <c r="D25">
        <f t="shared" si="19"/>
        <v>234</v>
      </c>
      <c r="E25" s="203">
        <f t="shared" si="18"/>
        <v>5034.7741935483873</v>
      </c>
      <c r="F25">
        <f t="shared" si="20"/>
        <v>234</v>
      </c>
      <c r="G25" s="203">
        <f t="shared" si="1"/>
        <v>5034.7741935483873</v>
      </c>
      <c r="H25" s="203">
        <f t="shared" si="21"/>
        <v>234</v>
      </c>
      <c r="I25" s="203">
        <f t="shared" si="2"/>
        <v>5034.7741935483873</v>
      </c>
      <c r="J25" s="203">
        <f t="shared" si="22"/>
        <v>234</v>
      </c>
      <c r="K25" s="203">
        <f t="shared" si="3"/>
        <v>5034.7741935483873</v>
      </c>
      <c r="L25" s="203">
        <f t="shared" si="23"/>
        <v>234</v>
      </c>
      <c r="M25" s="203">
        <f t="shared" si="4"/>
        <v>5034.7741935483873</v>
      </c>
      <c r="N25" s="203">
        <f t="shared" si="24"/>
        <v>234</v>
      </c>
      <c r="O25" s="203">
        <f t="shared" si="5"/>
        <v>5034.7741935483873</v>
      </c>
      <c r="P25" s="203">
        <f t="shared" si="25"/>
        <v>234</v>
      </c>
      <c r="Q25" s="203">
        <f t="shared" si="6"/>
        <v>5034.7741935483873</v>
      </c>
      <c r="R25" s="203">
        <f t="shared" si="26"/>
        <v>234</v>
      </c>
      <c r="S25" s="203">
        <f t="shared" si="7"/>
        <v>5034.7741935483873</v>
      </c>
      <c r="T25" s="203">
        <f t="shared" si="27"/>
        <v>234</v>
      </c>
      <c r="U25" s="203">
        <f t="shared" si="8"/>
        <v>5034.7741935483873</v>
      </c>
      <c r="V25" s="203">
        <f t="shared" si="28"/>
        <v>234</v>
      </c>
      <c r="W25" s="203">
        <f t="shared" si="9"/>
        <v>5034.7741935483873</v>
      </c>
      <c r="X25" s="35">
        <f t="shared" si="10"/>
        <v>0.75483870967741939</v>
      </c>
      <c r="Y25" s="36">
        <f t="shared" si="29"/>
        <v>55382.516129032258</v>
      </c>
      <c r="Z25" s="203">
        <f>'B5'!C24</f>
        <v>240</v>
      </c>
      <c r="AA25" s="203">
        <f t="shared" si="30"/>
        <v>2400</v>
      </c>
      <c r="AB25" s="203">
        <f t="shared" si="31"/>
        <v>240</v>
      </c>
      <c r="AC25" s="203">
        <f t="shared" si="30"/>
        <v>2400</v>
      </c>
      <c r="AD25" s="203">
        <f t="shared" si="32"/>
        <v>240</v>
      </c>
      <c r="AE25" s="203">
        <f t="shared" si="11"/>
        <v>2400</v>
      </c>
      <c r="AF25" s="203">
        <f t="shared" si="33"/>
        <v>240</v>
      </c>
      <c r="AG25" s="203">
        <f t="shared" si="12"/>
        <v>2400</v>
      </c>
      <c r="AH25" s="203">
        <f t="shared" si="34"/>
        <v>240</v>
      </c>
      <c r="AI25" s="203">
        <f t="shared" si="13"/>
        <v>2400</v>
      </c>
      <c r="AJ25" s="203">
        <f t="shared" si="35"/>
        <v>240</v>
      </c>
      <c r="AK25" s="203">
        <f t="shared" si="14"/>
        <v>2400</v>
      </c>
      <c r="AL25" s="203">
        <f t="shared" si="36"/>
        <v>240</v>
      </c>
      <c r="AM25" s="203">
        <f t="shared" si="15"/>
        <v>2400</v>
      </c>
      <c r="AN25" s="35">
        <f t="shared" si="16"/>
        <v>0.8571428571428571</v>
      </c>
      <c r="AO25" s="36">
        <f t="shared" si="39"/>
        <v>16800</v>
      </c>
      <c r="AQ25" s="223">
        <f t="shared" si="40"/>
        <v>0.77640654113189478</v>
      </c>
      <c r="AR25" s="38">
        <f>Y25+AO25</f>
        <v>72182.516129032258</v>
      </c>
      <c r="AS25" s="197">
        <f t="shared" si="47"/>
        <v>0</v>
      </c>
      <c r="AT25" s="340"/>
      <c r="AU25" s="549"/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44702</v>
      </c>
      <c r="B26">
        <f>'B5'!B25</f>
        <v>234</v>
      </c>
      <c r="C26" s="203">
        <f t="shared" si="18"/>
        <v>5034.7741935483873</v>
      </c>
      <c r="D26">
        <f t="shared" si="19"/>
        <v>234</v>
      </c>
      <c r="E26" s="203">
        <f t="shared" si="18"/>
        <v>5034.7741935483873</v>
      </c>
      <c r="F26">
        <f t="shared" si="20"/>
        <v>234</v>
      </c>
      <c r="G26" s="203">
        <f t="shared" si="1"/>
        <v>5034.7741935483873</v>
      </c>
      <c r="H26" s="203">
        <f t="shared" si="21"/>
        <v>234</v>
      </c>
      <c r="I26" s="203">
        <f t="shared" si="2"/>
        <v>5034.7741935483873</v>
      </c>
      <c r="J26" s="203">
        <f t="shared" si="22"/>
        <v>234</v>
      </c>
      <c r="K26" s="203">
        <f t="shared" si="3"/>
        <v>5034.7741935483873</v>
      </c>
      <c r="L26" s="203">
        <f t="shared" si="23"/>
        <v>234</v>
      </c>
      <c r="M26" s="203">
        <f t="shared" si="4"/>
        <v>5034.7741935483873</v>
      </c>
      <c r="N26" s="203">
        <f t="shared" si="24"/>
        <v>234</v>
      </c>
      <c r="O26" s="203">
        <f t="shared" si="5"/>
        <v>5034.7741935483873</v>
      </c>
      <c r="P26" s="203">
        <f t="shared" si="25"/>
        <v>234</v>
      </c>
      <c r="Q26" s="203">
        <f t="shared" si="6"/>
        <v>5034.7741935483873</v>
      </c>
      <c r="R26" s="203">
        <f t="shared" si="26"/>
        <v>234</v>
      </c>
      <c r="S26" s="203">
        <f t="shared" si="7"/>
        <v>5034.7741935483873</v>
      </c>
      <c r="T26" s="203">
        <f t="shared" si="27"/>
        <v>234</v>
      </c>
      <c r="U26" s="203">
        <f t="shared" si="8"/>
        <v>5034.7741935483873</v>
      </c>
      <c r="V26" s="203">
        <f t="shared" si="28"/>
        <v>234</v>
      </c>
      <c r="W26" s="203">
        <f t="shared" si="9"/>
        <v>5034.7741935483873</v>
      </c>
      <c r="X26" s="35">
        <f t="shared" si="10"/>
        <v>0.75483870967741939</v>
      </c>
      <c r="Y26" s="36">
        <f t="shared" si="29"/>
        <v>55382.516129032258</v>
      </c>
      <c r="Z26" s="203">
        <f>'B5'!C25</f>
        <v>240</v>
      </c>
      <c r="AA26" s="203">
        <f t="shared" si="30"/>
        <v>2400</v>
      </c>
      <c r="AB26" s="203">
        <f t="shared" si="31"/>
        <v>240</v>
      </c>
      <c r="AC26" s="203">
        <f t="shared" si="30"/>
        <v>2400</v>
      </c>
      <c r="AD26" s="203">
        <f t="shared" si="32"/>
        <v>240</v>
      </c>
      <c r="AE26" s="203">
        <f t="shared" si="11"/>
        <v>2400</v>
      </c>
      <c r="AF26" s="203">
        <f t="shared" si="33"/>
        <v>240</v>
      </c>
      <c r="AG26" s="203">
        <f t="shared" si="12"/>
        <v>2400</v>
      </c>
      <c r="AH26" s="203">
        <f t="shared" si="34"/>
        <v>240</v>
      </c>
      <c r="AI26" s="203">
        <f t="shared" si="13"/>
        <v>2400</v>
      </c>
      <c r="AJ26" s="203">
        <f t="shared" si="35"/>
        <v>240</v>
      </c>
      <c r="AK26" s="203">
        <f t="shared" si="14"/>
        <v>2400</v>
      </c>
      <c r="AL26" s="203">
        <f t="shared" si="36"/>
        <v>240</v>
      </c>
      <c r="AM26" s="203">
        <f t="shared" si="15"/>
        <v>2400</v>
      </c>
      <c r="AN26" s="35">
        <f t="shared" si="16"/>
        <v>0.8571428571428571</v>
      </c>
      <c r="AO26" s="36">
        <f t="shared" si="39"/>
        <v>16800</v>
      </c>
      <c r="AQ26" s="223">
        <f t="shared" si="40"/>
        <v>0.77640654113189478</v>
      </c>
      <c r="AR26" s="38">
        <f>Y26+AO26</f>
        <v>72182.516129032258</v>
      </c>
      <c r="AS26" s="197">
        <f t="shared" si="47"/>
        <v>0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44703</v>
      </c>
      <c r="B27">
        <f>'B5'!B26</f>
        <v>234</v>
      </c>
      <c r="C27" s="203">
        <f t="shared" si="18"/>
        <v>5034.7741935483873</v>
      </c>
      <c r="D27">
        <f t="shared" si="19"/>
        <v>234</v>
      </c>
      <c r="E27" s="203">
        <f t="shared" si="18"/>
        <v>5034.7741935483873</v>
      </c>
      <c r="F27">
        <f t="shared" si="20"/>
        <v>234</v>
      </c>
      <c r="G27" s="203">
        <f t="shared" si="1"/>
        <v>5034.7741935483873</v>
      </c>
      <c r="H27" s="203">
        <f t="shared" si="21"/>
        <v>234</v>
      </c>
      <c r="I27" s="203">
        <f t="shared" si="2"/>
        <v>5034.7741935483873</v>
      </c>
      <c r="J27" s="203">
        <f t="shared" si="22"/>
        <v>234</v>
      </c>
      <c r="K27" s="203">
        <f t="shared" si="3"/>
        <v>5034.7741935483873</v>
      </c>
      <c r="L27" s="203">
        <f t="shared" si="23"/>
        <v>234</v>
      </c>
      <c r="M27" s="203">
        <f t="shared" si="4"/>
        <v>5034.7741935483873</v>
      </c>
      <c r="N27" s="203">
        <f t="shared" si="24"/>
        <v>234</v>
      </c>
      <c r="O27" s="203">
        <f t="shared" si="5"/>
        <v>5034.7741935483873</v>
      </c>
      <c r="P27" s="203">
        <f t="shared" si="25"/>
        <v>234</v>
      </c>
      <c r="Q27" s="203">
        <f t="shared" si="6"/>
        <v>5034.7741935483873</v>
      </c>
      <c r="R27" s="203">
        <f t="shared" si="26"/>
        <v>234</v>
      </c>
      <c r="S27" s="203">
        <f t="shared" si="7"/>
        <v>5034.7741935483873</v>
      </c>
      <c r="T27" s="203">
        <f t="shared" si="27"/>
        <v>234</v>
      </c>
      <c r="U27" s="203">
        <f t="shared" si="8"/>
        <v>5034.7741935483873</v>
      </c>
      <c r="V27" s="203">
        <f t="shared" si="28"/>
        <v>234</v>
      </c>
      <c r="W27" s="203">
        <f t="shared" si="9"/>
        <v>5034.7741935483873</v>
      </c>
      <c r="X27" s="35">
        <f t="shared" si="10"/>
        <v>0.75483870967741939</v>
      </c>
      <c r="Y27" s="36">
        <f t="shared" si="29"/>
        <v>55382.516129032258</v>
      </c>
      <c r="Z27" s="203">
        <f>'B5'!C26</f>
        <v>240</v>
      </c>
      <c r="AA27" s="203">
        <f t="shared" si="30"/>
        <v>2400</v>
      </c>
      <c r="AB27" s="203">
        <f t="shared" si="31"/>
        <v>240</v>
      </c>
      <c r="AC27" s="203">
        <f t="shared" si="30"/>
        <v>2400</v>
      </c>
      <c r="AD27" s="203">
        <f t="shared" si="32"/>
        <v>240</v>
      </c>
      <c r="AE27" s="203">
        <f t="shared" si="11"/>
        <v>2400</v>
      </c>
      <c r="AF27" s="203">
        <f t="shared" si="33"/>
        <v>240</v>
      </c>
      <c r="AG27" s="203">
        <f t="shared" si="12"/>
        <v>2400</v>
      </c>
      <c r="AH27" s="203">
        <f t="shared" si="34"/>
        <v>240</v>
      </c>
      <c r="AI27" s="203">
        <f t="shared" si="13"/>
        <v>2400</v>
      </c>
      <c r="AJ27" s="203">
        <f t="shared" si="35"/>
        <v>240</v>
      </c>
      <c r="AK27" s="203">
        <f t="shared" si="14"/>
        <v>2400</v>
      </c>
      <c r="AL27" s="203">
        <f t="shared" si="36"/>
        <v>240</v>
      </c>
      <c r="AM27" s="203">
        <f t="shared" si="15"/>
        <v>2400</v>
      </c>
      <c r="AN27" s="35">
        <f t="shared" si="16"/>
        <v>0.8571428571428571</v>
      </c>
      <c r="AO27" s="36">
        <f t="shared" si="39"/>
        <v>16800</v>
      </c>
      <c r="AQ27" s="223">
        <f t="shared" si="40"/>
        <v>0.77640654113189478</v>
      </c>
      <c r="AR27" s="38">
        <f t="shared" si="41"/>
        <v>72182.516129032258</v>
      </c>
      <c r="AS27" s="197">
        <f t="shared" si="47"/>
        <v>0</v>
      </c>
      <c r="AT27" s="340"/>
      <c r="AU27" s="548"/>
      <c r="AV27" s="485">
        <f t="shared" si="43"/>
        <v>1.085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44704</v>
      </c>
      <c r="B28">
        <f>'B5'!B27</f>
        <v>234</v>
      </c>
      <c r="C28" s="203">
        <f t="shared" si="18"/>
        <v>5034.7741935483873</v>
      </c>
      <c r="D28">
        <f t="shared" si="19"/>
        <v>234</v>
      </c>
      <c r="E28" s="203">
        <f t="shared" si="18"/>
        <v>5034.7741935483873</v>
      </c>
      <c r="F28">
        <f t="shared" si="20"/>
        <v>234</v>
      </c>
      <c r="G28" s="203">
        <f t="shared" si="1"/>
        <v>5034.7741935483873</v>
      </c>
      <c r="H28" s="203">
        <f t="shared" si="21"/>
        <v>234</v>
      </c>
      <c r="I28" s="203">
        <f t="shared" si="2"/>
        <v>5034.7741935483873</v>
      </c>
      <c r="J28" s="203">
        <f t="shared" si="22"/>
        <v>234</v>
      </c>
      <c r="K28" s="203">
        <f t="shared" si="3"/>
        <v>5034.7741935483873</v>
      </c>
      <c r="L28" s="203">
        <f t="shared" si="23"/>
        <v>234</v>
      </c>
      <c r="M28" s="203">
        <f t="shared" si="4"/>
        <v>5034.7741935483873</v>
      </c>
      <c r="N28" s="203">
        <f t="shared" si="24"/>
        <v>234</v>
      </c>
      <c r="O28" s="203">
        <f t="shared" si="5"/>
        <v>5034.7741935483873</v>
      </c>
      <c r="P28" s="203">
        <f t="shared" si="25"/>
        <v>234</v>
      </c>
      <c r="Q28" s="203">
        <f t="shared" si="6"/>
        <v>5034.7741935483873</v>
      </c>
      <c r="R28" s="203">
        <f t="shared" si="26"/>
        <v>234</v>
      </c>
      <c r="S28" s="203">
        <f t="shared" si="7"/>
        <v>5034.7741935483873</v>
      </c>
      <c r="T28" s="203">
        <f t="shared" si="27"/>
        <v>234</v>
      </c>
      <c r="U28" s="203">
        <f t="shared" si="8"/>
        <v>5034.7741935483873</v>
      </c>
      <c r="V28" s="203">
        <f t="shared" si="28"/>
        <v>234</v>
      </c>
      <c r="W28" s="203">
        <f t="shared" si="9"/>
        <v>5034.7741935483873</v>
      </c>
      <c r="X28" s="35">
        <f t="shared" si="10"/>
        <v>0.75483870967741939</v>
      </c>
      <c r="Y28" s="36">
        <f t="shared" si="29"/>
        <v>55382.516129032258</v>
      </c>
      <c r="Z28" s="203">
        <f>'B5'!C27</f>
        <v>240</v>
      </c>
      <c r="AA28" s="203">
        <f t="shared" si="30"/>
        <v>2400</v>
      </c>
      <c r="AB28" s="203">
        <f t="shared" si="31"/>
        <v>240</v>
      </c>
      <c r="AC28" s="203">
        <f t="shared" si="30"/>
        <v>2400</v>
      </c>
      <c r="AD28" s="203">
        <f t="shared" si="32"/>
        <v>240</v>
      </c>
      <c r="AE28" s="203">
        <f t="shared" si="11"/>
        <v>2400</v>
      </c>
      <c r="AF28" s="203">
        <f t="shared" si="33"/>
        <v>240</v>
      </c>
      <c r="AG28" s="203">
        <f t="shared" si="12"/>
        <v>2400</v>
      </c>
      <c r="AH28" s="203">
        <f t="shared" si="34"/>
        <v>240</v>
      </c>
      <c r="AI28" s="203">
        <f t="shared" si="13"/>
        <v>2400</v>
      </c>
      <c r="AJ28" s="203">
        <f t="shared" si="35"/>
        <v>240</v>
      </c>
      <c r="AK28" s="203">
        <f t="shared" si="14"/>
        <v>2400</v>
      </c>
      <c r="AL28" s="203">
        <f t="shared" si="36"/>
        <v>240</v>
      </c>
      <c r="AM28" s="203">
        <f t="shared" si="15"/>
        <v>2400</v>
      </c>
      <c r="AN28" s="35">
        <f t="shared" si="16"/>
        <v>0.8571428571428571</v>
      </c>
      <c r="AO28" s="36">
        <f t="shared" si="39"/>
        <v>16800</v>
      </c>
      <c r="AQ28" s="223">
        <f t="shared" si="40"/>
        <v>0.77640654113189478</v>
      </c>
      <c r="AR28" s="38">
        <f t="shared" si="41"/>
        <v>72182.516129032258</v>
      </c>
      <c r="AS28" s="197">
        <f t="shared" si="47"/>
        <v>0</v>
      </c>
      <c r="AT28" s="340"/>
      <c r="AU28" s="549"/>
      <c r="AV28" s="485">
        <f t="shared" si="43"/>
        <v>1.085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44705</v>
      </c>
      <c r="B29">
        <f>'B5'!B28</f>
        <v>234</v>
      </c>
      <c r="C29" s="203">
        <f t="shared" si="18"/>
        <v>5034.7741935483873</v>
      </c>
      <c r="D29">
        <f t="shared" si="19"/>
        <v>234</v>
      </c>
      <c r="E29" s="203">
        <f t="shared" si="18"/>
        <v>5034.7741935483873</v>
      </c>
      <c r="F29">
        <f t="shared" si="20"/>
        <v>234</v>
      </c>
      <c r="G29" s="203">
        <f t="shared" si="1"/>
        <v>5034.7741935483873</v>
      </c>
      <c r="H29" s="203">
        <f t="shared" si="21"/>
        <v>234</v>
      </c>
      <c r="I29" s="203">
        <f t="shared" si="2"/>
        <v>5034.7741935483873</v>
      </c>
      <c r="J29" s="203">
        <f t="shared" si="22"/>
        <v>234</v>
      </c>
      <c r="K29" s="203">
        <f t="shared" si="3"/>
        <v>5034.7741935483873</v>
      </c>
      <c r="L29" s="203">
        <f t="shared" si="23"/>
        <v>234</v>
      </c>
      <c r="M29" s="203">
        <f t="shared" si="4"/>
        <v>5034.7741935483873</v>
      </c>
      <c r="N29" s="203">
        <f t="shared" si="24"/>
        <v>234</v>
      </c>
      <c r="O29" s="203">
        <f t="shared" si="5"/>
        <v>5034.7741935483873</v>
      </c>
      <c r="P29" s="203">
        <f t="shared" si="25"/>
        <v>234</v>
      </c>
      <c r="Q29" s="203">
        <f t="shared" si="6"/>
        <v>5034.7741935483873</v>
      </c>
      <c r="R29" s="203">
        <f t="shared" si="26"/>
        <v>234</v>
      </c>
      <c r="S29" s="203">
        <f t="shared" si="7"/>
        <v>5034.7741935483873</v>
      </c>
      <c r="T29" s="203">
        <f t="shared" si="27"/>
        <v>234</v>
      </c>
      <c r="U29" s="203">
        <f t="shared" si="8"/>
        <v>5034.7741935483873</v>
      </c>
      <c r="V29" s="203">
        <f t="shared" si="28"/>
        <v>234</v>
      </c>
      <c r="W29" s="203">
        <f t="shared" si="9"/>
        <v>5034.7741935483873</v>
      </c>
      <c r="X29" s="35">
        <f t="shared" si="10"/>
        <v>0.75483870967741939</v>
      </c>
      <c r="Y29" s="36">
        <f t="shared" si="29"/>
        <v>55382.516129032258</v>
      </c>
      <c r="Z29" s="203">
        <f>'B5'!C28</f>
        <v>240</v>
      </c>
      <c r="AA29" s="203">
        <f t="shared" si="30"/>
        <v>2400</v>
      </c>
      <c r="AB29" s="203">
        <f t="shared" si="31"/>
        <v>240</v>
      </c>
      <c r="AC29" s="203">
        <f t="shared" si="30"/>
        <v>2400</v>
      </c>
      <c r="AD29" s="203">
        <f t="shared" si="32"/>
        <v>240</v>
      </c>
      <c r="AE29" s="203">
        <f t="shared" si="11"/>
        <v>2400</v>
      </c>
      <c r="AF29" s="203">
        <f t="shared" si="33"/>
        <v>240</v>
      </c>
      <c r="AG29" s="203">
        <f t="shared" si="12"/>
        <v>2400</v>
      </c>
      <c r="AH29" s="203">
        <f t="shared" si="34"/>
        <v>240</v>
      </c>
      <c r="AI29" s="203">
        <f t="shared" si="13"/>
        <v>2400</v>
      </c>
      <c r="AJ29" s="203">
        <f t="shared" si="35"/>
        <v>240</v>
      </c>
      <c r="AK29" s="203">
        <f t="shared" si="14"/>
        <v>2400</v>
      </c>
      <c r="AL29" s="203">
        <f t="shared" si="36"/>
        <v>240</v>
      </c>
      <c r="AM29" s="203">
        <f t="shared" si="15"/>
        <v>2400</v>
      </c>
      <c r="AN29" s="35">
        <f t="shared" si="16"/>
        <v>0.8571428571428571</v>
      </c>
      <c r="AO29" s="36">
        <f t="shared" si="39"/>
        <v>16800</v>
      </c>
      <c r="AQ29" s="223">
        <f t="shared" si="40"/>
        <v>0.77640654113189478</v>
      </c>
      <c r="AR29" s="38">
        <f t="shared" si="41"/>
        <v>72182.516129032258</v>
      </c>
      <c r="AS29" s="197">
        <f>SUM(AR29-AR28-AT29)</f>
        <v>0</v>
      </c>
      <c r="AT29" s="340"/>
      <c r="AU29" s="549"/>
      <c r="AV29" s="485">
        <f t="shared" si="43"/>
        <v>1.085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44706</v>
      </c>
      <c r="B30">
        <f>'B5'!B29</f>
        <v>234</v>
      </c>
      <c r="C30" s="203">
        <f t="shared" si="18"/>
        <v>5034.7741935483873</v>
      </c>
      <c r="D30">
        <f>SUM(B30)</f>
        <v>234</v>
      </c>
      <c r="E30" s="203">
        <f t="shared" si="18"/>
        <v>5034.7741935483873</v>
      </c>
      <c r="F30">
        <f>SUM(D30)</f>
        <v>234</v>
      </c>
      <c r="G30" s="203">
        <f t="shared" si="1"/>
        <v>5034.7741935483873</v>
      </c>
      <c r="H30" s="203">
        <f>SUM(F30)</f>
        <v>234</v>
      </c>
      <c r="I30" s="203">
        <f t="shared" si="2"/>
        <v>5034.7741935483873</v>
      </c>
      <c r="J30" s="203">
        <f>SUM(H30)</f>
        <v>234</v>
      </c>
      <c r="K30" s="203">
        <f t="shared" si="3"/>
        <v>5034.7741935483873</v>
      </c>
      <c r="L30" s="203">
        <f>SUM(J30)</f>
        <v>234</v>
      </c>
      <c r="M30" s="203">
        <f t="shared" si="4"/>
        <v>5034.7741935483873</v>
      </c>
      <c r="N30" s="203">
        <f>SUM(L30)</f>
        <v>234</v>
      </c>
      <c r="O30" s="203">
        <f t="shared" si="5"/>
        <v>5034.7741935483873</v>
      </c>
      <c r="P30" s="203">
        <f>SUM(N30)</f>
        <v>234</v>
      </c>
      <c r="Q30" s="203">
        <f t="shared" si="6"/>
        <v>5034.7741935483873</v>
      </c>
      <c r="R30" s="203">
        <f>SUM(P30)</f>
        <v>234</v>
      </c>
      <c r="S30" s="203">
        <f t="shared" si="7"/>
        <v>5034.7741935483873</v>
      </c>
      <c r="T30" s="203">
        <f>SUM(R30)</f>
        <v>234</v>
      </c>
      <c r="U30" s="203">
        <f t="shared" si="8"/>
        <v>5034.7741935483873</v>
      </c>
      <c r="V30" s="203">
        <f>SUM(T30)</f>
        <v>234</v>
      </c>
      <c r="W30" s="203">
        <f t="shared" si="9"/>
        <v>5034.7741935483873</v>
      </c>
      <c r="X30" s="35">
        <f>SUM(Y30/73370)</f>
        <v>0.75483870967741939</v>
      </c>
      <c r="Y30" s="36">
        <f>SUM(C30+E30+G30+I30+K30+M30+O30+Q30+S30+U30+W30)</f>
        <v>55382.516129032258</v>
      </c>
      <c r="Z30" s="203">
        <f>'B5'!C29</f>
        <v>240</v>
      </c>
      <c r="AA30" s="203">
        <f t="shared" si="30"/>
        <v>2400</v>
      </c>
      <c r="AB30" s="203">
        <f>SUM(Z30)</f>
        <v>240</v>
      </c>
      <c r="AC30" s="203">
        <f t="shared" si="30"/>
        <v>2400</v>
      </c>
      <c r="AD30" s="203">
        <f>SUM(AB30)</f>
        <v>240</v>
      </c>
      <c r="AE30" s="203">
        <f t="shared" si="11"/>
        <v>2400</v>
      </c>
      <c r="AF30" s="203">
        <f>SUM(AD30)</f>
        <v>240</v>
      </c>
      <c r="AG30" s="203">
        <f t="shared" si="12"/>
        <v>2400</v>
      </c>
      <c r="AH30" s="203">
        <f>SUM(AF30)</f>
        <v>240</v>
      </c>
      <c r="AI30" s="203">
        <f t="shared" si="13"/>
        <v>2400</v>
      </c>
      <c r="AJ30" s="203">
        <f>SUM(AH30)</f>
        <v>240</v>
      </c>
      <c r="AK30" s="203">
        <f t="shared" si="14"/>
        <v>2400</v>
      </c>
      <c r="AL30" s="203">
        <f>SUM(AJ30)</f>
        <v>240</v>
      </c>
      <c r="AM30" s="203">
        <f t="shared" si="15"/>
        <v>2400</v>
      </c>
      <c r="AN30" s="35">
        <f>SUM(AO30/19600)</f>
        <v>0.8571428571428571</v>
      </c>
      <c r="AO30" s="36">
        <f>SUM(AA30+AC30+AE30+AG30+AI30+AK30+AM30)</f>
        <v>16800</v>
      </c>
      <c r="AQ30" s="223">
        <f t="shared" si="40"/>
        <v>0.77640654113189478</v>
      </c>
      <c r="AR30" s="38">
        <f t="shared" si="41"/>
        <v>72182.516129032258</v>
      </c>
      <c r="AS30" s="197">
        <f>SUM(AR30-AR29-AT30)</f>
        <v>0</v>
      </c>
      <c r="AT30" s="340"/>
      <c r="AU30" s="549"/>
      <c r="AV30" s="485">
        <f t="shared" si="43"/>
        <v>1.085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44707</v>
      </c>
      <c r="B31">
        <f>'B5'!B30</f>
        <v>234</v>
      </c>
      <c r="C31" s="203">
        <f t="shared" si="18"/>
        <v>5034.7741935483873</v>
      </c>
      <c r="D31">
        <f>SUM(B31)</f>
        <v>234</v>
      </c>
      <c r="E31" s="203">
        <f t="shared" si="18"/>
        <v>5034.7741935483873</v>
      </c>
      <c r="F31">
        <f>SUM(D31)</f>
        <v>234</v>
      </c>
      <c r="G31" s="203">
        <f t="shared" si="1"/>
        <v>5034.7741935483873</v>
      </c>
      <c r="H31" s="203">
        <f>SUM(F31)</f>
        <v>234</v>
      </c>
      <c r="I31" s="203">
        <f t="shared" si="2"/>
        <v>5034.7741935483873</v>
      </c>
      <c r="J31" s="203">
        <f>SUM(H31)</f>
        <v>234</v>
      </c>
      <c r="K31" s="203">
        <f t="shared" si="3"/>
        <v>5034.7741935483873</v>
      </c>
      <c r="L31" s="203">
        <f>SUM(J31)</f>
        <v>234</v>
      </c>
      <c r="M31" s="203">
        <f t="shared" si="4"/>
        <v>5034.7741935483873</v>
      </c>
      <c r="N31" s="203">
        <f>SUM(L31)</f>
        <v>234</v>
      </c>
      <c r="O31" s="203">
        <f t="shared" si="5"/>
        <v>5034.7741935483873</v>
      </c>
      <c r="P31" s="203">
        <f>SUM(N31)</f>
        <v>234</v>
      </c>
      <c r="Q31" s="203">
        <f t="shared" si="6"/>
        <v>5034.7741935483873</v>
      </c>
      <c r="R31" s="203">
        <f>SUM(P31)</f>
        <v>234</v>
      </c>
      <c r="S31" s="203">
        <f t="shared" si="7"/>
        <v>5034.7741935483873</v>
      </c>
      <c r="T31" s="203">
        <f>SUM(R31)</f>
        <v>234</v>
      </c>
      <c r="U31" s="203">
        <f t="shared" si="8"/>
        <v>5034.7741935483873</v>
      </c>
      <c r="V31" s="203">
        <f>SUM(T31)</f>
        <v>234</v>
      </c>
      <c r="W31" s="203">
        <f t="shared" si="9"/>
        <v>5034.7741935483873</v>
      </c>
      <c r="X31" s="35">
        <f>SUM(Y31/73370)</f>
        <v>0.75483870967741939</v>
      </c>
      <c r="Y31" s="36">
        <f>SUM(C31+E31+G31+I31+K31+M31+O31+Q31+S31+U31+W31)</f>
        <v>55382.516129032258</v>
      </c>
      <c r="Z31" s="203">
        <f>'B5'!C30</f>
        <v>240</v>
      </c>
      <c r="AA31" s="203">
        <f t="shared" si="30"/>
        <v>2400</v>
      </c>
      <c r="AB31" s="203">
        <f>SUM(Z31)</f>
        <v>240</v>
      </c>
      <c r="AC31" s="203">
        <f t="shared" si="30"/>
        <v>2400</v>
      </c>
      <c r="AD31" s="203">
        <f>SUM(AB31)</f>
        <v>240</v>
      </c>
      <c r="AE31" s="203">
        <f t="shared" si="11"/>
        <v>2400</v>
      </c>
      <c r="AF31" s="203">
        <f>SUM(AD31)</f>
        <v>240</v>
      </c>
      <c r="AG31" s="203">
        <f t="shared" si="12"/>
        <v>2400</v>
      </c>
      <c r="AH31" s="203">
        <f>SUM(AF31)</f>
        <v>240</v>
      </c>
      <c r="AI31" s="203">
        <f t="shared" si="13"/>
        <v>2400</v>
      </c>
      <c r="AJ31" s="203">
        <f>SUM(AH31)</f>
        <v>240</v>
      </c>
      <c r="AK31" s="203">
        <f t="shared" si="14"/>
        <v>2400</v>
      </c>
      <c r="AL31" s="203">
        <f>SUM(AJ31)</f>
        <v>240</v>
      </c>
      <c r="AM31" s="203">
        <f t="shared" si="15"/>
        <v>2400</v>
      </c>
      <c r="AN31" s="35">
        <f>SUM(AO31/19600)</f>
        <v>0.8571428571428571</v>
      </c>
      <c r="AO31" s="36">
        <f>SUM(AA31+AC31+AE31+AG31+AI31+AK31+AM31)</f>
        <v>16800</v>
      </c>
      <c r="AQ31" s="223">
        <f t="shared" si="40"/>
        <v>0.77640654113189478</v>
      </c>
      <c r="AR31" s="38">
        <f t="shared" si="41"/>
        <v>72182.516129032258</v>
      </c>
      <c r="AS31" s="197">
        <f t="shared" si="47"/>
        <v>0</v>
      </c>
      <c r="AT31" s="340"/>
      <c r="AU31" s="571"/>
      <c r="AV31" s="485">
        <f t="shared" si="43"/>
        <v>1.085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44708</v>
      </c>
      <c r="B32">
        <f>'B5'!B31</f>
        <v>234</v>
      </c>
      <c r="C32" s="203">
        <f t="shared" si="18"/>
        <v>5034.7741935483873</v>
      </c>
      <c r="D32">
        <f>SUM(B32)</f>
        <v>234</v>
      </c>
      <c r="E32" s="203">
        <f t="shared" si="18"/>
        <v>5034.7741935483873</v>
      </c>
      <c r="F32">
        <f>SUM(D32)</f>
        <v>234</v>
      </c>
      <c r="G32" s="203">
        <f t="shared" si="1"/>
        <v>5034.7741935483873</v>
      </c>
      <c r="H32" s="203">
        <f>SUM(F32)</f>
        <v>234</v>
      </c>
      <c r="I32" s="203">
        <f t="shared" si="2"/>
        <v>5034.7741935483873</v>
      </c>
      <c r="J32" s="203">
        <f>SUM(H32)</f>
        <v>234</v>
      </c>
      <c r="K32" s="203">
        <f t="shared" si="3"/>
        <v>5034.7741935483873</v>
      </c>
      <c r="L32" s="203">
        <f>SUM(J32)</f>
        <v>234</v>
      </c>
      <c r="M32" s="203">
        <f t="shared" si="4"/>
        <v>5034.7741935483873</v>
      </c>
      <c r="N32" s="203">
        <f>SUM(L32)</f>
        <v>234</v>
      </c>
      <c r="O32" s="203">
        <f t="shared" si="5"/>
        <v>5034.7741935483873</v>
      </c>
      <c r="P32" s="203">
        <f>SUM(N32)</f>
        <v>234</v>
      </c>
      <c r="Q32" s="203">
        <f t="shared" si="6"/>
        <v>5034.7741935483873</v>
      </c>
      <c r="R32" s="203">
        <f>SUM(P32)</f>
        <v>234</v>
      </c>
      <c r="S32" s="203">
        <f t="shared" si="7"/>
        <v>5034.7741935483873</v>
      </c>
      <c r="T32" s="203">
        <f>SUM(R32)</f>
        <v>234</v>
      </c>
      <c r="U32" s="203">
        <f t="shared" si="8"/>
        <v>5034.7741935483873</v>
      </c>
      <c r="V32" s="203">
        <f>SUM(T32)</f>
        <v>234</v>
      </c>
      <c r="W32" s="203">
        <f t="shared" si="9"/>
        <v>5034.7741935483873</v>
      </c>
      <c r="X32" s="35">
        <f>SUM(Y32/73370)</f>
        <v>0.75483870967741939</v>
      </c>
      <c r="Y32" s="36">
        <f>SUM(C32+E32+G32+I32+K32+M32+O32+Q32+S32+U32+W32)</f>
        <v>55382.516129032258</v>
      </c>
      <c r="Z32" s="203">
        <f>'B5'!C31</f>
        <v>240</v>
      </c>
      <c r="AA32" s="203">
        <f t="shared" si="30"/>
        <v>2400</v>
      </c>
      <c r="AB32" s="203">
        <f>SUM(Z32)</f>
        <v>240</v>
      </c>
      <c r="AC32" s="203">
        <f t="shared" si="30"/>
        <v>2400</v>
      </c>
      <c r="AD32" s="203">
        <f>SUM(AB32)</f>
        <v>240</v>
      </c>
      <c r="AE32" s="203">
        <f t="shared" si="11"/>
        <v>2400</v>
      </c>
      <c r="AF32" s="203">
        <f>SUM(AD32)</f>
        <v>240</v>
      </c>
      <c r="AG32" s="203">
        <f t="shared" si="12"/>
        <v>2400</v>
      </c>
      <c r="AH32" s="203">
        <f>SUM(AF32)</f>
        <v>240</v>
      </c>
      <c r="AI32" s="203">
        <f t="shared" si="13"/>
        <v>2400</v>
      </c>
      <c r="AJ32" s="203">
        <f>SUM(AH32)</f>
        <v>240</v>
      </c>
      <c r="AK32" s="203">
        <f t="shared" si="14"/>
        <v>2400</v>
      </c>
      <c r="AL32" s="203">
        <f>SUM(AJ32)</f>
        <v>240</v>
      </c>
      <c r="AM32" s="203">
        <f t="shared" si="15"/>
        <v>2400</v>
      </c>
      <c r="AN32" s="35">
        <f>SUM(AO32/19600)</f>
        <v>0.8571428571428571</v>
      </c>
      <c r="AO32" s="36">
        <f>SUM(AA32+AC32+AE32+AG32+AI32+AK32+AM32)</f>
        <v>16800</v>
      </c>
      <c r="AQ32" s="223">
        <f t="shared" si="40"/>
        <v>0.77640654113189478</v>
      </c>
      <c r="AR32" s="38">
        <f t="shared" si="41"/>
        <v>72182.516129032258</v>
      </c>
      <c r="AS32" s="197">
        <f t="shared" si="47"/>
        <v>0</v>
      </c>
      <c r="AT32" s="340"/>
      <c r="AU32" s="548"/>
      <c r="AV32" s="485">
        <f>IF(AT32&gt;0,AU32,AV31)</f>
        <v>1.085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234</v>
      </c>
      <c r="C33" s="203">
        <f t="shared" si="18"/>
        <v>5034.7741935483873</v>
      </c>
      <c r="D33">
        <f>SUM(B33)</f>
        <v>234</v>
      </c>
      <c r="E33" s="203">
        <f t="shared" si="18"/>
        <v>5034.7741935483873</v>
      </c>
      <c r="F33">
        <f>SUM(D33)</f>
        <v>234</v>
      </c>
      <c r="G33" s="203">
        <f t="shared" si="1"/>
        <v>5034.7741935483873</v>
      </c>
      <c r="H33" s="203">
        <f>SUM(F33)</f>
        <v>234</v>
      </c>
      <c r="I33" s="203">
        <f t="shared" si="2"/>
        <v>5034.7741935483873</v>
      </c>
      <c r="J33" s="203">
        <f>SUM(H33)</f>
        <v>234</v>
      </c>
      <c r="K33" s="203">
        <f t="shared" si="3"/>
        <v>5034.7741935483873</v>
      </c>
      <c r="L33" s="203">
        <f>SUM(J33)</f>
        <v>234</v>
      </c>
      <c r="M33" s="203">
        <f t="shared" si="4"/>
        <v>5034.7741935483873</v>
      </c>
      <c r="N33" s="203">
        <f>SUM(L33)</f>
        <v>234</v>
      </c>
      <c r="O33" s="203">
        <f t="shared" si="5"/>
        <v>5034.7741935483873</v>
      </c>
      <c r="P33" s="203">
        <f>SUM(N33)</f>
        <v>234</v>
      </c>
      <c r="Q33" s="203">
        <f t="shared" si="6"/>
        <v>5034.7741935483873</v>
      </c>
      <c r="R33" s="203">
        <f>SUM(P33)</f>
        <v>234</v>
      </c>
      <c r="S33" s="203">
        <f t="shared" si="7"/>
        <v>5034.7741935483873</v>
      </c>
      <c r="T33" s="203">
        <f>SUM(R33)</f>
        <v>234</v>
      </c>
      <c r="U33" s="203">
        <f t="shared" si="8"/>
        <v>5034.7741935483873</v>
      </c>
      <c r="V33" s="203">
        <f>SUM(T33)</f>
        <v>234</v>
      </c>
      <c r="W33" s="203">
        <f t="shared" si="9"/>
        <v>5034.7741935483873</v>
      </c>
      <c r="X33" s="35">
        <f>SUM(Y33/73370)</f>
        <v>0.75483870967741939</v>
      </c>
      <c r="Y33" s="36">
        <f>SUM(C33+E33+G33+I33+K33+M33+O33+Q33+S33+U33+W33)</f>
        <v>55382.516129032258</v>
      </c>
      <c r="Z33" s="203">
        <f>'B5'!C32</f>
        <v>240</v>
      </c>
      <c r="AA33" s="203">
        <f t="shared" si="30"/>
        <v>2400</v>
      </c>
      <c r="AB33" s="203">
        <f>SUM(Z33)</f>
        <v>240</v>
      </c>
      <c r="AC33" s="203">
        <f t="shared" si="30"/>
        <v>2400</v>
      </c>
      <c r="AD33" s="203">
        <f>SUM(AB33)</f>
        <v>240</v>
      </c>
      <c r="AE33" s="203">
        <f t="shared" si="11"/>
        <v>2400</v>
      </c>
      <c r="AF33" s="203">
        <f>SUM(AD33)</f>
        <v>240</v>
      </c>
      <c r="AG33" s="203">
        <f t="shared" si="12"/>
        <v>2400</v>
      </c>
      <c r="AH33" s="203">
        <f>SUM(AF33)</f>
        <v>240</v>
      </c>
      <c r="AI33" s="203">
        <f t="shared" si="13"/>
        <v>2400</v>
      </c>
      <c r="AJ33" s="203">
        <f>SUM(AH33)</f>
        <v>240</v>
      </c>
      <c r="AK33" s="203">
        <f t="shared" si="14"/>
        <v>2400</v>
      </c>
      <c r="AL33" s="203">
        <f>SUM(AJ33)</f>
        <v>240</v>
      </c>
      <c r="AM33" s="203">
        <f t="shared" si="15"/>
        <v>2400</v>
      </c>
      <c r="AN33" s="35">
        <f>SUM(AO33/19600)</f>
        <v>0.8571428571428571</v>
      </c>
      <c r="AO33" s="36">
        <f>SUM(AA33+AC33+AE33+AG33+AI33+AK33+AM33)</f>
        <v>16800</v>
      </c>
      <c r="AQ33" s="223">
        <f t="shared" si="40"/>
        <v>0.77640654113189478</v>
      </c>
      <c r="AR33" s="38">
        <f t="shared" si="41"/>
        <v>72182.516129032258</v>
      </c>
      <c r="AS33" s="197">
        <f>SUM(AR33-AR32-AT33)</f>
        <v>0</v>
      </c>
      <c r="AT33" s="340"/>
      <c r="AU33" s="548"/>
      <c r="AV33" s="485">
        <f>IF(AT33&gt;0,AU33,AV32)</f>
        <v>1.085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234</v>
      </c>
      <c r="C34" s="203">
        <f t="shared" ref="C34:C36" si="48">B34*$B$4</f>
        <v>5034.7741935483873</v>
      </c>
      <c r="D34">
        <f t="shared" ref="D34:D36" si="49">SUM(B34)</f>
        <v>234</v>
      </c>
      <c r="E34" s="203">
        <f t="shared" ref="E34:E36" si="50">D34*$B$4</f>
        <v>5034.7741935483873</v>
      </c>
      <c r="F34">
        <f t="shared" ref="F34:F36" si="51">SUM(D34)</f>
        <v>234</v>
      </c>
      <c r="G34" s="203">
        <f t="shared" ref="G34:G36" si="52">F34*$B$4</f>
        <v>5034.7741935483873</v>
      </c>
      <c r="H34" s="203">
        <f t="shared" ref="H34:H36" si="53">SUM(F34)</f>
        <v>234</v>
      </c>
      <c r="I34" s="203">
        <f t="shared" ref="I34:I36" si="54">H34*$B$4</f>
        <v>5034.7741935483873</v>
      </c>
      <c r="J34" s="203">
        <f t="shared" ref="J34:J36" si="55">SUM(H34)</f>
        <v>234</v>
      </c>
      <c r="K34" s="203">
        <f t="shared" ref="K34:K36" si="56">J34*$B$4</f>
        <v>5034.7741935483873</v>
      </c>
      <c r="L34" s="203">
        <f t="shared" ref="L34:L36" si="57">SUM(J34)</f>
        <v>234</v>
      </c>
      <c r="M34" s="203">
        <f t="shared" ref="M34:M36" si="58">L34*$B$4</f>
        <v>5034.7741935483873</v>
      </c>
      <c r="N34" s="203">
        <f t="shared" ref="N34:N36" si="59">SUM(L34)</f>
        <v>234</v>
      </c>
      <c r="O34" s="203">
        <f t="shared" ref="O34:O36" si="60">N34*$B$4</f>
        <v>5034.7741935483873</v>
      </c>
      <c r="P34" s="203">
        <f t="shared" ref="P34:P36" si="61">SUM(N34)</f>
        <v>234</v>
      </c>
      <c r="Q34" s="203">
        <f t="shared" ref="Q34:Q36" si="62">P34*$B$4</f>
        <v>5034.7741935483873</v>
      </c>
      <c r="R34" s="203">
        <f t="shared" ref="R34:R36" si="63">SUM(P34)</f>
        <v>234</v>
      </c>
      <c r="S34" s="203">
        <f t="shared" ref="S34:S36" si="64">R34*$B$4</f>
        <v>5034.7741935483873</v>
      </c>
      <c r="T34" s="203">
        <f t="shared" ref="T34:T36" si="65">SUM(R34)</f>
        <v>234</v>
      </c>
      <c r="U34" s="203">
        <f t="shared" ref="U34:U36" si="66">T34*$B$4</f>
        <v>5034.7741935483873</v>
      </c>
      <c r="V34" s="203">
        <f t="shared" ref="V34:V36" si="67">SUM(T34)</f>
        <v>234</v>
      </c>
      <c r="W34" s="203">
        <f t="shared" ref="W34:W36" si="68">V34*$B$4</f>
        <v>5034.7741935483873</v>
      </c>
      <c r="X34" s="35">
        <f t="shared" ref="X34:X36" si="69">SUM(Y34/73370)</f>
        <v>0.75483870967741939</v>
      </c>
      <c r="Y34" s="36">
        <f t="shared" ref="Y34:Y36" si="70">SUM(C34+E34+G34+I34+K34+M34+O34+Q34+S34+U34+W34)</f>
        <v>55382.516129032258</v>
      </c>
      <c r="Z34" s="203">
        <f>'B5'!C33</f>
        <v>240</v>
      </c>
      <c r="AA34" s="203">
        <f t="shared" ref="AA34:AA36" si="71">SUM(Z34*$Z$4)</f>
        <v>2400</v>
      </c>
      <c r="AB34" s="203">
        <f t="shared" ref="AB34:AB36" si="72">SUM(Z34)</f>
        <v>240</v>
      </c>
      <c r="AC34" s="203">
        <f t="shared" ref="AC34:AC36" si="73">SUM(AB34*$Z$4)</f>
        <v>2400</v>
      </c>
      <c r="AD34" s="203">
        <f t="shared" ref="AD34:AD36" si="74">SUM(AB34)</f>
        <v>240</v>
      </c>
      <c r="AE34" s="203">
        <f t="shared" ref="AE34:AE36" si="75">SUM(AD34*$Z$4)</f>
        <v>2400</v>
      </c>
      <c r="AF34" s="203">
        <f t="shared" ref="AF34:AF36" si="76">SUM(AD34)</f>
        <v>240</v>
      </c>
      <c r="AG34" s="203">
        <f t="shared" ref="AG34:AG36" si="77">SUM(AF34*$Z$4)</f>
        <v>2400</v>
      </c>
      <c r="AH34" s="203">
        <f t="shared" ref="AH34:AH36" si="78">SUM(AF34)</f>
        <v>240</v>
      </c>
      <c r="AI34" s="203">
        <f t="shared" ref="AI34:AI36" si="79">SUM(AH34*$Z$4)</f>
        <v>2400</v>
      </c>
      <c r="AJ34" s="203">
        <f t="shared" ref="AJ34:AJ36" si="80">SUM(AH34)</f>
        <v>240</v>
      </c>
      <c r="AK34" s="203">
        <f t="shared" ref="AK34:AK36" si="81">SUM(AJ34*$Z$4)</f>
        <v>2400</v>
      </c>
      <c r="AL34" s="203">
        <f t="shared" ref="AL34:AL36" si="82">SUM(AJ34)</f>
        <v>240</v>
      </c>
      <c r="AM34" s="203">
        <f t="shared" ref="AM34:AM36" si="83">SUM(AL34*$Z$4)</f>
        <v>2400</v>
      </c>
      <c r="AN34" s="35">
        <f t="shared" ref="AN34:AN36" si="84">SUM(AO34/19600)</f>
        <v>0.8571428571428571</v>
      </c>
      <c r="AO34" s="36">
        <f t="shared" ref="AO34:AO36" si="85">SUM(AA34+AC34+AE34+AG34+AI34+AK34+AM34)</f>
        <v>16800</v>
      </c>
      <c r="AQ34" s="223">
        <f t="shared" ref="AQ34:AQ36" si="86">SUM(AR34/92970)</f>
        <v>0.77640654113189478</v>
      </c>
      <c r="AR34" s="38">
        <f t="shared" ref="AR34:AR36" si="87">Y34+AO34</f>
        <v>72182.516129032258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1.085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234</v>
      </c>
      <c r="C35" s="203">
        <f t="shared" si="48"/>
        <v>5034.7741935483873</v>
      </c>
      <c r="D35">
        <f t="shared" si="49"/>
        <v>234</v>
      </c>
      <c r="E35" s="203">
        <f t="shared" si="50"/>
        <v>5034.7741935483873</v>
      </c>
      <c r="F35">
        <f t="shared" si="51"/>
        <v>234</v>
      </c>
      <c r="G35" s="203">
        <f t="shared" si="52"/>
        <v>5034.7741935483873</v>
      </c>
      <c r="H35" s="203">
        <f t="shared" si="53"/>
        <v>234</v>
      </c>
      <c r="I35" s="203">
        <f t="shared" si="54"/>
        <v>5034.7741935483873</v>
      </c>
      <c r="J35" s="203">
        <f t="shared" si="55"/>
        <v>234</v>
      </c>
      <c r="K35" s="203">
        <f t="shared" si="56"/>
        <v>5034.7741935483873</v>
      </c>
      <c r="L35" s="203">
        <f t="shared" si="57"/>
        <v>234</v>
      </c>
      <c r="M35" s="203">
        <f t="shared" si="58"/>
        <v>5034.7741935483873</v>
      </c>
      <c r="N35" s="203">
        <f t="shared" si="59"/>
        <v>234</v>
      </c>
      <c r="O35" s="203">
        <f t="shared" si="60"/>
        <v>5034.7741935483873</v>
      </c>
      <c r="P35" s="203">
        <f t="shared" si="61"/>
        <v>234</v>
      </c>
      <c r="Q35" s="203">
        <f t="shared" si="62"/>
        <v>5034.7741935483873</v>
      </c>
      <c r="R35" s="203">
        <f t="shared" si="63"/>
        <v>234</v>
      </c>
      <c r="S35" s="203">
        <f t="shared" si="64"/>
        <v>5034.7741935483873</v>
      </c>
      <c r="T35" s="203">
        <f t="shared" si="65"/>
        <v>234</v>
      </c>
      <c r="U35" s="203">
        <f t="shared" si="66"/>
        <v>5034.7741935483873</v>
      </c>
      <c r="V35" s="203">
        <f t="shared" si="67"/>
        <v>234</v>
      </c>
      <c r="W35" s="203">
        <f t="shared" si="68"/>
        <v>5034.7741935483873</v>
      </c>
      <c r="X35" s="35">
        <f t="shared" si="69"/>
        <v>0.75483870967741939</v>
      </c>
      <c r="Y35" s="36">
        <f t="shared" si="70"/>
        <v>55382.516129032258</v>
      </c>
      <c r="Z35" s="203">
        <f>'B5'!C34</f>
        <v>240</v>
      </c>
      <c r="AA35" s="203">
        <f t="shared" si="71"/>
        <v>2400</v>
      </c>
      <c r="AB35" s="203">
        <f t="shared" si="72"/>
        <v>240</v>
      </c>
      <c r="AC35" s="203">
        <f t="shared" si="73"/>
        <v>2400</v>
      </c>
      <c r="AD35" s="203">
        <f t="shared" si="74"/>
        <v>240</v>
      </c>
      <c r="AE35" s="203">
        <f t="shared" si="75"/>
        <v>2400</v>
      </c>
      <c r="AF35" s="203">
        <f t="shared" si="76"/>
        <v>240</v>
      </c>
      <c r="AG35" s="203">
        <f t="shared" si="77"/>
        <v>2400</v>
      </c>
      <c r="AH35" s="203">
        <f t="shared" si="78"/>
        <v>240</v>
      </c>
      <c r="AI35" s="203">
        <f t="shared" si="79"/>
        <v>2400</v>
      </c>
      <c r="AJ35" s="203">
        <f t="shared" si="80"/>
        <v>240</v>
      </c>
      <c r="AK35" s="203">
        <f t="shared" si="81"/>
        <v>2400</v>
      </c>
      <c r="AL35" s="203">
        <f t="shared" si="82"/>
        <v>240</v>
      </c>
      <c r="AM35" s="203">
        <f t="shared" si="83"/>
        <v>2400</v>
      </c>
      <c r="AN35" s="35">
        <f t="shared" si="84"/>
        <v>0.8571428571428571</v>
      </c>
      <c r="AO35" s="36">
        <f t="shared" si="85"/>
        <v>16800</v>
      </c>
      <c r="AQ35" s="223">
        <f t="shared" si="86"/>
        <v>0.77640654113189478</v>
      </c>
      <c r="AR35" s="38">
        <f t="shared" si="87"/>
        <v>72182.516129032258</v>
      </c>
      <c r="AS35" s="197">
        <f t="shared" si="88"/>
        <v>0</v>
      </c>
      <c r="AT35" s="340"/>
      <c r="AU35" s="548"/>
      <c r="AV35" s="485">
        <f t="shared" si="89"/>
        <v>1.085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234</v>
      </c>
      <c r="C36" s="203">
        <f t="shared" si="48"/>
        <v>5034.7741935483873</v>
      </c>
      <c r="D36">
        <f t="shared" si="49"/>
        <v>234</v>
      </c>
      <c r="E36" s="203">
        <f t="shared" si="50"/>
        <v>5034.7741935483873</v>
      </c>
      <c r="F36">
        <f t="shared" si="51"/>
        <v>234</v>
      </c>
      <c r="G36" s="203">
        <f t="shared" si="52"/>
        <v>5034.7741935483873</v>
      </c>
      <c r="H36" s="203">
        <f t="shared" si="53"/>
        <v>234</v>
      </c>
      <c r="I36" s="203">
        <f t="shared" si="54"/>
        <v>5034.7741935483873</v>
      </c>
      <c r="J36" s="203">
        <f t="shared" si="55"/>
        <v>234</v>
      </c>
      <c r="K36" s="203">
        <f t="shared" si="56"/>
        <v>5034.7741935483873</v>
      </c>
      <c r="L36" s="203">
        <f t="shared" si="57"/>
        <v>234</v>
      </c>
      <c r="M36" s="203">
        <f t="shared" si="58"/>
        <v>5034.7741935483873</v>
      </c>
      <c r="N36" s="203">
        <f t="shared" si="59"/>
        <v>234</v>
      </c>
      <c r="O36" s="203">
        <f t="shared" si="60"/>
        <v>5034.7741935483873</v>
      </c>
      <c r="P36" s="203">
        <f t="shared" si="61"/>
        <v>234</v>
      </c>
      <c r="Q36" s="203">
        <f t="shared" si="62"/>
        <v>5034.7741935483873</v>
      </c>
      <c r="R36" s="203">
        <f t="shared" si="63"/>
        <v>234</v>
      </c>
      <c r="S36" s="203">
        <f t="shared" si="64"/>
        <v>5034.7741935483873</v>
      </c>
      <c r="T36" s="203">
        <f t="shared" si="65"/>
        <v>234</v>
      </c>
      <c r="U36" s="203">
        <f t="shared" si="66"/>
        <v>5034.7741935483873</v>
      </c>
      <c r="V36" s="203">
        <f t="shared" si="67"/>
        <v>234</v>
      </c>
      <c r="W36" s="203">
        <f t="shared" si="68"/>
        <v>5034.7741935483873</v>
      </c>
      <c r="X36" s="35">
        <f t="shared" si="69"/>
        <v>0.75483870967741939</v>
      </c>
      <c r="Y36" s="36">
        <f t="shared" si="70"/>
        <v>55382.516129032258</v>
      </c>
      <c r="Z36" s="203">
        <f>'B5'!C35</f>
        <v>240</v>
      </c>
      <c r="AA36" s="203">
        <f t="shared" si="71"/>
        <v>2400</v>
      </c>
      <c r="AB36" s="203">
        <f t="shared" si="72"/>
        <v>240</v>
      </c>
      <c r="AC36" s="203">
        <f t="shared" si="73"/>
        <v>2400</v>
      </c>
      <c r="AD36" s="203">
        <f t="shared" si="74"/>
        <v>240</v>
      </c>
      <c r="AE36" s="203">
        <f t="shared" si="75"/>
        <v>2400</v>
      </c>
      <c r="AF36" s="203">
        <f t="shared" si="76"/>
        <v>240</v>
      </c>
      <c r="AG36" s="203">
        <f t="shared" si="77"/>
        <v>2400</v>
      </c>
      <c r="AH36" s="203">
        <f t="shared" si="78"/>
        <v>240</v>
      </c>
      <c r="AI36" s="203">
        <f t="shared" si="79"/>
        <v>2400</v>
      </c>
      <c r="AJ36" s="203">
        <f t="shared" si="80"/>
        <v>240</v>
      </c>
      <c r="AK36" s="203">
        <f t="shared" si="81"/>
        <v>2400</v>
      </c>
      <c r="AL36" s="203">
        <f t="shared" si="82"/>
        <v>240</v>
      </c>
      <c r="AM36" s="203">
        <f t="shared" si="83"/>
        <v>2400</v>
      </c>
      <c r="AN36" s="35">
        <f t="shared" si="84"/>
        <v>0.8571428571428571</v>
      </c>
      <c r="AO36" s="36">
        <f t="shared" si="85"/>
        <v>16800</v>
      </c>
      <c r="AQ36" s="223">
        <f t="shared" si="86"/>
        <v>0.77640654113189478</v>
      </c>
      <c r="AR36" s="38">
        <f t="shared" si="87"/>
        <v>72182.516129032258</v>
      </c>
      <c r="AS36" s="197">
        <f t="shared" si="88"/>
        <v>0</v>
      </c>
      <c r="AT36" s="340"/>
      <c r="AU36" s="548"/>
      <c r="AV36" s="485">
        <f t="shared" si="89"/>
        <v>1.085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4">
        <f>SUM(AU6:AU36)/AS37</f>
        <v>1.085</v>
      </c>
      <c r="AX37" s="203">
        <f>SUM(AX6:AX36)</f>
        <v>-8327.3225806451665</v>
      </c>
      <c r="AY37" s="203">
        <f>SUM(AY6:AY36)</f>
        <v>-9693.3225806451665</v>
      </c>
    </row>
    <row r="38" spans="1:63">
      <c r="AS38" s="206"/>
      <c r="AT38" s="82">
        <f>+AT37*AU37</f>
        <v>10850</v>
      </c>
    </row>
    <row r="40" spans="1:63">
      <c r="AS40" s="165">
        <f>SUM(AS6:AS36)/'EDl log'!A35</f>
        <v>-1615.5537634408611</v>
      </c>
      <c r="AT40" s="203"/>
    </row>
    <row r="41" spans="1:63">
      <c r="AX41">
        <v>43309</v>
      </c>
    </row>
    <row r="42" spans="1:63">
      <c r="AR42" s="203">
        <f>AR36-22000</f>
        <v>50182.516129032258</v>
      </c>
      <c r="AU42" s="203"/>
      <c r="AX42">
        <f>AX37/AX41</f>
        <v>-0.19227695353495039</v>
      </c>
    </row>
    <row r="43" spans="1:63">
      <c r="AR43">
        <f>AR42/5500</f>
        <v>9.1240938416422281</v>
      </c>
    </row>
    <row r="44" spans="1:63">
      <c r="AR44">
        <f>AR43*2</f>
        <v>18.248187683284456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K15" sqref="K1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6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44683</v>
      </c>
      <c r="B5" s="624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22">
        <f t="shared" ref="F5:F34" si="8">F4</f>
        <v>161410</v>
      </c>
      <c r="G5" s="160">
        <f t="shared" si="1"/>
        <v>0</v>
      </c>
      <c r="H5" s="624">
        <f t="shared" ref="H5:H34" si="9">H4</f>
        <v>555135</v>
      </c>
      <c r="I5" s="161">
        <f t="shared" si="2"/>
        <v>0</v>
      </c>
      <c r="J5" s="622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44684</v>
      </c>
      <c r="B6" s="624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22">
        <f t="shared" si="8"/>
        <v>161410</v>
      </c>
      <c r="G6" s="160">
        <f t="shared" si="1"/>
        <v>0</v>
      </c>
      <c r="H6" s="624">
        <f t="shared" si="9"/>
        <v>555135</v>
      </c>
      <c r="I6" s="161">
        <f t="shared" si="2"/>
        <v>0</v>
      </c>
      <c r="J6" s="622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2605.1900000000128</v>
      </c>
      <c r="R6" s="285">
        <f t="shared" si="13"/>
        <v>2759.9930385706007</v>
      </c>
      <c r="S6" s="287">
        <f>SUM(ELEC!N6)</f>
        <v>6202</v>
      </c>
      <c r="T6" s="321">
        <f t="shared" ref="T6:T30" si="16">IF(S6&gt;0,R6/S6,0)</f>
        <v>0.44501661376501139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44685</v>
      </c>
      <c r="B7" s="624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5">
        <f t="shared" si="8"/>
        <v>161410</v>
      </c>
      <c r="G7" s="160">
        <f t="shared" si="1"/>
        <v>0</v>
      </c>
      <c r="H7" s="624">
        <v>555582</v>
      </c>
      <c r="I7" s="161">
        <f t="shared" si="2"/>
        <v>447</v>
      </c>
      <c r="J7" s="622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1665.5449999999978</v>
      </c>
      <c r="R7" s="285">
        <f t="shared" si="13"/>
        <v>1853.557988819342</v>
      </c>
      <c r="S7" s="287">
        <f>SUM(ELEC!N7)</f>
        <v>4288</v>
      </c>
      <c r="T7" s="321">
        <f t="shared" si="16"/>
        <v>0.4322663220194361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44686</v>
      </c>
      <c r="B8" s="624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5">
        <f t="shared" si="8"/>
        <v>161410</v>
      </c>
      <c r="G8" s="160">
        <f t="shared" si="1"/>
        <v>0</v>
      </c>
      <c r="H8" s="624">
        <f t="shared" si="9"/>
        <v>555582</v>
      </c>
      <c r="I8" s="161">
        <f t="shared" si="2"/>
        <v>0</v>
      </c>
      <c r="J8" s="622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950.49499999998318</v>
      </c>
      <c r="R8" s="285">
        <f t="shared" si="13"/>
        <v>1105.2980385705712</v>
      </c>
      <c r="S8" s="287">
        <f>SUM(ELEC!N8)</f>
        <v>3111</v>
      </c>
      <c r="T8" s="321">
        <f>IF(S8&gt;0,R8/S8,0)</f>
        <v>0.35528705836405372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4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5">
        <f t="shared" si="8"/>
        <v>161410</v>
      </c>
      <c r="G9" s="160">
        <f t="shared" si="1"/>
        <v>0</v>
      </c>
      <c r="H9" s="624">
        <f t="shared" si="9"/>
        <v>555582</v>
      </c>
      <c r="I9" s="161">
        <f t="shared" si="2"/>
        <v>0</v>
      </c>
      <c r="J9" s="622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23">
        <f>'[2]EDl log'!AB26</f>
        <v>7200</v>
      </c>
      <c r="AC9" s="623">
        <f>'[2]EDl log'!AC26</f>
        <v>1033333</v>
      </c>
      <c r="AD9" s="607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4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5">
        <f t="shared" si="8"/>
        <v>161410</v>
      </c>
      <c r="G10" s="160">
        <f t="shared" si="1"/>
        <v>0</v>
      </c>
      <c r="H10" s="624">
        <f t="shared" si="9"/>
        <v>555582</v>
      </c>
      <c r="I10" s="161">
        <f t="shared" si="2"/>
        <v>0</v>
      </c>
      <c r="J10" s="622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23">
        <f>'[2]EDl log'!AA27</f>
        <v>1660</v>
      </c>
      <c r="AB10" s="623">
        <f>'[2]EDl log'!AB27</f>
        <v>185920</v>
      </c>
      <c r="AC10" s="623">
        <f>'[2]EDl log'!AC27</f>
        <v>6200000</v>
      </c>
      <c r="AD10" s="607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4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5">
        <f t="shared" si="8"/>
        <v>161410</v>
      </c>
      <c r="G11" s="160">
        <f t="shared" si="1"/>
        <v>0</v>
      </c>
      <c r="H11" s="624">
        <v>556006</v>
      </c>
      <c r="I11" s="161">
        <f t="shared" si="2"/>
        <v>424</v>
      </c>
      <c r="J11" s="622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-668.39499999998316</v>
      </c>
      <c r="R11" s="285">
        <f t="shared" si="13"/>
        <v>-482.03773257367385</v>
      </c>
      <c r="S11" s="287">
        <f>SUM(ELEC!N11)</f>
        <v>3135</v>
      </c>
      <c r="T11" s="321">
        <f t="shared" si="16"/>
        <v>-0.15376004228825321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23">
        <f>'[2]EDl log'!AB28</f>
        <v>0</v>
      </c>
      <c r="AC11" s="623">
        <f>'[2]EDl log'!AC28</f>
        <v>1000</v>
      </c>
      <c r="AD11" s="60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4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5">
        <f t="shared" si="8"/>
        <v>161410</v>
      </c>
      <c r="G12" s="160">
        <f t="shared" si="1"/>
        <v>0</v>
      </c>
      <c r="H12" s="624">
        <v>556210</v>
      </c>
      <c r="I12" s="161">
        <f t="shared" si="2"/>
        <v>204</v>
      </c>
      <c r="J12" s="622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1221.3949999999934</v>
      </c>
      <c r="R12" s="285">
        <f t="shared" si="13"/>
        <v>1396.2895808591386</v>
      </c>
      <c r="S12" s="287">
        <f>SUM(ELEC!N12)</f>
        <v>3445</v>
      </c>
      <c r="T12" s="321">
        <f t="shared" si="16"/>
        <v>0.40530902202006924</v>
      </c>
      <c r="V12" s="213"/>
      <c r="W12" s="217"/>
      <c r="X12" s="214"/>
      <c r="Y12" s="215"/>
      <c r="Z12" s="3"/>
      <c r="AA12" s="246">
        <f>'[2]EDl log'!AA29</f>
        <v>1750</v>
      </c>
      <c r="AB12" s="623">
        <f>'[2]EDl log'!AB29</f>
        <v>193120</v>
      </c>
      <c r="AC12" s="623">
        <f>'[2]EDl log'!AC29</f>
        <v>7234333</v>
      </c>
    </row>
    <row r="13" spans="1:32" ht="20.100000000000001" customHeight="1">
      <c r="A13" s="163">
        <f>ELEC!C13</f>
        <v>44691</v>
      </c>
      <c r="B13" s="624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5">
        <f t="shared" si="8"/>
        <v>161410</v>
      </c>
      <c r="G13" s="160">
        <f t="shared" si="1"/>
        <v>0</v>
      </c>
      <c r="H13" s="624">
        <v>556246</v>
      </c>
      <c r="I13" s="161">
        <f t="shared" si="2"/>
        <v>36</v>
      </c>
      <c r="J13" s="622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949.40999999999894</v>
      </c>
      <c r="R13" s="285">
        <f t="shared" si="13"/>
        <v>1106.940733429625</v>
      </c>
      <c r="S13" s="287">
        <f>SUM(ELEC!N13)</f>
        <v>3157</v>
      </c>
      <c r="T13" s="321">
        <f>IF(S13&gt;0,R13/S13,0)</f>
        <v>0.35063057758302979</v>
      </c>
      <c r="V13" s="216" t="s">
        <v>314</v>
      </c>
      <c r="W13" s="607">
        <f>'[2]EDl log'!W30</f>
        <v>0</v>
      </c>
      <c r="X13" s="217"/>
      <c r="Y13" s="218" t="s">
        <v>327</v>
      </c>
      <c r="Z13" s="3"/>
      <c r="AA13" s="246"/>
      <c r="AB13" s="623">
        <f>'[2]EDl log'!AB30</f>
        <v>7427453</v>
      </c>
      <c r="AC13" s="623">
        <f>'[2]EDl log'!AC30</f>
        <v>0</v>
      </c>
    </row>
    <row r="14" spans="1:32" ht="20.100000000000001" customHeight="1">
      <c r="A14" s="163">
        <f>ELEC!C14</f>
        <v>44692</v>
      </c>
      <c r="B14" s="624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5">
        <f t="shared" si="8"/>
        <v>161410</v>
      </c>
      <c r="G14" s="160">
        <f t="shared" si="1"/>
        <v>0</v>
      </c>
      <c r="H14" s="624">
        <v>556460</v>
      </c>
      <c r="I14" s="161">
        <f t="shared" si="2"/>
        <v>214</v>
      </c>
      <c r="J14" s="625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1122.6600000000092</v>
      </c>
      <c r="R14" s="285">
        <f>SUM(P14:Q14)</f>
        <v>1298.1383287861859</v>
      </c>
      <c r="S14" s="287">
        <f>SUM(ELEC!N14)</f>
        <v>3105</v>
      </c>
      <c r="T14" s="321">
        <f>IF(S14&gt;0,R14/S14,0)</f>
        <v>0.41807997706479416</v>
      </c>
      <c r="V14" s="216"/>
      <c r="W14" s="217"/>
      <c r="X14" s="217"/>
      <c r="Y14" s="218"/>
      <c r="Z14" s="3"/>
      <c r="AA14" s="246"/>
      <c r="AB14" s="623">
        <f>'[2]EDl log'!AB31</f>
        <v>0</v>
      </c>
      <c r="AC14" s="623">
        <f>'[2]EDl log'!AC31</f>
        <v>0</v>
      </c>
    </row>
    <row r="15" spans="1:32" ht="20.100000000000001" customHeight="1">
      <c r="A15" s="163">
        <f>ELEC!C15</f>
        <v>44693</v>
      </c>
      <c r="B15" s="624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5">
        <f t="shared" si="8"/>
        <v>161410</v>
      </c>
      <c r="G15" s="160">
        <f t="shared" si="1"/>
        <v>0</v>
      </c>
      <c r="H15" s="624">
        <v>556506</v>
      </c>
      <c r="I15" s="161">
        <f t="shared" si="2"/>
        <v>46</v>
      </c>
      <c r="J15" s="625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1188.8449999999934</v>
      </c>
      <c r="R15" s="285">
        <f>SUM(P15:Q15)</f>
        <v>1347.065617343384</v>
      </c>
      <c r="S15" s="287">
        <f>SUM(ELEC!N15)</f>
        <v>2743</v>
      </c>
      <c r="T15" s="321">
        <f>IF(S15&gt;0,R15/S15,0)</f>
        <v>0.49109209527647979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23">
        <f>'[2]EDl log'!AB32</f>
        <v>0</v>
      </c>
      <c r="AC15" s="623">
        <f>'[2]EDl log'!AC32</f>
        <v>0</v>
      </c>
    </row>
    <row r="16" spans="1:32" ht="20.100000000000001" customHeight="1">
      <c r="A16" s="163">
        <f>ELEC!C16</f>
        <v>44694</v>
      </c>
      <c r="B16" s="624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5">
        <f t="shared" si="8"/>
        <v>161410</v>
      </c>
      <c r="G16" s="160">
        <f t="shared" si="1"/>
        <v>0</v>
      </c>
      <c r="H16" s="624">
        <f t="shared" si="9"/>
        <v>556506</v>
      </c>
      <c r="I16" s="161">
        <f t="shared" si="2"/>
        <v>0</v>
      </c>
      <c r="J16" s="625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23">
        <f>'[2]EDl log'!AB33</f>
        <v>817019.83</v>
      </c>
      <c r="AC16" s="623">
        <f>'[2]EDl log'!AC33</f>
        <v>7234333</v>
      </c>
    </row>
    <row r="17" spans="1:32" ht="20.100000000000001" customHeight="1">
      <c r="A17" s="163">
        <f>ELEC!C17</f>
        <v>44695</v>
      </c>
      <c r="B17" s="624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5">
        <f t="shared" si="8"/>
        <v>161410</v>
      </c>
      <c r="G17" s="160">
        <f>F17-F16</f>
        <v>0</v>
      </c>
      <c r="H17" s="624">
        <f t="shared" si="9"/>
        <v>556506</v>
      </c>
      <c r="I17" s="161">
        <f t="shared" si="2"/>
        <v>0</v>
      </c>
      <c r="J17" s="625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23">
        <f>'[2]EDl log'!AB34</f>
        <v>8244472.8300000001</v>
      </c>
      <c r="AC17" s="623">
        <f>'[2]EDl log'!AC34</f>
        <v>0</v>
      </c>
    </row>
    <row r="18" spans="1:32" ht="20.100000000000001" customHeight="1" thickBot="1">
      <c r="A18" s="163">
        <f>ELEC!C18</f>
        <v>44696</v>
      </c>
      <c r="B18" s="624">
        <f t="shared" si="7"/>
        <v>1119539</v>
      </c>
      <c r="C18" s="254">
        <f>SUM(B18-B17)</f>
        <v>0</v>
      </c>
      <c r="D18" s="295">
        <f>SUM(G18+I18+K18)</f>
        <v>0</v>
      </c>
      <c r="E18" s="295">
        <f t="shared" si="15"/>
        <v>1119539</v>
      </c>
      <c r="F18" s="625">
        <f t="shared" si="8"/>
        <v>161410</v>
      </c>
      <c r="G18" s="160">
        <f t="shared" si="1"/>
        <v>0</v>
      </c>
      <c r="H18" s="624">
        <f t="shared" si="9"/>
        <v>556506</v>
      </c>
      <c r="I18" s="161">
        <f t="shared" si="2"/>
        <v>0</v>
      </c>
      <c r="J18" s="625">
        <f t="shared" si="10"/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'[6]EDl log'!AA35</f>
        <v>0</v>
      </c>
      <c r="AB18" s="623">
        <f>'[2]EDl log'!AB35</f>
        <v>0</v>
      </c>
      <c r="AC18" s="623">
        <f>'[2]EDl log'!AC35</f>
        <v>0</v>
      </c>
    </row>
    <row r="19" spans="1:32" ht="20.100000000000001" customHeight="1" thickBot="1">
      <c r="A19" s="163">
        <f>ELEC!C19</f>
        <v>44697</v>
      </c>
      <c r="B19" s="624">
        <f t="shared" si="7"/>
        <v>1119539</v>
      </c>
      <c r="C19" s="254">
        <f t="shared" si="0"/>
        <v>0</v>
      </c>
      <c r="D19" s="295">
        <f t="shared" si="14"/>
        <v>0</v>
      </c>
      <c r="E19" s="295">
        <f t="shared" si="15"/>
        <v>1119539</v>
      </c>
      <c r="F19" s="625">
        <f t="shared" si="8"/>
        <v>161410</v>
      </c>
      <c r="G19" s="160">
        <f t="shared" si="1"/>
        <v>0</v>
      </c>
      <c r="H19" s="624">
        <f t="shared" si="9"/>
        <v>556506</v>
      </c>
      <c r="I19" s="161">
        <f t="shared" si="2"/>
        <v>0</v>
      </c>
      <c r="J19" s="625">
        <f t="shared" si="10"/>
        <v>401622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23">
        <f>'[2]EDl log'!AB36</f>
        <v>4927.0003316749589</v>
      </c>
      <c r="AC19" s="623">
        <f>'[2]EDl log'!AC36</f>
        <v>0</v>
      </c>
    </row>
    <row r="20" spans="1:32" ht="20.100000000000001" customHeight="1" thickBot="1">
      <c r="A20" s="163">
        <f>ELEC!C20</f>
        <v>44698</v>
      </c>
      <c r="B20" s="624">
        <f t="shared" si="7"/>
        <v>1119539</v>
      </c>
      <c r="C20" s="254">
        <f t="shared" si="0"/>
        <v>0</v>
      </c>
      <c r="D20" s="295">
        <f t="shared" si="14"/>
        <v>0</v>
      </c>
      <c r="E20" s="295">
        <v>160188</v>
      </c>
      <c r="F20" s="625">
        <f t="shared" si="8"/>
        <v>161410</v>
      </c>
      <c r="G20" s="160">
        <f t="shared" si="1"/>
        <v>0</v>
      </c>
      <c r="H20" s="624">
        <f t="shared" si="9"/>
        <v>556506</v>
      </c>
      <c r="I20" s="161">
        <f t="shared" si="2"/>
        <v>0</v>
      </c>
      <c r="J20" s="625">
        <f t="shared" si="10"/>
        <v>401622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44699</v>
      </c>
      <c r="B21" s="624">
        <f t="shared" si="7"/>
        <v>1119539</v>
      </c>
      <c r="C21" s="254">
        <f t="shared" si="0"/>
        <v>0</v>
      </c>
      <c r="D21" s="295">
        <f t="shared" si="14"/>
        <v>0</v>
      </c>
      <c r="E21" s="295">
        <f t="shared" si="15"/>
        <v>1119539</v>
      </c>
      <c r="F21" s="625">
        <f t="shared" si="8"/>
        <v>161410</v>
      </c>
      <c r="G21" s="160">
        <f t="shared" si="1"/>
        <v>0</v>
      </c>
      <c r="H21" s="624">
        <f t="shared" si="9"/>
        <v>556506</v>
      </c>
      <c r="I21" s="161">
        <f t="shared" si="2"/>
        <v>0</v>
      </c>
      <c r="J21" s="625">
        <f t="shared" si="10"/>
        <v>401622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44700</v>
      </c>
      <c r="B22" s="624">
        <f t="shared" si="7"/>
        <v>1119539</v>
      </c>
      <c r="C22" s="254">
        <f t="shared" si="0"/>
        <v>0</v>
      </c>
      <c r="D22" s="295">
        <f t="shared" si="14"/>
        <v>0</v>
      </c>
      <c r="E22" s="295">
        <f t="shared" si="15"/>
        <v>1119539</v>
      </c>
      <c r="F22" s="625">
        <f t="shared" si="8"/>
        <v>161410</v>
      </c>
      <c r="G22" s="160">
        <f t="shared" si="1"/>
        <v>0</v>
      </c>
      <c r="H22" s="624">
        <f t="shared" si="9"/>
        <v>556506</v>
      </c>
      <c r="I22" s="161">
        <f t="shared" si="2"/>
        <v>0</v>
      </c>
      <c r="J22" s="625">
        <f t="shared" si="10"/>
        <v>401622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44701</v>
      </c>
      <c r="B23" s="624">
        <f t="shared" si="7"/>
        <v>1119539</v>
      </c>
      <c r="C23" s="254">
        <f t="shared" si="0"/>
        <v>0</v>
      </c>
      <c r="D23" s="295">
        <f t="shared" si="14"/>
        <v>0</v>
      </c>
      <c r="E23" s="295">
        <f t="shared" si="15"/>
        <v>1119539</v>
      </c>
      <c r="F23" s="625">
        <f t="shared" si="8"/>
        <v>161410</v>
      </c>
      <c r="G23" s="160">
        <f t="shared" si="1"/>
        <v>0</v>
      </c>
      <c r="H23" s="624">
        <f t="shared" si="9"/>
        <v>556506</v>
      </c>
      <c r="I23" s="161">
        <f t="shared" si="2"/>
        <v>0</v>
      </c>
      <c r="J23" s="625">
        <f t="shared" si="10"/>
        <v>401622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44702</v>
      </c>
      <c r="B24" s="624">
        <f t="shared" si="7"/>
        <v>1119539</v>
      </c>
      <c r="C24" s="254">
        <f t="shared" si="0"/>
        <v>0</v>
      </c>
      <c r="D24" s="295">
        <f t="shared" si="14"/>
        <v>0</v>
      </c>
      <c r="E24" s="295">
        <f t="shared" si="15"/>
        <v>1119539</v>
      </c>
      <c r="F24" s="625">
        <f t="shared" si="8"/>
        <v>161410</v>
      </c>
      <c r="G24" s="160">
        <f t="shared" si="1"/>
        <v>0</v>
      </c>
      <c r="H24" s="624">
        <f t="shared" si="9"/>
        <v>556506</v>
      </c>
      <c r="I24" s="161">
        <f t="shared" si="2"/>
        <v>0</v>
      </c>
      <c r="J24" s="625">
        <f t="shared" si="10"/>
        <v>401622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44703</v>
      </c>
      <c r="B25" s="624">
        <f t="shared" si="7"/>
        <v>1119539</v>
      </c>
      <c r="C25" s="254">
        <f t="shared" si="0"/>
        <v>0</v>
      </c>
      <c r="D25" s="295">
        <f t="shared" si="14"/>
        <v>0</v>
      </c>
      <c r="E25" s="295">
        <f t="shared" si="15"/>
        <v>1119539</v>
      </c>
      <c r="F25" s="625">
        <f t="shared" si="8"/>
        <v>161410</v>
      </c>
      <c r="G25" s="160">
        <f t="shared" si="1"/>
        <v>0</v>
      </c>
      <c r="H25" s="624">
        <f t="shared" si="9"/>
        <v>556506</v>
      </c>
      <c r="I25" s="161">
        <f t="shared" si="2"/>
        <v>0</v>
      </c>
      <c r="J25" s="625">
        <f t="shared" si="10"/>
        <v>401622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4">
        <f t="shared" si="7"/>
        <v>1119539</v>
      </c>
      <c r="C26" s="254">
        <f t="shared" si="0"/>
        <v>0</v>
      </c>
      <c r="D26" s="295">
        <f t="shared" si="14"/>
        <v>0</v>
      </c>
      <c r="E26" s="295">
        <f t="shared" si="15"/>
        <v>1119539</v>
      </c>
      <c r="F26" s="625">
        <f t="shared" si="8"/>
        <v>161410</v>
      </c>
      <c r="G26" s="160">
        <f t="shared" si="1"/>
        <v>0</v>
      </c>
      <c r="H26" s="624">
        <f t="shared" si="9"/>
        <v>556506</v>
      </c>
      <c r="I26" s="161">
        <f t="shared" si="2"/>
        <v>0</v>
      </c>
      <c r="J26" s="625">
        <f t="shared" si="10"/>
        <v>401622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401437</v>
      </c>
      <c r="W26" s="170">
        <f>J34</f>
        <v>401622</v>
      </c>
      <c r="X26" s="172" t="s">
        <v>199</v>
      </c>
      <c r="Y26" s="172">
        <v>80</v>
      </c>
      <c r="Z26" s="172">
        <v>1</v>
      </c>
      <c r="AA26" s="323">
        <f>(W26-V26)*Z26</f>
        <v>185</v>
      </c>
      <c r="AB26" s="323">
        <f>AA26*Y26</f>
        <v>14800</v>
      </c>
      <c r="AC26" s="244">
        <f>AC9</f>
        <v>1033333</v>
      </c>
      <c r="AD26" s="476">
        <f>SUM(K36)</f>
        <v>0.11874197689345313</v>
      </c>
    </row>
    <row r="27" spans="1:32" ht="20.100000000000001" customHeight="1">
      <c r="A27" s="163">
        <f>ELEC!C27</f>
        <v>44705</v>
      </c>
      <c r="B27" s="624">
        <f t="shared" si="7"/>
        <v>1119539</v>
      </c>
      <c r="C27" s="254">
        <f t="shared" si="0"/>
        <v>0</v>
      </c>
      <c r="D27" s="295">
        <f t="shared" si="14"/>
        <v>0</v>
      </c>
      <c r="E27" s="295">
        <f t="shared" si="15"/>
        <v>1119539</v>
      </c>
      <c r="F27" s="625">
        <f t="shared" si="8"/>
        <v>161410</v>
      </c>
      <c r="G27" s="160">
        <f t="shared" si="1"/>
        <v>0</v>
      </c>
      <c r="H27" s="624">
        <f t="shared" si="9"/>
        <v>556506</v>
      </c>
      <c r="I27" s="161">
        <f t="shared" si="2"/>
        <v>0</v>
      </c>
      <c r="J27" s="625">
        <f t="shared" si="10"/>
        <v>401622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555135</v>
      </c>
      <c r="W27" s="170">
        <f>H34</f>
        <v>556506</v>
      </c>
      <c r="X27" s="172" t="s">
        <v>212</v>
      </c>
      <c r="Y27" s="172">
        <v>112</v>
      </c>
      <c r="Z27" s="172">
        <v>1</v>
      </c>
      <c r="AA27" s="323">
        <f>(W27-V27)*Z27</f>
        <v>1371</v>
      </c>
      <c r="AB27" s="323">
        <f>SUM(AA27*Y27)</f>
        <v>153552</v>
      </c>
      <c r="AC27" s="244">
        <f>AC10</f>
        <v>6200000</v>
      </c>
      <c r="AD27" s="476">
        <f>SUM(I36)</f>
        <v>0.87997432605905002</v>
      </c>
    </row>
    <row r="28" spans="1:32" ht="20.100000000000001" customHeight="1">
      <c r="A28" s="163">
        <f>ELEC!C28</f>
        <v>44706</v>
      </c>
      <c r="B28" s="624">
        <f t="shared" si="7"/>
        <v>1119539</v>
      </c>
      <c r="C28" s="254">
        <f t="shared" si="0"/>
        <v>0</v>
      </c>
      <c r="D28" s="295">
        <f t="shared" si="14"/>
        <v>0</v>
      </c>
      <c r="E28" s="295">
        <f>B27+D28</f>
        <v>1119539</v>
      </c>
      <c r="F28" s="625">
        <f t="shared" si="8"/>
        <v>161410</v>
      </c>
      <c r="G28" s="160">
        <f t="shared" si="1"/>
        <v>0</v>
      </c>
      <c r="H28" s="624">
        <f t="shared" si="9"/>
        <v>556506</v>
      </c>
      <c r="I28" s="161">
        <f t="shared" si="2"/>
        <v>0</v>
      </c>
      <c r="J28" s="625">
        <f t="shared" si="10"/>
        <v>401622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4">
        <f t="shared" si="7"/>
        <v>1119539</v>
      </c>
      <c r="C29" s="254">
        <f t="shared" si="0"/>
        <v>0</v>
      </c>
      <c r="D29" s="295">
        <f t="shared" si="14"/>
        <v>0</v>
      </c>
      <c r="E29" s="295">
        <f>B28+D29</f>
        <v>1119539</v>
      </c>
      <c r="F29" s="625">
        <f t="shared" si="8"/>
        <v>161410</v>
      </c>
      <c r="G29" s="160">
        <f t="shared" si="1"/>
        <v>0</v>
      </c>
      <c r="H29" s="624">
        <f t="shared" si="9"/>
        <v>556506</v>
      </c>
      <c r="I29" s="161">
        <f t="shared" si="2"/>
        <v>0</v>
      </c>
      <c r="J29" s="625">
        <f t="shared" si="10"/>
        <v>401622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1556</v>
      </c>
      <c r="AB29" s="323">
        <f>SUM(AB26:AB28)</f>
        <v>168352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4">
        <f t="shared" si="7"/>
        <v>1119539</v>
      </c>
      <c r="C30" s="254">
        <f t="shared" si="0"/>
        <v>0</v>
      </c>
      <c r="D30" s="295">
        <f t="shared" si="14"/>
        <v>0</v>
      </c>
      <c r="E30" s="295">
        <f t="shared" si="15"/>
        <v>1119539</v>
      </c>
      <c r="F30" s="625">
        <f t="shared" si="8"/>
        <v>161410</v>
      </c>
      <c r="G30" s="160">
        <f t="shared" si="1"/>
        <v>0</v>
      </c>
      <c r="H30" s="624">
        <f t="shared" si="9"/>
        <v>556506</v>
      </c>
      <c r="I30" s="161">
        <f t="shared" si="2"/>
        <v>0</v>
      </c>
      <c r="J30" s="625">
        <f t="shared" si="10"/>
        <v>401622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7402685</v>
      </c>
      <c r="AC30" s="244"/>
    </row>
    <row r="31" spans="1:32" ht="20.100000000000001" customHeight="1">
      <c r="A31" s="163">
        <f>ELEC!C31</f>
        <v>44709</v>
      </c>
      <c r="B31" s="624">
        <f t="shared" si="7"/>
        <v>1119539</v>
      </c>
      <c r="C31" s="254">
        <f>SUM(B31-B30)</f>
        <v>0</v>
      </c>
      <c r="D31" s="295">
        <f t="shared" si="14"/>
        <v>0</v>
      </c>
      <c r="E31" s="295">
        <f>B30+D31</f>
        <v>1119539</v>
      </c>
      <c r="F31" s="625">
        <f t="shared" si="8"/>
        <v>161410</v>
      </c>
      <c r="G31" s="160">
        <f>F31-F30</f>
        <v>0</v>
      </c>
      <c r="H31" s="624">
        <f t="shared" si="9"/>
        <v>556506</v>
      </c>
      <c r="I31" s="161">
        <f>H31-H30</f>
        <v>0</v>
      </c>
      <c r="J31" s="625">
        <f t="shared" si="10"/>
        <v>401622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4">
        <f t="shared" si="7"/>
        <v>1119539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1119539</v>
      </c>
      <c r="F32" s="625">
        <f t="shared" si="8"/>
        <v>161410</v>
      </c>
      <c r="G32" s="160">
        <f t="shared" ref="G32:G34" si="23">F32-F31</f>
        <v>0</v>
      </c>
      <c r="H32" s="624">
        <f t="shared" si="9"/>
        <v>556506</v>
      </c>
      <c r="I32" s="161">
        <f t="shared" ref="I32:I34" si="24">H32-H31</f>
        <v>0</v>
      </c>
      <c r="J32" s="625">
        <f t="shared" si="10"/>
        <v>401622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86</v>
      </c>
      <c r="X32" s="222">
        <f>SUM(W32/A35)</f>
        <v>14.333333333333334</v>
      </c>
      <c r="Y32" s="250">
        <f>SUM(X32/1)</f>
        <v>14.333333333333334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4">
        <f t="shared" si="7"/>
        <v>1119539</v>
      </c>
      <c r="C33" s="254">
        <f t="shared" si="20"/>
        <v>0</v>
      </c>
      <c r="D33" s="295">
        <f t="shared" si="21"/>
        <v>0</v>
      </c>
      <c r="E33" s="295">
        <f t="shared" si="22"/>
        <v>1119539</v>
      </c>
      <c r="F33" s="625">
        <f t="shared" si="8"/>
        <v>161410</v>
      </c>
      <c r="G33" s="160">
        <f t="shared" si="23"/>
        <v>0</v>
      </c>
      <c r="H33" s="624">
        <f t="shared" si="9"/>
        <v>556506</v>
      </c>
      <c r="I33" s="161">
        <f t="shared" si="24"/>
        <v>0</v>
      </c>
      <c r="J33" s="625">
        <f t="shared" si="10"/>
        <v>401622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814295.35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4">
        <f>B33</f>
        <v>1119539</v>
      </c>
      <c r="C34" s="254">
        <f t="shared" si="20"/>
        <v>0</v>
      </c>
      <c r="D34" s="295">
        <f t="shared" si="21"/>
        <v>0</v>
      </c>
      <c r="E34" s="295">
        <f t="shared" si="22"/>
        <v>1119539</v>
      </c>
      <c r="F34" s="625">
        <f t="shared" si="8"/>
        <v>161410</v>
      </c>
      <c r="G34" s="160">
        <f t="shared" si="23"/>
        <v>0</v>
      </c>
      <c r="H34" s="624">
        <f t="shared" si="9"/>
        <v>556506</v>
      </c>
      <c r="I34" s="161">
        <f t="shared" si="24"/>
        <v>0</v>
      </c>
      <c r="J34" s="625">
        <f t="shared" si="10"/>
        <v>401622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8216980.3499999996</v>
      </c>
      <c r="AC34" s="244">
        <f>SUM(AC30)</f>
        <v>0</v>
      </c>
    </row>
    <row r="35" spans="1:32" ht="15.75" thickBot="1">
      <c r="A35" s="501">
        <f>A37-COUNTIF(C4:C34,0)</f>
        <v>6</v>
      </c>
      <c r="C35" s="173">
        <f>SUM(C4:C34)/A35</f>
        <v>259.66666666666669</v>
      </c>
      <c r="D35" s="173"/>
      <c r="E35" s="173"/>
      <c r="F35" s="564"/>
      <c r="G35" s="564">
        <f>SUM(G4:G34)/A35</f>
        <v>0</v>
      </c>
      <c r="H35" s="173"/>
      <c r="I35" s="173">
        <f>SUM(I4:I34)/A35</f>
        <v>228.5</v>
      </c>
      <c r="K35" s="173">
        <f>SUM(K4:K34)/A35</f>
        <v>30.833333333333332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0.99871630295250313</v>
      </c>
      <c r="G36" s="225">
        <f>IF(C35&gt;0,G35/C35,0)</f>
        <v>0</v>
      </c>
      <c r="H36" s="212"/>
      <c r="I36" s="225">
        <f>SUM(I35/C35)</f>
        <v>0.87997432605905002</v>
      </c>
      <c r="J36" s="212"/>
      <c r="K36" s="225">
        <f>SUM(K35/C35)</f>
        <v>0.11874197689345313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4910.5704809286899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4910.5704809286899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2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2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2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6" sqref="F16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23.416666666666668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3111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10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D16" sqref="D1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9">
        <f>'[2]Swimming Pool quality check '!$A$35</f>
        <v>44681</v>
      </c>
      <c r="B5" s="620">
        <f>'[2]Swimming Pool quality check '!B35</f>
        <v>0</v>
      </c>
      <c r="C5" s="620">
        <f>'[2]Swimming Pool quality check '!C35</f>
        <v>0</v>
      </c>
      <c r="D5" s="620">
        <f>'[2]Swimming Pool quality check '!D35</f>
        <v>0</v>
      </c>
      <c r="E5" s="620">
        <f>'[2]Swimming Pool quality check '!E35</f>
        <v>0</v>
      </c>
      <c r="F5" s="620">
        <f>'[2]Swimming Pool quality check '!F35</f>
        <v>0</v>
      </c>
      <c r="G5" s="620">
        <f>'[2]Swimming Pool quality check '!G35</f>
        <v>0</v>
      </c>
      <c r="H5" s="620">
        <f>'[2]Swimming Pool quality check '!H35</f>
        <v>7073</v>
      </c>
      <c r="I5" s="621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1">
        <f>ELEC!C4</f>
        <v>44682</v>
      </c>
      <c r="B6" s="609"/>
      <c r="C6" s="461"/>
      <c r="D6" s="610"/>
      <c r="E6" s="610"/>
      <c r="F6" s="610"/>
      <c r="G6" s="605"/>
      <c r="H6" s="609">
        <f>H5</f>
        <v>7073</v>
      </c>
      <c r="I6" s="618">
        <f>H6-H5</f>
        <v>0</v>
      </c>
      <c r="J6" s="597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12">
        <f>ELEC!C5</f>
        <v>44683</v>
      </c>
      <c r="B7" s="246"/>
      <c r="C7" s="603"/>
      <c r="D7" s="170"/>
      <c r="E7" s="170"/>
      <c r="F7" s="170"/>
      <c r="G7" s="606"/>
      <c r="H7" s="609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2">
        <f>ELEC!C6</f>
        <v>44684</v>
      </c>
      <c r="B8" s="608"/>
      <c r="C8" s="461"/>
      <c r="D8" s="461"/>
      <c r="E8" s="461"/>
      <c r="F8" s="461"/>
      <c r="G8" s="614"/>
      <c r="H8" s="609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12">
        <f>ELEC!C7</f>
        <v>44685</v>
      </c>
      <c r="B9" s="593">
        <v>0.4</v>
      </c>
      <c r="C9" s="603">
        <v>8</v>
      </c>
      <c r="D9" s="603"/>
      <c r="E9" s="603"/>
      <c r="F9" s="603"/>
      <c r="G9" s="604"/>
      <c r="H9" s="609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12">
        <f>ELEC!C8</f>
        <v>44686</v>
      </c>
      <c r="B10" s="593"/>
      <c r="C10" s="603"/>
      <c r="D10" s="603"/>
      <c r="E10" s="603"/>
      <c r="F10" s="603"/>
      <c r="G10" s="604"/>
      <c r="H10" s="609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2">
        <f>ELEC!C9</f>
        <v>44687</v>
      </c>
      <c r="B11" s="593"/>
      <c r="C11" s="603"/>
      <c r="D11" s="603"/>
      <c r="E11" s="603"/>
      <c r="F11" s="603"/>
      <c r="G11" s="604"/>
      <c r="H11" s="609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2">
        <f>ELEC!C10</f>
        <v>44688</v>
      </c>
      <c r="B12" s="593"/>
      <c r="C12" s="603"/>
      <c r="D12" s="603"/>
      <c r="E12" s="603"/>
      <c r="F12" s="603"/>
      <c r="G12" s="604"/>
      <c r="H12" s="609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2">
        <f>ELEC!C11</f>
        <v>44689</v>
      </c>
      <c r="B13" s="593"/>
      <c r="C13" s="603"/>
      <c r="D13" s="603"/>
      <c r="E13" s="603"/>
      <c r="F13" s="603"/>
      <c r="G13" s="604"/>
      <c r="H13" s="609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2">
        <f>ELEC!C12</f>
        <v>44690</v>
      </c>
      <c r="B14" s="593">
        <v>1.5</v>
      </c>
      <c r="C14" s="603">
        <v>10</v>
      </c>
      <c r="D14" s="603"/>
      <c r="E14" s="603"/>
      <c r="F14" s="603"/>
      <c r="G14" s="604"/>
      <c r="H14" s="609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2">
        <f>ELEC!C13</f>
        <v>44691</v>
      </c>
      <c r="B15" s="593">
        <v>1.2</v>
      </c>
      <c r="C15" s="603">
        <v>8</v>
      </c>
      <c r="D15" s="603"/>
      <c r="E15" s="603"/>
      <c r="F15" s="603"/>
      <c r="G15" s="604"/>
      <c r="H15" s="609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2">
        <f>ELEC!C14</f>
        <v>44692</v>
      </c>
      <c r="B16" s="593">
        <v>2.5</v>
      </c>
      <c r="C16" s="603">
        <v>8</v>
      </c>
      <c r="D16" s="603"/>
      <c r="E16" s="603"/>
      <c r="F16" s="603"/>
      <c r="G16" s="604"/>
      <c r="H16" s="609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2">
        <f>ELEC!C15</f>
        <v>44693</v>
      </c>
      <c r="B17" s="593"/>
      <c r="C17" s="603"/>
      <c r="D17" s="603"/>
      <c r="E17" s="603"/>
      <c r="F17" s="603"/>
      <c r="G17" s="604"/>
      <c r="H17" s="609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2">
        <f>ELEC!C16</f>
        <v>44694</v>
      </c>
      <c r="B18" s="593"/>
      <c r="C18" s="603"/>
      <c r="D18" s="603"/>
      <c r="E18" s="603"/>
      <c r="F18" s="603"/>
      <c r="G18" s="604"/>
      <c r="H18" s="609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2">
        <f>ELEC!C17</f>
        <v>44695</v>
      </c>
      <c r="B19" s="593"/>
      <c r="C19" s="603"/>
      <c r="D19" s="603"/>
      <c r="E19" s="603"/>
      <c r="F19" s="603"/>
      <c r="G19" s="604"/>
      <c r="H19" s="609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2">
        <f>ELEC!C18</f>
        <v>44696</v>
      </c>
      <c r="B20" s="593"/>
      <c r="C20" s="603"/>
      <c r="D20" s="603"/>
      <c r="E20" s="603"/>
      <c r="F20" s="603"/>
      <c r="G20" s="604"/>
      <c r="H20" s="609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2">
        <f>ELEC!C19</f>
        <v>44697</v>
      </c>
      <c r="B21" s="593"/>
      <c r="C21" s="603"/>
      <c r="D21" s="603"/>
      <c r="E21" s="603"/>
      <c r="F21" s="603"/>
      <c r="G21" s="604"/>
      <c r="H21" s="609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2">
        <f>ELEC!C20</f>
        <v>44698</v>
      </c>
      <c r="B22" s="593"/>
      <c r="C22" s="603"/>
      <c r="D22" s="603"/>
      <c r="E22" s="603"/>
      <c r="F22" s="603"/>
      <c r="G22" s="604"/>
      <c r="H22" s="609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2">
        <f>ELEC!C21</f>
        <v>44699</v>
      </c>
      <c r="B23" s="593"/>
      <c r="C23" s="603"/>
      <c r="D23" s="603"/>
      <c r="E23" s="603"/>
      <c r="F23" s="603"/>
      <c r="G23" s="604"/>
      <c r="H23" s="609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2">
        <f>ELEC!C22</f>
        <v>44700</v>
      </c>
      <c r="B24" s="593"/>
      <c r="C24" s="603"/>
      <c r="D24" s="603"/>
      <c r="E24" s="603"/>
      <c r="F24" s="603"/>
      <c r="G24" s="604"/>
      <c r="H24" s="609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2">
        <f>ELEC!C23</f>
        <v>44701</v>
      </c>
      <c r="B25" s="593"/>
      <c r="C25" s="603"/>
      <c r="D25" s="603"/>
      <c r="E25" s="603"/>
      <c r="F25" s="603"/>
      <c r="G25" s="604"/>
      <c r="H25" s="609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2">
        <f>ELEC!C24</f>
        <v>44702</v>
      </c>
      <c r="B26" s="593"/>
      <c r="C26" s="603"/>
      <c r="D26" s="603"/>
      <c r="E26" s="603"/>
      <c r="F26" s="603"/>
      <c r="G26" s="604"/>
      <c r="H26" s="609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2">
        <f>ELEC!C25</f>
        <v>44703</v>
      </c>
      <c r="B27" s="593"/>
      <c r="C27" s="603"/>
      <c r="D27" s="603"/>
      <c r="E27" s="603"/>
      <c r="F27" s="603"/>
      <c r="G27" s="604"/>
      <c r="H27" s="609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2">
        <f>ELEC!C26</f>
        <v>44704</v>
      </c>
      <c r="B28" s="593"/>
      <c r="C28" s="603"/>
      <c r="D28" s="603"/>
      <c r="E28" s="603"/>
      <c r="F28" s="603"/>
      <c r="G28" s="604"/>
      <c r="H28" s="609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2">
        <f>ELEC!C27</f>
        <v>44705</v>
      </c>
      <c r="B29" s="593"/>
      <c r="C29" s="603"/>
      <c r="D29" s="603"/>
      <c r="E29" s="603"/>
      <c r="F29" s="603"/>
      <c r="G29" s="604"/>
      <c r="H29" s="609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2">
        <f>ELEC!C28</f>
        <v>44706</v>
      </c>
      <c r="B30" s="593"/>
      <c r="C30" s="603"/>
      <c r="D30" s="603"/>
      <c r="E30" s="603"/>
      <c r="F30" s="603"/>
      <c r="G30" s="604"/>
      <c r="H30" s="609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2">
        <f>ELEC!C29</f>
        <v>44707</v>
      </c>
      <c r="B31" s="593"/>
      <c r="C31" s="603"/>
      <c r="D31" s="603"/>
      <c r="E31" s="603"/>
      <c r="F31" s="603"/>
      <c r="G31" s="604"/>
      <c r="H31" s="609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2">
        <f>ELEC!C30</f>
        <v>44708</v>
      </c>
      <c r="B32" s="593"/>
      <c r="C32" s="603"/>
      <c r="D32" s="603"/>
      <c r="E32" s="603"/>
      <c r="F32" s="603"/>
      <c r="G32" s="604"/>
      <c r="H32" s="609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12">
        <f>ELEC!C31</f>
        <v>44709</v>
      </c>
      <c r="B33" s="593"/>
      <c r="C33" s="603"/>
      <c r="D33" s="603"/>
      <c r="E33" s="603"/>
      <c r="F33" s="603"/>
      <c r="G33" s="604"/>
      <c r="H33" s="609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2">
        <f>ELEC!C32</f>
        <v>44710</v>
      </c>
      <c r="B34" s="593"/>
      <c r="C34" s="603"/>
      <c r="D34" s="603"/>
      <c r="E34" s="603"/>
      <c r="F34" s="603"/>
      <c r="G34" s="604"/>
      <c r="H34" s="609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2">
        <f>ELEC!C33</f>
        <v>44711</v>
      </c>
      <c r="B35" s="593"/>
      <c r="C35" s="603"/>
      <c r="D35" s="603"/>
      <c r="E35" s="603"/>
      <c r="F35" s="603"/>
      <c r="G35" s="604"/>
      <c r="H35" s="609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3">
        <f>ELEC!C34</f>
        <v>44712</v>
      </c>
      <c r="B36" s="595"/>
      <c r="C36" s="596"/>
      <c r="D36" s="596"/>
      <c r="E36" s="596"/>
      <c r="F36" s="596"/>
      <c r="G36" s="615"/>
      <c r="H36" s="609">
        <f t="shared" si="1"/>
        <v>7089</v>
      </c>
      <c r="I36" s="616">
        <f t="shared" si="5"/>
        <v>0</v>
      </c>
      <c r="J36" s="617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-384.30000000000013</v>
      </c>
      <c r="AB14" s="261">
        <f>S43</f>
        <v>12.399999999999995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-829.90000000000009</v>
      </c>
      <c r="AB23" s="134">
        <f>SUM(AB10:AB22)</f>
        <v>67.499999999999972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0</v>
      </c>
      <c r="S24" s="261">
        <f>'General information '!C19</f>
        <v>0</v>
      </c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0</v>
      </c>
      <c r="S25" s="261">
        <f>'General information '!C20</f>
        <v>0</v>
      </c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0</v>
      </c>
      <c r="S26" s="261">
        <f>'General information '!C21</f>
        <v>0</v>
      </c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0</v>
      </c>
      <c r="S27" s="261">
        <f>'General information '!C22</f>
        <v>0</v>
      </c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0</v>
      </c>
      <c r="S28" s="261">
        <f>'General information '!C23</f>
        <v>0</v>
      </c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0</v>
      </c>
      <c r="S31" s="261">
        <f>'General information '!C26</f>
        <v>0</v>
      </c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0</v>
      </c>
      <c r="S32" s="261">
        <f>'General information '!C27</f>
        <v>0</v>
      </c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0</v>
      </c>
      <c r="S33" s="261">
        <f>'General information '!C28</f>
        <v>0</v>
      </c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0</v>
      </c>
      <c r="S34" s="261">
        <f>'General information '!C29</f>
        <v>0</v>
      </c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0</v>
      </c>
      <c r="S35" s="261">
        <f>'General information '!C30</f>
        <v>0</v>
      </c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-384.30000000000013</v>
      </c>
      <c r="S43" s="119">
        <f>SUMIF(T10:T37,"&gt;0")</f>
        <v>12.399999999999995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-4693.9000000000015</v>
      </c>
      <c r="O86" s="142">
        <f>C43+G43+K43+O43+S43+W43+C81+G81+K81+O81+S81+W81</f>
        <v>67.299999999999983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29" sqref="G29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298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1.085</v>
      </c>
      <c r="D8" s="191">
        <f>SUM(B8*C8)*D4</f>
        <v>16356375</v>
      </c>
      <c r="E8" s="192">
        <f>SUM(D8/D4/F4)</f>
        <v>350</v>
      </c>
      <c r="F8" s="192">
        <f>SUM(E8*F4)</f>
        <v>10850</v>
      </c>
      <c r="G8" s="570">
        <f>E8*$G$4</f>
        <v>4200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1556</v>
      </c>
      <c r="C10" s="181"/>
      <c r="D10" s="183">
        <f>'EDl log'!AB30</f>
        <v>7402685</v>
      </c>
      <c r="E10" s="182">
        <f>SUM(D10/D4/F4)</f>
        <v>158.40549938479646</v>
      </c>
      <c r="F10" s="182">
        <f>SUM(E10*F4)</f>
        <v>4910.5704809286899</v>
      </c>
      <c r="G10" s="478">
        <f>E10*$G$4</f>
        <v>1900.8659926175574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772.92162841705454</v>
      </c>
      <c r="F12" s="180">
        <f>SUM(F6:F10)</f>
        <v>23960.570480928691</v>
      </c>
      <c r="G12" s="179">
        <f>SUM(G6:G10)</f>
        <v>14300.865992617557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-65828.034007382434</v>
      </c>
      <c r="I14" s="406">
        <f>SUM(G12-I12)</f>
        <v>-36943.053727812556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23.416666666666668</v>
      </c>
      <c r="C16" s="415">
        <f>'[14]Utility Cost '!$D$16</f>
        <v>20.951612903225808</v>
      </c>
      <c r="D16" s="415"/>
      <c r="E16" s="576">
        <f>B16-C16</f>
        <v>2.46505376344086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1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86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-86.73885330486587</v>
      </c>
      <c r="F18" s="495">
        <f>B18-D18</f>
        <v>-116.66666666666666</v>
      </c>
    </row>
    <row r="19" spans="1:10">
      <c r="A19" s="489" t="s">
        <v>412</v>
      </c>
      <c r="B19" s="493">
        <f>GEN!AL34</f>
        <v>8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10.75</v>
      </c>
      <c r="C20" s="602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2022-05-13T06:53:27Z</dcterms:modified>
</cp:coreProperties>
</file>