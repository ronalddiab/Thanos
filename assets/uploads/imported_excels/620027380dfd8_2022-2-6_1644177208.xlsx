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4" i="7" l="1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<sst xmlns="http://schemas.openxmlformats.org/spreadsheetml/2006/main" count="315" uniqueCount="148">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</sst>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>
        <f>Submetering!E3+Submetering!F3+Submetering!G3+Submetering!H3+Submetering!J3-Submetering!AV3</f>
        <v>11689.999999999776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91.200000000000728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>
        <f>Submetering!E4+Submetering!F4+Submetering!G4+Submetering!H4+Submetering!J4-Submetering!AV4</f>
        <v>11699.999999999989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104.59999999999854</v>
      </c>
      <c r="J4" s="11">
        <f t="shared" ref="J4:J32" si="3">J3</f>
        <v>10.487297712684205</v>
      </c>
      <c r="K4" s="13">
        <f>'FS Desroches Daily'!CN6</f>
        <v>22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12590.0000000002</v>
      </c>
      <c r="F5" s="11">
        <f t="shared" si="1"/>
        <v>0.58765030286592534</v>
      </c>
      <c r="G5" s="12">
        <f>(Submetering!AX5+Submetering!AY5+Submetering!AZ5+Submetering!BA5+Submetering!BB5)</f>
        <v>1009.1565000000001</v>
      </c>
      <c r="H5" s="11">
        <f t="shared" si="2"/>
        <v>0.99</v>
      </c>
      <c r="I5" s="12">
        <f>'FS Desroches Daily'!CM7</f>
        <v>89.099999999998545</v>
      </c>
      <c r="J5" s="11">
        <f t="shared" si="3"/>
        <v>10.487297712684205</v>
      </c>
      <c r="K5" s="13">
        <f>'FS Desroches Daily'!CN7</f>
        <v>22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12059.999999999869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88.5</v>
      </c>
      <c r="J6" s="11">
        <f t="shared" si="3"/>
        <v>10.487297712684205</v>
      </c>
      <c r="K6" s="13">
        <f>'FS Desroches Daily'!CN8</f>
        <v>22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 t="e">
        <f>Submetering!E7+Submetering!F7+Submetering!G7+Submetering!H7+Submetering!J7-Submetering!AV7</f>
        <v>#VALUE!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 t="e">
        <f>'FS Desroches Daily'!CM9</f>
        <v>#VALUE!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>
        <f>'FS Desroches Daily'!BF4</f>
        <v>65</v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41</v>
      </c>
      <c r="AQ2" s="31">
        <f>'FS Desroches Daily'!CB4</f>
        <v>46.5</v>
      </c>
      <c r="AR2" s="31">
        <f>'FS Desroches Daily'!CD4</f>
        <v>6.4000000000014552</v>
      </c>
      <c r="AS2" s="31">
        <f>'FS Desroches Daily'!CF4</f>
        <v>3.0999999999994543</v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2699.9999999999245</v>
      </c>
      <c r="H3" s="32">
        <f>'FS Desroches Daily'!J5</f>
        <v>1599.9999999998238</v>
      </c>
      <c r="I3" s="31">
        <f>'FS Desroches Daily'!L5</f>
        <v>1999.9999999997797</v>
      </c>
      <c r="J3" s="32">
        <f>'FS Desroches Daily'!N5</f>
        <v>1600.0000000000459</v>
      </c>
      <c r="K3" s="13">
        <f>'FS Desroches Daily'!P5</f>
        <v>38</v>
      </c>
      <c r="L3" s="31">
        <f>'FS Desroches Daily'!R5</f>
        <v>6</v>
      </c>
      <c r="M3" s="31">
        <f>'FS Desroches Daily'!T5</f>
        <v>1</v>
      </c>
      <c r="N3" s="31">
        <f>'FS Desroches Daily'!V5</f>
        <v>428.30000000004657</v>
      </c>
      <c r="O3" s="31">
        <f>'FS Desroches Daily'!X6</f>
        <v>469.99999999997044</v>
      </c>
      <c r="P3" s="31">
        <f>'FS Desroches Daily'!Z5</f>
        <v>2699.9999999999245</v>
      </c>
      <c r="Q3" s="31">
        <f>'FS Desroches Daily'!AB5</f>
        <v>409.99999999996817</v>
      </c>
      <c r="R3" s="31">
        <f>'FS Desroches Daily'!AD5</f>
        <v>540.00000000002046</v>
      </c>
      <c r="S3" s="31">
        <f>'FS Desroches Daily'!AF5</f>
        <v>549.99999999995453</v>
      </c>
      <c r="T3" s="31">
        <f>'FS Desroches Daily'!AH5</f>
        <v>43</v>
      </c>
      <c r="U3" s="35">
        <f>'FS Desroches Daily'!AJ5</f>
        <v>740.00000000000909</v>
      </c>
      <c r="V3" s="35">
        <f>'FS Desroches Daily'!AL5</f>
        <v>189.99999999999773</v>
      </c>
      <c r="W3" s="35">
        <f>'FS Desroches Daily'!AN5</f>
        <v>250</v>
      </c>
      <c r="X3" s="35">
        <f>'FS Desroches Daily'!AP5</f>
        <v>239.99999999998067</v>
      </c>
      <c r="Y3" s="35">
        <f>'FS Desroches Daily'!AR5</f>
        <v>280.00000000002956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189.99999999999773</v>
      </c>
      <c r="AC3" s="35">
        <f>'FS Desroches Daily'!AZ5</f>
        <v>150.00000000003411</v>
      </c>
      <c r="AD3" s="35">
        <f>'FS Desroches Daily'!BB5</f>
        <v>230.00000000001819</v>
      </c>
      <c r="AE3" s="35">
        <f>'FS Desroches Daily'!BD5</f>
        <v>170.00000000001592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38</v>
      </c>
      <c r="AM3" s="32">
        <f>'FS Desroches Daily'!BT5</f>
        <v>60.000000000002274</v>
      </c>
      <c r="AN3" s="32">
        <f>'FS Desroches Daily'!BV5</f>
        <v>45</v>
      </c>
      <c r="AO3" s="32">
        <f>'FS Desroches Daily'!BX5</f>
        <v>40.000000000020464</v>
      </c>
      <c r="AP3" s="32">
        <f>'FS Desroches Daily'!BZ5</f>
        <v>46</v>
      </c>
      <c r="AQ3" s="31">
        <f>'FS Desroches Daily'!CB5</f>
        <v>57.599999999998545</v>
      </c>
      <c r="AR3" s="31">
        <f>'FS Desroches Daily'!CD5</f>
        <v>6.5</v>
      </c>
      <c r="AS3" s="31">
        <f>'FS Desroches Daily'!CF5</f>
        <v>2.8000000000001819</v>
      </c>
      <c r="AT3" s="31">
        <f>'FS Desroches Daily'!CH5</f>
        <v>35</v>
      </c>
      <c r="AU3" s="31">
        <f>'FS Desroches Daily'!CJ5</f>
        <v>282</v>
      </c>
      <c r="AV3" s="31">
        <f>'FS Desroches Daily'!CL5</f>
        <v>509.99999999999091</v>
      </c>
      <c r="AW3" s="31">
        <f>'FS Desroches Daily'!CM5</f>
        <v>91.200000000000728</v>
      </c>
      <c r="AX3" s="31">
        <f>IF(LPG!F10-LPG!F9&lt;0,"0",(LPG!F10-LPG!F9)*1.8315)</f>
        <v>9.1574999999999989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>
        <f>'FS Desroches Daily'!D6</f>
        <v>3099.9999999998809</v>
      </c>
      <c r="F4" s="32">
        <f>'FS Desroches Daily'!F6</f>
        <v>3299.9999999998586</v>
      </c>
      <c r="G4" s="31">
        <f>'FS Desroches Daily'!H6</f>
        <v>2600.0000000001578</v>
      </c>
      <c r="H4" s="32">
        <f>'FS Desroches Daily'!J6</f>
        <v>1600.0000000000459</v>
      </c>
      <c r="I4" s="31">
        <f>'FS Desroches Daily'!L6</f>
        <v>2000.0000000002237</v>
      </c>
      <c r="J4" s="32">
        <f>'FS Desroches Daily'!N6</f>
        <v>1600.0000000000459</v>
      </c>
      <c r="K4" s="13">
        <f>'FS Desroches Daily'!P6</f>
        <v>39</v>
      </c>
      <c r="L4" s="31">
        <f>'FS Desroches Daily'!R6</f>
        <v>5</v>
      </c>
      <c r="M4" s="31">
        <f>'FS Desroches Daily'!T6</f>
        <v>1.1000000000001364</v>
      </c>
      <c r="N4" s="31">
        <f>'FS Desroches Daily'!V6</f>
        <v>398.29999999998836</v>
      </c>
      <c r="O4" s="31">
        <f>'FS Desroches Daily'!X7</f>
        <v>439.99999999999773</v>
      </c>
      <c r="P4" s="31">
        <f>'FS Desroches Daily'!Z6</f>
        <v>2899.9999999999027</v>
      </c>
      <c r="Q4" s="31">
        <f>'FS Desroches Daily'!AB6</f>
        <v>290.00000000002046</v>
      </c>
      <c r="R4" s="31">
        <f>'FS Desroches Daily'!AD6</f>
        <v>569.99999999999318</v>
      </c>
      <c r="S4" s="31">
        <f>'FS Desroches Daily'!AF6</f>
        <v>580.00000000004093</v>
      </c>
      <c r="T4" s="31">
        <f>'FS Desroches Daily'!AH6</f>
        <v>44</v>
      </c>
      <c r="U4" s="35">
        <f>'FS Desroches Daily'!AJ6</f>
        <v>650.00000000009095</v>
      </c>
      <c r="V4" s="35">
        <f>'FS Desroches Daily'!AL6</f>
        <v>180.00000000000682</v>
      </c>
      <c r="W4" s="35">
        <f>'FS Desroches Daily'!AN6</f>
        <v>250</v>
      </c>
      <c r="X4" s="35">
        <f>'FS Desroches Daily'!AP6</f>
        <v>230.00000000001819</v>
      </c>
      <c r="Y4" s="35">
        <f>'FS Desroches Daily'!AR6</f>
        <v>319.99999999999318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180.00000000000682</v>
      </c>
      <c r="AC4" s="35">
        <f>'FS Desroches Daily'!AZ6</f>
        <v>139.99999999998636</v>
      </c>
      <c r="AD4" s="35">
        <f>'FS Desroches Daily'!BB6</f>
        <v>230.00000000001819</v>
      </c>
      <c r="AE4" s="35">
        <f>'FS Desroches Daily'!BD6</f>
        <v>189.99999999999773</v>
      </c>
      <c r="AF4" s="31">
        <f>'FS Desroches Daily'!BF6</f>
        <v>35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40.000000000020464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36</v>
      </c>
      <c r="AM4" s="32">
        <f>'FS Desroches Daily'!BT6</f>
        <v>69.999999999993179</v>
      </c>
      <c r="AN4" s="32">
        <f>'FS Desroches Daily'!BV6</f>
        <v>37</v>
      </c>
      <c r="AO4" s="32">
        <f>'FS Desroches Daily'!BX6</f>
        <v>49.999999999982947</v>
      </c>
      <c r="AP4" s="32">
        <f>'FS Desroches Daily'!BZ6</f>
        <v>42</v>
      </c>
      <c r="AQ4" s="31">
        <f>'FS Desroches Daily'!CB6</f>
        <v>44.5</v>
      </c>
      <c r="AR4" s="31">
        <f>'FS Desroches Daily'!CD6</f>
        <v>6.0999999999985448</v>
      </c>
      <c r="AS4" s="31">
        <f>'FS Desroches Daily'!CF6</f>
        <v>5.8999999999996362</v>
      </c>
      <c r="AT4" s="31">
        <f>'FS Desroches Daily'!CH6</f>
        <v>38</v>
      </c>
      <c r="AU4" s="31">
        <f>'FS Desroches Daily'!CJ6</f>
        <v>292</v>
      </c>
      <c r="AV4" s="31">
        <f>'FS Desroches Daily'!CL6</f>
        <v>500</v>
      </c>
      <c r="AW4" s="31">
        <f>'FS Desroches Daily'!CM6</f>
        <v>104.59999999999854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 t="str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22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3400.0000000000696</v>
      </c>
      <c r="F5" s="32">
        <f>'FS Desroches Daily'!F7</f>
        <v>3299.9999999998586</v>
      </c>
      <c r="G5" s="31">
        <f>'FS Desroches Daily'!H7</f>
        <v>3000.0000000001137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1800.0000000000239</v>
      </c>
      <c r="K5" s="13">
        <f>'FS Desroches Daily'!P7</f>
        <v>38</v>
      </c>
      <c r="L5" s="31">
        <f>'FS Desroches Daily'!R7</f>
        <v>7</v>
      </c>
      <c r="M5" s="31">
        <f>'FS Desroches Daily'!T7</f>
        <v>1.1999999999998181</v>
      </c>
      <c r="N5" s="31">
        <f>'FS Desroches Daily'!V7</f>
        <v>455.09999999997672</v>
      </c>
      <c r="O5" s="31">
        <f>'FS Desroches Daily'!X8</f>
        <v>500</v>
      </c>
      <c r="P5" s="31">
        <f>'FS Desroches Daily'!Z7</f>
        <v>2800.0000000001355</v>
      </c>
      <c r="Q5" s="31">
        <f>'FS Desroches Daily'!AB7</f>
        <v>430.00000000000682</v>
      </c>
      <c r="R5" s="31">
        <f>'FS Desroches Daily'!AD7</f>
        <v>720.00000000002728</v>
      </c>
      <c r="S5" s="31">
        <f>'FS Desroches Daily'!AF7</f>
        <v>549.99999999995453</v>
      </c>
      <c r="T5" s="31">
        <f>'FS Desroches Daily'!AH7</f>
        <v>51</v>
      </c>
      <c r="U5" s="35">
        <f>'FS Desroches Daily'!AJ7</f>
        <v>799.99999999995453</v>
      </c>
      <c r="V5" s="35">
        <f>'FS Desroches Daily'!AL7</f>
        <v>189.99999999999773</v>
      </c>
      <c r="W5" s="35">
        <f>'FS Desroches Daily'!AN7</f>
        <v>240.00000000000909</v>
      </c>
      <c r="X5" s="35">
        <f>'FS Desroches Daily'!AP7</f>
        <v>219.99999999999886</v>
      </c>
      <c r="Y5" s="35">
        <f>'FS Desroches Daily'!AR7</f>
        <v>379.99999999999545</v>
      </c>
      <c r="Z5" s="35">
        <f>'FS Desroches Daily'!AT7</f>
        <v>209.99999999997954</v>
      </c>
      <c r="AA5" s="35">
        <f>'FS Desroches Daily'!AT7</f>
        <v>209.99999999997954</v>
      </c>
      <c r="AB5" s="35">
        <f>'FS Desroches Daily'!AV7</f>
        <v>180.00000000000682</v>
      </c>
      <c r="AC5" s="35">
        <f>'FS Desroches Daily'!AZ7</f>
        <v>120.00000000000455</v>
      </c>
      <c r="AD5" s="35">
        <f>'FS Desroches Daily'!BB7</f>
        <v>240.00000000000909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49.999999999982947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69.999999999993179</v>
      </c>
      <c r="AL5" s="32">
        <f>'FS Desroches Daily'!BR7</f>
        <v>37</v>
      </c>
      <c r="AM5" s="32">
        <f>'FS Desroches Daily'!BT7</f>
        <v>69.999999999993179</v>
      </c>
      <c r="AN5" s="32">
        <f>'FS Desroches Daily'!BV7</f>
        <v>36</v>
      </c>
      <c r="AO5" s="32">
        <f>'FS Desroches Daily'!BX7</f>
        <v>40.000000000020464</v>
      </c>
      <c r="AP5" s="32">
        <f>'FS Desroches Daily'!BZ7</f>
        <v>47</v>
      </c>
      <c r="AQ5" s="31">
        <f>'FS Desroches Daily'!CB7</f>
        <v>50.69999999999709</v>
      </c>
      <c r="AR5" s="31">
        <f>'FS Desroches Daily'!CD7</f>
        <v>5.8000000000010914</v>
      </c>
      <c r="AS5" s="31">
        <f>'FS Desroches Daily'!CF7</f>
        <v>0.1000000000003638</v>
      </c>
      <c r="AT5" s="31">
        <f>'FS Desroches Daily'!CH7</f>
        <v>34.30000000000291</v>
      </c>
      <c r="AU5" s="31">
        <f>'FS Desroches Daily'!CJ7</f>
        <v>292</v>
      </c>
      <c r="AV5" s="31">
        <f>'FS Desroches Daily'!CL7</f>
        <v>609.99999999989996</v>
      </c>
      <c r="AW5" s="31">
        <f>'FS Desroches Daily'!CM7</f>
        <v>89.099999999998545</v>
      </c>
      <c r="AX5" s="31">
        <f>IF(LPG!F12-LPG!F11&lt;0,"0",(LPG!F12-LPG!F11)*1.8315)</f>
        <v>7.3259999999999996</v>
      </c>
      <c r="AY5" s="31">
        <f>IF(LPG!H12-LPG!H11&lt;0,"0",(LPG!H12-LPG!H11)*1.8315)</f>
        <v>5.4944999999999995</v>
      </c>
      <c r="AZ5" s="31">
        <f>IF(LPG!J12-LPG!J13&lt;0,"0",(LPG!J12-LPG!J13)*1.8315)</f>
        <v>990.8415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22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3299.9999999998586</v>
      </c>
      <c r="F6" s="32">
        <f>'FS Desroches Daily'!F8</f>
        <v>3300.0000000003029</v>
      </c>
      <c r="G6" s="31">
        <f>'FS Desroches Daily'!H8</f>
        <v>2699.9999999999245</v>
      </c>
      <c r="H6" s="32">
        <f>'FS Desroches Daily'!J8</f>
        <v>1700.0000000000348</v>
      </c>
      <c r="I6" s="31">
        <f>'FS Desroches Daily'!L8</f>
        <v>2299.9999999999686</v>
      </c>
      <c r="J6" s="32">
        <f>'FS Desroches Daily'!N8</f>
        <v>1599.9999999998238</v>
      </c>
      <c r="K6" s="13">
        <f>'FS Desroches Daily'!P8</f>
        <v>63</v>
      </c>
      <c r="L6" s="31">
        <f>'FS Desroches Daily'!R8</f>
        <v>6</v>
      </c>
      <c r="M6" s="31">
        <f>'FS Desroches Daily'!T8</f>
        <v>1</v>
      </c>
      <c r="N6" s="31">
        <f>'FS Desroches Daily'!V8</f>
        <v>425</v>
      </c>
      <c r="O6" s="31">
        <f>'FS Desroches Daily'!X8</f>
        <v>500</v>
      </c>
      <c r="P6" s="31">
        <f>'FS Desroches Daily'!Z8</f>
        <v>3000.0000000001137</v>
      </c>
      <c r="Q6" s="31">
        <f>'FS Desroches Daily'!AB8</f>
        <v>360.00000000001364</v>
      </c>
      <c r="R6" s="31">
        <f>'FS Desroches Daily'!AD8</f>
        <v>709.99999999997954</v>
      </c>
      <c r="S6" s="31">
        <f>'FS Desroches Daily'!AF8</f>
        <v>550.00000000006821</v>
      </c>
      <c r="T6" s="31">
        <f>'FS Desroches Daily'!AH8</f>
        <v>53</v>
      </c>
      <c r="U6" s="35">
        <f>'FS Desroches Daily'!AJ8</f>
        <v>950.00000000004547</v>
      </c>
      <c r="V6" s="35">
        <f>'FS Desroches Daily'!AL8</f>
        <v>149.99999999997726</v>
      </c>
      <c r="W6" s="35">
        <f>'FS Desroches Daily'!AN8</f>
        <v>149.99999999997726</v>
      </c>
      <c r="X6" s="35">
        <f>'FS Desroches Daily'!AP8</f>
        <v>239.99999999998067</v>
      </c>
      <c r="Y6" s="35">
        <f>'FS Desroches Daily'!AR8</f>
        <v>349.99999999996589</v>
      </c>
      <c r="Z6" s="35">
        <f>'FS Desroches Daily'!AT8</f>
        <v>340.00000000003183</v>
      </c>
      <c r="AA6" s="35">
        <f>'FS Desroches Daily'!AT8</f>
        <v>340.00000000003183</v>
      </c>
      <c r="AB6" s="35">
        <f>'FS Desroches Daily'!AV8</f>
        <v>180.00000000000682</v>
      </c>
      <c r="AC6" s="35">
        <f>'FS Desroches Daily'!AZ8</f>
        <v>139.99999999998636</v>
      </c>
      <c r="AD6" s="35">
        <f>'FS Desroches Daily'!BB8</f>
        <v>239.99999999995225</v>
      </c>
      <c r="AE6" s="35">
        <f>'FS Desroches Daily'!BD8</f>
        <v>209.99999999997954</v>
      </c>
      <c r="AF6" s="31">
        <f>'FS Desroches Daily'!BF8</f>
        <v>50</v>
      </c>
      <c r="AG6" s="32">
        <f>'FS Desroches Daily'!BH8</f>
        <v>50.000000000011369</v>
      </c>
      <c r="AH6" s="32">
        <f>'FS Desroches Daily'!BJ8</f>
        <v>30.000000000029559</v>
      </c>
      <c r="AI6" s="32">
        <f>'FS Desroches Daily'!BL8</f>
        <v>49.999999999982947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39</v>
      </c>
      <c r="AM6" s="32">
        <f>'FS Desroches Daily'!BT8</f>
        <v>69.999999999993179</v>
      </c>
      <c r="AN6" s="32">
        <f>'FS Desroches Daily'!BV8</f>
        <v>42</v>
      </c>
      <c r="AO6" s="32">
        <f>'FS Desroches Daily'!BX8</f>
        <v>30.000000000001137</v>
      </c>
      <c r="AP6" s="32">
        <f>'FS Desroches Daily'!BZ8</f>
        <v>46</v>
      </c>
      <c r="AQ6" s="31">
        <f>'FS Desroches Daily'!CB8</f>
        <v>34.700000000004366</v>
      </c>
      <c r="AR6" s="31">
        <f>'FS Desroches Daily'!CD8</f>
        <v>7.3999999999996362</v>
      </c>
      <c r="AS6" s="31">
        <f>'FS Desroches Daily'!CF8</f>
        <v>5.6000000000003638</v>
      </c>
      <c r="AT6" s="31">
        <f>'FS Desroches Daily'!CH8</f>
        <v>39.799999999988358</v>
      </c>
      <c r="AU6" s="31">
        <f>'FS Desroches Daily'!CJ8</f>
        <v>294</v>
      </c>
      <c r="AV6" s="31">
        <f>'FS Desroches Daily'!CL8</f>
        <v>540.00000000007731</v>
      </c>
      <c r="AW6" s="31">
        <f>'FS Desroches Daily'!CM8</f>
        <v>88.5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22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 t="str">
        <f>'FS Desroches Daily'!BF9</f>
        <v/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 t="str">
        <f>'FS Desroches Daily'!CF9</f>
        <v/>
      </c>
      <c r="AT7" s="31" t="str">
        <f>'FS Desroches Daily'!CH9</f>
        <v/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15699.999999999825</v>
      </c>
      <c r="F33" s="17">
        <f t="shared" ref="F33:BC33" si="1">SUM(F2:F32)</f>
        <v>16199.999999999993</v>
      </c>
      <c r="G33" s="17">
        <f t="shared" si="1"/>
        <v>13799.999999999811</v>
      </c>
      <c r="H33" s="17">
        <f t="shared" si="1"/>
        <v>8000.0000000000073</v>
      </c>
      <c r="I33" s="17">
        <f t="shared" si="1"/>
        <v>10800.000000000144</v>
      </c>
      <c r="J33" s="17">
        <f t="shared" si="1"/>
        <v>7699.9999999998181</v>
      </c>
      <c r="K33" s="17">
        <f t="shared" si="1"/>
        <v>203</v>
      </c>
      <c r="L33" s="17">
        <f t="shared" si="1"/>
        <v>27</v>
      </c>
      <c r="M33" s="17">
        <f t="shared" si="1"/>
        <v>5.2999999999999545</v>
      </c>
      <c r="N33" s="17">
        <f t="shared" si="1"/>
        <v>2137.7000000000116</v>
      </c>
      <c r="O33" s="17">
        <f t="shared" si="1"/>
        <v>2299.9999999999545</v>
      </c>
      <c r="P33" s="17">
        <f t="shared" si="1"/>
        <v>14100</v>
      </c>
      <c r="Q33" s="17">
        <f t="shared" si="1"/>
        <v>1710.0000000000364</v>
      </c>
      <c r="R33" s="17">
        <f t="shared" si="1"/>
        <v>2930.0000000000068</v>
      </c>
      <c r="S33" s="17">
        <f t="shared" si="1"/>
        <v>2640.0000000001</v>
      </c>
      <c r="T33" s="17">
        <f t="shared" si="1"/>
        <v>229</v>
      </c>
      <c r="U33" s="35">
        <f t="shared" si="1"/>
        <v>3850.0000000000227</v>
      </c>
      <c r="V33" s="35">
        <f t="shared" si="1"/>
        <v>879.99999999999545</v>
      </c>
      <c r="W33" s="35">
        <f t="shared" si="1"/>
        <v>1089.999999999975</v>
      </c>
      <c r="X33" s="35">
        <f t="shared" si="1"/>
        <v>1109.9999999999852</v>
      </c>
      <c r="Y33" s="35">
        <f t="shared" si="1"/>
        <v>1589.999999999975</v>
      </c>
      <c r="Z33" s="35">
        <f t="shared" si="1"/>
        <v>1030.0000000000296</v>
      </c>
      <c r="AA33" s="35">
        <f t="shared" si="1"/>
        <v>1030.0000000000296</v>
      </c>
      <c r="AB33" s="35">
        <f t="shared" si="1"/>
        <v>870.00000000000455</v>
      </c>
      <c r="AC33" s="35">
        <f t="shared" si="1"/>
        <v>610.00000000001364</v>
      </c>
      <c r="AD33" s="35">
        <f t="shared" si="1"/>
        <v>1149.9999999999773</v>
      </c>
      <c r="AE33" s="35">
        <f t="shared" si="1"/>
        <v>899.99999999997726</v>
      </c>
      <c r="AF33" s="17">
        <f t="shared" si="1"/>
        <v>234</v>
      </c>
      <c r="AG33" s="32">
        <f t="shared" si="1"/>
        <v>240.00000000000909</v>
      </c>
      <c r="AH33" s="32">
        <f t="shared" si="1"/>
        <v>160.00000000002501</v>
      </c>
      <c r="AI33" s="32">
        <f t="shared" si="1"/>
        <v>250</v>
      </c>
      <c r="AJ33" s="32">
        <f t="shared" si="1"/>
        <v>229.99999999998977</v>
      </c>
      <c r="AK33" s="32">
        <f t="shared" si="1"/>
        <v>300.00000000001137</v>
      </c>
      <c r="AL33" s="32">
        <f t="shared" si="1"/>
        <v>180</v>
      </c>
      <c r="AM33" s="32">
        <f t="shared" si="1"/>
        <v>319.99999999999318</v>
      </c>
      <c r="AN33" s="32">
        <f t="shared" si="1"/>
        <v>200</v>
      </c>
      <c r="AO33" s="32">
        <f t="shared" si="1"/>
        <v>200.00000000001705</v>
      </c>
      <c r="AP33" s="32">
        <f t="shared" si="1"/>
        <v>222</v>
      </c>
      <c r="AQ33" s="17">
        <f t="shared" si="1"/>
        <v>234</v>
      </c>
      <c r="AR33" s="17">
        <f t="shared" si="1"/>
        <v>32.200000000000728</v>
      </c>
      <c r="AS33" s="17">
        <f t="shared" si="1"/>
        <v>17.5</v>
      </c>
      <c r="AT33" s="17">
        <f t="shared" si="1"/>
        <v>199</v>
      </c>
      <c r="AU33" s="17">
        <f t="shared" si="1"/>
        <v>1432</v>
      </c>
      <c r="AV33" s="17">
        <f t="shared" si="1"/>
        <v>2740.0000000000091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23.809499999999996</v>
      </c>
      <c r="BC33" s="17">
        <f t="shared" si="1"/>
        <v>122</v>
      </c>
    </row>
    <row r="35" spans="5:55" x14ac:dyDescent="0.25">
      <c r="E35" s="38">
        <f>E33/E37</f>
        <v>0.29883132209067703</v>
      </c>
      <c r="G35" s="29">
        <f>G33-M36</f>
        <v>11656.9999999998</v>
      </c>
      <c r="AE35" s="35">
        <f>SUM(U33:AE33)</f>
        <v>14109.999999999985</v>
      </c>
      <c r="AG35" s="32">
        <f>SUM(AG33:AP33)</f>
        <v>2302.0000000000455</v>
      </c>
    </row>
    <row r="36" spans="5:55" x14ac:dyDescent="0.25">
      <c r="G36" s="29">
        <f>G35-633*14</f>
        <v>2794.9999999997999</v>
      </c>
      <c r="M36" s="29">
        <f>M33+N33</f>
        <v>2143.0000000000118</v>
      </c>
    </row>
    <row r="37" spans="5:55" x14ac:dyDescent="0.25">
      <c r="E37" s="17">
        <f>E33+F33+G33+H33+J33-633*14</f>
        <v>52537.999999999454</v>
      </c>
      <c r="G37" s="37">
        <f>M36/E37</f>
        <v>4.0789523773269519E-2</v>
      </c>
      <c r="M37" s="35">
        <f>AE35</f>
        <v>14109.999999999985</v>
      </c>
    </row>
    <row r="38" spans="5:55" x14ac:dyDescent="0.25">
      <c r="L38" s="27">
        <f>M38/E37</f>
        <v>4.3815904678519729E-2</v>
      </c>
      <c r="M38" s="29">
        <f>AG35</f>
        <v>2302.0000000000455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N1" zoomScale="82" zoomScaleNormal="82" workbookViewId="0">
      <pane ySplit="1" topLeftCell="A2" activePane="bottomLeft" state="frozen"/>
      <selection pane="bottomLeft" activeCell="O9" sqref="O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>
        <v>47630</v>
      </c>
      <c r="BF4" s="67">
        <f t="shared" ref="BF4:BF34" si="28">IF((BE4-BE3&lt;0), "",BE4-BE3)</f>
        <v>65</v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68624</v>
      </c>
      <c r="BZ4" s="67">
        <f t="shared" ref="BZ4:BZ34" si="38">IF((BY4-BY3&lt;0), "",BY4-BY3)</f>
        <v>41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>
        <v>7545.2</v>
      </c>
      <c r="CF4" s="67">
        <f t="shared" ref="CF4:CF34" si="41">IF((CE4-CE3&lt;0), "",CE4-CE3)</f>
        <v>3.0999999999994543</v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>
        <v>28</v>
      </c>
      <c r="CO4" s="62">
        <v>52</v>
      </c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>
        <v>2.8485</v>
      </c>
      <c r="D5" s="64">
        <f t="shared" si="1"/>
        <v>3099.9999999998809</v>
      </c>
      <c r="E5" s="58">
        <v>3.9306000000000001</v>
      </c>
      <c r="F5" s="64">
        <f t="shared" si="2"/>
        <v>3200.0000000000919</v>
      </c>
      <c r="G5" s="58">
        <v>3.9167999999999998</v>
      </c>
      <c r="H5" s="64">
        <f t="shared" si="3"/>
        <v>2699.9999999999245</v>
      </c>
      <c r="I5" s="58">
        <v>1.9543999999999999</v>
      </c>
      <c r="J5" s="64">
        <f t="shared" si="4"/>
        <v>1599.9999999998238</v>
      </c>
      <c r="K5" s="58">
        <v>3.0941999999999998</v>
      </c>
      <c r="L5" s="64">
        <f t="shared" si="5"/>
        <v>1999.9999999997797</v>
      </c>
      <c r="M5" s="58">
        <v>1.7195</v>
      </c>
      <c r="N5" s="64">
        <f t="shared" si="6"/>
        <v>1600.0000000000459</v>
      </c>
      <c r="O5" s="58">
        <v>16859</v>
      </c>
      <c r="P5" s="67">
        <f t="shared" si="7"/>
        <v>38</v>
      </c>
      <c r="Q5" s="58">
        <v>1921</v>
      </c>
      <c r="R5" s="67">
        <f t="shared" si="8"/>
        <v>6</v>
      </c>
      <c r="S5" s="58">
        <v>1206.3</v>
      </c>
      <c r="T5" s="67">
        <f t="shared" si="9"/>
        <v>1</v>
      </c>
      <c r="U5" s="58">
        <v>498834.9</v>
      </c>
      <c r="V5" s="67">
        <f t="shared" si="10"/>
        <v>428.30000000004657</v>
      </c>
      <c r="W5" s="58">
        <v>466.24</v>
      </c>
      <c r="X5" s="65">
        <f t="shared" si="11"/>
        <v>430.00000000000682</v>
      </c>
      <c r="Y5" s="58">
        <v>3.4525999999999999</v>
      </c>
      <c r="Z5" s="65">
        <f t="shared" si="12"/>
        <v>2699.9999999999245</v>
      </c>
      <c r="AA5" s="58">
        <v>469.28</v>
      </c>
      <c r="AB5" s="65">
        <f t="shared" si="13"/>
        <v>409.99999999996817</v>
      </c>
      <c r="AC5" s="58">
        <v>450.25</v>
      </c>
      <c r="AD5" s="65">
        <f t="shared" si="14"/>
        <v>540.00000000002046</v>
      </c>
      <c r="AE5" s="58">
        <v>652.51</v>
      </c>
      <c r="AF5" s="65">
        <f t="shared" si="15"/>
        <v>549.99999999995453</v>
      </c>
      <c r="AG5" s="58">
        <v>12627</v>
      </c>
      <c r="AH5" s="67">
        <f t="shared" si="16"/>
        <v>43</v>
      </c>
      <c r="AI5" s="58">
        <v>762.55</v>
      </c>
      <c r="AJ5" s="65">
        <f t="shared" si="17"/>
        <v>740.00000000000909</v>
      </c>
      <c r="AK5" s="58">
        <v>255.15</v>
      </c>
      <c r="AL5" s="65">
        <f t="shared" si="18"/>
        <v>189.99999999999773</v>
      </c>
      <c r="AM5" s="58">
        <v>239.03</v>
      </c>
      <c r="AN5" s="65">
        <f t="shared" si="19"/>
        <v>250</v>
      </c>
      <c r="AO5" s="58">
        <v>230.26</v>
      </c>
      <c r="AP5" s="65">
        <f t="shared" si="20"/>
        <v>239.99999999998067</v>
      </c>
      <c r="AQ5" s="58">
        <v>287.48</v>
      </c>
      <c r="AR5" s="65">
        <f t="shared" si="21"/>
        <v>280.00000000002956</v>
      </c>
      <c r="AS5" s="58">
        <v>413.95</v>
      </c>
      <c r="AT5" s="65">
        <f t="shared" si="22"/>
        <v>159.99999999996817</v>
      </c>
      <c r="AU5" s="58">
        <v>319.76</v>
      </c>
      <c r="AV5" s="65">
        <f t="shared" si="23"/>
        <v>189.99999999999773</v>
      </c>
      <c r="AW5" s="58">
        <v>351.93</v>
      </c>
      <c r="AX5" s="65">
        <f t="shared" si="24"/>
        <v>280.00000000002956</v>
      </c>
      <c r="AY5" s="58">
        <v>386.86</v>
      </c>
      <c r="AZ5" s="65">
        <f t="shared" si="25"/>
        <v>150.00000000003411</v>
      </c>
      <c r="BA5" s="58">
        <v>407.25</v>
      </c>
      <c r="BB5" s="65">
        <f t="shared" si="26"/>
        <v>230.00000000001819</v>
      </c>
      <c r="BC5" s="58">
        <v>260.93</v>
      </c>
      <c r="BD5" s="65">
        <f t="shared" si="27"/>
        <v>170.00000000001592</v>
      </c>
      <c r="BE5" s="59">
        <v>47665</v>
      </c>
      <c r="BF5" s="67">
        <f t="shared" si="28"/>
        <v>35</v>
      </c>
      <c r="BG5" s="60">
        <v>243.25</v>
      </c>
      <c r="BH5" s="65">
        <f t="shared" si="29"/>
        <v>39.999999999992042</v>
      </c>
      <c r="BI5" s="60">
        <v>299.31</v>
      </c>
      <c r="BJ5" s="65">
        <f t="shared" si="30"/>
        <v>30.000000000029559</v>
      </c>
      <c r="BK5" s="60">
        <v>245.95</v>
      </c>
      <c r="BL5" s="65">
        <f t="shared" si="31"/>
        <v>49.999999999982947</v>
      </c>
      <c r="BM5" s="60">
        <v>233.06</v>
      </c>
      <c r="BN5" s="65">
        <f t="shared" si="32"/>
        <v>50.000000000011369</v>
      </c>
      <c r="BO5" s="60">
        <v>298.8</v>
      </c>
      <c r="BP5" s="65">
        <f t="shared" si="33"/>
        <v>60.000000000002274</v>
      </c>
      <c r="BQ5" s="60">
        <v>52040</v>
      </c>
      <c r="BR5" s="65">
        <f t="shared" si="34"/>
        <v>38</v>
      </c>
      <c r="BS5" s="60">
        <v>209.8</v>
      </c>
      <c r="BT5" s="65">
        <f t="shared" si="35"/>
        <v>60.000000000002274</v>
      </c>
      <c r="BU5" s="60">
        <v>48902</v>
      </c>
      <c r="BV5" s="65">
        <f t="shared" si="36"/>
        <v>45</v>
      </c>
      <c r="BW5" s="60">
        <v>238.46</v>
      </c>
      <c r="BX5" s="65">
        <f t="shared" si="37"/>
        <v>40.000000000020464</v>
      </c>
      <c r="BY5" s="60">
        <v>68670</v>
      </c>
      <c r="BZ5" s="67">
        <f t="shared" si="38"/>
        <v>46</v>
      </c>
      <c r="CA5" s="60">
        <v>42663.9</v>
      </c>
      <c r="CB5" s="67">
        <f t="shared" si="39"/>
        <v>57.599999999998545</v>
      </c>
      <c r="CC5" s="60">
        <v>14206.2</v>
      </c>
      <c r="CD5" s="67">
        <f t="shared" si="40"/>
        <v>6.5</v>
      </c>
      <c r="CE5" s="60">
        <v>7548</v>
      </c>
      <c r="CF5" s="67">
        <f t="shared" si="41"/>
        <v>2.8000000000001819</v>
      </c>
      <c r="CG5" s="60">
        <v>69293.8</v>
      </c>
      <c r="CH5" s="67">
        <f t="shared" si="42"/>
        <v>35</v>
      </c>
      <c r="CI5" s="60">
        <v>1011579</v>
      </c>
      <c r="CJ5" s="67">
        <f t="shared" si="43"/>
        <v>282</v>
      </c>
      <c r="CK5" s="60">
        <v>904.7</v>
      </c>
      <c r="CL5" s="64">
        <f t="shared" si="44"/>
        <v>509.99999999999091</v>
      </c>
      <c r="CM5" s="65">
        <f t="shared" si="45"/>
        <v>91.200000000000728</v>
      </c>
      <c r="CN5" s="62">
        <v>28</v>
      </c>
      <c r="CO5" s="62">
        <v>52</v>
      </c>
      <c r="CP5" s="68">
        <v>21345.4</v>
      </c>
      <c r="CQ5" s="67">
        <f t="shared" si="46"/>
        <v>60.900000000001455</v>
      </c>
      <c r="CR5" s="68">
        <v>18955.5</v>
      </c>
      <c r="CS5" s="67">
        <f t="shared" si="47"/>
        <v>30.299999999999272</v>
      </c>
      <c r="CT5" s="75">
        <v>8758</v>
      </c>
      <c r="CU5" s="67">
        <f t="shared" si="48"/>
        <v>7</v>
      </c>
      <c r="CV5" s="68">
        <v>21591</v>
      </c>
      <c r="CW5" s="67">
        <f t="shared" si="49"/>
        <v>21</v>
      </c>
      <c r="CX5" s="58">
        <v>1724.1</v>
      </c>
      <c r="CY5" s="67">
        <f t="shared" si="50"/>
        <v>11.899999999999864</v>
      </c>
    </row>
    <row r="6" spans="1:103" ht="24.75" customHeight="1" thickBot="1" x14ac:dyDescent="0.45">
      <c r="A6" s="63">
        <v>44595</v>
      </c>
      <c r="B6" s="44"/>
      <c r="C6" s="58">
        <v>2.8515999999999999</v>
      </c>
      <c r="D6" s="64">
        <f t="shared" si="1"/>
        <v>3099.9999999998809</v>
      </c>
      <c r="E6" s="58">
        <v>3.9339</v>
      </c>
      <c r="F6" s="64">
        <f t="shared" si="2"/>
        <v>3299.9999999998586</v>
      </c>
      <c r="G6" s="58">
        <v>3.9194</v>
      </c>
      <c r="H6" s="64">
        <f t="shared" si="3"/>
        <v>2600.0000000001578</v>
      </c>
      <c r="I6" s="58">
        <v>1.956</v>
      </c>
      <c r="J6" s="64">
        <f t="shared" si="4"/>
        <v>1600.0000000000459</v>
      </c>
      <c r="K6" s="58">
        <v>3.0962000000000001</v>
      </c>
      <c r="L6" s="64">
        <f t="shared" si="5"/>
        <v>2000.0000000002237</v>
      </c>
      <c r="M6" s="58">
        <v>1.7211000000000001</v>
      </c>
      <c r="N6" s="64">
        <f t="shared" si="6"/>
        <v>1600.0000000000459</v>
      </c>
      <c r="O6" s="58">
        <v>16898</v>
      </c>
      <c r="P6" s="67">
        <f t="shared" si="7"/>
        <v>39</v>
      </c>
      <c r="Q6" s="58">
        <v>1926</v>
      </c>
      <c r="R6" s="67">
        <f t="shared" si="8"/>
        <v>5</v>
      </c>
      <c r="S6" s="58">
        <v>1207.4000000000001</v>
      </c>
      <c r="T6" s="67">
        <f t="shared" si="9"/>
        <v>1.1000000000001364</v>
      </c>
      <c r="U6" s="58">
        <v>499233.2</v>
      </c>
      <c r="V6" s="67">
        <f t="shared" si="10"/>
        <v>398.29999999998836</v>
      </c>
      <c r="W6" s="58">
        <v>466.71</v>
      </c>
      <c r="X6" s="65">
        <f t="shared" si="11"/>
        <v>469.99999999997044</v>
      </c>
      <c r="Y6" s="58">
        <v>3.4554999999999998</v>
      </c>
      <c r="Z6" s="65">
        <f t="shared" si="12"/>
        <v>2899.9999999999027</v>
      </c>
      <c r="AA6" s="58">
        <v>469.57</v>
      </c>
      <c r="AB6" s="65">
        <f t="shared" si="13"/>
        <v>290.00000000002046</v>
      </c>
      <c r="AC6" s="58">
        <v>450.82</v>
      </c>
      <c r="AD6" s="65">
        <f t="shared" si="14"/>
        <v>569.99999999999318</v>
      </c>
      <c r="AE6" s="58">
        <v>653.09</v>
      </c>
      <c r="AF6" s="65">
        <f t="shared" si="15"/>
        <v>580.00000000004093</v>
      </c>
      <c r="AG6" s="58">
        <v>12671</v>
      </c>
      <c r="AH6" s="67">
        <f t="shared" si="16"/>
        <v>44</v>
      </c>
      <c r="AI6" s="58">
        <v>763.2</v>
      </c>
      <c r="AJ6" s="65">
        <f t="shared" si="17"/>
        <v>650.00000000009095</v>
      </c>
      <c r="AK6" s="58">
        <v>255.33</v>
      </c>
      <c r="AL6" s="65">
        <f t="shared" si="18"/>
        <v>180.00000000000682</v>
      </c>
      <c r="AM6" s="58">
        <v>239.28</v>
      </c>
      <c r="AN6" s="65">
        <f t="shared" si="19"/>
        <v>250</v>
      </c>
      <c r="AO6" s="58">
        <v>230.49</v>
      </c>
      <c r="AP6" s="65">
        <f t="shared" si="20"/>
        <v>230.00000000001819</v>
      </c>
      <c r="AQ6" s="58">
        <v>287.8</v>
      </c>
      <c r="AR6" s="65">
        <f t="shared" si="21"/>
        <v>319.99999999999318</v>
      </c>
      <c r="AS6" s="58">
        <v>414.11</v>
      </c>
      <c r="AT6" s="65">
        <f t="shared" si="22"/>
        <v>160.00000000002501</v>
      </c>
      <c r="AU6" s="58">
        <v>319.94</v>
      </c>
      <c r="AV6" s="65">
        <f t="shared" si="23"/>
        <v>180.00000000000682</v>
      </c>
      <c r="AW6" s="58">
        <v>352.22</v>
      </c>
      <c r="AX6" s="65">
        <f t="shared" si="24"/>
        <v>290.00000000002046</v>
      </c>
      <c r="AY6" s="58">
        <v>387</v>
      </c>
      <c r="AZ6" s="65">
        <f t="shared" si="25"/>
        <v>139.99999999998636</v>
      </c>
      <c r="BA6" s="58">
        <v>407.48</v>
      </c>
      <c r="BB6" s="65">
        <f t="shared" si="26"/>
        <v>230.00000000001819</v>
      </c>
      <c r="BC6" s="58">
        <v>261.12</v>
      </c>
      <c r="BD6" s="65">
        <f t="shared" si="27"/>
        <v>189.99999999999773</v>
      </c>
      <c r="BE6" s="59">
        <v>47700</v>
      </c>
      <c r="BF6" s="67">
        <f t="shared" si="28"/>
        <v>35</v>
      </c>
      <c r="BG6" s="60">
        <v>243.3</v>
      </c>
      <c r="BH6" s="65">
        <f t="shared" si="29"/>
        <v>50.000000000011369</v>
      </c>
      <c r="BI6" s="60">
        <v>299.35000000000002</v>
      </c>
      <c r="BJ6" s="65">
        <f t="shared" si="30"/>
        <v>40.000000000020464</v>
      </c>
      <c r="BK6" s="60">
        <v>245.99</v>
      </c>
      <c r="BL6" s="65">
        <f t="shared" si="31"/>
        <v>40.000000000020464</v>
      </c>
      <c r="BM6" s="60">
        <v>233.1</v>
      </c>
      <c r="BN6" s="65">
        <f t="shared" si="32"/>
        <v>39.999999999992042</v>
      </c>
      <c r="BO6" s="60">
        <v>298.87</v>
      </c>
      <c r="BP6" s="65">
        <f t="shared" si="33"/>
        <v>69.999999999993179</v>
      </c>
      <c r="BQ6" s="60">
        <v>52076</v>
      </c>
      <c r="BR6" s="65">
        <f t="shared" si="34"/>
        <v>36</v>
      </c>
      <c r="BS6" s="60">
        <v>209.87</v>
      </c>
      <c r="BT6" s="65">
        <f t="shared" si="35"/>
        <v>69.999999999993179</v>
      </c>
      <c r="BU6" s="60">
        <v>48939</v>
      </c>
      <c r="BV6" s="65">
        <f t="shared" si="36"/>
        <v>37</v>
      </c>
      <c r="BW6" s="60">
        <v>238.51</v>
      </c>
      <c r="BX6" s="65">
        <f t="shared" si="37"/>
        <v>49.999999999982947</v>
      </c>
      <c r="BY6" s="60">
        <v>68712</v>
      </c>
      <c r="BZ6" s="67">
        <f t="shared" si="38"/>
        <v>42</v>
      </c>
      <c r="CA6" s="60">
        <v>42708.4</v>
      </c>
      <c r="CB6" s="67">
        <f t="shared" si="39"/>
        <v>44.5</v>
      </c>
      <c r="CC6" s="60">
        <v>14212.3</v>
      </c>
      <c r="CD6" s="67">
        <f t="shared" si="40"/>
        <v>6.0999999999985448</v>
      </c>
      <c r="CE6" s="60">
        <v>7553.9</v>
      </c>
      <c r="CF6" s="67">
        <f t="shared" si="41"/>
        <v>5.8999999999996362</v>
      </c>
      <c r="CG6" s="60">
        <v>69331.8</v>
      </c>
      <c r="CH6" s="67">
        <f t="shared" si="42"/>
        <v>38</v>
      </c>
      <c r="CI6" s="60">
        <v>1011871</v>
      </c>
      <c r="CJ6" s="67">
        <f t="shared" si="43"/>
        <v>292</v>
      </c>
      <c r="CK6" s="60">
        <v>905.2</v>
      </c>
      <c r="CL6" s="64">
        <f t="shared" si="44"/>
        <v>500</v>
      </c>
      <c r="CM6" s="65">
        <f t="shared" si="45"/>
        <v>104.59999999999854</v>
      </c>
      <c r="CN6" s="62">
        <v>22</v>
      </c>
      <c r="CO6" s="62">
        <v>37</v>
      </c>
      <c r="CP6" s="68">
        <v>21400</v>
      </c>
      <c r="CQ6" s="67">
        <f t="shared" si="46"/>
        <v>54.599999999998545</v>
      </c>
      <c r="CR6" s="68">
        <v>19005.5</v>
      </c>
      <c r="CS6" s="67">
        <f t="shared" si="47"/>
        <v>50</v>
      </c>
      <c r="CT6" s="75">
        <v>8767</v>
      </c>
      <c r="CU6" s="67">
        <f t="shared" si="48"/>
        <v>9</v>
      </c>
      <c r="CV6" s="68">
        <v>21614</v>
      </c>
      <c r="CW6" s="67">
        <f t="shared" si="49"/>
        <v>23</v>
      </c>
      <c r="CX6" s="58">
        <v>1735.7</v>
      </c>
      <c r="CY6" s="67">
        <f t="shared" si="50"/>
        <v>11.600000000000136</v>
      </c>
    </row>
    <row r="7" spans="1:103" ht="25.5" customHeight="1" thickBot="1" x14ac:dyDescent="0.45">
      <c r="A7" s="63">
        <v>44596</v>
      </c>
      <c r="B7" s="44"/>
      <c r="C7" s="58">
        <v>2.855</v>
      </c>
      <c r="D7" s="64">
        <f t="shared" si="1"/>
        <v>3400.0000000000696</v>
      </c>
      <c r="E7" s="58">
        <v>3.9371999999999998</v>
      </c>
      <c r="F7" s="64">
        <f t="shared" si="2"/>
        <v>3299.9999999998586</v>
      </c>
      <c r="G7" s="58">
        <v>3.9224000000000001</v>
      </c>
      <c r="H7" s="64">
        <f t="shared" si="3"/>
        <v>3000.0000000001137</v>
      </c>
      <c r="I7" s="58">
        <v>1.9577</v>
      </c>
      <c r="J7" s="64">
        <f t="shared" si="4"/>
        <v>1700.0000000000348</v>
      </c>
      <c r="K7" s="58">
        <v>3.0985</v>
      </c>
      <c r="L7" s="64">
        <f t="shared" si="5"/>
        <v>2299.9999999999686</v>
      </c>
      <c r="M7" s="58">
        <v>1.7229000000000001</v>
      </c>
      <c r="N7" s="64">
        <f t="shared" si="6"/>
        <v>1800.0000000000239</v>
      </c>
      <c r="O7" s="58">
        <v>16936</v>
      </c>
      <c r="P7" s="67">
        <f t="shared" si="7"/>
        <v>38</v>
      </c>
      <c r="Q7" s="58">
        <v>1933</v>
      </c>
      <c r="R7" s="67">
        <f t="shared" si="8"/>
        <v>7</v>
      </c>
      <c r="S7" s="58">
        <v>1208.5999999999999</v>
      </c>
      <c r="T7" s="67">
        <f t="shared" si="9"/>
        <v>1.1999999999998181</v>
      </c>
      <c r="U7" s="58">
        <v>499688.3</v>
      </c>
      <c r="V7" s="67">
        <f t="shared" si="10"/>
        <v>455.09999999997672</v>
      </c>
      <c r="W7" s="58">
        <v>467.15</v>
      </c>
      <c r="X7" s="65">
        <f t="shared" si="11"/>
        <v>439.99999999999773</v>
      </c>
      <c r="Y7" s="58">
        <v>3.4582999999999999</v>
      </c>
      <c r="Z7" s="65">
        <f t="shared" si="12"/>
        <v>2800.0000000001355</v>
      </c>
      <c r="AA7" s="58">
        <v>470</v>
      </c>
      <c r="AB7" s="65">
        <f t="shared" si="13"/>
        <v>430.00000000000682</v>
      </c>
      <c r="AC7" s="58">
        <v>451.54</v>
      </c>
      <c r="AD7" s="65">
        <f t="shared" si="14"/>
        <v>720.00000000002728</v>
      </c>
      <c r="AE7" s="58">
        <v>653.64</v>
      </c>
      <c r="AF7" s="65">
        <f t="shared" si="15"/>
        <v>549.99999999995453</v>
      </c>
      <c r="AG7" s="58">
        <v>12722</v>
      </c>
      <c r="AH7" s="67">
        <f t="shared" si="16"/>
        <v>51</v>
      </c>
      <c r="AI7" s="58">
        <v>764</v>
      </c>
      <c r="AJ7" s="65">
        <f t="shared" si="17"/>
        <v>799.99999999995453</v>
      </c>
      <c r="AK7" s="58">
        <v>255.52</v>
      </c>
      <c r="AL7" s="65">
        <f t="shared" si="18"/>
        <v>189.99999999999773</v>
      </c>
      <c r="AM7" s="58">
        <v>239.52</v>
      </c>
      <c r="AN7" s="65">
        <f t="shared" si="19"/>
        <v>240.00000000000909</v>
      </c>
      <c r="AO7" s="58">
        <v>230.71</v>
      </c>
      <c r="AP7" s="65">
        <f t="shared" si="20"/>
        <v>219.99999999999886</v>
      </c>
      <c r="AQ7" s="58">
        <v>288.18</v>
      </c>
      <c r="AR7" s="65">
        <f t="shared" si="21"/>
        <v>379.99999999999545</v>
      </c>
      <c r="AS7" s="58">
        <v>414.32</v>
      </c>
      <c r="AT7" s="65">
        <f t="shared" si="22"/>
        <v>209.99999999997954</v>
      </c>
      <c r="AU7" s="58">
        <v>320.12</v>
      </c>
      <c r="AV7" s="65">
        <f t="shared" si="23"/>
        <v>180.00000000000682</v>
      </c>
      <c r="AW7" s="58">
        <v>352.52</v>
      </c>
      <c r="AX7" s="65">
        <f t="shared" si="24"/>
        <v>299.99999999995453</v>
      </c>
      <c r="AY7" s="58">
        <v>387.12</v>
      </c>
      <c r="AZ7" s="65">
        <f t="shared" si="25"/>
        <v>120.00000000000455</v>
      </c>
      <c r="BA7" s="58">
        <v>407.72</v>
      </c>
      <c r="BB7" s="65">
        <f t="shared" si="26"/>
        <v>240.00000000000909</v>
      </c>
      <c r="BC7" s="58">
        <v>261.32</v>
      </c>
      <c r="BD7" s="65">
        <f t="shared" si="27"/>
        <v>199.99999999998863</v>
      </c>
      <c r="BE7" s="59">
        <v>47749</v>
      </c>
      <c r="BF7" s="67">
        <f t="shared" si="28"/>
        <v>49</v>
      </c>
      <c r="BG7" s="60">
        <v>243.35</v>
      </c>
      <c r="BH7" s="65">
        <f t="shared" si="29"/>
        <v>49.999999999982947</v>
      </c>
      <c r="BI7" s="60">
        <v>299.39</v>
      </c>
      <c r="BJ7" s="65">
        <f t="shared" si="30"/>
        <v>39.99999999996362</v>
      </c>
      <c r="BK7" s="60">
        <v>246.05</v>
      </c>
      <c r="BL7" s="65">
        <f t="shared" si="31"/>
        <v>60.000000000002274</v>
      </c>
      <c r="BM7" s="60">
        <v>233.15</v>
      </c>
      <c r="BN7" s="65">
        <f t="shared" si="32"/>
        <v>50.000000000011369</v>
      </c>
      <c r="BO7" s="60">
        <v>298.94</v>
      </c>
      <c r="BP7" s="65">
        <f t="shared" si="33"/>
        <v>69.999999999993179</v>
      </c>
      <c r="BQ7" s="60">
        <v>52113</v>
      </c>
      <c r="BR7" s="65">
        <f t="shared" si="34"/>
        <v>37</v>
      </c>
      <c r="BS7" s="60">
        <v>209.94</v>
      </c>
      <c r="BT7" s="65">
        <f t="shared" si="35"/>
        <v>69.999999999993179</v>
      </c>
      <c r="BU7" s="60">
        <v>48975</v>
      </c>
      <c r="BV7" s="65">
        <f t="shared" si="36"/>
        <v>36</v>
      </c>
      <c r="BW7" s="60">
        <v>238.55</v>
      </c>
      <c r="BX7" s="65">
        <f t="shared" si="37"/>
        <v>40.000000000020464</v>
      </c>
      <c r="BY7" s="60">
        <v>68759</v>
      </c>
      <c r="BZ7" s="67">
        <f t="shared" si="38"/>
        <v>47</v>
      </c>
      <c r="CA7" s="60">
        <v>42759.1</v>
      </c>
      <c r="CB7" s="67">
        <f t="shared" si="39"/>
        <v>50.69999999999709</v>
      </c>
      <c r="CC7" s="60">
        <v>14218.1</v>
      </c>
      <c r="CD7" s="67">
        <f t="shared" si="40"/>
        <v>5.8000000000010914</v>
      </c>
      <c r="CE7" s="60">
        <v>7554</v>
      </c>
      <c r="CF7" s="67">
        <f t="shared" si="41"/>
        <v>0.1000000000003638</v>
      </c>
      <c r="CG7" s="60">
        <v>69366.100000000006</v>
      </c>
      <c r="CH7" s="67">
        <f t="shared" si="42"/>
        <v>34.30000000000291</v>
      </c>
      <c r="CI7" s="60">
        <v>1012163</v>
      </c>
      <c r="CJ7" s="67">
        <f t="shared" si="43"/>
        <v>292</v>
      </c>
      <c r="CK7" s="60">
        <v>905.81</v>
      </c>
      <c r="CL7" s="64">
        <f t="shared" si="44"/>
        <v>609.99999999989996</v>
      </c>
      <c r="CM7" s="65">
        <f t="shared" si="45"/>
        <v>89.099999999998545</v>
      </c>
      <c r="CN7" s="62">
        <v>22</v>
      </c>
      <c r="CO7" s="62">
        <v>37</v>
      </c>
      <c r="CP7" s="68">
        <v>21468</v>
      </c>
      <c r="CQ7" s="67">
        <f t="shared" si="46"/>
        <v>68</v>
      </c>
      <c r="CR7" s="68">
        <v>19026.599999999999</v>
      </c>
      <c r="CS7" s="67">
        <f t="shared" si="47"/>
        <v>21.099999999998545</v>
      </c>
      <c r="CT7" s="75">
        <v>8774</v>
      </c>
      <c r="CU7" s="67">
        <f t="shared" si="48"/>
        <v>7</v>
      </c>
      <c r="CV7" s="68">
        <v>21635</v>
      </c>
      <c r="CW7" s="67">
        <f t="shared" si="49"/>
        <v>21</v>
      </c>
      <c r="CX7" s="58">
        <v>1748.1</v>
      </c>
      <c r="CY7" s="67">
        <f t="shared" si="50"/>
        <v>12.399999999999864</v>
      </c>
    </row>
    <row r="8" spans="1:103" ht="25.5" customHeight="1" thickBot="1" x14ac:dyDescent="0.45">
      <c r="A8" s="63">
        <v>44597</v>
      </c>
      <c r="B8" s="44"/>
      <c r="C8" s="58">
        <v>2.8582999999999998</v>
      </c>
      <c r="D8" s="64">
        <f t="shared" si="1"/>
        <v>3299.9999999998586</v>
      </c>
      <c r="E8" s="58">
        <v>3.9405000000000001</v>
      </c>
      <c r="F8" s="64">
        <f t="shared" si="2"/>
        <v>3300.0000000003029</v>
      </c>
      <c r="G8" s="58">
        <v>3.9251</v>
      </c>
      <c r="H8" s="64">
        <f t="shared" si="3"/>
        <v>2699.9999999999245</v>
      </c>
      <c r="I8" s="58">
        <v>1.9594</v>
      </c>
      <c r="J8" s="64">
        <f t="shared" si="4"/>
        <v>1700.0000000000348</v>
      </c>
      <c r="K8" s="58">
        <v>3.1008</v>
      </c>
      <c r="L8" s="64">
        <f t="shared" si="5"/>
        <v>2299.9999999999686</v>
      </c>
      <c r="M8" s="58">
        <v>1.7244999999999999</v>
      </c>
      <c r="N8" s="64">
        <f t="shared" si="6"/>
        <v>1599.9999999998238</v>
      </c>
      <c r="O8" s="58">
        <v>16999</v>
      </c>
      <c r="P8" s="67">
        <f t="shared" si="7"/>
        <v>63</v>
      </c>
      <c r="Q8" s="58">
        <v>1939</v>
      </c>
      <c r="R8" s="67">
        <f t="shared" si="8"/>
        <v>6</v>
      </c>
      <c r="S8" s="58">
        <v>1209.5999999999999</v>
      </c>
      <c r="T8" s="67">
        <f t="shared" si="9"/>
        <v>1</v>
      </c>
      <c r="U8" s="58">
        <v>500113.3</v>
      </c>
      <c r="V8" s="67">
        <f t="shared" si="10"/>
        <v>425</v>
      </c>
      <c r="W8" s="58">
        <v>467.65</v>
      </c>
      <c r="X8" s="65">
        <f t="shared" si="11"/>
        <v>500</v>
      </c>
      <c r="Y8" s="58">
        <v>3.4613</v>
      </c>
      <c r="Z8" s="65">
        <f t="shared" si="12"/>
        <v>3000.0000000001137</v>
      </c>
      <c r="AA8" s="58">
        <v>470.36</v>
      </c>
      <c r="AB8" s="65">
        <f t="shared" si="13"/>
        <v>360.00000000001364</v>
      </c>
      <c r="AC8" s="58">
        <v>452.25</v>
      </c>
      <c r="AD8" s="65">
        <f t="shared" si="14"/>
        <v>709.99999999997954</v>
      </c>
      <c r="AE8" s="58">
        <v>654.19000000000005</v>
      </c>
      <c r="AF8" s="65">
        <f t="shared" si="15"/>
        <v>550.00000000006821</v>
      </c>
      <c r="AG8" s="58">
        <v>12775</v>
      </c>
      <c r="AH8" s="67">
        <f t="shared" si="16"/>
        <v>53</v>
      </c>
      <c r="AI8" s="58">
        <v>764.95</v>
      </c>
      <c r="AJ8" s="65">
        <f t="shared" si="17"/>
        <v>950.00000000004547</v>
      </c>
      <c r="AK8" s="58">
        <v>255.67</v>
      </c>
      <c r="AL8" s="65">
        <f t="shared" si="18"/>
        <v>149.99999999997726</v>
      </c>
      <c r="AM8" s="58">
        <v>239.67</v>
      </c>
      <c r="AN8" s="65">
        <f t="shared" si="19"/>
        <v>149.99999999997726</v>
      </c>
      <c r="AO8" s="58">
        <v>230.95</v>
      </c>
      <c r="AP8" s="65">
        <f t="shared" si="20"/>
        <v>239.99999999998067</v>
      </c>
      <c r="AQ8" s="58">
        <v>288.52999999999997</v>
      </c>
      <c r="AR8" s="65">
        <f t="shared" si="21"/>
        <v>349.99999999996589</v>
      </c>
      <c r="AS8" s="58">
        <v>414.66</v>
      </c>
      <c r="AT8" s="65">
        <f t="shared" si="22"/>
        <v>340.00000000003183</v>
      </c>
      <c r="AU8" s="58">
        <v>320.3</v>
      </c>
      <c r="AV8" s="65">
        <f t="shared" si="23"/>
        <v>180.00000000000682</v>
      </c>
      <c r="AW8" s="58">
        <v>352.86</v>
      </c>
      <c r="AX8" s="65">
        <f t="shared" si="24"/>
        <v>340.00000000003183</v>
      </c>
      <c r="AY8" s="58">
        <v>387.26</v>
      </c>
      <c r="AZ8" s="65">
        <f t="shared" si="25"/>
        <v>139.99999999998636</v>
      </c>
      <c r="BA8" s="58">
        <v>407.96</v>
      </c>
      <c r="BB8" s="65">
        <f t="shared" si="26"/>
        <v>239.99999999995225</v>
      </c>
      <c r="BC8" s="58">
        <v>261.52999999999997</v>
      </c>
      <c r="BD8" s="65">
        <f t="shared" si="27"/>
        <v>209.99999999997954</v>
      </c>
      <c r="BE8" s="59">
        <v>47799</v>
      </c>
      <c r="BF8" s="67">
        <f t="shared" si="28"/>
        <v>50</v>
      </c>
      <c r="BG8" s="60">
        <v>243.4</v>
      </c>
      <c r="BH8" s="65">
        <f t="shared" si="29"/>
        <v>50.000000000011369</v>
      </c>
      <c r="BI8" s="60">
        <v>299.42</v>
      </c>
      <c r="BJ8" s="65">
        <f t="shared" si="30"/>
        <v>30.000000000029559</v>
      </c>
      <c r="BK8" s="60">
        <v>246.1</v>
      </c>
      <c r="BL8" s="65">
        <f t="shared" si="31"/>
        <v>49.999999999982947</v>
      </c>
      <c r="BM8" s="60">
        <v>233.2</v>
      </c>
      <c r="BN8" s="65">
        <f t="shared" si="32"/>
        <v>49.999999999982947</v>
      </c>
      <c r="BO8" s="60">
        <v>298.99</v>
      </c>
      <c r="BP8" s="65">
        <f t="shared" si="33"/>
        <v>50.000000000011369</v>
      </c>
      <c r="BQ8" s="60">
        <v>52152</v>
      </c>
      <c r="BR8" s="65">
        <f t="shared" si="34"/>
        <v>39</v>
      </c>
      <c r="BS8" s="60">
        <v>210.01</v>
      </c>
      <c r="BT8" s="65">
        <f t="shared" si="35"/>
        <v>69.999999999993179</v>
      </c>
      <c r="BU8" s="60">
        <v>49017</v>
      </c>
      <c r="BV8" s="65">
        <f t="shared" si="36"/>
        <v>42</v>
      </c>
      <c r="BW8" s="60">
        <v>238.58</v>
      </c>
      <c r="BX8" s="65">
        <f t="shared" si="37"/>
        <v>30.000000000001137</v>
      </c>
      <c r="BY8" s="60">
        <v>68805</v>
      </c>
      <c r="BZ8" s="67">
        <f t="shared" si="38"/>
        <v>46</v>
      </c>
      <c r="CA8" s="60">
        <v>42793.8</v>
      </c>
      <c r="CB8" s="67">
        <f t="shared" si="39"/>
        <v>34.700000000004366</v>
      </c>
      <c r="CC8" s="60">
        <v>14225.5</v>
      </c>
      <c r="CD8" s="67">
        <f t="shared" si="40"/>
        <v>7.3999999999996362</v>
      </c>
      <c r="CE8" s="60">
        <v>7559.6</v>
      </c>
      <c r="CF8" s="67">
        <f t="shared" si="41"/>
        <v>5.6000000000003638</v>
      </c>
      <c r="CG8" s="60">
        <v>69405.899999999994</v>
      </c>
      <c r="CH8" s="67">
        <f t="shared" si="42"/>
        <v>39.799999999988358</v>
      </c>
      <c r="CI8" s="60">
        <v>1012457</v>
      </c>
      <c r="CJ8" s="67">
        <f t="shared" si="43"/>
        <v>294</v>
      </c>
      <c r="CK8" s="60">
        <v>906.35</v>
      </c>
      <c r="CL8" s="64">
        <f t="shared" si="44"/>
        <v>540.00000000007731</v>
      </c>
      <c r="CM8" s="65">
        <f t="shared" si="45"/>
        <v>88.5</v>
      </c>
      <c r="CN8" s="62">
        <v>22</v>
      </c>
      <c r="CO8" s="62">
        <v>37</v>
      </c>
      <c r="CP8" s="68">
        <v>21530.1</v>
      </c>
      <c r="CQ8" s="67">
        <f t="shared" si="46"/>
        <v>62.099999999998545</v>
      </c>
      <c r="CR8" s="68">
        <v>19053</v>
      </c>
      <c r="CS8" s="67">
        <f t="shared" si="47"/>
        <v>26.400000000001455</v>
      </c>
      <c r="CT8" s="75">
        <v>8782</v>
      </c>
      <c r="CU8" s="67">
        <f t="shared" si="48"/>
        <v>8</v>
      </c>
      <c r="CV8" s="68">
        <v>21668</v>
      </c>
      <c r="CW8" s="67">
        <f t="shared" si="49"/>
        <v>33</v>
      </c>
      <c r="CX8" s="58">
        <v>1760.3</v>
      </c>
      <c r="CY8" s="67">
        <f t="shared" si="50"/>
        <v>12.200000000000045</v>
      </c>
    </row>
    <row r="9" spans="1:103" ht="25.5" customHeight="1" thickBot="1" x14ac:dyDescent="0.45">
      <c r="A9" s="63">
        <v>44598</v>
      </c>
      <c r="B9" s="44"/>
      <c r="C9" s="58"/>
      <c r="D9" s="64" t="str">
        <f t="shared" si="1"/>
        <v>0</v>
      </c>
      <c r="E9" s="58"/>
      <c r="F9" s="64" t="str">
        <f t="shared" si="2"/>
        <v>0</v>
      </c>
      <c r="G9" s="58"/>
      <c r="H9" s="64" t="str">
        <f t="shared" si="3"/>
        <v>0</v>
      </c>
      <c r="I9" s="58"/>
      <c r="J9" s="64" t="str">
        <f t="shared" si="4"/>
        <v>0</v>
      </c>
      <c r="K9" s="58"/>
      <c r="L9" s="64" t="str">
        <f t="shared" si="5"/>
        <v>0</v>
      </c>
      <c r="M9" s="58"/>
      <c r="N9" s="64" t="str">
        <f t="shared" si="6"/>
        <v/>
      </c>
      <c r="O9" s="58"/>
      <c r="P9" s="67" t="str">
        <f t="shared" si="7"/>
        <v/>
      </c>
      <c r="Q9" s="58"/>
      <c r="R9" s="67" t="str">
        <f t="shared" si="8"/>
        <v/>
      </c>
      <c r="S9" s="58"/>
      <c r="T9" s="67" t="str">
        <f t="shared" si="9"/>
        <v/>
      </c>
      <c r="U9" s="58"/>
      <c r="V9" s="67" t="str">
        <f t="shared" si="10"/>
        <v/>
      </c>
      <c r="W9" s="58"/>
      <c r="X9" s="65" t="str">
        <f t="shared" si="11"/>
        <v/>
      </c>
      <c r="Y9" s="58"/>
      <c r="Z9" s="65" t="str">
        <f t="shared" si="12"/>
        <v/>
      </c>
      <c r="AA9" s="58"/>
      <c r="AB9" s="65" t="str">
        <f t="shared" si="13"/>
        <v/>
      </c>
      <c r="AC9" s="58"/>
      <c r="AD9" s="65" t="str">
        <f t="shared" si="14"/>
        <v/>
      </c>
      <c r="AE9" s="58"/>
      <c r="AF9" s="65" t="str">
        <f t="shared" si="15"/>
        <v/>
      </c>
      <c r="AG9" s="58"/>
      <c r="AH9" s="67" t="str">
        <f t="shared" si="16"/>
        <v/>
      </c>
      <c r="AI9" s="58"/>
      <c r="AJ9" s="65" t="str">
        <f t="shared" si="17"/>
        <v/>
      </c>
      <c r="AK9" s="58"/>
      <c r="AL9" s="65" t="str">
        <f t="shared" si="18"/>
        <v/>
      </c>
      <c r="AM9" s="58"/>
      <c r="AN9" s="65" t="str">
        <f t="shared" si="19"/>
        <v/>
      </c>
      <c r="AO9" s="58"/>
      <c r="AP9" s="65" t="str">
        <f t="shared" si="20"/>
        <v/>
      </c>
      <c r="AQ9" s="58"/>
      <c r="AR9" s="65" t="str">
        <f t="shared" si="21"/>
        <v/>
      </c>
      <c r="AS9" s="58"/>
      <c r="AT9" s="65" t="str">
        <f t="shared" si="22"/>
        <v/>
      </c>
      <c r="AU9" s="58"/>
      <c r="AV9" s="65" t="str">
        <f t="shared" si="23"/>
        <v/>
      </c>
      <c r="AW9" s="58"/>
      <c r="AX9" s="65" t="str">
        <f t="shared" si="24"/>
        <v/>
      </c>
      <c r="AY9" s="58"/>
      <c r="AZ9" s="65" t="str">
        <f t="shared" si="25"/>
        <v/>
      </c>
      <c r="BA9" s="58"/>
      <c r="BB9" s="65" t="str">
        <f t="shared" si="26"/>
        <v/>
      </c>
      <c r="BC9" s="58"/>
      <c r="BD9" s="65" t="str">
        <f t="shared" si="27"/>
        <v/>
      </c>
      <c r="BE9" s="59"/>
      <c r="BF9" s="67" t="str">
        <f t="shared" si="28"/>
        <v/>
      </c>
      <c r="BG9" s="60"/>
      <c r="BH9" s="65" t="str">
        <f t="shared" si="29"/>
        <v/>
      </c>
      <c r="BI9" s="60"/>
      <c r="BJ9" s="65" t="str">
        <f t="shared" si="30"/>
        <v/>
      </c>
      <c r="BK9" s="60"/>
      <c r="BL9" s="65" t="str">
        <f t="shared" si="31"/>
        <v/>
      </c>
      <c r="BM9" s="60"/>
      <c r="BN9" s="65" t="str">
        <f t="shared" si="32"/>
        <v/>
      </c>
      <c r="BO9" s="60"/>
      <c r="BP9" s="65" t="str">
        <f t="shared" si="33"/>
        <v/>
      </c>
      <c r="BQ9" s="60"/>
      <c r="BR9" s="65" t="str">
        <f t="shared" si="34"/>
        <v/>
      </c>
      <c r="BS9" s="60"/>
      <c r="BT9" s="65" t="str">
        <f t="shared" si="35"/>
        <v/>
      </c>
      <c r="BU9" s="60"/>
      <c r="BV9" s="65" t="str">
        <f t="shared" si="36"/>
        <v/>
      </c>
      <c r="BW9" s="60"/>
      <c r="BX9" s="65" t="str">
        <f t="shared" si="37"/>
        <v/>
      </c>
      <c r="BY9" s="60"/>
      <c r="BZ9" s="67" t="str">
        <f t="shared" si="38"/>
        <v/>
      </c>
      <c r="CA9" s="60"/>
      <c r="CB9" s="67" t="str">
        <f t="shared" si="39"/>
        <v/>
      </c>
      <c r="CC9" s="60"/>
      <c r="CD9" s="67" t="str">
        <f t="shared" si="40"/>
        <v/>
      </c>
      <c r="CE9" s="60"/>
      <c r="CF9" s="67" t="str">
        <f t="shared" si="41"/>
        <v/>
      </c>
      <c r="CG9" s="60"/>
      <c r="CH9" s="67" t="str">
        <f t="shared" si="42"/>
        <v/>
      </c>
      <c r="CI9" s="60"/>
      <c r="CJ9" s="67" t="str">
        <f t="shared" si="43"/>
        <v/>
      </c>
      <c r="CK9" s="60"/>
      <c r="CL9" s="64" t="str">
        <f t="shared" si="44"/>
        <v/>
      </c>
      <c r="CM9" s="65" t="e">
        <f t="shared" si="45"/>
        <v>#VALUE!</v>
      </c>
      <c r="CN9" s="62"/>
      <c r="CO9" s="62"/>
      <c r="CP9" s="68"/>
      <c r="CQ9" s="67" t="str">
        <f t="shared" si="46"/>
        <v/>
      </c>
      <c r="CR9" s="68"/>
      <c r="CS9" s="67" t="str">
        <f t="shared" si="47"/>
        <v/>
      </c>
      <c r="CT9" s="75"/>
      <c r="CU9" s="67" t="str">
        <f t="shared" si="48"/>
        <v/>
      </c>
      <c r="CV9" s="68"/>
      <c r="CW9" s="67" t="str">
        <f t="shared" si="49"/>
        <v/>
      </c>
      <c r="CX9" s="58"/>
      <c r="CY9" s="67" t="str">
        <f t="shared" si="50"/>
        <v/>
      </c>
    </row>
    <row r="10" spans="1:103" ht="25.5" customHeight="1" thickBot="1" x14ac:dyDescent="0.45">
      <c r="A10" s="63">
        <v>44599</v>
      </c>
      <c r="B10" s="44"/>
      <c r="C10" s="58"/>
      <c r="D10" s="64">
        <f t="shared" si="1"/>
        <v>0</v>
      </c>
      <c r="E10" s="58"/>
      <c r="F10" s="64">
        <f t="shared" si="2"/>
        <v>0</v>
      </c>
      <c r="G10" s="58"/>
      <c r="H10" s="64">
        <f t="shared" si="3"/>
        <v>0</v>
      </c>
      <c r="I10" s="58"/>
      <c r="J10" s="64">
        <f t="shared" si="4"/>
        <v>0</v>
      </c>
      <c r="K10" s="58"/>
      <c r="L10" s="64">
        <f t="shared" si="5"/>
        <v>0</v>
      </c>
      <c r="M10" s="58"/>
      <c r="N10" s="64">
        <f t="shared" si="6"/>
        <v>0</v>
      </c>
      <c r="O10" s="58"/>
      <c r="P10" s="67">
        <f t="shared" si="7"/>
        <v>0</v>
      </c>
      <c r="Q10" s="58"/>
      <c r="R10" s="67">
        <f t="shared" si="8"/>
        <v>0</v>
      </c>
      <c r="S10" s="58"/>
      <c r="T10" s="67">
        <f t="shared" si="9"/>
        <v>0</v>
      </c>
      <c r="U10" s="58"/>
      <c r="V10" s="67">
        <f t="shared" si="10"/>
        <v>0</v>
      </c>
      <c r="W10" s="58"/>
      <c r="X10" s="65">
        <f t="shared" si="11"/>
        <v>0</v>
      </c>
      <c r="Y10" s="58"/>
      <c r="Z10" s="65">
        <f t="shared" si="12"/>
        <v>0</v>
      </c>
      <c r="AA10" s="58"/>
      <c r="AB10" s="65">
        <f t="shared" si="13"/>
        <v>0</v>
      </c>
      <c r="AC10" s="58"/>
      <c r="AD10" s="65">
        <f t="shared" si="14"/>
        <v>0</v>
      </c>
      <c r="AE10" s="58"/>
      <c r="AF10" s="65">
        <f t="shared" si="15"/>
        <v>0</v>
      </c>
      <c r="AG10" s="58"/>
      <c r="AH10" s="67">
        <f t="shared" si="16"/>
        <v>0</v>
      </c>
      <c r="AI10" s="58"/>
      <c r="AJ10" s="65">
        <f t="shared" si="17"/>
        <v>0</v>
      </c>
      <c r="AK10" s="58"/>
      <c r="AL10" s="65">
        <f t="shared" si="18"/>
        <v>0</v>
      </c>
      <c r="AM10" s="58"/>
      <c r="AN10" s="65">
        <f t="shared" si="19"/>
        <v>0</v>
      </c>
      <c r="AO10" s="58"/>
      <c r="AP10" s="65">
        <f t="shared" si="20"/>
        <v>0</v>
      </c>
      <c r="AQ10" s="58"/>
      <c r="AR10" s="65">
        <f t="shared" si="21"/>
        <v>0</v>
      </c>
      <c r="AS10" s="58"/>
      <c r="AT10" s="65">
        <f t="shared" si="22"/>
        <v>0</v>
      </c>
      <c r="AU10" s="58"/>
      <c r="AV10" s="65">
        <f t="shared" si="23"/>
        <v>0</v>
      </c>
      <c r="AW10" s="58"/>
      <c r="AX10" s="65">
        <f t="shared" si="24"/>
        <v>0</v>
      </c>
      <c r="AY10" s="58"/>
      <c r="AZ10" s="65">
        <f t="shared" si="25"/>
        <v>0</v>
      </c>
      <c r="BA10" s="58"/>
      <c r="BB10" s="65">
        <f t="shared" si="26"/>
        <v>0</v>
      </c>
      <c r="BC10" s="58"/>
      <c r="BD10" s="65">
        <f t="shared" si="27"/>
        <v>0</v>
      </c>
      <c r="BE10" s="59"/>
      <c r="BF10" s="67">
        <f t="shared" si="28"/>
        <v>0</v>
      </c>
      <c r="BG10" s="60"/>
      <c r="BH10" s="65">
        <f t="shared" si="29"/>
        <v>0</v>
      </c>
      <c r="BI10" s="60"/>
      <c r="BJ10" s="65">
        <f t="shared" si="30"/>
        <v>0</v>
      </c>
      <c r="BK10" s="60"/>
      <c r="BL10" s="65">
        <f t="shared" si="31"/>
        <v>0</v>
      </c>
      <c r="BM10" s="60"/>
      <c r="BN10" s="65">
        <f t="shared" si="32"/>
        <v>0</v>
      </c>
      <c r="BO10" s="60"/>
      <c r="BP10" s="65">
        <f t="shared" si="33"/>
        <v>0</v>
      </c>
      <c r="BQ10" s="60"/>
      <c r="BR10" s="65">
        <f t="shared" si="34"/>
        <v>0</v>
      </c>
      <c r="BS10" s="60"/>
      <c r="BT10" s="65">
        <f t="shared" si="35"/>
        <v>0</v>
      </c>
      <c r="BU10" s="60"/>
      <c r="BV10" s="65">
        <f t="shared" si="36"/>
        <v>0</v>
      </c>
      <c r="BW10" s="60"/>
      <c r="BX10" s="65">
        <f t="shared" si="37"/>
        <v>0</v>
      </c>
      <c r="BY10" s="60"/>
      <c r="BZ10" s="67">
        <f t="shared" si="38"/>
        <v>0</v>
      </c>
      <c r="CA10" s="60"/>
      <c r="CB10" s="67">
        <f t="shared" si="39"/>
        <v>0</v>
      </c>
      <c r="CC10" s="60"/>
      <c r="CD10" s="67">
        <f t="shared" si="40"/>
        <v>0</v>
      </c>
      <c r="CE10" s="60"/>
      <c r="CF10" s="67">
        <f t="shared" si="41"/>
        <v>0</v>
      </c>
      <c r="CG10" s="60"/>
      <c r="CH10" s="67">
        <f t="shared" si="42"/>
        <v>0</v>
      </c>
      <c r="CI10" s="60"/>
      <c r="CJ10" s="67">
        <f t="shared" si="43"/>
        <v>0</v>
      </c>
      <c r="CK10" s="60"/>
      <c r="CL10" s="64">
        <f t="shared" si="44"/>
        <v>0</v>
      </c>
      <c r="CM10" s="65">
        <f t="shared" si="45"/>
        <v>0</v>
      </c>
      <c r="CN10" s="62"/>
      <c r="CO10" s="62"/>
      <c r="CP10" s="68"/>
      <c r="CQ10" s="67">
        <f t="shared" si="46"/>
        <v>0</v>
      </c>
      <c r="CR10" s="68"/>
      <c r="CS10" s="67">
        <f t="shared" si="47"/>
        <v>0</v>
      </c>
      <c r="CT10" s="75"/>
      <c r="CU10" s="67">
        <f t="shared" si="48"/>
        <v>0</v>
      </c>
      <c r="CV10" s="68"/>
      <c r="CW10" s="67">
        <f t="shared" si="49"/>
        <v>0</v>
      </c>
      <c r="CX10" s="58"/>
      <c r="CY10" s="67">
        <f t="shared" si="50"/>
        <v>0</v>
      </c>
    </row>
    <row r="11" spans="1:103" ht="25.5" customHeight="1" thickBot="1" x14ac:dyDescent="0.45">
      <c r="A11" s="63">
        <v>44600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9"/>
        <v>0</v>
      </c>
      <c r="U11" s="58"/>
      <c r="V11" s="67">
        <f t="shared" si="10"/>
        <v>0</v>
      </c>
      <c r="W11" s="58"/>
      <c r="X11" s="65">
        <f t="shared" si="11"/>
        <v>0</v>
      </c>
      <c r="Y11" s="58"/>
      <c r="Z11" s="65">
        <f t="shared" si="12"/>
        <v>0</v>
      </c>
      <c r="AA11" s="58"/>
      <c r="AB11" s="65">
        <f t="shared" si="13"/>
        <v>0</v>
      </c>
      <c r="AC11" s="58"/>
      <c r="AD11" s="65">
        <f t="shared" si="14"/>
        <v>0</v>
      </c>
      <c r="AE11" s="58"/>
      <c r="AF11" s="65">
        <f t="shared" si="15"/>
        <v>0</v>
      </c>
      <c r="AG11" s="58"/>
      <c r="AH11" s="67">
        <f t="shared" si="16"/>
        <v>0</v>
      </c>
      <c r="AI11" s="58"/>
      <c r="AJ11" s="65">
        <f t="shared" si="17"/>
        <v>0</v>
      </c>
      <c r="AK11" s="58"/>
      <c r="AL11" s="65">
        <f t="shared" si="18"/>
        <v>0</v>
      </c>
      <c r="AM11" s="58"/>
      <c r="AN11" s="65">
        <f t="shared" si="19"/>
        <v>0</v>
      </c>
      <c r="AO11" s="58"/>
      <c r="AP11" s="65">
        <f t="shared" si="20"/>
        <v>0</v>
      </c>
      <c r="AQ11" s="58"/>
      <c r="AR11" s="65">
        <f t="shared" si="21"/>
        <v>0</v>
      </c>
      <c r="AS11" s="58"/>
      <c r="AT11" s="65">
        <f t="shared" si="22"/>
        <v>0</v>
      </c>
      <c r="AU11" s="58"/>
      <c r="AV11" s="65">
        <f t="shared" si="23"/>
        <v>0</v>
      </c>
      <c r="AW11" s="58"/>
      <c r="AX11" s="65">
        <f t="shared" si="24"/>
        <v>0</v>
      </c>
      <c r="AY11" s="58"/>
      <c r="AZ11" s="65">
        <f t="shared" si="25"/>
        <v>0</v>
      </c>
      <c r="BA11" s="58"/>
      <c r="BB11" s="65">
        <f t="shared" si="26"/>
        <v>0</v>
      </c>
      <c r="BC11" s="58"/>
      <c r="BD11" s="65">
        <f t="shared" si="27"/>
        <v>0</v>
      </c>
      <c r="BE11" s="59"/>
      <c r="BF11" s="67">
        <f t="shared" si="28"/>
        <v>0</v>
      </c>
      <c r="BG11" s="60"/>
      <c r="BH11" s="65">
        <f t="shared" si="29"/>
        <v>0</v>
      </c>
      <c r="BI11" s="60"/>
      <c r="BJ11" s="65">
        <f t="shared" si="30"/>
        <v>0</v>
      </c>
      <c r="BK11" s="60"/>
      <c r="BL11" s="65">
        <f t="shared" si="31"/>
        <v>0</v>
      </c>
      <c r="BM11" s="60"/>
      <c r="BN11" s="65">
        <f t="shared" si="32"/>
        <v>0</v>
      </c>
      <c r="BO11" s="60"/>
      <c r="BP11" s="65">
        <f t="shared" si="33"/>
        <v>0</v>
      </c>
      <c r="BQ11" s="60"/>
      <c r="BR11" s="65">
        <f t="shared" si="34"/>
        <v>0</v>
      </c>
      <c r="BS11" s="60"/>
      <c r="BT11" s="65">
        <f t="shared" si="35"/>
        <v>0</v>
      </c>
      <c r="BU11" s="60"/>
      <c r="BV11" s="65">
        <f t="shared" si="36"/>
        <v>0</v>
      </c>
      <c r="BW11" s="60"/>
      <c r="BX11" s="65">
        <f t="shared" si="37"/>
        <v>0</v>
      </c>
      <c r="BY11" s="60"/>
      <c r="BZ11" s="67">
        <f t="shared" si="38"/>
        <v>0</v>
      </c>
      <c r="CA11" s="60"/>
      <c r="CB11" s="67">
        <f t="shared" si="39"/>
        <v>0</v>
      </c>
      <c r="CC11" s="60"/>
      <c r="CD11" s="67">
        <f t="shared" si="40"/>
        <v>0</v>
      </c>
      <c r="CE11" s="60"/>
      <c r="CF11" s="67">
        <f t="shared" si="41"/>
        <v>0</v>
      </c>
      <c r="CG11" s="60"/>
      <c r="CH11" s="67">
        <f t="shared" si="42"/>
        <v>0</v>
      </c>
      <c r="CI11" s="60"/>
      <c r="CJ11" s="67">
        <f t="shared" si="43"/>
        <v>0</v>
      </c>
      <c r="CK11" s="60"/>
      <c r="CL11" s="64">
        <f t="shared" si="44"/>
        <v>0</v>
      </c>
      <c r="CM11" s="65">
        <f t="shared" si="45"/>
        <v>0</v>
      </c>
      <c r="CN11" s="62"/>
      <c r="CO11" s="62"/>
      <c r="CP11" s="68"/>
      <c r="CQ11" s="67">
        <f t="shared" si="46"/>
        <v>0</v>
      </c>
      <c r="CR11" s="68"/>
      <c r="CS11" s="67">
        <f t="shared" si="47"/>
        <v>0</v>
      </c>
      <c r="CT11" s="75"/>
      <c r="CU11" s="67">
        <f t="shared" si="48"/>
        <v>0</v>
      </c>
      <c r="CV11" s="68"/>
      <c r="CW11" s="67">
        <f t="shared" si="49"/>
        <v>0</v>
      </c>
      <c r="CX11" s="58"/>
      <c r="CY11" s="67">
        <f t="shared" si="50"/>
        <v>0</v>
      </c>
    </row>
    <row r="12" spans="1:103" ht="25.5" customHeight="1" thickBot="1" x14ac:dyDescent="0.45">
      <c r="A12" s="63">
        <v>44601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  <c r="CX12" s="58"/>
      <c r="CY12" s="67">
        <f t="shared" si="50"/>
        <v>0</v>
      </c>
    </row>
    <row r="13" spans="1:103" ht="25.5" customHeight="1" thickBot="1" x14ac:dyDescent="0.45">
      <c r="A13" s="63">
        <v>44602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44603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44604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44605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44606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44607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44608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44609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44610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44611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44612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>CQ23+CS23</f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44613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44614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44615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44616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44617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44618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44619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44620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44621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R16" sqref="R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>
        <v>0</v>
      </c>
      <c r="C9" s="40">
        <v>28</v>
      </c>
      <c r="D9" s="40">
        <v>52</v>
      </c>
      <c r="E9" s="41">
        <v>85</v>
      </c>
      <c r="F9" s="41">
        <v>6456</v>
      </c>
      <c r="G9" s="41">
        <v>75</v>
      </c>
      <c r="H9" s="41">
        <v>2016</v>
      </c>
      <c r="I9" s="41">
        <v>85</v>
      </c>
      <c r="J9" s="41">
        <v>541</v>
      </c>
      <c r="K9" s="42">
        <v>45</v>
      </c>
      <c r="L9" s="42">
        <v>85</v>
      </c>
      <c r="M9" s="42">
        <v>1568</v>
      </c>
      <c r="N9" s="39">
        <v>85</v>
      </c>
      <c r="O9" s="39">
        <v>85</v>
      </c>
      <c r="P9" s="39">
        <v>82</v>
      </c>
      <c r="Q9" s="39">
        <v>4645</v>
      </c>
      <c r="R9" s="77">
        <v>83</v>
      </c>
      <c r="S9" s="77">
        <v>220</v>
      </c>
      <c r="T9">
        <f t="shared" ref="T9:T39" si="1">S9-S8</f>
        <v>0</v>
      </c>
    </row>
    <row r="10" spans="1:20" x14ac:dyDescent="0.25">
      <c r="A10" s="73">
        <v>44595</v>
      </c>
      <c r="B10" s="40">
        <v>0</v>
      </c>
      <c r="C10" s="40">
        <v>22</v>
      </c>
      <c r="D10" s="40">
        <v>37</v>
      </c>
      <c r="E10" s="41">
        <v>85</v>
      </c>
      <c r="F10" s="41">
        <v>6461</v>
      </c>
      <c r="G10" s="41">
        <v>65</v>
      </c>
      <c r="H10" s="41">
        <v>2019</v>
      </c>
      <c r="I10" s="41">
        <v>85</v>
      </c>
      <c r="J10" s="41">
        <v>541</v>
      </c>
      <c r="K10" s="42">
        <v>45</v>
      </c>
      <c r="L10" s="42">
        <v>85</v>
      </c>
      <c r="M10" s="42">
        <v>1568</v>
      </c>
      <c r="N10" s="39">
        <v>85</v>
      </c>
      <c r="O10" s="39">
        <v>80</v>
      </c>
      <c r="P10" s="39">
        <v>82</v>
      </c>
      <c r="Q10" s="39">
        <v>4647</v>
      </c>
      <c r="R10" s="77">
        <v>83</v>
      </c>
      <c r="S10" s="77">
        <v>220</v>
      </c>
      <c r="T10">
        <f t="shared" si="1"/>
        <v>0</v>
      </c>
    </row>
    <row r="11" spans="1:20" x14ac:dyDescent="0.25">
      <c r="A11" s="73">
        <v>44596</v>
      </c>
      <c r="B11" s="40">
        <v>0</v>
      </c>
      <c r="C11" s="40">
        <v>22</v>
      </c>
      <c r="D11" s="40">
        <v>37</v>
      </c>
      <c r="E11" s="41">
        <v>85</v>
      </c>
      <c r="F11" s="41">
        <v>6466</v>
      </c>
      <c r="G11" s="41">
        <v>55</v>
      </c>
      <c r="H11" s="41">
        <v>2020</v>
      </c>
      <c r="I11" s="41">
        <v>85</v>
      </c>
      <c r="J11" s="41">
        <v>541</v>
      </c>
      <c r="K11" s="42">
        <v>40</v>
      </c>
      <c r="L11" s="42">
        <v>85</v>
      </c>
      <c r="M11" s="42">
        <v>1570</v>
      </c>
      <c r="N11" s="39">
        <v>85</v>
      </c>
      <c r="O11" s="39">
        <v>79</v>
      </c>
      <c r="P11" s="39">
        <v>82</v>
      </c>
      <c r="Q11" s="39">
        <v>4651</v>
      </c>
      <c r="R11" s="77">
        <v>83</v>
      </c>
      <c r="S11" s="77">
        <v>220</v>
      </c>
      <c r="T11">
        <f t="shared" si="1"/>
        <v>0</v>
      </c>
    </row>
    <row r="12" spans="1:20" x14ac:dyDescent="0.25">
      <c r="A12" s="73">
        <v>44597</v>
      </c>
      <c r="B12" s="40">
        <v>0</v>
      </c>
      <c r="C12" s="40">
        <v>22</v>
      </c>
      <c r="D12" s="40">
        <v>37</v>
      </c>
      <c r="E12" s="41">
        <v>85</v>
      </c>
      <c r="F12" s="41">
        <v>6470</v>
      </c>
      <c r="G12" s="41">
        <v>45</v>
      </c>
      <c r="H12" s="41">
        <v>2023</v>
      </c>
      <c r="I12" s="41">
        <v>85</v>
      </c>
      <c r="J12" s="41">
        <v>541</v>
      </c>
      <c r="K12" s="42">
        <v>38</v>
      </c>
      <c r="L12" s="42">
        <v>85</v>
      </c>
      <c r="M12" s="42">
        <v>1570</v>
      </c>
      <c r="N12" s="39">
        <v>85</v>
      </c>
      <c r="O12" s="39">
        <v>75</v>
      </c>
      <c r="P12" s="39">
        <v>83</v>
      </c>
      <c r="Q12" s="39">
        <v>4654</v>
      </c>
      <c r="R12" s="77">
        <v>83</v>
      </c>
      <c r="S12" s="77">
        <v>220</v>
      </c>
      <c r="T12">
        <f t="shared" si="1"/>
        <v>0</v>
      </c>
    </row>
    <row r="13" spans="1:20" x14ac:dyDescent="0.25">
      <c r="A13" s="73">
        <v>44598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-220</v>
      </c>
    </row>
    <row r="14" spans="1:20" ht="17.25" customHeight="1" x14ac:dyDescent="0.25">
      <c r="A14" s="73">
        <v>44599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44600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44601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44602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44603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44604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44605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44606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44607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44608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44609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44610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44611</v>
      </c>
      <c r="B26" s="40"/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44612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44613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44614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44615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44616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44617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44618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44619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44620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2022-02-06T19:52:29Z</dcterms:modified>
</cp:coreProperties>
</file>