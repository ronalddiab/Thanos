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<sst xmlns="http://schemas.openxmlformats.org/spreadsheetml/2006/main" count="114" uniqueCount="37">
  <si>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</si>
  <si>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</si>
  <si>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</si>
  <si>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</si>
  <si>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</si>
  <si>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</si>
  <si>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</si>
  <si>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</si>
  <si>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</si>
  <si>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</si>
  <si>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</si>
  <si>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</si>
  <si>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</si>
  <si>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</si>
  <si>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</si>
  <si>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</si>
  <si>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</si>
  <si>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</si>
  <si>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</si>
  <si>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</si>
  <si>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</si>
  <si>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</si>
  <si>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</si>
  <si>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</si>
  <si>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</si>
  <si>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</si>
  <si>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</si>
  <si>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</si>
  <si>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</si>
  <si>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</si>
  <si>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</si>
  <si>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</si>
  <si>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</si>
  <si>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</si>
  <si>
    <t>Setpoint boiler 60-70</t>
  </si>
  <si>
    <t>Redémarrage PAC Setpoint boiler 55 - 65</t>
  </si>
  <si>
    <t>PAC en 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</si>
</sst>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2" si="2">H3</f>
        <v>1.0478509999999999</v>
      </c>
      <c r="I4" s="20">
        <f>Submetering!J4+Submetering!I4+Submetering!H4</f>
        <v>106.01</v>
      </c>
      <c r="J4" s="16">
        <f t="shared" ref="J4:J32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8121.98</v>
      </c>
      <c r="F8" s="16">
        <v>0.12</v>
      </c>
      <c r="G8" s="20">
        <f>Submetering!F8+Submetering!G8</f>
        <v>466.83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8391.49</v>
      </c>
      <c r="F9" s="16">
        <v>0.12</v>
      </c>
      <c r="G9" s="20">
        <f>Submetering!F9+Submetering!G9</f>
        <v>483.08</v>
      </c>
      <c r="H9" s="16">
        <f t="shared" si="2"/>
        <v>1.0478509999999999</v>
      </c>
      <c r="I9" s="20">
        <f>Submetering!J9+Submetering!I9+Submetering!H9</f>
        <v>92.3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8050.8</v>
      </c>
      <c r="F10" s="16">
        <v>0.12</v>
      </c>
      <c r="G10" s="20">
        <f>Submetering!F10+Submetering!G10</f>
        <v>496.3</v>
      </c>
      <c r="H10" s="16">
        <f t="shared" si="2"/>
        <v>1.0478509999999999</v>
      </c>
      <c r="I10" s="20">
        <f>Submetering!J10+Submetering!I10+Submetering!H10</f>
        <v>92.42</v>
      </c>
      <c r="J10" s="16">
        <f t="shared" si="3"/>
        <v>3.7390400000000001</v>
      </c>
      <c r="K10" s="20">
        <f>Submetering!K10</f>
        <v>93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8074.05</v>
      </c>
      <c r="F11" s="16">
        <v>0.12</v>
      </c>
      <c r="G11" s="20">
        <f>Submetering!F11+Submetering!G11</f>
        <v>458.26</v>
      </c>
      <c r="H11" s="16">
        <f t="shared" si="2"/>
        <v>1.0478509999999999</v>
      </c>
      <c r="I11" s="20">
        <f>Submetering!J11+Submetering!I11+Submetering!H11</f>
        <v>98.55</v>
      </c>
      <c r="J11" s="16">
        <f t="shared" si="3"/>
        <v>3.7390400000000001</v>
      </c>
      <c r="K11" s="20">
        <f>Submetering!K11</f>
        <v>96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7897.2</v>
      </c>
      <c r="F12" s="16">
        <v>0.12</v>
      </c>
      <c r="G12" s="20">
        <f>Submetering!F12+Submetering!G12</f>
        <v>446.84999999999997</v>
      </c>
      <c r="H12" s="16">
        <f t="shared" si="2"/>
        <v>1.0478509999999999</v>
      </c>
      <c r="I12" s="20">
        <f>Submetering!J12+Submetering!I12+Submetering!H12</f>
        <v>89.44</v>
      </c>
      <c r="J12" s="16">
        <f t="shared" si="3"/>
        <v>3.7390400000000001</v>
      </c>
      <c r="K12" s="20">
        <f>Submetering!K12</f>
        <v>70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7664.14</v>
      </c>
      <c r="F13" s="16">
        <v>0.12</v>
      </c>
      <c r="G13" s="20">
        <f>Submetering!F13+Submetering!G13</f>
        <v>3250.93</v>
      </c>
      <c r="H13" s="16">
        <f t="shared" si="2"/>
        <v>1.0478509999999999</v>
      </c>
      <c r="I13" s="20">
        <f>Submetering!J13+Submetering!I13+Submetering!H13</f>
        <v>64</v>
      </c>
      <c r="J13" s="16">
        <f t="shared" si="3"/>
        <v>3.7390400000000001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7178.89</v>
      </c>
      <c r="F14" s="16">
        <v>0.12</v>
      </c>
      <c r="G14" s="20">
        <f>Submetering!F14+Submetering!G14</f>
        <v>501.93</v>
      </c>
      <c r="H14" s="16">
        <f t="shared" si="2"/>
        <v>1.0478509999999999</v>
      </c>
      <c r="I14" s="20">
        <f>Submetering!J14+Submetering!I14+Submetering!H14</f>
        <v>74.33</v>
      </c>
      <c r="J14" s="16">
        <f t="shared" si="3"/>
        <v>3.7390400000000001</v>
      </c>
      <c r="K14" s="20">
        <f>Submetering!K14</f>
        <v>61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7392.6</v>
      </c>
      <c r="F15" s="16">
        <v>0.12</v>
      </c>
      <c r="G15" s="20">
        <f>Submetering!F15+Submetering!G15</f>
        <v>311.06</v>
      </c>
      <c r="H15" s="16">
        <f t="shared" si="2"/>
        <v>1.0478509999999999</v>
      </c>
      <c r="I15" s="20">
        <f>Submetering!J15+Submetering!I15+Submetering!H15</f>
        <v>79.55</v>
      </c>
      <c r="J15" s="16">
        <f t="shared" si="3"/>
        <v>3.7390400000000001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7819.58</v>
      </c>
      <c r="F16" s="16">
        <v>0.12</v>
      </c>
      <c r="G16" s="20">
        <f>Submetering!F16+Submetering!G16</f>
        <v>234.70999999999998</v>
      </c>
      <c r="H16" s="16">
        <f t="shared" si="2"/>
        <v>1.0478509999999999</v>
      </c>
      <c r="I16" s="20">
        <f>Submetering!J16+Submetering!I16+Submetering!H16</f>
        <v>85.73</v>
      </c>
      <c r="J16" s="16">
        <f t="shared" si="3"/>
        <v>3.7390400000000001</v>
      </c>
      <c r="K16" s="20">
        <f>Submetering!K16</f>
        <v>79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8050.35</v>
      </c>
      <c r="F17" s="16">
        <v>0.12</v>
      </c>
      <c r="G17" s="20">
        <f>Submetering!F17+Submetering!G17</f>
        <v>219.47</v>
      </c>
      <c r="H17" s="16">
        <f t="shared" si="2"/>
        <v>1.0478509999999999</v>
      </c>
      <c r="I17" s="20">
        <f>Submetering!J17+Submetering!I17+Submetering!H17</f>
        <v>85.73</v>
      </c>
      <c r="J17" s="16">
        <f t="shared" si="3"/>
        <v>3.7390400000000001</v>
      </c>
      <c r="K17" s="20">
        <f>Submetering!K17</f>
        <v>70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8022.56</v>
      </c>
      <c r="F18" s="16">
        <v>0.12</v>
      </c>
      <c r="G18" s="20">
        <f>Submetering!F18+Submetering!G18</f>
        <v>149.08999999999997</v>
      </c>
      <c r="H18" s="16">
        <f t="shared" si="2"/>
        <v>1.0478509999999999</v>
      </c>
      <c r="I18" s="20">
        <f>Submetering!J18+Submetering!I18+Submetering!H18</f>
        <v>82.2</v>
      </c>
      <c r="J18" s="16">
        <f t="shared" si="3"/>
        <v>3.7390400000000001</v>
      </c>
      <c r="K18" s="20">
        <f>Submetering!K18</f>
        <v>70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8155.2</v>
      </c>
      <c r="F19" s="16">
        <v>0.12</v>
      </c>
      <c r="G19" s="20">
        <f>Submetering!F19+Submetering!G19</f>
        <v>217.56</v>
      </c>
      <c r="H19" s="16">
        <f t="shared" si="2"/>
        <v>1.0478509999999999</v>
      </c>
      <c r="I19" s="20">
        <f>Submetering!J19+Submetering!I19+Submetering!H19</f>
        <v>86.69</v>
      </c>
      <c r="J19" s="16">
        <f t="shared" si="3"/>
        <v>3.7390400000000001</v>
      </c>
      <c r="K19" s="20">
        <f>Submetering!K19</f>
        <v>73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8018.59</v>
      </c>
      <c r="F20" s="16">
        <v>0.12</v>
      </c>
      <c r="G20" s="20">
        <f>Submetering!F20+Submetering!G20</f>
        <v>401.84</v>
      </c>
      <c r="H20" s="16">
        <f t="shared" si="2"/>
        <v>1.0478509999999999</v>
      </c>
      <c r="I20" s="20">
        <f>Submetering!J20+Submetering!I20+Submetering!H20</f>
        <v>83.96</v>
      </c>
      <c r="J20" s="16">
        <f t="shared" si="3"/>
        <v>3.7390400000000001</v>
      </c>
      <c r="K20" s="20">
        <f>Submetering!K20</f>
        <v>63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7281.45</v>
      </c>
      <c r="F21" s="16">
        <v>0.12</v>
      </c>
      <c r="G21" s="20">
        <f>Submetering!F21+Submetering!G21</f>
        <v>575.75</v>
      </c>
      <c r="H21" s="16">
        <f t="shared" si="2"/>
        <v>1.0478509999999999</v>
      </c>
      <c r="I21" s="20">
        <f>Submetering!J21+Submetering!I21+Submetering!H21</f>
        <v>74.23</v>
      </c>
      <c r="J21" s="16">
        <f t="shared" si="3"/>
        <v>3.7390400000000001</v>
      </c>
      <c r="K21" s="20">
        <f>Submetering!K21</f>
        <v>59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7225.09</v>
      </c>
      <c r="F22" s="16">
        <v>0.12</v>
      </c>
      <c r="G22" s="20">
        <f>Submetering!F22+Submetering!G22</f>
        <v>415.25</v>
      </c>
      <c r="H22" s="16">
        <f t="shared" si="2"/>
        <v>1.0478509999999999</v>
      </c>
      <c r="I22" s="20">
        <f>Submetering!J22+Submetering!I22+Submetering!H22</f>
        <v>74.86</v>
      </c>
      <c r="J22" s="16">
        <f t="shared" si="3"/>
        <v>3.7390400000000001</v>
      </c>
      <c r="K22" s="20">
        <f>Submetering!K22</f>
        <v>78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83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8121.98</v>
      </c>
      <c r="F8" s="37">
        <v>450.38</v>
      </c>
      <c r="G8" s="37">
        <v>16.45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>
        <v>8391.49</v>
      </c>
      <c r="F9" s="37">
        <v>465.14</v>
      </c>
      <c r="G9" s="37">
        <v>17.940000000000001</v>
      </c>
      <c r="H9" s="37">
        <v>2.2999999999999998</v>
      </c>
      <c r="I9" s="37">
        <v>30</v>
      </c>
      <c r="J9" s="37">
        <v>60</v>
      </c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>
        <v>8050.8</v>
      </c>
      <c r="F10" s="37">
        <v>473.87</v>
      </c>
      <c r="G10" s="37">
        <v>22.43</v>
      </c>
      <c r="H10" s="37">
        <v>1.92</v>
      </c>
      <c r="I10" s="37">
        <v>32.5</v>
      </c>
      <c r="J10" s="37">
        <v>58</v>
      </c>
      <c r="K10" s="6">
        <v>93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>
        <v>8074.05</v>
      </c>
      <c r="F11" s="37">
        <v>443.81</v>
      </c>
      <c r="G11" s="37">
        <v>14.45</v>
      </c>
      <c r="H11" s="37">
        <v>2.0499999999999998</v>
      </c>
      <c r="I11" s="37">
        <v>30</v>
      </c>
      <c r="J11" s="37">
        <v>66.5</v>
      </c>
      <c r="K11" s="42">
        <v>96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>
        <v>7897.2</v>
      </c>
      <c r="F12" s="37">
        <v>431.9</v>
      </c>
      <c r="G12" s="37">
        <v>14.95</v>
      </c>
      <c r="H12" s="37">
        <v>1.94</v>
      </c>
      <c r="I12" s="37">
        <v>30</v>
      </c>
      <c r="J12" s="37">
        <v>57.5</v>
      </c>
      <c r="K12" s="6">
        <v>70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>
        <v>7664.14</v>
      </c>
      <c r="F13" s="37">
        <v>3232.99</v>
      </c>
      <c r="G13" s="37">
        <v>17.940000000000001</v>
      </c>
      <c r="H13" s="37">
        <v>2</v>
      </c>
      <c r="I13" s="37">
        <v>31</v>
      </c>
      <c r="J13" s="37">
        <v>31</v>
      </c>
      <c r="K13" s="6">
        <v>72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>
        <v>7178.89</v>
      </c>
      <c r="F14" s="37">
        <v>484.98</v>
      </c>
      <c r="G14" s="37">
        <v>16.95</v>
      </c>
      <c r="H14" s="37">
        <v>1.83</v>
      </c>
      <c r="I14" s="37">
        <v>24.5</v>
      </c>
      <c r="J14" s="37">
        <v>48</v>
      </c>
      <c r="K14" s="6">
        <v>61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>
        <v>7392.6</v>
      </c>
      <c r="F15" s="37">
        <v>296.11</v>
      </c>
      <c r="G15" s="37">
        <v>14.95</v>
      </c>
      <c r="H15" s="37">
        <v>5.55</v>
      </c>
      <c r="I15" s="37">
        <v>26.5</v>
      </c>
      <c r="J15" s="37">
        <v>47.5</v>
      </c>
      <c r="K15" s="6">
        <v>63</v>
      </c>
      <c r="M15" t="s">
        <v>35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>
        <v>7819.58</v>
      </c>
      <c r="F16" s="37">
        <v>220.26</v>
      </c>
      <c r="G16" s="37">
        <v>14.45</v>
      </c>
      <c r="H16" s="37">
        <v>4.2300000000000004</v>
      </c>
      <c r="I16" s="37">
        <v>29</v>
      </c>
      <c r="J16" s="37">
        <v>52.5</v>
      </c>
      <c r="K16" s="6">
        <v>79</v>
      </c>
      <c r="M16" t="s">
        <v>34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>
        <v>8050.35</v>
      </c>
      <c r="F17" s="37">
        <v>209</v>
      </c>
      <c r="G17" s="37">
        <v>10.47</v>
      </c>
      <c r="H17" s="37">
        <v>1.73</v>
      </c>
      <c r="I17" s="37">
        <v>28</v>
      </c>
      <c r="J17" s="37">
        <v>56</v>
      </c>
      <c r="K17" s="6">
        <v>70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>
        <v>8022.56</v>
      </c>
      <c r="F18" s="37">
        <v>133.13999999999999</v>
      </c>
      <c r="G18" s="37">
        <v>15.95</v>
      </c>
      <c r="H18" s="37">
        <v>2.2000000000000002</v>
      </c>
      <c r="I18" s="37">
        <v>26</v>
      </c>
      <c r="J18" s="37">
        <v>54</v>
      </c>
      <c r="K18" s="6">
        <v>70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>
        <v>8155.2</v>
      </c>
      <c r="F19" s="37">
        <v>203.11</v>
      </c>
      <c r="G19" s="37">
        <v>14.45</v>
      </c>
      <c r="H19" s="37">
        <v>1.69</v>
      </c>
      <c r="I19" s="37">
        <v>26.5</v>
      </c>
      <c r="J19" s="37">
        <v>58.5</v>
      </c>
      <c r="K19" s="6">
        <v>73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>
        <v>8018.59</v>
      </c>
      <c r="F20" s="37">
        <v>382.9</v>
      </c>
      <c r="G20" s="37">
        <v>18.940000000000001</v>
      </c>
      <c r="H20" s="37">
        <v>1.96</v>
      </c>
      <c r="I20" s="37">
        <v>26</v>
      </c>
      <c r="J20" s="37">
        <v>56</v>
      </c>
      <c r="K20" s="6">
        <v>63</v>
      </c>
      <c r="L20" s="37"/>
      <c r="M20" s="41" t="s">
        <v>36</v>
      </c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>
        <v>7281.45</v>
      </c>
      <c r="F21" s="37">
        <v>565.28</v>
      </c>
      <c r="G21" s="37">
        <v>10.47</v>
      </c>
      <c r="H21" s="37">
        <v>1.73</v>
      </c>
      <c r="I21" s="37">
        <v>27</v>
      </c>
      <c r="J21" s="37">
        <v>45.5</v>
      </c>
      <c r="K21" s="6">
        <v>59</v>
      </c>
      <c r="L21" s="37"/>
      <c r="M21" s="41" t="s">
        <v>36</v>
      </c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>
        <v>7225.09</v>
      </c>
      <c r="F22" s="37">
        <v>396.81</v>
      </c>
      <c r="G22" s="37">
        <v>18.440000000000001</v>
      </c>
      <c r="H22" s="37">
        <v>1.86</v>
      </c>
      <c r="I22" s="37">
        <v>27</v>
      </c>
      <c r="J22" s="37">
        <v>46</v>
      </c>
      <c r="K22" s="6">
        <v>78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>
        <v>83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5"/>
      <c r="C1" s="1"/>
      <c r="D1" s="11"/>
      <c r="E1" s="1"/>
      <c r="F1" s="14"/>
      <c r="G1" s="1"/>
      <c r="H1" s="1"/>
      <c r="I1" s="46"/>
      <c r="J1" s="51"/>
      <c r="K1" s="52"/>
      <c r="L1" s="52"/>
      <c r="M1" s="52"/>
      <c r="N1" s="52"/>
      <c r="O1" s="52"/>
      <c r="P1" s="21"/>
      <c r="Q1" s="21"/>
    </row>
    <row r="2" spans="1:17" ht="35.25" customHeight="1" thickBot="1" x14ac:dyDescent="0.3">
      <c r="A2" s="19" t="s">
        <v>15</v>
      </c>
      <c r="B2" s="45"/>
      <c r="C2" s="55" t="s">
        <v>22</v>
      </c>
      <c r="D2" s="56"/>
      <c r="E2" s="49" t="s">
        <v>23</v>
      </c>
      <c r="F2" s="49"/>
      <c r="G2" s="49" t="s">
        <v>24</v>
      </c>
      <c r="H2" s="49"/>
      <c r="I2" s="47"/>
      <c r="J2" s="53" t="s">
        <v>27</v>
      </c>
      <c r="K2" s="54"/>
      <c r="L2" s="57" t="s">
        <v>28</v>
      </c>
      <c r="M2" s="57"/>
      <c r="N2" s="57" t="s">
        <v>29</v>
      </c>
      <c r="O2" s="57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50">
        <f>IF((C5-C4&lt;0), "",C5-C4)</f>
        <v>7975</v>
      </c>
      <c r="E4" s="18">
        <v>23837512</v>
      </c>
      <c r="F4" s="58">
        <f>IF((E5-E4&lt;0), "",E5-E4)</f>
        <v>5799</v>
      </c>
      <c r="G4" s="18">
        <v>9975816</v>
      </c>
      <c r="H4" s="50">
        <f>IF((G5-G4&lt;0), "",G5-G4)</f>
        <v>3477</v>
      </c>
      <c r="I4" s="47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50"/>
      <c r="E5" s="18">
        <v>23843311</v>
      </c>
      <c r="F5" s="59"/>
      <c r="G5" s="18">
        <v>9979293</v>
      </c>
      <c r="H5" s="50"/>
      <c r="I5" s="47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2022-11-23T07:56:28Z</dcterms:modified>
</cp:coreProperties>
</file>