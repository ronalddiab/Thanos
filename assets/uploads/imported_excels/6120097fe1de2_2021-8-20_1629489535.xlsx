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T12" i="10" l="1"/>
  <c r="T13" i="10"/>
  <c r="T14" i="10"/>
  <c r="T15" i="10"/>
  <c r="T16" i="10"/>
  <c r="T17" i="10"/>
  <c r="T18" i="10"/>
  <c r="CU7" i="7" l="1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<sst xmlns="http://schemas.openxmlformats.org/spreadsheetml/2006/main" count="313" uniqueCount="148">
  <si>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</si>
  <si>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</si>
  <si>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</si>
  <si>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</si>
  <si>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</si>
  <si>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</si>
  <si>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</si>
  <si>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</si>
  <si>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</si>
  <si>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</si>
  <si>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</si>
  <si>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</si>
  <si>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</si>
  <si>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</si>
  <si>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</si>
  <si>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</si>
  <si>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</si>
  <si>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</si>
  <si>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</si>
  <si>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</si>
  <si>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</si>
  <si>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</si>
  <si>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</si>
  <si>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</si>
  <si>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</si>
  <si>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</si>
  <si>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</si>
  <si>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</si>
  <si>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</si>
  <si>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</si>
  <si>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</si>
  <si>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</si>
  <si>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</si>
  <si>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</si>
  <si>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</si>
  <si>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</si>
  <si>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</si>
  <si>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</si>
  <si>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</si>
  <si>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</si>
  <si>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</si>
  <si>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</si>
  <si>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</si>
  <si>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</si>
  <si>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</si>
  <si>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</si>
  <si>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</si>
  <si>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</si>
  <si>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</si>
  <si>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</si>
  <si>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</si>
  <si>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</si>
  <si>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</si>
  <si>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</si>
  <si>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</si>
  <si>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</si>
  <si>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</si>
  <si>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</si>
  <si>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</si>
  <si>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</si>
  <si>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</si>
  <si>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</si>
  <si>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</si>
  <si>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</si>
  <si>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</si>
  <si>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</si>
  <si>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</si>
  <si>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</si>
  <si>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</si>
  <si>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</si>
  <si>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</si>
  <si>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</si>
  <si>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</si>
  <si>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</si>
  <si>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</si>
  <si>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</si>
  <si>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</si>
  <si>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</si>
  <si>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</si>
  <si>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</si>
  <si>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</si>
  <si>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</si>
  <si>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</si>
  <si>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</si>
  <si>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</si>
  <si>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</si>
  <si>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</si>
  <si>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</si>
  <si>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</si>
  <si>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</si>
  <si>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</si>
  <si>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</si>
  <si>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</si>
  <si>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</si>
  <si>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</si>
  <si>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</si>
  <si>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</si>
  <si>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</si>
  <si>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</si>
  <si>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</si>
  <si>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</si>
  <si>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</si>
  <si>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</si>
  <si>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</si>
  <si>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</si>
  <si>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</si>
  <si>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</si>
  <si>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</si>
  <si>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</si>
  <si>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</si>
  <si>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</si>
  <si>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</si>
  <si>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</si>
  <si>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</si>
  <si>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</si>
  <si>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</si>
  <si>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</si>
  <si>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</si>
  <si>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</si>
  <si>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</si>
  <si>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</si>
  <si>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</si>
  <si>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</si>
  <si>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</si>
  <si>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</si>
  <si>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</si>
  <si>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</si>
  <si>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</si>
  <si>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</si>
  <si>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</si>
  <si>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</si>
  <si>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</si>
  <si>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</si>
  <si>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</si>
  <si>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</si>
  <si>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</si>
  <si>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</si>
  <si>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</si>
  <si>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</si>
  <si>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</si>
  <si>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</si>
  <si>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</si>
  <si>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</si>
  <si>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</si>
  <si>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</si>
  <si>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</si>
  <si>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</si>
  <si>
    <t>laundry EQU P D.B
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</si>
</sst>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R28" sqref="R28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8</v>
      </c>
      <c r="D2" s="1">
        <v>2021</v>
      </c>
      <c r="E2" s="12">
        <f>Submetering!E2+Submetering!F2+Submetering!G2+Submetering!H2+Submetering!J2-Submetering!AV2</f>
        <v>10539.999999999618</v>
      </c>
      <c r="F2" s="11">
        <v>0.58765030286592534</v>
      </c>
      <c r="G2" s="12">
        <f>(Submetering!AX2+Submetering!AY2+Submetering!AZ2+Submetering!BA2+Submetering!BB2)</f>
        <v>25.640999999999998</v>
      </c>
      <c r="H2" s="11">
        <v>0.99</v>
      </c>
      <c r="I2" s="12">
        <f>'FS Desroches Daily'!CM4</f>
        <v>112</v>
      </c>
      <c r="J2" s="11">
        <v>10.487297712684205</v>
      </c>
      <c r="K2" s="13">
        <f>'FS Desroches Daily'!CN4</f>
        <v>13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8</v>
      </c>
      <c r="D3" s="1">
        <v>2021</v>
      </c>
      <c r="E3" s="12">
        <f>Submetering!E3+Submetering!F3+Submetering!G3+Submetering!H3+Submetering!J3-Submetering!AV3</f>
        <v>8920.0000000002892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63</v>
      </c>
      <c r="J3" s="11">
        <f>J2</f>
        <v>10.487297712684205</v>
      </c>
      <c r="K3" s="13">
        <f>'FS Desroches Daily'!CN5</f>
        <v>13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8</v>
      </c>
      <c r="D4" s="1">
        <v>2021</v>
      </c>
      <c r="E4" s="12">
        <f>Submetering!E4+Submetering!F4+Submetering!G4+Submetering!H4+Submetering!J4-Submetering!AV4</f>
        <v>7330.0000000002701</v>
      </c>
      <c r="F4" s="11">
        <f t="shared" ref="F4:F32" si="1">F3</f>
        <v>0.58765030286592534</v>
      </c>
      <c r="G4" s="12">
        <f>(Submetering!AX4+Submetering!AY4+Submetering!AZ4+Submetering!BA4+Submetering!BB4)</f>
        <v>32.966999999999999</v>
      </c>
      <c r="H4" s="11">
        <f t="shared" ref="H4:H32" si="2">H3</f>
        <v>0.99</v>
      </c>
      <c r="I4" s="12">
        <f>'FS Desroches Daily'!CM6</f>
        <v>60</v>
      </c>
      <c r="J4" s="11">
        <f t="shared" ref="J4:J32" si="3">J3</f>
        <v>10.487297712684205</v>
      </c>
      <c r="K4" s="13">
        <f>'FS Desroches Daily'!CN6</f>
        <v>15</v>
      </c>
    </row>
    <row r="5" spans="1:13" s="16" customFormat="1" x14ac:dyDescent="0.25">
      <c r="A5" s="1" t="s">
        <v>11</v>
      </c>
      <c r="B5" s="15">
        <f t="shared" si="0"/>
        <v>4</v>
      </c>
      <c r="C5" s="11">
        <v>8</v>
      </c>
      <c r="D5" s="1">
        <v>2021</v>
      </c>
      <c r="E5" s="12">
        <f>Submetering!E5+Submetering!F5+Submetering!G5+Submetering!H5+Submetering!J5-Submetering!AV5</f>
        <v>9069.9999999995689</v>
      </c>
      <c r="F5" s="11">
        <f t="shared" si="1"/>
        <v>0.58765030286592534</v>
      </c>
      <c r="G5" s="12">
        <f>(Submetering!AX5+Submetering!AY5+Submetering!AZ5+Submetering!BA5+Submetering!BB5)</f>
        <v>20.1465</v>
      </c>
      <c r="H5" s="11">
        <f t="shared" si="2"/>
        <v>0.99</v>
      </c>
      <c r="I5" s="12">
        <f>'FS Desroches Daily'!CM7</f>
        <v>45</v>
      </c>
      <c r="J5" s="11">
        <f t="shared" si="3"/>
        <v>10.487297712684205</v>
      </c>
      <c r="K5" s="13">
        <f>'FS Desroches Daily'!CN7</f>
        <v>15</v>
      </c>
    </row>
    <row r="6" spans="1:13" s="16" customFormat="1" x14ac:dyDescent="0.25">
      <c r="A6" s="1" t="s">
        <v>11</v>
      </c>
      <c r="B6" s="15">
        <f t="shared" si="0"/>
        <v>5</v>
      </c>
      <c r="C6" s="11">
        <v>8</v>
      </c>
      <c r="D6" s="1">
        <v>2021</v>
      </c>
      <c r="E6" s="12">
        <f>Submetering!E6+Submetering!F6+Submetering!G6+Submetering!H6+Submetering!J6-Submetering!AV6</f>
        <v>9469.9999999995598</v>
      </c>
      <c r="F6" s="11">
        <f t="shared" si="1"/>
        <v>0.58765030286592534</v>
      </c>
      <c r="G6" s="12">
        <f>(Submetering!AX6+Submetering!AY6+Submetering!AZ6+Submetering!BA6+Submetering!BB6)</f>
        <v>29.303999999999998</v>
      </c>
      <c r="H6" s="11">
        <f t="shared" si="2"/>
        <v>0.99</v>
      </c>
      <c r="I6" s="12">
        <f>'FS Desroches Daily'!CM8</f>
        <v>70</v>
      </c>
      <c r="J6" s="11">
        <f t="shared" si="3"/>
        <v>10.487297712684205</v>
      </c>
      <c r="K6" s="13">
        <f>'FS Desroches Daily'!CN8</f>
        <v>15</v>
      </c>
    </row>
    <row r="7" spans="1:13" s="16" customFormat="1" x14ac:dyDescent="0.25">
      <c r="A7" s="1" t="s">
        <v>11</v>
      </c>
      <c r="B7" s="15">
        <f t="shared" si="0"/>
        <v>6</v>
      </c>
      <c r="C7" s="11">
        <v>8</v>
      </c>
      <c r="D7" s="1">
        <v>2021</v>
      </c>
      <c r="E7" s="12">
        <f>Submetering!E7+Submetering!F7+Submetering!G7+Submetering!H7+Submetering!J7-Submetering!AV7</f>
        <v>9330.000000001126</v>
      </c>
      <c r="F7" s="11">
        <f t="shared" si="1"/>
        <v>0.58765030286592534</v>
      </c>
      <c r="G7" s="12">
        <f>(Submetering!AX7+Submetering!AY7+Submetering!AZ7+Submetering!BA7+Submetering!BB7)</f>
        <v>25.640999999999995</v>
      </c>
      <c r="H7" s="11">
        <f t="shared" si="2"/>
        <v>0.99</v>
      </c>
      <c r="I7" s="12">
        <f>'FS Desroches Daily'!CM9</f>
        <v>97</v>
      </c>
      <c r="J7" s="11">
        <f t="shared" si="3"/>
        <v>10.487297712684205</v>
      </c>
      <c r="K7" s="13">
        <f>'FS Desroches Daily'!CN9</f>
        <v>20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8</v>
      </c>
      <c r="D8" s="1">
        <v>2021</v>
      </c>
      <c r="E8" s="12">
        <f>Submetering!E8+Submetering!F8+Submetering!G8+Submetering!H8+Submetering!J8-Submetering!AV8</f>
        <v>9469.9999999988595</v>
      </c>
      <c r="F8" s="11">
        <f t="shared" si="1"/>
        <v>0.58765030286592534</v>
      </c>
      <c r="G8" s="12">
        <f>(Submetering!AX8+Submetering!AY8+Submetering!AZ8+Submetering!BA8+Submetering!BB8)</f>
        <v>51.281999999999996</v>
      </c>
      <c r="H8" s="11">
        <f t="shared" si="2"/>
        <v>0.99</v>
      </c>
      <c r="I8" s="12">
        <f>'FS Desroches Daily'!CM10</f>
        <v>102</v>
      </c>
      <c r="J8" s="11">
        <f t="shared" si="3"/>
        <v>10.487297712684205</v>
      </c>
      <c r="K8" s="13">
        <f>'FS Desroches Daily'!CN10</f>
        <v>20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8</v>
      </c>
      <c r="D9" s="1">
        <v>2021</v>
      </c>
      <c r="E9" s="12">
        <f>Submetering!E9+Submetering!F9+Submetering!G9+Submetering!H9+Submetering!J9-Submetering!AV9</f>
        <v>9380.0000000001601</v>
      </c>
      <c r="F9" s="11">
        <f t="shared" si="1"/>
        <v>0.58765030286592534</v>
      </c>
      <c r="G9" s="12">
        <f>(Submetering!AX9+Submetering!AY9+Submetering!AZ9+Submetering!BA9+Submetering!BB9)</f>
        <v>47.618999999999993</v>
      </c>
      <c r="H9" s="11">
        <f t="shared" si="2"/>
        <v>0.99</v>
      </c>
      <c r="I9" s="12">
        <f>'FS Desroches Daily'!CM11</f>
        <v>90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8</v>
      </c>
      <c r="D10" s="1">
        <v>2021</v>
      </c>
      <c r="E10" s="12">
        <f>Submetering!E10+Submetering!F10+Submetering!G10+Submetering!H10+Submetering!J10-Submetering!AV10</f>
        <v>8680.0000000003856</v>
      </c>
      <c r="F10" s="11">
        <f t="shared" si="1"/>
        <v>0.58765030286592534</v>
      </c>
      <c r="G10" s="12">
        <f>(Submetering!AX10+Submetering!AY10+Submetering!AZ10+Submetering!BA10+Submetering!BB10)</f>
        <v>38.461499999999994</v>
      </c>
      <c r="H10" s="11">
        <f t="shared" si="2"/>
        <v>0.99</v>
      </c>
      <c r="I10" s="12">
        <f>'FS Desroches Daily'!CM12</f>
        <v>73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8</v>
      </c>
      <c r="D11" s="1">
        <v>2021</v>
      </c>
      <c r="E11" s="12">
        <f>Submetering!E11+Submetering!F11+Submetering!G11+Submetering!H11+Submetering!J11-Submetering!AV11</f>
        <v>9519.9999999997017</v>
      </c>
      <c r="F11" s="11">
        <f t="shared" si="1"/>
        <v>0.58765030286592534</v>
      </c>
      <c r="G11" s="12">
        <f>(Submetering!AX11+Submetering!AY11+Submetering!AZ11+Submetering!BA11+Submetering!BB11)</f>
        <v>25.640999999999998</v>
      </c>
      <c r="H11" s="11">
        <f t="shared" si="2"/>
        <v>0.99</v>
      </c>
      <c r="I11" s="12">
        <f>'FS Desroches Daily'!CM13</f>
        <v>51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8</v>
      </c>
      <c r="D12" s="1">
        <v>2021</v>
      </c>
      <c r="E12" s="12">
        <f>Submetering!E12+Submetering!F12+Submetering!G12+Submetering!H12+Submetering!J12-Submetering!AV12</f>
        <v>6870.0000000002556</v>
      </c>
      <c r="F12" s="11">
        <f t="shared" si="1"/>
        <v>0.58765030286592534</v>
      </c>
      <c r="G12" s="12">
        <f>(Submetering!AX12+Submetering!AY12+Submetering!AZ12+Submetering!BA12+Submetering!BB12)</f>
        <v>31.135499999999997</v>
      </c>
      <c r="H12" s="11">
        <f t="shared" si="2"/>
        <v>0.99</v>
      </c>
      <c r="I12" s="12">
        <f>'FS Desroches Daily'!CM14</f>
        <v>71</v>
      </c>
      <c r="J12" s="11">
        <f t="shared" si="3"/>
        <v>10.487297712684205</v>
      </c>
      <c r="K12" s="13">
        <f>'FS Desroches Daily'!CN14</f>
        <v>10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8</v>
      </c>
      <c r="D13" s="1">
        <v>2021</v>
      </c>
      <c r="E13" s="12">
        <f>Submetering!E13+Submetering!F13+Submetering!G13+Submetering!H13+Submetering!J13-Submetering!AV13</f>
        <v>8749.9999999993979</v>
      </c>
      <c r="F13" s="11">
        <f t="shared" si="1"/>
        <v>0.58765030286592534</v>
      </c>
      <c r="G13" s="12">
        <f>(Submetering!AX13+Submetering!AY13+Submetering!AZ13+Submetering!BA13+Submetering!BB13)</f>
        <v>14.651999999999999</v>
      </c>
      <c r="H13" s="11">
        <f t="shared" si="2"/>
        <v>0.99</v>
      </c>
      <c r="I13" s="12">
        <f>'FS Desroches Daily'!CM15</f>
        <v>61</v>
      </c>
      <c r="J13" s="11">
        <f t="shared" si="3"/>
        <v>10.487297712684205</v>
      </c>
      <c r="K13" s="13">
        <f>'FS Desroches Daily'!CN15</f>
        <v>10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8</v>
      </c>
      <c r="D14" s="1">
        <v>2021</v>
      </c>
      <c r="E14" s="12">
        <f>Submetering!E14+Submetering!F14+Submetering!G14+Submetering!H14+Submetering!J14-Submetering!AV14</f>
        <v>9320.000000000502</v>
      </c>
      <c r="F14" s="11">
        <f t="shared" si="1"/>
        <v>0.58765030286592534</v>
      </c>
      <c r="G14" s="12">
        <f>(Submetering!AX14+Submetering!AY14+Submetering!AZ14+Submetering!BA14+Submetering!BB14)</f>
        <v>10201.455</v>
      </c>
      <c r="H14" s="11">
        <f t="shared" si="2"/>
        <v>0.99</v>
      </c>
      <c r="I14" s="12">
        <f>'FS Desroches Daily'!CM16</f>
        <v>66</v>
      </c>
      <c r="J14" s="11">
        <f t="shared" si="3"/>
        <v>10.487297712684205</v>
      </c>
      <c r="K14" s="13">
        <f>'FS Desroches Daily'!CN16</f>
        <v>12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8</v>
      </c>
      <c r="D15" s="1">
        <v>2021</v>
      </c>
      <c r="E15" s="12">
        <f>Submetering!E15+Submetering!F15+Submetering!G15+Submetering!H15+Submetering!J15-Submetering!AV15</f>
        <v>8700.0000000002183</v>
      </c>
      <c r="F15" s="11">
        <f t="shared" si="1"/>
        <v>0.58765030286592534</v>
      </c>
      <c r="G15" s="12">
        <f>(Submetering!AX15+Submetering!AY15+Submetering!AZ15+Submetering!BA15+Submetering!BB15)</f>
        <v>23.8095</v>
      </c>
      <c r="H15" s="11">
        <f t="shared" si="2"/>
        <v>0.99</v>
      </c>
      <c r="I15" s="12">
        <f>'FS Desroches Daily'!CM17</f>
        <v>55</v>
      </c>
      <c r="J15" s="11">
        <f t="shared" si="3"/>
        <v>10.487297712684205</v>
      </c>
      <c r="K15" s="13">
        <f>'FS Desroches Daily'!CN17</f>
        <v>12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8</v>
      </c>
      <c r="D16" s="1">
        <v>2021</v>
      </c>
      <c r="E16" s="12">
        <f>Submetering!E16+Submetering!F16+Submetering!G16+Submetering!H16+Submetering!J16-Submetering!AV16</f>
        <v>9000.0000000000764</v>
      </c>
      <c r="F16" s="11">
        <f t="shared" si="1"/>
        <v>0.58765030286592534</v>
      </c>
      <c r="G16" s="12">
        <f>(Submetering!AX16+Submetering!AY16+Submetering!AZ16+Submetering!BA16+Submetering!BB16)</f>
        <v>27.472499999999997</v>
      </c>
      <c r="H16" s="11">
        <f t="shared" si="2"/>
        <v>0.99</v>
      </c>
      <c r="I16" s="12">
        <f>'FS Desroches Daily'!CM18</f>
        <v>88</v>
      </c>
      <c r="J16" s="11">
        <f t="shared" si="3"/>
        <v>10.487297712684205</v>
      </c>
      <c r="K16" s="13">
        <f>'FS Desroches Daily'!CN18</f>
        <v>16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8</v>
      </c>
      <c r="D17" s="1">
        <v>2021</v>
      </c>
      <c r="E17" s="12">
        <f>Submetering!E17+Submetering!F17+Submetering!G17+Submetering!H17+Submetering!J17-Submetering!AV17</f>
        <v>8269.9999999998799</v>
      </c>
      <c r="F17" s="11">
        <f t="shared" si="1"/>
        <v>0.58765030286592534</v>
      </c>
      <c r="G17" s="12">
        <f>(Submetering!AX17+Submetering!AY17+Submetering!AZ17+Submetering!BA17+Submetering!BB17)</f>
        <v>16.483499999999999</v>
      </c>
      <c r="H17" s="11">
        <f t="shared" si="2"/>
        <v>0.99</v>
      </c>
      <c r="I17" s="12">
        <f>'FS Desroches Daily'!CM19</f>
        <v>62</v>
      </c>
      <c r="J17" s="11">
        <f t="shared" si="3"/>
        <v>10.487297712684205</v>
      </c>
      <c r="K17" s="13">
        <f>'FS Desroches Daily'!CN19</f>
        <v>16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8</v>
      </c>
      <c r="D18" s="1">
        <v>2021</v>
      </c>
      <c r="E18" s="12">
        <f>Submetering!E18+Submetering!F18+Submetering!G18+Submetering!H18+Submetering!J18-Submetering!AV18</f>
        <v>8099.9999999995425</v>
      </c>
      <c r="F18" s="11">
        <f t="shared" si="1"/>
        <v>0.58765030286592534</v>
      </c>
      <c r="G18" s="12">
        <f>(Submetering!AX18+Submetering!AY18+Submetering!AZ18+Submetering!BA18+Submetering!BB18)</f>
        <v>42.124499999999998</v>
      </c>
      <c r="H18" s="11">
        <f t="shared" si="2"/>
        <v>0.99</v>
      </c>
      <c r="I18" s="12">
        <f>'FS Desroches Daily'!CM20</f>
        <v>63</v>
      </c>
      <c r="J18" s="11">
        <f t="shared" si="3"/>
        <v>10.487297712684205</v>
      </c>
      <c r="K18" s="13">
        <f>'FS Desroches Daily'!CN20</f>
        <v>16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8</v>
      </c>
      <c r="D19" s="1">
        <v>2021</v>
      </c>
      <c r="E19" s="12">
        <f>Submetering!E19+Submetering!F19+Submetering!G19+Submetering!H19+Submetering!J19-Submetering!AV19</f>
        <v>8710.0000000004638</v>
      </c>
      <c r="F19" s="11">
        <f t="shared" si="1"/>
        <v>0.58765030286592534</v>
      </c>
      <c r="G19" s="12">
        <f>(Submetering!AX19+Submetering!AY19+Submetering!AZ19+Submetering!BA19+Submetering!BB19)</f>
        <v>7.3259999999999996</v>
      </c>
      <c r="H19" s="11">
        <f t="shared" si="2"/>
        <v>0.99</v>
      </c>
      <c r="I19" s="12">
        <f>'FS Desroches Daily'!CM21</f>
        <v>69</v>
      </c>
      <c r="J19" s="11">
        <f t="shared" si="3"/>
        <v>10.487297712684205</v>
      </c>
      <c r="K19" s="13">
        <f>'FS Desroches Daily'!CN21</f>
        <v>10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8</v>
      </c>
      <c r="D20" s="1">
        <v>2021</v>
      </c>
      <c r="E20" s="12">
        <f>Submetering!E20+Submetering!F20+Submetering!G20+Submetering!H20+Submetering!J20-Submetering!AV20</f>
        <v>8329.9999999999382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62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8</v>
      </c>
      <c r="D21" s="1">
        <v>2021</v>
      </c>
      <c r="E21" s="12" t="e">
        <f>Submetering!E21+Submetering!F21+Submetering!G21+Submetering!H21+Submetering!J21-Submetering!AV21</f>
        <v>#VALUE!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 t="e">
        <f>'FS Desroches Daily'!CM23</f>
        <v>#VALUE!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8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8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8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8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8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8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8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8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8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8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8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33" sqref="C33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8</v>
      </c>
      <c r="D2" s="27">
        <v>2021</v>
      </c>
      <c r="E2" s="31">
        <f>'FS Desroches Daily'!D4</f>
        <v>2199.9999999997576</v>
      </c>
      <c r="F2" s="32">
        <f>'FS Desroches Daily'!F4</f>
        <v>3299.9999999998586</v>
      </c>
      <c r="G2" s="31">
        <f>'FS Desroches Daily'!H4</f>
        <v>3499.9999999998367</v>
      </c>
      <c r="H2" s="32">
        <f>'FS Desroches Daily'!J4</f>
        <v>1400.0000000000678</v>
      </c>
      <c r="I2" s="31">
        <f>'FS Desroches Daily'!L4</f>
        <v>2499.9999999999468</v>
      </c>
      <c r="J2" s="32">
        <f>'FS Desroches Daily'!N4</f>
        <v>1000.0000000001119</v>
      </c>
      <c r="K2" s="13">
        <f>'FS Desroches Daily'!P4</f>
        <v>7</v>
      </c>
      <c r="L2" s="31">
        <f>'FS Desroches Daily'!R4</f>
        <v>3</v>
      </c>
      <c r="M2" s="31">
        <f>'FS Desroches Daily'!T4</f>
        <v>1.1999999999999318</v>
      </c>
      <c r="N2" s="31">
        <f>'FS Desroches Daily'!V4</f>
        <v>439.5</v>
      </c>
      <c r="O2" s="31">
        <f>'FS Desroches Daily'!X4</f>
        <v>319.99999999999318</v>
      </c>
      <c r="P2" s="31">
        <f>'FS Desroches Daily'!Z4</f>
        <v>3099.9999999998809</v>
      </c>
      <c r="Q2" s="31">
        <f>'FS Desroches Daily'!AB4</f>
        <v>330.00000000004093</v>
      </c>
      <c r="R2" s="31">
        <f>'FS Desroches Daily'!AD4</f>
        <v>289.99999999996362</v>
      </c>
      <c r="S2" s="31">
        <f>'FS Desroches Daily'!AF4</f>
        <v>219.9999999999136</v>
      </c>
      <c r="T2" s="31">
        <f>'FS Desroches Daily'!AH4</f>
        <v>42</v>
      </c>
      <c r="U2" s="35">
        <f>'FS Desroches Daily'!AJ4</f>
        <v>679.99999999994998</v>
      </c>
      <c r="V2" s="35">
        <f>'FS Desroches Daily'!AL4</f>
        <v>240.00000000000909</v>
      </c>
      <c r="W2" s="35">
        <f>'FS Desroches Daily'!AN4</f>
        <v>80.000000000012506</v>
      </c>
      <c r="X2" s="35">
        <f>'FS Desroches Daily'!AP4</f>
        <v>250</v>
      </c>
      <c r="Y2" s="35">
        <f>'FS Desroches Daily'!AR4</f>
        <v>299.99999999998295</v>
      </c>
      <c r="Z2" s="35">
        <f>'FS Desroches Daily'!AT4</f>
        <v>120.00000000000455</v>
      </c>
      <c r="AA2" s="35">
        <f>'FS Desroches Daily'!AT4</f>
        <v>120.00000000000455</v>
      </c>
      <c r="AB2" s="35">
        <f>'FS Desroches Daily'!AV4</f>
        <v>169.99999999995907</v>
      </c>
      <c r="AC2" s="35">
        <f>'FS Desroches Daily'!AZ4</f>
        <v>39.99999999996362</v>
      </c>
      <c r="AD2" s="35">
        <f>'FS Desroches Daily'!BB4</f>
        <v>29.999999999972715</v>
      </c>
      <c r="AE2" s="35">
        <f>'FS Desroches Daily'!BD4</f>
        <v>69.999999999993179</v>
      </c>
      <c r="AF2" s="31">
        <f>'FS Desroches Daily'!BF4</f>
        <v>39</v>
      </c>
      <c r="AG2" s="32">
        <f>'FS Desroches Daily'!BH4</f>
        <v>60.000000000002274</v>
      </c>
      <c r="AH2" s="32">
        <f>'FS Desroches Daily'!BJ4</f>
        <v>40.000000000020464</v>
      </c>
      <c r="AI2" s="32">
        <f>'FS Desroches Daily'!BL4</f>
        <v>30.000000000001137</v>
      </c>
      <c r="AJ2" s="32">
        <f>'FS Desroches Daily'!BN4</f>
        <v>40.000000000020464</v>
      </c>
      <c r="AK2" s="32">
        <f>'FS Desroches Daily'!BP4</f>
        <v>40.000000000020464</v>
      </c>
      <c r="AL2" s="32">
        <f>'FS Desroches Daily'!BR4</f>
        <v>27</v>
      </c>
      <c r="AM2" s="32">
        <f>'FS Desroches Daily'!BT4</f>
        <v>30.000000000001137</v>
      </c>
      <c r="AN2" s="32">
        <f>'FS Desroches Daily'!BV4</f>
        <v>44</v>
      </c>
      <c r="AO2" s="32">
        <f>'FS Desroches Daily'!BX4</f>
        <v>30.000000000001137</v>
      </c>
      <c r="AP2" s="32">
        <f>'FS Desroches Daily'!BZ4</f>
        <v>48</v>
      </c>
      <c r="AQ2" s="31">
        <f>'FS Desroches Daily'!CB4</f>
        <v>40</v>
      </c>
      <c r="AR2" s="31">
        <f>'FS Desroches Daily'!CD4</f>
        <v>12</v>
      </c>
      <c r="AS2" s="31">
        <f>'FS Desroches Daily'!CF4</f>
        <v>11.600000000000364</v>
      </c>
      <c r="AT2" s="31">
        <f>'FS Desroches Daily'!CH4</f>
        <v>55</v>
      </c>
      <c r="AU2" s="31">
        <f>'FS Desroches Daily'!CJ4</f>
        <v>320</v>
      </c>
      <c r="AV2" s="31">
        <f>'FS Desroches Daily'!CL4</f>
        <v>860.00000000001364</v>
      </c>
      <c r="AW2" s="31">
        <f>'FS Desroches Daily'!CM4</f>
        <v>112</v>
      </c>
      <c r="AX2" s="31">
        <f>IF(LPG!F9-LPG!F8&lt;0,"0",(LPG!F9-LPG!F8)*1.8315)</f>
        <v>7.3259999999999996</v>
      </c>
      <c r="AY2" s="31">
        <f>IF(LPG!H9-LPG!H8&lt;0,"0",(LPG!H9-LPG!H8)*1.8315)</f>
        <v>3.6629999999999998</v>
      </c>
      <c r="AZ2" s="31">
        <f>IF(LPG!J9-LPG!J8&lt;0,"0",(LPG!J9-LPG!J8)*1.8315)</f>
        <v>3.6629999999999998</v>
      </c>
      <c r="BA2" s="31">
        <f>IF(LPG!M9-LPG!M8&lt;0,"0",(LPG!M9-LPG!M8)*1.8315)</f>
        <v>3.6629999999999998</v>
      </c>
      <c r="BB2" s="31">
        <f>IF(LPG!Q9-LPG!Q8&lt;0,"0",(LPG!Q9-LPG!Q8)*1.8315)</f>
        <v>7.3259999999999996</v>
      </c>
      <c r="BC2" s="13">
        <f>'FS Desroches Daily'!CN4</f>
        <v>13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8</v>
      </c>
      <c r="D3" s="27">
        <v>2021</v>
      </c>
      <c r="E3" s="31">
        <f>'FS Desroches Daily'!D5</f>
        <v>2200.0000000002019</v>
      </c>
      <c r="F3" s="32">
        <f>'FS Desroches Daily'!F5</f>
        <v>2800.0000000001355</v>
      </c>
      <c r="G3" s="31">
        <f>'FS Desroches Daily'!H5</f>
        <v>2600.0000000001578</v>
      </c>
      <c r="H3" s="32">
        <f>'FS Desroches Daily'!J5</f>
        <v>1199.9999999998679</v>
      </c>
      <c r="I3" s="31">
        <f>'FS Desroches Daily'!L5</f>
        <v>1999.9999999997797</v>
      </c>
      <c r="J3" s="32">
        <f>'FS Desroches Daily'!N5</f>
        <v>899.99999999990087</v>
      </c>
      <c r="K3" s="13">
        <f>'FS Desroches Daily'!P5</f>
        <v>5</v>
      </c>
      <c r="L3" s="31">
        <f>'FS Desroches Daily'!R5</f>
        <v>2</v>
      </c>
      <c r="M3" s="31">
        <f>'FS Desroches Daily'!T5</f>
        <v>0.80000000000006821</v>
      </c>
      <c r="N3" s="31">
        <f>'FS Desroches Daily'!V5</f>
        <v>230.39999999996508</v>
      </c>
      <c r="O3" s="31">
        <f>'FS Desroches Daily'!X6</f>
        <v>280.00000000002956</v>
      </c>
      <c r="P3" s="31">
        <f>'FS Desroches Daily'!Z5</f>
        <v>2000.0000000002237</v>
      </c>
      <c r="Q3" s="31">
        <f>'FS Desroches Daily'!AB5</f>
        <v>279.99999999997272</v>
      </c>
      <c r="R3" s="31">
        <f>'FS Desroches Daily'!AD5</f>
        <v>240.00000000000909</v>
      </c>
      <c r="S3" s="31">
        <f>'FS Desroches Daily'!AF5</f>
        <v>240.00000000000909</v>
      </c>
      <c r="T3" s="31">
        <f>'FS Desroches Daily'!AH5</f>
        <v>29</v>
      </c>
      <c r="U3" s="35">
        <f>'FS Desroches Daily'!AJ5</f>
        <v>519.99999999998181</v>
      </c>
      <c r="V3" s="35">
        <f>'FS Desroches Daily'!AL5</f>
        <v>159.99999999999659</v>
      </c>
      <c r="W3" s="35">
        <f>'FS Desroches Daily'!AN5</f>
        <v>69.999999999993179</v>
      </c>
      <c r="X3" s="35">
        <f>'FS Desroches Daily'!AP5</f>
        <v>159.99999999999659</v>
      </c>
      <c r="Y3" s="35">
        <f>'FS Desroches Daily'!AR5</f>
        <v>110.00000000001364</v>
      </c>
      <c r="Z3" s="35">
        <f>'FS Desroches Daily'!AT5</f>
        <v>89.999999999974989</v>
      </c>
      <c r="AA3" s="35">
        <f>'FS Desroches Daily'!AT5</f>
        <v>89.999999999974989</v>
      </c>
      <c r="AB3" s="35">
        <f>'FS Desroches Daily'!AV5</f>
        <v>129.99999999999545</v>
      </c>
      <c r="AC3" s="35">
        <f>'FS Desroches Daily'!AZ5</f>
        <v>30.000000000029559</v>
      </c>
      <c r="AD3" s="35">
        <f>'FS Desroches Daily'!BB5</f>
        <v>9.9999999999909051</v>
      </c>
      <c r="AE3" s="35">
        <f>'FS Desroches Daily'!BD5</f>
        <v>69.999999999993179</v>
      </c>
      <c r="AF3" s="31">
        <f>'FS Desroches Daily'!BF5</f>
        <v>33</v>
      </c>
      <c r="AG3" s="32">
        <f>'FS Desroches Daily'!BH5</f>
        <v>39.999999999992042</v>
      </c>
      <c r="AH3" s="32">
        <f>'FS Desroches Daily'!BJ5</f>
        <v>19.99999999998181</v>
      </c>
      <c r="AI3" s="32">
        <f>'FS Desroches Daily'!BL5</f>
        <v>30.000000000001137</v>
      </c>
      <c r="AJ3" s="32">
        <f>'FS Desroches Daily'!BN5</f>
        <v>39.999999999992042</v>
      </c>
      <c r="AK3" s="32">
        <f>'FS Desroches Daily'!BP5</f>
        <v>30.000000000029559</v>
      </c>
      <c r="AL3" s="32">
        <f>'FS Desroches Daily'!BR5</f>
        <v>22</v>
      </c>
      <c r="AM3" s="32">
        <f>'FS Desroches Daily'!BT5</f>
        <v>30.000000000001137</v>
      </c>
      <c r="AN3" s="32">
        <f>'FS Desroches Daily'!BV5</f>
        <v>36</v>
      </c>
      <c r="AO3" s="32">
        <f>'FS Desroches Daily'!BX5</f>
        <v>19.99999999998181</v>
      </c>
      <c r="AP3" s="32">
        <f>'FS Desroches Daily'!BZ5</f>
        <v>39</v>
      </c>
      <c r="AQ3" s="31">
        <f>'FS Desroches Daily'!CB5</f>
        <v>30.69999999999709</v>
      </c>
      <c r="AR3" s="31">
        <f>'FS Desroches Daily'!CD5</f>
        <v>3.1999999999989086</v>
      </c>
      <c r="AS3" s="31">
        <f>'FS Desroches Daily'!CF5</f>
        <v>11.5</v>
      </c>
      <c r="AT3" s="31">
        <f>'FS Desroches Daily'!CH5</f>
        <v>36.19999999999709</v>
      </c>
      <c r="AU3" s="31">
        <f>'FS Desroches Daily'!CJ5</f>
        <v>228</v>
      </c>
      <c r="AV3" s="31">
        <f>'FS Desroches Daily'!CL5</f>
        <v>779.99999999997272</v>
      </c>
      <c r="AW3" s="31">
        <f>'FS Desroches Daily'!CM5</f>
        <v>63</v>
      </c>
      <c r="AX3" s="31">
        <f>IF(LPG!F10-LPG!F9&lt;0,"0",(LPG!F10-LPG!F9)*1.8315)</f>
        <v>9.1574999999999989</v>
      </c>
      <c r="AY3" s="31">
        <f>IF(LPG!H10-LPG!H9&lt;0,"0",(LPG!H10-LPG!H9)*1.8315)</f>
        <v>3.6629999999999998</v>
      </c>
      <c r="AZ3" s="31">
        <f>IF(LPG!J10-LPG!J9&lt;0,"0",(LPG!J10-LPG!J9)*1.8315)</f>
        <v>1.8314999999999999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13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8</v>
      </c>
      <c r="D4" s="27">
        <v>2021</v>
      </c>
      <c r="E4" s="31">
        <f>'FS Desroches Daily'!D6</f>
        <v>1799.9999999998017</v>
      </c>
      <c r="F4" s="32">
        <f>'FS Desroches Daily'!F6</f>
        <v>2299.9999999999686</v>
      </c>
      <c r="G4" s="31">
        <f>'FS Desroches Daily'!H6</f>
        <v>2000.0000000002237</v>
      </c>
      <c r="H4" s="32">
        <f>'FS Desroches Daily'!J6</f>
        <v>1200.0000000000898</v>
      </c>
      <c r="I4" s="31">
        <f>'FS Desroches Daily'!L6</f>
        <v>1800.0000000002458</v>
      </c>
      <c r="J4" s="32">
        <f>'FS Desroches Daily'!N6</f>
        <v>700.00000000014495</v>
      </c>
      <c r="K4" s="13">
        <f>'FS Desroches Daily'!P6</f>
        <v>2</v>
      </c>
      <c r="L4" s="31">
        <f>'FS Desroches Daily'!R6</f>
        <v>4</v>
      </c>
      <c r="M4" s="31">
        <f>'FS Desroches Daily'!T6</f>
        <v>0.5</v>
      </c>
      <c r="N4" s="31">
        <f>'FS Desroches Daily'!V6</f>
        <v>348.30000000004657</v>
      </c>
      <c r="O4" s="31">
        <f>'FS Desroches Daily'!X7</f>
        <v>250</v>
      </c>
      <c r="P4" s="31">
        <f>'FS Desroches Daily'!Z6</f>
        <v>2499.9999999999468</v>
      </c>
      <c r="Q4" s="31">
        <f>'FS Desroches Daily'!AB6</f>
        <v>180.00000000000682</v>
      </c>
      <c r="R4" s="31">
        <f>'FS Desroches Daily'!AD6</f>
        <v>300.00000000001137</v>
      </c>
      <c r="S4" s="31">
        <f>'FS Desroches Daily'!AF6</f>
        <v>170.00000000007276</v>
      </c>
      <c r="T4" s="31">
        <f>'FS Desroches Daily'!AH6</f>
        <v>38</v>
      </c>
      <c r="U4" s="35">
        <f>'FS Desroches Daily'!AJ6</f>
        <v>670.00000000007276</v>
      </c>
      <c r="V4" s="35">
        <f>'FS Desroches Daily'!AL6</f>
        <v>219.99999999999886</v>
      </c>
      <c r="W4" s="35">
        <f>'FS Desroches Daily'!AN6</f>
        <v>129.99999999999545</v>
      </c>
      <c r="X4" s="35">
        <f>'FS Desroches Daily'!AP6</f>
        <v>219.99999999999886</v>
      </c>
      <c r="Y4" s="35">
        <f>'FS Desroches Daily'!AR6</f>
        <v>310.00000000000227</v>
      </c>
      <c r="Z4" s="35">
        <f>'FS Desroches Daily'!AT6</f>
        <v>129.99999999999545</v>
      </c>
      <c r="AA4" s="35">
        <f>'FS Desroches Daily'!AT6</f>
        <v>129.99999999999545</v>
      </c>
      <c r="AB4" s="35">
        <f>'FS Desroches Daily'!AV6</f>
        <v>180.00000000000682</v>
      </c>
      <c r="AC4" s="35">
        <f>'FS Desroches Daily'!AZ6</f>
        <v>39.99999999996362</v>
      </c>
      <c r="AD4" s="35">
        <f>'FS Desroches Daily'!BB6</f>
        <v>30.000000000029559</v>
      </c>
      <c r="AE4" s="35">
        <f>'FS Desroches Daily'!BD6</f>
        <v>80.000000000012506</v>
      </c>
      <c r="AF4" s="31">
        <f>'FS Desroches Daily'!BF6</f>
        <v>29</v>
      </c>
      <c r="AG4" s="32">
        <f>'FS Desroches Daily'!BH6</f>
        <v>60.000000000002274</v>
      </c>
      <c r="AH4" s="32">
        <f>'FS Desroches Daily'!BJ6</f>
        <v>19.99999999998181</v>
      </c>
      <c r="AI4" s="32">
        <f>'FS Desroches Daily'!BL6</f>
        <v>30.000000000001137</v>
      </c>
      <c r="AJ4" s="32">
        <f>'FS Desroches Daily'!BN6</f>
        <v>49.999999999982947</v>
      </c>
      <c r="AK4" s="32">
        <f>'FS Desroches Daily'!BP6</f>
        <v>49.999999999954525</v>
      </c>
      <c r="AL4" s="32">
        <f>'FS Desroches Daily'!BR6</f>
        <v>31</v>
      </c>
      <c r="AM4" s="32">
        <f>'FS Desroches Daily'!BT6</f>
        <v>39.999999999992042</v>
      </c>
      <c r="AN4" s="32">
        <f>'FS Desroches Daily'!BV6</f>
        <v>45</v>
      </c>
      <c r="AO4" s="32">
        <f>'FS Desroches Daily'!BX6</f>
        <v>30.000000000001137</v>
      </c>
      <c r="AP4" s="32">
        <f>'FS Desroches Daily'!BZ6</f>
        <v>49</v>
      </c>
      <c r="AQ4" s="31">
        <f>'FS Desroches Daily'!CB6</f>
        <v>29.200000000004366</v>
      </c>
      <c r="AR4" s="31">
        <f>'FS Desroches Daily'!CD6</f>
        <v>7.6000000000003638</v>
      </c>
      <c r="AS4" s="31">
        <f>'FS Desroches Daily'!CF6</f>
        <v>1</v>
      </c>
      <c r="AT4" s="31">
        <f>'FS Desroches Daily'!CH6</f>
        <v>55.400000000001455</v>
      </c>
      <c r="AU4" s="31">
        <f>'FS Desroches Daily'!CJ6</f>
        <v>285</v>
      </c>
      <c r="AV4" s="31">
        <f>'FS Desroches Daily'!CL6</f>
        <v>669.99999999995907</v>
      </c>
      <c r="AW4" s="31">
        <f>'FS Desroches Daily'!CM6</f>
        <v>60</v>
      </c>
      <c r="AX4" s="31">
        <f>IF(LPG!F11-LPG!F10&lt;0,"0",(LPG!F11-LPG!F10)*1.8315)</f>
        <v>10.988999999999999</v>
      </c>
      <c r="AY4" s="31">
        <f>IF(LPG!H11-LPG!H10&lt;0,"0",(LPG!H11-LPG!H10)*1.8315)</f>
        <v>1.8314999999999999</v>
      </c>
      <c r="AZ4" s="31">
        <f>IF(LPG!J13-LPG!J10&lt;0,"0",(LPG!J13-LPG!J10)*1.8315)</f>
        <v>7.3259999999999996</v>
      </c>
      <c r="BA4" s="31">
        <f>IF(LPG!M11-LPG!M10&lt;0,"0",(LPG!M11-LPG!M10)*1.8315)</f>
        <v>3.6629999999999998</v>
      </c>
      <c r="BB4" s="31">
        <f>IF(LPG!Q11-LPG!Q10&lt;0,"0",(LPG!Q11-LPG!Q10)*1.8315)</f>
        <v>9.1574999999999989</v>
      </c>
      <c r="BC4" s="13">
        <f>'FS Desroches Daily'!CN6</f>
        <v>15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8</v>
      </c>
      <c r="D5" s="27">
        <v>2021</v>
      </c>
      <c r="E5" s="31">
        <f>'FS Desroches Daily'!D7</f>
        <v>2400.0000000001796</v>
      </c>
      <c r="F5" s="32">
        <f>'FS Desroches Daily'!F7</f>
        <v>2599.9999999997135</v>
      </c>
      <c r="G5" s="31">
        <f>'FS Desroches Daily'!H7</f>
        <v>2699.9999999999245</v>
      </c>
      <c r="H5" s="32">
        <f>'FS Desroches Daily'!J7</f>
        <v>1299.9999999998568</v>
      </c>
      <c r="I5" s="31">
        <f>'FS Desroches Daily'!L7</f>
        <v>1900.0000000000127</v>
      </c>
      <c r="J5" s="32">
        <f>'FS Desroches Daily'!N7</f>
        <v>799.99999999991189</v>
      </c>
      <c r="K5" s="13">
        <f>'FS Desroches Daily'!P7</f>
        <v>3</v>
      </c>
      <c r="L5" s="31">
        <f>'FS Desroches Daily'!R7</f>
        <v>2</v>
      </c>
      <c r="M5" s="31">
        <f>'FS Desroches Daily'!T7</f>
        <v>0.79999999999995453</v>
      </c>
      <c r="N5" s="31">
        <f>'FS Desroches Daily'!V7</f>
        <v>325.59999999997672</v>
      </c>
      <c r="O5" s="31">
        <f>'FS Desroches Daily'!X8</f>
        <v>259.99999999999091</v>
      </c>
      <c r="P5" s="31">
        <f>'FS Desroches Daily'!Z7</f>
        <v>2299.9999999999686</v>
      </c>
      <c r="Q5" s="31">
        <f>'FS Desroches Daily'!AB7</f>
        <v>290.00000000002046</v>
      </c>
      <c r="R5" s="31">
        <f>'FS Desroches Daily'!AD7</f>
        <v>269.99999999998181</v>
      </c>
      <c r="S5" s="31">
        <f>'FS Desroches Daily'!AF7</f>
        <v>179.99999999994998</v>
      </c>
      <c r="T5" s="31">
        <f>'FS Desroches Daily'!AH7</f>
        <v>35</v>
      </c>
      <c r="U5" s="35">
        <f>'FS Desroches Daily'!AJ7</f>
        <v>899.99999999997726</v>
      </c>
      <c r="V5" s="35">
        <f>'FS Desroches Daily'!AL7</f>
        <v>229.99999999998977</v>
      </c>
      <c r="W5" s="35">
        <f>'FS Desroches Daily'!AN7</f>
        <v>110.00000000001364</v>
      </c>
      <c r="X5" s="35">
        <f>'FS Desroches Daily'!AP7</f>
        <v>170.00000000001592</v>
      </c>
      <c r="Y5" s="35">
        <f>'FS Desroches Daily'!AR7</f>
        <v>229.99999999998977</v>
      </c>
      <c r="Z5" s="35">
        <f>'FS Desroches Daily'!AT7</f>
        <v>110.00000000001364</v>
      </c>
      <c r="AA5" s="35">
        <f>'FS Desroches Daily'!AT7</f>
        <v>110.00000000001364</v>
      </c>
      <c r="AB5" s="35">
        <f>'FS Desroches Daily'!AV7</f>
        <v>160.00000000002501</v>
      </c>
      <c r="AC5" s="35">
        <f>'FS Desroches Daily'!AZ7</f>
        <v>40.000000000020464</v>
      </c>
      <c r="AD5" s="35">
        <f>'FS Desroches Daily'!BB7</f>
        <v>29.999999999972715</v>
      </c>
      <c r="AE5" s="35">
        <f>'FS Desroches Daily'!BD7</f>
        <v>89.999999999974989</v>
      </c>
      <c r="AF5" s="31">
        <f>'FS Desroches Daily'!BF7</f>
        <v>31</v>
      </c>
      <c r="AG5" s="32">
        <f>'FS Desroches Daily'!BH7</f>
        <v>60.000000000002274</v>
      </c>
      <c r="AH5" s="32">
        <f>'FS Desroches Daily'!BJ7</f>
        <v>50.000000000011369</v>
      </c>
      <c r="AI5" s="32">
        <f>'FS Desroches Daily'!BL7</f>
        <v>49.999999999982947</v>
      </c>
      <c r="AJ5" s="32">
        <f>'FS Desroches Daily'!BN7</f>
        <v>60.000000000002274</v>
      </c>
      <c r="AK5" s="32">
        <f>'FS Desroches Daily'!BP7</f>
        <v>90.000000000031832</v>
      </c>
      <c r="AL5" s="32">
        <f>'FS Desroches Daily'!BR7</f>
        <v>46</v>
      </c>
      <c r="AM5" s="32">
        <f>'FS Desroches Daily'!BT7</f>
        <v>60.000000000002274</v>
      </c>
      <c r="AN5" s="32">
        <f>'FS Desroches Daily'!BV7</f>
        <v>63</v>
      </c>
      <c r="AO5" s="32">
        <f>'FS Desroches Daily'!BX7</f>
        <v>40.000000000020464</v>
      </c>
      <c r="AP5" s="32">
        <f>'FS Desroches Daily'!BZ7</f>
        <v>62</v>
      </c>
      <c r="AQ5" s="31">
        <f>'FS Desroches Daily'!CB7</f>
        <v>30.299999999995634</v>
      </c>
      <c r="AR5" s="31">
        <f>'FS Desroches Daily'!CD7</f>
        <v>6.3000000000010914</v>
      </c>
      <c r="AS5" s="31">
        <f>'FS Desroches Daily'!CF7</f>
        <v>5.6000000000003638</v>
      </c>
      <c r="AT5" s="31">
        <f>'FS Desroches Daily'!CH7</f>
        <v>59.099999999998545</v>
      </c>
      <c r="AU5" s="31">
        <f>'FS Desroches Daily'!CJ7</f>
        <v>272</v>
      </c>
      <c r="AV5" s="31">
        <f>'FS Desroches Daily'!CL7</f>
        <v>730.00000000001819</v>
      </c>
      <c r="AW5" s="31">
        <f>'FS Desroches Daily'!CM7</f>
        <v>45</v>
      </c>
      <c r="AX5" s="31">
        <f>IF(LPG!F12-LPG!F11&lt;0,"0",(LPG!F12-LPG!F11)*1.8315)</f>
        <v>9.1574999999999989</v>
      </c>
      <c r="AY5" s="31">
        <f>IF(LPG!H12-LPG!H11&lt;0,"0",(LPG!H12-LPG!H11)*1.8315)</f>
        <v>3.6629999999999998</v>
      </c>
      <c r="AZ5" s="31" t="str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7.3259999999999996</v>
      </c>
      <c r="BC5" s="13">
        <f>'FS Desroches Daily'!CN7</f>
        <v>15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8</v>
      </c>
      <c r="D6" s="27">
        <v>2021</v>
      </c>
      <c r="E6" s="31">
        <f>'FS Desroches Daily'!D8</f>
        <v>2799.9999999996917</v>
      </c>
      <c r="F6" s="32">
        <f>'FS Desroches Daily'!F8</f>
        <v>2499.9999999999468</v>
      </c>
      <c r="G6" s="31">
        <f>'FS Desroches Daily'!H8</f>
        <v>2699.9999999999245</v>
      </c>
      <c r="H6" s="32">
        <f>'FS Desroches Daily'!J8</f>
        <v>1300.0000000000789</v>
      </c>
      <c r="I6" s="31">
        <f>'FS Desroches Daily'!L8</f>
        <v>1999.9999999997797</v>
      </c>
      <c r="J6" s="32">
        <f>'FS Desroches Daily'!N8</f>
        <v>799.99999999991189</v>
      </c>
      <c r="K6" s="13">
        <f>'FS Desroches Daily'!P8</f>
        <v>8</v>
      </c>
      <c r="L6" s="31">
        <f>'FS Desroches Daily'!R8</f>
        <v>2</v>
      </c>
      <c r="M6" s="31">
        <f>'FS Desroches Daily'!T8</f>
        <v>0.80000000000006821</v>
      </c>
      <c r="N6" s="31">
        <f>'FS Desroches Daily'!V8</f>
        <v>312.79999999998836</v>
      </c>
      <c r="O6" s="31">
        <f>'FS Desroches Daily'!X8</f>
        <v>259.99999999999091</v>
      </c>
      <c r="P6" s="31">
        <f>'FS Desroches Daily'!Z8</f>
        <v>2199.9999999997576</v>
      </c>
      <c r="Q6" s="31">
        <f>'FS Desroches Daily'!AB8</f>
        <v>180.00000000000682</v>
      </c>
      <c r="R6" s="31">
        <f>'FS Desroches Daily'!AD8</f>
        <v>319.99999999999318</v>
      </c>
      <c r="S6" s="31">
        <f>'FS Desroches Daily'!AF8</f>
        <v>169.99999999995907</v>
      </c>
      <c r="T6" s="31">
        <f>'FS Desroches Daily'!AH8</f>
        <v>37</v>
      </c>
      <c r="U6" s="35">
        <f>'FS Desroches Daily'!AJ8</f>
        <v>1069.9999999999363</v>
      </c>
      <c r="V6" s="35">
        <f>'FS Desroches Daily'!AL8</f>
        <v>210.00000000000796</v>
      </c>
      <c r="W6" s="35">
        <f>'FS Desroches Daily'!AN8</f>
        <v>259.99999999999091</v>
      </c>
      <c r="X6" s="35">
        <f>'FS Desroches Daily'!AP8</f>
        <v>199.99999999998863</v>
      </c>
      <c r="Y6" s="35">
        <f>'FS Desroches Daily'!AR8</f>
        <v>189.99999999999773</v>
      </c>
      <c r="Z6" s="35">
        <f>'FS Desroches Daily'!AT8</f>
        <v>110.00000000001364</v>
      </c>
      <c r="AA6" s="35">
        <f>'FS Desroches Daily'!AT8</f>
        <v>110.00000000001364</v>
      </c>
      <c r="AB6" s="35">
        <f>'FS Desroches Daily'!AV8</f>
        <v>149.99999999997726</v>
      </c>
      <c r="AC6" s="35">
        <f>'FS Desroches Daily'!AZ8</f>
        <v>50.000000000011369</v>
      </c>
      <c r="AD6" s="35">
        <f>'FS Desroches Daily'!BB8</f>
        <v>30.000000000029559</v>
      </c>
      <c r="AE6" s="35">
        <f>'FS Desroches Daily'!BD8</f>
        <v>90.000000000003411</v>
      </c>
      <c r="AF6" s="31">
        <f>'FS Desroches Daily'!BF8</f>
        <v>26</v>
      </c>
      <c r="AG6" s="32">
        <f>'FS Desroches Daily'!BH8</f>
        <v>9.9999999999909051</v>
      </c>
      <c r="AH6" s="32">
        <f>'FS Desroches Daily'!BJ8</f>
        <v>9.9999999999909051</v>
      </c>
      <c r="AI6" s="32">
        <f>'FS Desroches Daily'!BL8</f>
        <v>0</v>
      </c>
      <c r="AJ6" s="32">
        <f>'FS Desroches Daily'!BN8</f>
        <v>10.000000000019327</v>
      </c>
      <c r="AK6" s="32">
        <f>'FS Desroches Daily'!BP8</f>
        <v>19.99999999998181</v>
      </c>
      <c r="AL6" s="32">
        <f>'FS Desroches Daily'!BR8</f>
        <v>8</v>
      </c>
      <c r="AM6" s="32">
        <f>'FS Desroches Daily'!BT8</f>
        <v>9.9999999999909051</v>
      </c>
      <c r="AN6" s="32">
        <f>'FS Desroches Daily'!BV8</f>
        <v>17</v>
      </c>
      <c r="AO6" s="32">
        <f>'FS Desroches Daily'!BX8</f>
        <v>9.9999999999909051</v>
      </c>
      <c r="AP6" s="32">
        <f>'FS Desroches Daily'!BZ8</f>
        <v>15</v>
      </c>
      <c r="AQ6" s="31">
        <f>'FS Desroches Daily'!CB8</f>
        <v>35.5</v>
      </c>
      <c r="AR6" s="31">
        <f>'FS Desroches Daily'!CD8</f>
        <v>7</v>
      </c>
      <c r="AS6" s="31">
        <f>'FS Desroches Daily'!CF8</f>
        <v>0.6999999999998181</v>
      </c>
      <c r="AT6" s="31">
        <f>'FS Desroches Daily'!CH8</f>
        <v>60</v>
      </c>
      <c r="AU6" s="31">
        <f>'FS Desroches Daily'!CJ8</f>
        <v>268</v>
      </c>
      <c r="AV6" s="31">
        <f>'FS Desroches Daily'!CL8</f>
        <v>629.99999999999545</v>
      </c>
      <c r="AW6" s="31">
        <f>'FS Desroches Daily'!CM8</f>
        <v>70</v>
      </c>
      <c r="AX6" s="31">
        <f>IF(LPG!F13-LPG!F12&lt;0,"0",(LPG!F13-LPG!F12)*1.8315)</f>
        <v>14.651999999999999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3.6629999999999998</v>
      </c>
      <c r="BB6" s="31">
        <f>IF(LPG!Q13-LPG!Q12&lt;0,"0",(LPG!Q13-LPG!Q12)*1.8315)</f>
        <v>5.4944999999999995</v>
      </c>
      <c r="BC6" s="13">
        <f>'FS Desroches Daily'!CN8</f>
        <v>15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8</v>
      </c>
      <c r="D7" s="27">
        <v>2021</v>
      </c>
      <c r="E7" s="31">
        <f>'FS Desroches Daily'!D9</f>
        <v>2900.0000000003465</v>
      </c>
      <c r="F7" s="32">
        <f>'FS Desroches Daily'!F9</f>
        <v>2500.0000000003906</v>
      </c>
      <c r="G7" s="31">
        <f>'FS Desroches Daily'!H9</f>
        <v>2600.0000000001578</v>
      </c>
      <c r="H7" s="32">
        <f>'FS Desroches Daily'!J9</f>
        <v>1200.0000000000898</v>
      </c>
      <c r="I7" s="31">
        <f>'FS Desroches Daily'!L9</f>
        <v>1900.0000000000127</v>
      </c>
      <c r="J7" s="32">
        <f>'FS Desroches Daily'!N9</f>
        <v>900.0000000001229</v>
      </c>
      <c r="K7" s="13">
        <f>'FS Desroches Daily'!P9</f>
        <v>8</v>
      </c>
      <c r="L7" s="31">
        <f>'FS Desroches Daily'!R9</f>
        <v>2</v>
      </c>
      <c r="M7" s="31">
        <f>'FS Desroches Daily'!T9</f>
        <v>0.79999999999995453</v>
      </c>
      <c r="N7" s="31">
        <f>'FS Desroches Daily'!V9</f>
        <v>308.5</v>
      </c>
      <c r="O7" s="31">
        <f>'FS Desroches Daily'!X9</f>
        <v>240.00000000000909</v>
      </c>
      <c r="P7" s="31">
        <f>'FS Desroches Daily'!Z9</f>
        <v>2299.9999999999686</v>
      </c>
      <c r="Q7" s="31">
        <f>'FS Desroches Daily'!AB9</f>
        <v>299.99999999995453</v>
      </c>
      <c r="R7" s="31">
        <f>'FS Desroches Daily'!AD9</f>
        <v>260.00000000004775</v>
      </c>
      <c r="S7" s="31">
        <f>'FS Desroches Daily'!AF9</f>
        <v>200.00000000004547</v>
      </c>
      <c r="T7" s="31">
        <f>'FS Desroches Daily'!AH9</f>
        <v>32</v>
      </c>
      <c r="U7" s="35">
        <f>'FS Desroches Daily'!AJ9</f>
        <v>1190.0000000000546</v>
      </c>
      <c r="V7" s="35">
        <f>'FS Desroches Daily'!AL9</f>
        <v>199.99999999998863</v>
      </c>
      <c r="W7" s="35">
        <f>'FS Desroches Daily'!AN9</f>
        <v>319.99999999999318</v>
      </c>
      <c r="X7" s="35">
        <f>'FS Desroches Daily'!AP9</f>
        <v>210.00000000000796</v>
      </c>
      <c r="Y7" s="35">
        <f>'FS Desroches Daily'!AR9</f>
        <v>150.00000000000568</v>
      </c>
      <c r="Z7" s="35">
        <f>'FS Desroches Daily'!AT9</f>
        <v>230.00000000001819</v>
      </c>
      <c r="AA7" s="35">
        <f>'FS Desroches Daily'!AT9</f>
        <v>230.00000000001819</v>
      </c>
      <c r="AB7" s="35">
        <f>'FS Desroches Daily'!AV9</f>
        <v>150.00000000003411</v>
      </c>
      <c r="AC7" s="35">
        <f>'FS Desroches Daily'!AZ9</f>
        <v>39.99999999996362</v>
      </c>
      <c r="AD7" s="35">
        <f>'FS Desroches Daily'!BB9</f>
        <v>19.99999999998181</v>
      </c>
      <c r="AE7" s="35">
        <f>'FS Desroches Daily'!BD9</f>
        <v>110.00000000001364</v>
      </c>
      <c r="AF7" s="31">
        <f>'FS Desroches Daily'!BF9</f>
        <v>25</v>
      </c>
      <c r="AG7" s="32">
        <f>'FS Desroches Daily'!BH9</f>
        <v>30.000000000001137</v>
      </c>
      <c r="AH7" s="32">
        <f>'FS Desroches Daily'!BJ9</f>
        <v>20.000000000038654</v>
      </c>
      <c r="AI7" s="32">
        <f>'FS Desroches Daily'!BL9</f>
        <v>30.000000000001137</v>
      </c>
      <c r="AJ7" s="32">
        <f>'FS Desroches Daily'!BN9</f>
        <v>49.999999999982947</v>
      </c>
      <c r="AK7" s="32">
        <f>'FS Desroches Daily'!BP9</f>
        <v>50.000000000011369</v>
      </c>
      <c r="AL7" s="32">
        <f>'FS Desroches Daily'!BR9</f>
        <v>21</v>
      </c>
      <c r="AM7" s="32">
        <f>'FS Desroches Daily'!BT9</f>
        <v>40.000000000020464</v>
      </c>
      <c r="AN7" s="32">
        <f>'FS Desroches Daily'!BV9</f>
        <v>38</v>
      </c>
      <c r="AO7" s="32">
        <f>'FS Desroches Daily'!BX9</f>
        <v>20.000000000010232</v>
      </c>
      <c r="AP7" s="32">
        <f>'FS Desroches Daily'!BZ9</f>
        <v>36</v>
      </c>
      <c r="AQ7" s="31">
        <f>'FS Desroches Daily'!CB9</f>
        <v>32</v>
      </c>
      <c r="AR7" s="31">
        <f>'FS Desroches Daily'!CD9</f>
        <v>10</v>
      </c>
      <c r="AS7" s="31">
        <f>'FS Desroches Daily'!CF9</f>
        <v>9.3999999999996362</v>
      </c>
      <c r="AT7" s="31">
        <f>'FS Desroches Daily'!CH9</f>
        <v>52.30000000000291</v>
      </c>
      <c r="AU7" s="31">
        <f>'FS Desroches Daily'!CJ9</f>
        <v>262</v>
      </c>
      <c r="AV7" s="31">
        <f>'FS Desroches Daily'!CL9</f>
        <v>769.99999999998181</v>
      </c>
      <c r="AW7" s="31">
        <f>'FS Desroches Daily'!CM9</f>
        <v>97</v>
      </c>
      <c r="AX7" s="31">
        <f>IF(LPG!F14-LPG!F13&lt;0,"0",(LPG!F14-LPG!F13)*1.8315)</f>
        <v>12.820499999999999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1.8314999999999999</v>
      </c>
      <c r="BB7" s="31">
        <f>IF(LPG!Q14-LPG!Q13&lt;0,"0",(LPG!Q14-LPG!Q13)*1.8315)</f>
        <v>5.4944999999999995</v>
      </c>
      <c r="BC7" s="13">
        <f>'FS Desroches Daily'!CN9</f>
        <v>20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8</v>
      </c>
      <c r="D8" s="27">
        <v>2021</v>
      </c>
      <c r="E8" s="31">
        <f>'FS Desroches Daily'!D10</f>
        <v>2799.9999999996917</v>
      </c>
      <c r="F8" s="32">
        <f>'FS Desroches Daily'!F10</f>
        <v>2599.9999999997135</v>
      </c>
      <c r="G8" s="31">
        <f>'FS Desroches Daily'!H10</f>
        <v>2799.9999999996917</v>
      </c>
      <c r="H8" s="32">
        <f>'FS Desroches Daily'!J10</f>
        <v>1199.9999999998679</v>
      </c>
      <c r="I8" s="31">
        <f>'FS Desroches Daily'!L10</f>
        <v>1900.0000000000127</v>
      </c>
      <c r="J8" s="32">
        <f>'FS Desroches Daily'!N10</f>
        <v>799.99999999991189</v>
      </c>
      <c r="K8" s="13">
        <f>'FS Desroches Daily'!P10</f>
        <v>6</v>
      </c>
      <c r="L8" s="31">
        <f>'FS Desroches Daily'!R10</f>
        <v>3</v>
      </c>
      <c r="M8" s="31">
        <f>'FS Desroches Daily'!T10</f>
        <v>1</v>
      </c>
      <c r="N8" s="31">
        <f>'FS Desroches Daily'!V10</f>
        <v>329.70000000001164</v>
      </c>
      <c r="O8" s="31">
        <f>'FS Desroches Daily'!X10</f>
        <v>250</v>
      </c>
      <c r="P8" s="31">
        <f>'FS Desroches Daily'!Z10</f>
        <v>2300.0000000004129</v>
      </c>
      <c r="Q8" s="31">
        <f>'FS Desroches Daily'!AB10</f>
        <v>320.00000000005002</v>
      </c>
      <c r="R8" s="31">
        <f>'FS Desroches Daily'!AD10</f>
        <v>259.99999999999091</v>
      </c>
      <c r="S8" s="31">
        <f>'FS Desroches Daily'!AF10</f>
        <v>179.99999999994998</v>
      </c>
      <c r="T8" s="31">
        <f>'FS Desroches Daily'!AH10</f>
        <v>34</v>
      </c>
      <c r="U8" s="35">
        <f>'FS Desroches Daily'!AJ10</f>
        <v>1090.0000000000318</v>
      </c>
      <c r="V8" s="35">
        <f>'FS Desroches Daily'!AL10</f>
        <v>219.99999999999886</v>
      </c>
      <c r="W8" s="35">
        <f>'FS Desroches Daily'!AN10</f>
        <v>330.00000000001251</v>
      </c>
      <c r="X8" s="35">
        <f>'FS Desroches Daily'!AP10</f>
        <v>189.99999999999773</v>
      </c>
      <c r="Y8" s="35">
        <f>'FS Desroches Daily'!AR10</f>
        <v>150.00000000000568</v>
      </c>
      <c r="Z8" s="35">
        <f>'FS Desroches Daily'!AT10</f>
        <v>180.00000000000682</v>
      </c>
      <c r="AA8" s="35">
        <f>'FS Desroches Daily'!AT10</f>
        <v>180.00000000000682</v>
      </c>
      <c r="AB8" s="35">
        <f>'FS Desroches Daily'!AV10</f>
        <v>159.99999999996817</v>
      </c>
      <c r="AC8" s="35">
        <f>'FS Desroches Daily'!AZ10</f>
        <v>40.000000000020464</v>
      </c>
      <c r="AD8" s="35">
        <f>'FS Desroches Daily'!BB10</f>
        <v>30.000000000029559</v>
      </c>
      <c r="AE8" s="35">
        <f>'FS Desroches Daily'!BD10</f>
        <v>69.999999999993179</v>
      </c>
      <c r="AF8" s="31">
        <f>'FS Desroches Daily'!BF10</f>
        <v>39</v>
      </c>
      <c r="AG8" s="32">
        <f>'FS Desroches Daily'!BH10</f>
        <v>50.000000000011369</v>
      </c>
      <c r="AH8" s="32">
        <f>'FS Desroches Daily'!BJ10</f>
        <v>29.999999999972715</v>
      </c>
      <c r="AI8" s="32">
        <f>'FS Desroches Daily'!BL10</f>
        <v>20.000000000010232</v>
      </c>
      <c r="AJ8" s="32">
        <f>'FS Desroches Daily'!BN10</f>
        <v>30.000000000001137</v>
      </c>
      <c r="AK8" s="32">
        <f>'FS Desroches Daily'!BP10</f>
        <v>50.000000000011369</v>
      </c>
      <c r="AL8" s="32">
        <f>'FS Desroches Daily'!BR10</f>
        <v>22</v>
      </c>
      <c r="AM8" s="32">
        <f>'FS Desroches Daily'!BT10</f>
        <v>39.999999999992042</v>
      </c>
      <c r="AN8" s="32">
        <f>'FS Desroches Daily'!BV10</f>
        <v>39</v>
      </c>
      <c r="AO8" s="32">
        <f>'FS Desroches Daily'!BX10</f>
        <v>19.99999999998181</v>
      </c>
      <c r="AP8" s="32">
        <f>'FS Desroches Daily'!BZ10</f>
        <v>41</v>
      </c>
      <c r="AQ8" s="31">
        <f>'FS Desroches Daily'!CB10</f>
        <v>38.100000000005821</v>
      </c>
      <c r="AR8" s="31">
        <f>'FS Desroches Daily'!CD10</f>
        <v>5.3999999999996362</v>
      </c>
      <c r="AS8" s="31">
        <f>'FS Desroches Daily'!CF10</f>
        <v>11</v>
      </c>
      <c r="AT8" s="31">
        <f>'FS Desroches Daily'!CH10</f>
        <v>52.900000000001455</v>
      </c>
      <c r="AU8" s="31">
        <f>'FS Desroches Daily'!CJ10</f>
        <v>267</v>
      </c>
      <c r="AV8" s="31">
        <f>'FS Desroches Daily'!CL10</f>
        <v>730.00000000001819</v>
      </c>
      <c r="AW8" s="31">
        <f>'FS Desroches Daily'!CM10</f>
        <v>102</v>
      </c>
      <c r="AX8" s="31">
        <f>IF(LPG!F16-LPG!F14&lt;0,"0",(LPG!F16-LPG!F14)*1.8315)</f>
        <v>27.4725</v>
      </c>
      <c r="AY8" s="31">
        <f>IF(LPG!H16-LPG!H14&lt;0,"0",(LPG!H16-LPG!H14)*1.8315)</f>
        <v>7.3259999999999996</v>
      </c>
      <c r="AZ8" s="31">
        <f>IF(LPG!J16-LPG!J14&lt;0,"0",(LPG!J16-LPG!J14)*1.8315)</f>
        <v>3.6629999999999998</v>
      </c>
      <c r="BA8" s="31">
        <f>IF(LPG!M16-LPG!M14&lt;0,"0",(LPG!M16-LPG!M14)*1.8315)</f>
        <v>5.4944999999999995</v>
      </c>
      <c r="BB8" s="31">
        <f>IF(LPG!Q15-LPG!Q14&lt;0,"0",(LPG!Q15-LPG!Q14)*1.8315)</f>
        <v>7.3259999999999996</v>
      </c>
      <c r="BC8" s="13">
        <f>'FS Desroches Daily'!CN10</f>
        <v>20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8</v>
      </c>
      <c r="D9" s="27">
        <v>2021</v>
      </c>
      <c r="E9" s="31">
        <f>'FS Desroches Daily'!D11</f>
        <v>2800.0000000001355</v>
      </c>
      <c r="F9" s="32">
        <f>'FS Desroches Daily'!F11</f>
        <v>2499.9999999999468</v>
      </c>
      <c r="G9" s="31">
        <f>'FS Desroches Daily'!H11</f>
        <v>2699.9999999999245</v>
      </c>
      <c r="H9" s="32">
        <f>'FS Desroches Daily'!J11</f>
        <v>1300.0000000000789</v>
      </c>
      <c r="I9" s="31">
        <f>'FS Desroches Daily'!L11</f>
        <v>1800.0000000002458</v>
      </c>
      <c r="J9" s="32">
        <f>'FS Desroches Daily'!N11</f>
        <v>900.0000000001229</v>
      </c>
      <c r="K9" s="13">
        <f>'FS Desroches Daily'!P11</f>
        <v>3</v>
      </c>
      <c r="L9" s="31">
        <f>'FS Desroches Daily'!R11</f>
        <v>2</v>
      </c>
      <c r="M9" s="31">
        <f>'FS Desroches Daily'!T11</f>
        <v>0.79999999999995453</v>
      </c>
      <c r="N9" s="31">
        <f>'FS Desroches Daily'!V11</f>
        <v>272.70000000001164</v>
      </c>
      <c r="O9" s="31">
        <f>'FS Desroches Daily'!X11</f>
        <v>279.99999999997272</v>
      </c>
      <c r="P9" s="31">
        <f>'FS Desroches Daily'!Z11</f>
        <v>2299.9999999999686</v>
      </c>
      <c r="Q9" s="31">
        <f>'FS Desroches Daily'!AB11</f>
        <v>329.99999999998408</v>
      </c>
      <c r="R9" s="31">
        <f>'FS Desroches Daily'!AD11</f>
        <v>279.99999999997272</v>
      </c>
      <c r="S9" s="31">
        <f>'FS Desroches Daily'!AF11</f>
        <v>180.00000000006366</v>
      </c>
      <c r="T9" s="31">
        <f>'FS Desroches Daily'!AH11</f>
        <v>32</v>
      </c>
      <c r="U9" s="35">
        <f>'FS Desroches Daily'!AJ11</f>
        <v>1169.9999999999591</v>
      </c>
      <c r="V9" s="35">
        <f>'FS Desroches Daily'!AL11</f>
        <v>200.00000000001705</v>
      </c>
      <c r="W9" s="35">
        <f>'FS Desroches Daily'!AN11</f>
        <v>319.99999999999318</v>
      </c>
      <c r="X9" s="35">
        <f>'FS Desroches Daily'!AP11</f>
        <v>199.99999999998863</v>
      </c>
      <c r="Y9" s="35">
        <f>'FS Desroches Daily'!AR11</f>
        <v>150.00000000000568</v>
      </c>
      <c r="Z9" s="35">
        <f>'FS Desroches Daily'!AT11</f>
        <v>169.99999999995907</v>
      </c>
      <c r="AA9" s="35">
        <f>'FS Desroches Daily'!AT11</f>
        <v>169.99999999995907</v>
      </c>
      <c r="AB9" s="35">
        <f>'FS Desroches Daily'!AV11</f>
        <v>100.00000000002274</v>
      </c>
      <c r="AC9" s="35">
        <f>'FS Desroches Daily'!AZ11</f>
        <v>29.999999999972715</v>
      </c>
      <c r="AD9" s="35">
        <f>'FS Desroches Daily'!BB11</f>
        <v>29.999999999972715</v>
      </c>
      <c r="AE9" s="35">
        <f>'FS Desroches Daily'!BD11</f>
        <v>80.000000000012506</v>
      </c>
      <c r="AF9" s="31">
        <f>'FS Desroches Daily'!BF11</f>
        <v>6</v>
      </c>
      <c r="AG9" s="32">
        <f>'FS Desroches Daily'!BH11</f>
        <v>30.000000000001137</v>
      </c>
      <c r="AH9" s="32">
        <f>'FS Desroches Daily'!BJ11</f>
        <v>19.99999999998181</v>
      </c>
      <c r="AI9" s="32">
        <f>'FS Desroches Daily'!BL11</f>
        <v>39.999999999992042</v>
      </c>
      <c r="AJ9" s="32">
        <f>'FS Desroches Daily'!BN11</f>
        <v>39.999999999992042</v>
      </c>
      <c r="AK9" s="32">
        <f>'FS Desroches Daily'!BP11</f>
        <v>50.000000000011369</v>
      </c>
      <c r="AL9" s="32">
        <f>'FS Desroches Daily'!BR11</f>
        <v>22</v>
      </c>
      <c r="AM9" s="32">
        <f>'FS Desroches Daily'!BT11</f>
        <v>30.000000000001137</v>
      </c>
      <c r="AN9" s="32">
        <f>'FS Desroches Daily'!BV11</f>
        <v>33</v>
      </c>
      <c r="AO9" s="32">
        <f>'FS Desroches Daily'!BX11</f>
        <v>20.000000000010232</v>
      </c>
      <c r="AP9" s="32">
        <f>'FS Desroches Daily'!BZ11</f>
        <v>44</v>
      </c>
      <c r="AQ9" s="31">
        <f>'FS Desroches Daily'!CB11</f>
        <v>38.19999999999709</v>
      </c>
      <c r="AR9" s="31">
        <f>'FS Desroches Daily'!CD11</f>
        <v>5.5</v>
      </c>
      <c r="AS9" s="31">
        <f>'FS Desroches Daily'!CF11</f>
        <v>2.8000000000001819</v>
      </c>
      <c r="AT9" s="31">
        <f>'FS Desroches Daily'!CH11</f>
        <v>44.599999999998545</v>
      </c>
      <c r="AU9" s="31">
        <f>'FS Desroches Daily'!CJ11</f>
        <v>278</v>
      </c>
      <c r="AV9" s="31">
        <f>'FS Desroches Daily'!CL11</f>
        <v>820.00000000005002</v>
      </c>
      <c r="AW9" s="31">
        <f>'FS Desroches Daily'!CM11</f>
        <v>90</v>
      </c>
      <c r="AX9" s="31">
        <f>IF(LPG!F17-LPG!F15&lt;0,"0",(LPG!F17-LPG!F15)*1.8315)</f>
        <v>25.640999999999998</v>
      </c>
      <c r="AY9" s="31">
        <f>IF(LPG!H17-LPG!H15&lt;0,"0",(LPG!H17-LPG!H15)*1.8315)</f>
        <v>7.3259999999999996</v>
      </c>
      <c r="AZ9" s="31">
        <f>IF(LPG!J17-LPG!J15&lt;0,"0",(LPG!J17-LPG!J15)*1.8315)</f>
        <v>3.6629999999999998</v>
      </c>
      <c r="BA9" s="31">
        <f>IF(LPG!M17-LPG!M15&lt;0,"0",(LPG!M17-LPG!M15)*1.8315)</f>
        <v>3.6629999999999998</v>
      </c>
      <c r="BB9" s="31">
        <f>IF(LPG!Q16-LPG!Q15&lt;0,"0",(LPG!Q16-LPG!Q15)*1.8315)</f>
        <v>7.3259999999999996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8</v>
      </c>
      <c r="D10" s="27">
        <v>2021</v>
      </c>
      <c r="E10" s="31">
        <f>'FS Desroches Daily'!D12</f>
        <v>2000.0000000002237</v>
      </c>
      <c r="F10" s="32">
        <f>'FS Desroches Daily'!F12</f>
        <v>2299.9999999999686</v>
      </c>
      <c r="G10" s="31">
        <f>'FS Desroches Daily'!H12</f>
        <v>3100.0000000003247</v>
      </c>
      <c r="H10" s="32">
        <f>'FS Desroches Daily'!J12</f>
        <v>1099.9999999998788</v>
      </c>
      <c r="I10" s="31">
        <f>'FS Desroches Daily'!L12</f>
        <v>1999.9999999997797</v>
      </c>
      <c r="J10" s="32">
        <f>'FS Desroches Daily'!N12</f>
        <v>899.99999999990087</v>
      </c>
      <c r="K10" s="13">
        <f>'FS Desroches Daily'!P12</f>
        <v>6</v>
      </c>
      <c r="L10" s="31">
        <f>'FS Desroches Daily'!R12</f>
        <v>2</v>
      </c>
      <c r="M10" s="31">
        <f>'FS Desroches Daily'!T12</f>
        <v>1.2000000000000455</v>
      </c>
      <c r="N10" s="31">
        <f>'FS Desroches Daily'!V12</f>
        <v>348</v>
      </c>
      <c r="O10" s="31">
        <f>'FS Desroches Daily'!X12</f>
        <v>250</v>
      </c>
      <c r="P10" s="31">
        <f>'FS Desroches Daily'!Z12</f>
        <v>1999.9999999997797</v>
      </c>
      <c r="Q10" s="31">
        <f>'FS Desroches Daily'!AB12</f>
        <v>319.99999999999318</v>
      </c>
      <c r="R10" s="31">
        <f>'FS Desroches Daily'!AD12</f>
        <v>259.99999999999091</v>
      </c>
      <c r="S10" s="31">
        <f>'FS Desroches Daily'!AF12</f>
        <v>169.99999999995907</v>
      </c>
      <c r="T10" s="31">
        <f>'FS Desroches Daily'!AH12</f>
        <v>31</v>
      </c>
      <c r="U10" s="35">
        <f>'FS Desroches Daily'!AJ12</f>
        <v>690.00000000005457</v>
      </c>
      <c r="V10" s="35">
        <f>'FS Desroches Daily'!AL12</f>
        <v>189.99999999999773</v>
      </c>
      <c r="W10" s="35">
        <f>'FS Desroches Daily'!AN12</f>
        <v>140.00000000001478</v>
      </c>
      <c r="X10" s="35">
        <f>'FS Desroches Daily'!AP12</f>
        <v>150.00000000000568</v>
      </c>
      <c r="Y10" s="35">
        <f>'FS Desroches Daily'!AR12</f>
        <v>139.99999999998636</v>
      </c>
      <c r="Z10" s="35">
        <f>'FS Desroches Daily'!AT12</f>
        <v>170.00000000001592</v>
      </c>
      <c r="AA10" s="35">
        <f>'FS Desroches Daily'!AT12</f>
        <v>170.00000000001592</v>
      </c>
      <c r="AB10" s="35">
        <f>'FS Desroches Daily'!AV12</f>
        <v>79.999999999984084</v>
      </c>
      <c r="AC10" s="35">
        <f>'FS Desroches Daily'!AZ12</f>
        <v>50.000000000011369</v>
      </c>
      <c r="AD10" s="35">
        <f>'FS Desroches Daily'!BB12</f>
        <v>19.99999999998181</v>
      </c>
      <c r="AE10" s="35">
        <f>'FS Desroches Daily'!BD12</f>
        <v>49.999999999982947</v>
      </c>
      <c r="AF10" s="31">
        <f>'FS Desroches Daily'!BF12</f>
        <v>27</v>
      </c>
      <c r="AG10" s="32">
        <f>'FS Desroches Daily'!BH12</f>
        <v>39.999999999992042</v>
      </c>
      <c r="AH10" s="32">
        <f>'FS Desroches Daily'!BJ12</f>
        <v>30.000000000029559</v>
      </c>
      <c r="AI10" s="32">
        <f>'FS Desroches Daily'!BL12</f>
        <v>20.000000000010232</v>
      </c>
      <c r="AJ10" s="32">
        <f>'FS Desroches Daily'!BN12</f>
        <v>40.000000000020464</v>
      </c>
      <c r="AK10" s="32">
        <f>'FS Desroches Daily'!BP12</f>
        <v>39.99999999996362</v>
      </c>
      <c r="AL10" s="32">
        <f>'FS Desroches Daily'!BR12</f>
        <v>19</v>
      </c>
      <c r="AM10" s="32">
        <f>'FS Desroches Daily'!BT12</f>
        <v>30.000000000001137</v>
      </c>
      <c r="AN10" s="32">
        <f>'FS Desroches Daily'!BV12</f>
        <v>40</v>
      </c>
      <c r="AO10" s="32">
        <f>'FS Desroches Daily'!BX12</f>
        <v>19.99999999998181</v>
      </c>
      <c r="AP10" s="32">
        <f>'FS Desroches Daily'!BZ12</f>
        <v>39</v>
      </c>
      <c r="AQ10" s="31">
        <f>'FS Desroches Daily'!CB12</f>
        <v>26.69999999999709</v>
      </c>
      <c r="AR10" s="31">
        <f>'FS Desroches Daily'!CD12</f>
        <v>4</v>
      </c>
      <c r="AS10" s="31">
        <f>'FS Desroches Daily'!CF12</f>
        <v>6.3000000000001819</v>
      </c>
      <c r="AT10" s="31">
        <f>'FS Desroches Daily'!CH12</f>
        <v>43</v>
      </c>
      <c r="AU10" s="31">
        <f>'FS Desroches Daily'!CJ12</f>
        <v>273</v>
      </c>
      <c r="AV10" s="31">
        <f>'FS Desroches Daily'!CL12</f>
        <v>719.9999999999136</v>
      </c>
      <c r="AW10" s="31">
        <f>'FS Desroches Daily'!CM12</f>
        <v>73</v>
      </c>
      <c r="AX10" s="31">
        <f>IF(LPG!F18-LPG!F16&lt;0,"0",(LPG!F18-LPG!F16)*1.8315)</f>
        <v>20.1465</v>
      </c>
      <c r="AY10" s="31">
        <f>IF(LPG!H18-LPG!H16&lt;0,"0",(LPG!H18-LPG!H16)*1.8315)</f>
        <v>7.3259999999999996</v>
      </c>
      <c r="AZ10" s="31">
        <f>IF(LPG!J18-LPG!J16&lt;0,"0",(LPG!J18-LPG!J16)*1.8315)</f>
        <v>3.6629999999999998</v>
      </c>
      <c r="BA10" s="31">
        <f>IF(LPG!M18-LPG!M16&lt;0,"0",(LPG!M18-LPG!M16)*1.8315)</f>
        <v>3.6629999999999998</v>
      </c>
      <c r="BB10" s="31">
        <f>IF(LPG!Q17-LPG!Q16&lt;0,"0",(LPG!Q17-LPG!Q16)*1.8315)</f>
        <v>3.6629999999999998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8</v>
      </c>
      <c r="D11" s="27">
        <v>2021</v>
      </c>
      <c r="E11" s="31">
        <f>'FS Desroches Daily'!D13</f>
        <v>1799.9999999998017</v>
      </c>
      <c r="F11" s="32">
        <f>'FS Desroches Daily'!F13</f>
        <v>2499.9999999999468</v>
      </c>
      <c r="G11" s="31">
        <f>'FS Desroches Daily'!H13</f>
        <v>3800.0000000000255</v>
      </c>
      <c r="H11" s="32">
        <f>'FS Desroches Daily'!J13</f>
        <v>1400.0000000000678</v>
      </c>
      <c r="I11" s="31">
        <f>'FS Desroches Daily'!L13</f>
        <v>2000.0000000002237</v>
      </c>
      <c r="J11" s="32">
        <f>'FS Desroches Daily'!N13</f>
        <v>699.99999999992292</v>
      </c>
      <c r="K11" s="13">
        <f>'FS Desroches Daily'!P13</f>
        <v>3</v>
      </c>
      <c r="L11" s="31">
        <f>'FS Desroches Daily'!R13</f>
        <v>2</v>
      </c>
      <c r="M11" s="31">
        <f>'FS Desroches Daily'!T13</f>
        <v>0.59999999999990905</v>
      </c>
      <c r="N11" s="31">
        <f>'FS Desroches Daily'!V13</f>
        <v>271</v>
      </c>
      <c r="O11" s="31">
        <f>'FS Desroches Daily'!X13</f>
        <v>240.00000000000909</v>
      </c>
      <c r="P11" s="31">
        <f>'FS Desroches Daily'!Z13</f>
        <v>2200.0000000002019</v>
      </c>
      <c r="Q11" s="31">
        <f>'FS Desroches Daily'!AB13</f>
        <v>389.99999999998636</v>
      </c>
      <c r="R11" s="31">
        <f>'FS Desroches Daily'!AD13</f>
        <v>230.00000000001819</v>
      </c>
      <c r="S11" s="31">
        <f>'FS Desroches Daily'!AF13</f>
        <v>200.00000000004547</v>
      </c>
      <c r="T11" s="31">
        <f>'FS Desroches Daily'!AH13</f>
        <v>32</v>
      </c>
      <c r="U11" s="35">
        <f>'FS Desroches Daily'!AJ13</f>
        <v>500</v>
      </c>
      <c r="V11" s="35">
        <f>'FS Desroches Daily'!AL13</f>
        <v>179.9999999999784</v>
      </c>
      <c r="W11" s="35">
        <f>'FS Desroches Daily'!AN13</f>
        <v>120.00000000000455</v>
      </c>
      <c r="X11" s="35">
        <f>'FS Desroches Daily'!AP13</f>
        <v>159.99999999999659</v>
      </c>
      <c r="Y11" s="35">
        <f>'FS Desroches Daily'!AR13</f>
        <v>150.00000000000568</v>
      </c>
      <c r="Z11" s="35">
        <f>'FS Desroches Daily'!AT13</f>
        <v>180.00000000000682</v>
      </c>
      <c r="AA11" s="35">
        <f>'FS Desroches Daily'!AT13</f>
        <v>180.00000000000682</v>
      </c>
      <c r="AB11" s="35">
        <f>'FS Desroches Daily'!AV13</f>
        <v>90.000000000031832</v>
      </c>
      <c r="AC11" s="35">
        <f>'FS Desroches Daily'!AZ13</f>
        <v>40.000000000020464</v>
      </c>
      <c r="AD11" s="35">
        <f>'FS Desroches Daily'!BB13</f>
        <v>30.000000000029559</v>
      </c>
      <c r="AE11" s="35">
        <f>'FS Desroches Daily'!BD13</f>
        <v>40.000000000020464</v>
      </c>
      <c r="AF11" s="31">
        <f>'FS Desroches Daily'!BF13</f>
        <v>30</v>
      </c>
      <c r="AG11" s="32">
        <f>'FS Desroches Daily'!BH13</f>
        <v>50.000000000011369</v>
      </c>
      <c r="AH11" s="32">
        <f>'FS Desroches Daily'!BJ13</f>
        <v>19.99999999998181</v>
      </c>
      <c r="AI11" s="32">
        <f>'FS Desroches Daily'!BL13</f>
        <v>30.000000000001137</v>
      </c>
      <c r="AJ11" s="32">
        <f>'FS Desroches Daily'!BN13</f>
        <v>39.999999999992042</v>
      </c>
      <c r="AK11" s="32">
        <f>'FS Desroches Daily'!BP13</f>
        <v>50.000000000011369</v>
      </c>
      <c r="AL11" s="32">
        <f>'FS Desroches Daily'!BR13</f>
        <v>19</v>
      </c>
      <c r="AM11" s="32">
        <f>'FS Desroches Daily'!BT13</f>
        <v>50.000000000011369</v>
      </c>
      <c r="AN11" s="32">
        <f>'FS Desroches Daily'!BV13</f>
        <v>44</v>
      </c>
      <c r="AO11" s="32">
        <f>'FS Desroches Daily'!BX13</f>
        <v>20.000000000010232</v>
      </c>
      <c r="AP11" s="32">
        <f>'FS Desroches Daily'!BZ13</f>
        <v>30</v>
      </c>
      <c r="AQ11" s="31">
        <f>'FS Desroches Daily'!CB13</f>
        <v>32.100000000005821</v>
      </c>
      <c r="AR11" s="31">
        <f>'FS Desroches Daily'!CD13</f>
        <v>7.6000000000003638</v>
      </c>
      <c r="AS11" s="31">
        <f>'FS Desroches Daily'!CF13</f>
        <v>0.5999999999994543</v>
      </c>
      <c r="AT11" s="31">
        <f>'FS Desroches Daily'!CH13</f>
        <v>43</v>
      </c>
      <c r="AU11" s="31">
        <f>'FS Desroches Daily'!CJ13</f>
        <v>200</v>
      </c>
      <c r="AV11" s="31">
        <f>'FS Desroches Daily'!CL13</f>
        <v>680.00000000006366</v>
      </c>
      <c r="AW11" s="31">
        <f>'FS Desroches Daily'!CM13</f>
        <v>51</v>
      </c>
      <c r="AX11" s="31">
        <f>IF(LPG!F18-LPG!F17&lt;0,"0",(LPG!F18-LPG!F17)*1.8315)</f>
        <v>9.1574999999999989</v>
      </c>
      <c r="AY11" s="31">
        <f>IF(LPG!H18-LPG!H17&lt;0,"0",(LPG!H18-LPG!H17)*1.8315)</f>
        <v>3.6629999999999998</v>
      </c>
      <c r="AZ11" s="31">
        <f>IF(LPG!J18-LPG!J17&lt;0,"0",(LPG!J18-LPG!J17)*1.8315)</f>
        <v>1.8314999999999999</v>
      </c>
      <c r="BA11" s="31">
        <f>IF(LPG!M19-LPG!M17&lt;0,"0",(LPG!M19-LPG!M17)*1.8315)</f>
        <v>3.6629999999999998</v>
      </c>
      <c r="BB11" s="31">
        <f>IF(LPG!Q18-LPG!Q17&lt;0,"0",(LPG!Q18-LPG!Q17)*1.8315)</f>
        <v>7.3259999999999996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8</v>
      </c>
      <c r="D12" s="27">
        <v>2021</v>
      </c>
      <c r="E12" s="31">
        <f>'FS Desroches Daily'!D14</f>
        <v>1900.0000000000127</v>
      </c>
      <c r="F12" s="32">
        <f>'FS Desroches Daily'!F14</f>
        <v>2400.0000000001796</v>
      </c>
      <c r="G12" s="31">
        <f>'FS Desroches Daily'!H14</f>
        <v>1199.9999999998679</v>
      </c>
      <c r="H12" s="32">
        <f>'FS Desroches Daily'!J14</f>
        <v>1200.0000000000898</v>
      </c>
      <c r="I12" s="31">
        <f>'FS Desroches Daily'!L14</f>
        <v>1999.9999999997797</v>
      </c>
      <c r="J12" s="32">
        <f>'FS Desroches Daily'!N14</f>
        <v>900.0000000001229</v>
      </c>
      <c r="K12" s="13">
        <f>'FS Desroches Daily'!P14</f>
        <v>1</v>
      </c>
      <c r="L12" s="31">
        <f>'FS Desroches Daily'!R14</f>
        <v>3</v>
      </c>
      <c r="M12" s="31">
        <f>'FS Desroches Daily'!T14</f>
        <v>0.8000000000001819</v>
      </c>
      <c r="N12" s="31">
        <f>'FS Desroches Daily'!V14</f>
        <v>309</v>
      </c>
      <c r="O12" s="31">
        <f>'FS Desroches Daily'!X14</f>
        <v>259.99999999999091</v>
      </c>
      <c r="P12" s="31">
        <f>'FS Desroches Daily'!Z14</f>
        <v>2099.9999999999909</v>
      </c>
      <c r="Q12" s="31">
        <f>'FS Desroches Daily'!AB14</f>
        <v>129.99999999999545</v>
      </c>
      <c r="R12" s="31">
        <f>'FS Desroches Daily'!AD14</f>
        <v>269.99999999998181</v>
      </c>
      <c r="S12" s="31">
        <f>'FS Desroches Daily'!AF14</f>
        <v>210.00000000003638</v>
      </c>
      <c r="T12" s="31">
        <f>'FS Desroches Daily'!AH14</f>
        <v>34</v>
      </c>
      <c r="U12" s="35">
        <f>'FS Desroches Daily'!AJ14</f>
        <v>500</v>
      </c>
      <c r="V12" s="35">
        <f>'FS Desroches Daily'!AL14</f>
        <v>210.00000000000796</v>
      </c>
      <c r="W12" s="35">
        <f>'FS Desroches Daily'!AN14</f>
        <v>139.99999999998636</v>
      </c>
      <c r="X12" s="35">
        <f>'FS Desroches Daily'!AP14</f>
        <v>159.99999999999659</v>
      </c>
      <c r="Y12" s="35">
        <f>'FS Desroches Daily'!AR14</f>
        <v>180.00000000000682</v>
      </c>
      <c r="Z12" s="35">
        <f>'FS Desroches Daily'!AT14</f>
        <v>189.99999999999773</v>
      </c>
      <c r="AA12" s="35">
        <f>'FS Desroches Daily'!AT14</f>
        <v>189.99999999999773</v>
      </c>
      <c r="AB12" s="35">
        <f>'FS Desroches Daily'!AV14</f>
        <v>109.9999999999568</v>
      </c>
      <c r="AC12" s="35">
        <f>'FS Desroches Daily'!AZ14</f>
        <v>50.000000000011369</v>
      </c>
      <c r="AD12" s="35">
        <f>'FS Desroches Daily'!BB14</f>
        <v>29.999999999972715</v>
      </c>
      <c r="AE12" s="35">
        <f>'FS Desroches Daily'!BD14</f>
        <v>29.999999999972715</v>
      </c>
      <c r="AF12" s="31">
        <f>'FS Desroches Daily'!BF14</f>
        <v>39</v>
      </c>
      <c r="AG12" s="32">
        <f>'FS Desroches Daily'!BH14</f>
        <v>39.999999999992042</v>
      </c>
      <c r="AH12" s="32">
        <f>'FS Desroches Daily'!BJ14</f>
        <v>19.99999999998181</v>
      </c>
      <c r="AI12" s="32">
        <f>'FS Desroches Daily'!BL14</f>
        <v>30.000000000001137</v>
      </c>
      <c r="AJ12" s="32">
        <f>'FS Desroches Daily'!BN14</f>
        <v>39.999999999992042</v>
      </c>
      <c r="AK12" s="32">
        <f>'FS Desroches Daily'!BP14</f>
        <v>50.000000000011369</v>
      </c>
      <c r="AL12" s="32">
        <f>'FS Desroches Daily'!BR14</f>
        <v>22</v>
      </c>
      <c r="AM12" s="32">
        <f>'FS Desroches Daily'!BT14</f>
        <v>39.999999999992042</v>
      </c>
      <c r="AN12" s="32">
        <f>'FS Desroches Daily'!BV14</f>
        <v>38</v>
      </c>
      <c r="AO12" s="32">
        <f>'FS Desroches Daily'!BX14</f>
        <v>20.000000000010232</v>
      </c>
      <c r="AP12" s="32">
        <f>'FS Desroches Daily'!BZ14</f>
        <v>21</v>
      </c>
      <c r="AQ12" s="31">
        <f>'FS Desroches Daily'!CB14</f>
        <v>32.799999999995634</v>
      </c>
      <c r="AR12" s="31">
        <f>'FS Desroches Daily'!CD14</f>
        <v>6.8999999999996362</v>
      </c>
      <c r="AS12" s="31">
        <f>'FS Desroches Daily'!CF14</f>
        <v>9.3000000000001819</v>
      </c>
      <c r="AT12" s="31">
        <f>'FS Desroches Daily'!CH14</f>
        <v>43.099999999998545</v>
      </c>
      <c r="AU12" s="31">
        <f>'FS Desroches Daily'!CJ14</f>
        <v>327</v>
      </c>
      <c r="AV12" s="31">
        <f>'FS Desroches Daily'!CL14</f>
        <v>730.00000000001819</v>
      </c>
      <c r="AW12" s="31">
        <f>'FS Desroches Daily'!CM14</f>
        <v>71</v>
      </c>
      <c r="AX12" s="31">
        <f>IF(LPG!F19-LPG!F18&lt;0,"0",(LPG!F19-LPG!F18)*1.8315)</f>
        <v>9.1574999999999989</v>
      </c>
      <c r="AY12" s="31">
        <f>IF(LPG!H19-LPG!H18&lt;0,"0",(LPG!H19-LPG!H18)*1.8315)</f>
        <v>5.4944999999999995</v>
      </c>
      <c r="AZ12" s="31">
        <f>IF(LPG!J19-LPG!J18&lt;0,"0",(LPG!J19-LPG!J18)*1.8315)</f>
        <v>3.6629999999999998</v>
      </c>
      <c r="BA12" s="31">
        <f>IF(LPG!M19-LPG!M18&lt;0,"0",(LPG!M19-LPG!M18)*1.8315)</f>
        <v>0</v>
      </c>
      <c r="BB12" s="31">
        <f>IF(LPG!Q20-LPG!Q18&lt;0,"0",(LPG!Q20-LPG!Q18)*1.8315)</f>
        <v>12.820499999999999</v>
      </c>
      <c r="BC12" s="13">
        <f>'FS Desroches Daily'!CN14</f>
        <v>10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8</v>
      </c>
      <c r="D13" s="27">
        <v>2021</v>
      </c>
      <c r="E13" s="31">
        <f>'FS Desroches Daily'!D15</f>
        <v>1999.9999999997797</v>
      </c>
      <c r="F13" s="32">
        <f>'FS Desroches Daily'!F15</f>
        <v>2699.9999999999245</v>
      </c>
      <c r="G13" s="31">
        <f>'FS Desroches Daily'!H15</f>
        <v>2699.9999999999245</v>
      </c>
      <c r="H13" s="32">
        <f>'FS Desroches Daily'!J15</f>
        <v>1299.9999999998568</v>
      </c>
      <c r="I13" s="31">
        <f>'FS Desroches Daily'!L15</f>
        <v>2099.9999999999909</v>
      </c>
      <c r="J13" s="32">
        <f>'FS Desroches Daily'!N15</f>
        <v>799.99999999991189</v>
      </c>
      <c r="K13" s="13">
        <f>'FS Desroches Daily'!P15</f>
        <v>8</v>
      </c>
      <c r="L13" s="31">
        <f>'FS Desroches Daily'!R15</f>
        <v>3</v>
      </c>
      <c r="M13" s="31">
        <f>'FS Desroches Daily'!T15</f>
        <v>0.79999999999995453</v>
      </c>
      <c r="N13" s="31">
        <f>'FS Desroches Daily'!V15</f>
        <v>382.29999999998836</v>
      </c>
      <c r="O13" s="31">
        <f>'FS Desroches Daily'!X15</f>
        <v>290.00000000002046</v>
      </c>
      <c r="P13" s="31">
        <f>'FS Desroches Daily'!Z15</f>
        <v>2399.9999999997358</v>
      </c>
      <c r="Q13" s="31">
        <f>'FS Desroches Daily'!AB15</f>
        <v>230.00000000001819</v>
      </c>
      <c r="R13" s="31">
        <f>'FS Desroches Daily'!AD15</f>
        <v>250</v>
      </c>
      <c r="S13" s="31">
        <f>'FS Desroches Daily'!AF15</f>
        <v>199.99999999993179</v>
      </c>
      <c r="T13" s="31">
        <f>'FS Desroches Daily'!AH15</f>
        <v>34</v>
      </c>
      <c r="U13" s="35">
        <f>'FS Desroches Daily'!AJ15</f>
        <v>559.99999999994543</v>
      </c>
      <c r="V13" s="35">
        <f>'FS Desroches Daily'!AL15</f>
        <v>230.00000000001819</v>
      </c>
      <c r="W13" s="35">
        <f>'FS Desroches Daily'!AN15</f>
        <v>150.00000000000568</v>
      </c>
      <c r="X13" s="35">
        <f>'FS Desroches Daily'!AP15</f>
        <v>140.00000000001478</v>
      </c>
      <c r="Y13" s="35">
        <f>'FS Desroches Daily'!AR15</f>
        <v>169.99999999998749</v>
      </c>
      <c r="Z13" s="35">
        <f>'FS Desroches Daily'!AT15</f>
        <v>199.99999999998863</v>
      </c>
      <c r="AA13" s="35">
        <f>'FS Desroches Daily'!AT15</f>
        <v>199.99999999998863</v>
      </c>
      <c r="AB13" s="35">
        <f>'FS Desroches Daily'!AV15</f>
        <v>170.00000000001592</v>
      </c>
      <c r="AC13" s="35">
        <f>'FS Desroches Daily'!AZ15</f>
        <v>39.99999999996362</v>
      </c>
      <c r="AD13" s="35">
        <f>'FS Desroches Daily'!BB15</f>
        <v>20.000000000038654</v>
      </c>
      <c r="AE13" s="35">
        <f>'FS Desroches Daily'!BD15</f>
        <v>40.000000000020464</v>
      </c>
      <c r="AF13" s="31">
        <f>'FS Desroches Daily'!BF15</f>
        <v>29</v>
      </c>
      <c r="AG13" s="32">
        <f>'FS Desroches Daily'!BH15</f>
        <v>50.000000000011369</v>
      </c>
      <c r="AH13" s="32">
        <f>'FS Desroches Daily'!BJ15</f>
        <v>30.000000000029559</v>
      </c>
      <c r="AI13" s="32">
        <f>'FS Desroches Daily'!BL15</f>
        <v>39.999999999992042</v>
      </c>
      <c r="AJ13" s="32">
        <f>'FS Desroches Daily'!BN15</f>
        <v>50.000000000011369</v>
      </c>
      <c r="AK13" s="32">
        <f>'FS Desroches Daily'!BP15</f>
        <v>50.000000000011369</v>
      </c>
      <c r="AL13" s="32">
        <f>'FS Desroches Daily'!BR15</f>
        <v>23</v>
      </c>
      <c r="AM13" s="32">
        <f>'FS Desroches Daily'!BT15</f>
        <v>39.999999999992042</v>
      </c>
      <c r="AN13" s="32">
        <f>'FS Desroches Daily'!BV15</f>
        <v>49</v>
      </c>
      <c r="AO13" s="32">
        <f>'FS Desroches Daily'!BX15</f>
        <v>9.9999999999909051</v>
      </c>
      <c r="AP13" s="32">
        <f>'FS Desroches Daily'!BZ15</f>
        <v>36</v>
      </c>
      <c r="AQ13" s="31">
        <f>'FS Desroches Daily'!CB15</f>
        <v>31</v>
      </c>
      <c r="AR13" s="31">
        <f>'FS Desroches Daily'!CD15</f>
        <v>6.1000000000003638</v>
      </c>
      <c r="AS13" s="31">
        <f>'FS Desroches Daily'!CF15</f>
        <v>0.5</v>
      </c>
      <c r="AT13" s="31">
        <f>'FS Desroches Daily'!CH15</f>
        <v>57.700000000004366</v>
      </c>
      <c r="AU13" s="31">
        <f>'FS Desroches Daily'!CJ15</f>
        <v>265</v>
      </c>
      <c r="AV13" s="31">
        <f>'FS Desroches Daily'!CL15</f>
        <v>750</v>
      </c>
      <c r="AW13" s="31">
        <f>'FS Desroches Daily'!CM15</f>
        <v>61</v>
      </c>
      <c r="AX13" s="31" t="str">
        <f>IF(LPG!G21-LPG!F19&lt;0,"0",(LPG!G21-LPG!F19)*1.8315)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1.8314999999999999</v>
      </c>
      <c r="BA13" s="31">
        <f>IF(LPG!M20-LPG!M19&lt;0,"0",(LPG!M20-LPG!M19)*1.8315)</f>
        <v>1.8314999999999999</v>
      </c>
      <c r="BB13" s="31">
        <f>IF(LPG!Q20-LPG!Q19&lt;0,"0",(LPG!Q20-LPG!Q19)*1.8315)</f>
        <v>7.3259999999999996</v>
      </c>
      <c r="BC13" s="13">
        <f>'FS Desroches Daily'!CN15</f>
        <v>10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8</v>
      </c>
      <c r="D14" s="27">
        <v>2021</v>
      </c>
      <c r="E14" s="31">
        <f>'FS Desroches Daily'!D16</f>
        <v>2400.0000000001796</v>
      </c>
      <c r="F14" s="32">
        <f>'FS Desroches Daily'!F16</f>
        <v>2699.9999999999245</v>
      </c>
      <c r="G14" s="31">
        <f>'FS Desroches Daily'!H16</f>
        <v>2600.0000000001578</v>
      </c>
      <c r="H14" s="32">
        <f>'FS Desroches Daily'!J16</f>
        <v>1300.0000000000789</v>
      </c>
      <c r="I14" s="31">
        <f>'FS Desroches Daily'!L16</f>
        <v>2099.9999999999909</v>
      </c>
      <c r="J14" s="32">
        <f>'FS Desroches Daily'!N16</f>
        <v>1000.0000000001119</v>
      </c>
      <c r="K14" s="13">
        <f>'FS Desroches Daily'!P16</f>
        <v>11</v>
      </c>
      <c r="L14" s="31">
        <f>'FS Desroches Daily'!R16</f>
        <v>3</v>
      </c>
      <c r="M14" s="31">
        <f>'FS Desroches Daily'!T16</f>
        <v>0.70000000000004547</v>
      </c>
      <c r="N14" s="31">
        <f>'FS Desroches Daily'!V16</f>
        <v>312.90000000002328</v>
      </c>
      <c r="O14" s="31">
        <f>'FS Desroches Daily'!X16</f>
        <v>290.00000000002046</v>
      </c>
      <c r="P14" s="31">
        <f>'FS Desroches Daily'!Z16</f>
        <v>2400.0000000001796</v>
      </c>
      <c r="Q14" s="31">
        <f>'FS Desroches Daily'!AB16</f>
        <v>290.00000000002046</v>
      </c>
      <c r="R14" s="31">
        <f>'FS Desroches Daily'!AD16</f>
        <v>310.00000000000227</v>
      </c>
      <c r="S14" s="31">
        <f>'FS Desroches Daily'!AF16</f>
        <v>230.00000000001819</v>
      </c>
      <c r="T14" s="31">
        <f>'FS Desroches Daily'!AH16</f>
        <v>39</v>
      </c>
      <c r="U14" s="35">
        <f>'FS Desroches Daily'!AJ16</f>
        <v>740.00000000000909</v>
      </c>
      <c r="V14" s="35">
        <f>'FS Desroches Daily'!AL16</f>
        <v>239.99999999998067</v>
      </c>
      <c r="W14" s="35">
        <f>'FS Desroches Daily'!AN16</f>
        <v>159.99999999999659</v>
      </c>
      <c r="X14" s="35">
        <f>'FS Desroches Daily'!AP16</f>
        <v>169.99999999998749</v>
      </c>
      <c r="Y14" s="35">
        <f>'FS Desroches Daily'!AR16</f>
        <v>129.99999999999545</v>
      </c>
      <c r="Z14" s="35">
        <f>'FS Desroches Daily'!AT16</f>
        <v>209.99999999997954</v>
      </c>
      <c r="AA14" s="35">
        <f>'FS Desroches Daily'!AT16</f>
        <v>209.99999999997954</v>
      </c>
      <c r="AB14" s="35">
        <f>'FS Desroches Daily'!AV16</f>
        <v>240.00000000000909</v>
      </c>
      <c r="AC14" s="35">
        <f>'FS Desroches Daily'!AZ16</f>
        <v>40.000000000020464</v>
      </c>
      <c r="AD14" s="35">
        <f>'FS Desroches Daily'!BB16</f>
        <v>29.999999999972715</v>
      </c>
      <c r="AE14" s="35">
        <f>'FS Desroches Daily'!BD16</f>
        <v>30.000000000001137</v>
      </c>
      <c r="AF14" s="31">
        <f>'FS Desroches Daily'!BF16</f>
        <v>29</v>
      </c>
      <c r="AG14" s="32">
        <f>'FS Desroches Daily'!BH16</f>
        <v>49.999999999982947</v>
      </c>
      <c r="AH14" s="32">
        <f>'FS Desroches Daily'!BJ16</f>
        <v>19.99999999998181</v>
      </c>
      <c r="AI14" s="32">
        <f>'FS Desroches Daily'!BL16</f>
        <v>30.000000000001137</v>
      </c>
      <c r="AJ14" s="32">
        <f>'FS Desroches Daily'!BN16</f>
        <v>39.999999999992042</v>
      </c>
      <c r="AK14" s="32">
        <f>'FS Desroches Daily'!BP16</f>
        <v>60.000000000002274</v>
      </c>
      <c r="AL14" s="32">
        <f>'FS Desroches Daily'!BR16</f>
        <v>25</v>
      </c>
      <c r="AM14" s="32">
        <f>'FS Desroches Daily'!BT16</f>
        <v>39.999999999992042</v>
      </c>
      <c r="AN14" s="32">
        <f>'FS Desroches Daily'!BV16</f>
        <v>39</v>
      </c>
      <c r="AO14" s="32">
        <f>'FS Desroches Daily'!BX16</f>
        <v>20.000000000010232</v>
      </c>
      <c r="AP14" s="32">
        <f>'FS Desroches Daily'!BZ16</f>
        <v>34</v>
      </c>
      <c r="AQ14" s="31">
        <f>'FS Desroches Daily'!CB16</f>
        <v>37.700000000004366</v>
      </c>
      <c r="AR14" s="31">
        <f>'FS Desroches Daily'!CD16</f>
        <v>3.3999999999996362</v>
      </c>
      <c r="AS14" s="31">
        <f>'FS Desroches Daily'!CF16</f>
        <v>5</v>
      </c>
      <c r="AT14" s="31">
        <f>'FS Desroches Daily'!CH16</f>
        <v>50.099999999998545</v>
      </c>
      <c r="AU14" s="31">
        <f>'FS Desroches Daily'!CJ16</f>
        <v>278</v>
      </c>
      <c r="AV14" s="31">
        <f>'FS Desroches Daily'!CL16</f>
        <v>679.99999999994998</v>
      </c>
      <c r="AW14" s="31">
        <f>'FS Desroches Daily'!CM16</f>
        <v>66</v>
      </c>
      <c r="AX14" s="31">
        <f>IF(LPG!F21-LPG!G21&lt;0,"0",(LPG!F21-LPG!G21)*1.8315)</f>
        <v>10175.814</v>
      </c>
      <c r="AY14" s="31">
        <f>IF(LPG!H21-LPG!H20&lt;0,"0",(LPG!H21-LPG!H20)*1.8315)</f>
        <v>14.651999999999999</v>
      </c>
      <c r="AZ14" s="31">
        <f>IF(LPG!J21-LPG!J20&lt;0,"0",(LPG!J21-LPG!J20)*1.8315)</f>
        <v>1.8314999999999999</v>
      </c>
      <c r="BA14" s="31">
        <f>IF(LPG!M21-LPG!M20&lt;0,"0",(LPG!M21-LPG!M20)*1.8315)</f>
        <v>0</v>
      </c>
      <c r="BB14" s="31">
        <f>IF(LPG!Q21-LPG!Q20&lt;0,"0",(LPG!Q21-LPG!Q20)*1.8315)</f>
        <v>9.1574999999999989</v>
      </c>
      <c r="BC14" s="13">
        <f>'FS Desroches Daily'!CN16</f>
        <v>12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8</v>
      </c>
      <c r="D15" s="27">
        <v>2021</v>
      </c>
      <c r="E15" s="31">
        <f>'FS Desroches Daily'!D17</f>
        <v>2099.9999999999909</v>
      </c>
      <c r="F15" s="32">
        <f>'FS Desroches Daily'!F17</f>
        <v>2500.0000000003906</v>
      </c>
      <c r="G15" s="31">
        <f>'FS Desroches Daily'!H17</f>
        <v>2699.9999999999245</v>
      </c>
      <c r="H15" s="32">
        <f>'FS Desroches Daily'!J17</f>
        <v>1400.0000000000678</v>
      </c>
      <c r="I15" s="31">
        <f>'FS Desroches Daily'!L17</f>
        <v>2099.9999999999909</v>
      </c>
      <c r="J15" s="32">
        <f>'FS Desroches Daily'!N17</f>
        <v>799.99999999991189</v>
      </c>
      <c r="K15" s="13">
        <f>'FS Desroches Daily'!P17</f>
        <v>9</v>
      </c>
      <c r="L15" s="31">
        <f>'FS Desroches Daily'!R17</f>
        <v>3</v>
      </c>
      <c r="M15" s="31">
        <f>'FS Desroches Daily'!T17</f>
        <v>0.79999999999995453</v>
      </c>
      <c r="N15" s="31">
        <f>'FS Desroches Daily'!V17</f>
        <v>324.89999999996508</v>
      </c>
      <c r="O15" s="31">
        <f>'FS Desroches Daily'!X17</f>
        <v>279.99999999997272</v>
      </c>
      <c r="P15" s="31">
        <f>'FS Desroches Daily'!Z17</f>
        <v>2199.9999999997576</v>
      </c>
      <c r="Q15" s="31">
        <f>'FS Desroches Daily'!AB17</f>
        <v>189.99999999999773</v>
      </c>
      <c r="R15" s="31">
        <f>'FS Desroches Daily'!AD17</f>
        <v>310.00000000000227</v>
      </c>
      <c r="S15" s="31">
        <f>'FS Desroches Daily'!AF17</f>
        <v>200.00000000004547</v>
      </c>
      <c r="T15" s="31">
        <f>'FS Desroches Daily'!AH17</f>
        <v>35</v>
      </c>
      <c r="U15" s="35">
        <f>'FS Desroches Daily'!AJ17</f>
        <v>529.99999999997272</v>
      </c>
      <c r="V15" s="35">
        <f>'FS Desroches Daily'!AL17</f>
        <v>260.00000000001933</v>
      </c>
      <c r="W15" s="35">
        <f>'FS Desroches Daily'!AN17</f>
        <v>139.99999999998636</v>
      </c>
      <c r="X15" s="35">
        <f>'FS Desroches Daily'!AP17</f>
        <v>170.00000000001592</v>
      </c>
      <c r="Y15" s="35">
        <f>'FS Desroches Daily'!AR17</f>
        <v>170.00000000001592</v>
      </c>
      <c r="Z15" s="35">
        <f>'FS Desroches Daily'!AT17</f>
        <v>200.00000000004547</v>
      </c>
      <c r="AA15" s="35">
        <f>'FS Desroches Daily'!AT17</f>
        <v>200.00000000004547</v>
      </c>
      <c r="AB15" s="35">
        <f>'FS Desroches Daily'!AV17</f>
        <v>209.99999999997954</v>
      </c>
      <c r="AC15" s="35">
        <f>'FS Desroches Daily'!AZ17</f>
        <v>29.999999999972715</v>
      </c>
      <c r="AD15" s="35">
        <f>'FS Desroches Daily'!BB17</f>
        <v>20.000000000038654</v>
      </c>
      <c r="AE15" s="35">
        <f>'FS Desroches Daily'!BD17</f>
        <v>30.000000000001137</v>
      </c>
      <c r="AF15" s="31">
        <f>'FS Desroches Daily'!BF17</f>
        <v>27</v>
      </c>
      <c r="AG15" s="32">
        <f>'FS Desroches Daily'!BH17</f>
        <v>39.999999999992042</v>
      </c>
      <c r="AH15" s="32">
        <f>'FS Desroches Daily'!BJ17</f>
        <v>30.000000000029559</v>
      </c>
      <c r="AI15" s="32">
        <f>'FS Desroches Daily'!BL17</f>
        <v>39.999999999992042</v>
      </c>
      <c r="AJ15" s="32">
        <f>'FS Desroches Daily'!BN17</f>
        <v>50.000000000011369</v>
      </c>
      <c r="AK15" s="32">
        <f>'FS Desroches Daily'!BP17</f>
        <v>60.000000000002274</v>
      </c>
      <c r="AL15" s="32">
        <f>'FS Desroches Daily'!BR17</f>
        <v>27</v>
      </c>
      <c r="AM15" s="32">
        <f>'FS Desroches Daily'!BT17</f>
        <v>40.000000000020464</v>
      </c>
      <c r="AN15" s="32">
        <f>'FS Desroches Daily'!BV17</f>
        <v>41</v>
      </c>
      <c r="AO15" s="32">
        <f>'FS Desroches Daily'!BX17</f>
        <v>9.9999999999909051</v>
      </c>
      <c r="AP15" s="32">
        <f>'FS Desroches Daily'!BZ17</f>
        <v>35</v>
      </c>
      <c r="AQ15" s="31">
        <f>'FS Desroches Daily'!CB17</f>
        <v>25.899999999994179</v>
      </c>
      <c r="AR15" s="31">
        <f>'FS Desroches Daily'!CD17</f>
        <v>7</v>
      </c>
      <c r="AS15" s="31">
        <f>'FS Desroches Daily'!CF17</f>
        <v>0.6000000000003638</v>
      </c>
      <c r="AT15" s="31">
        <f>'FS Desroches Daily'!CH17</f>
        <v>42.299999999995634</v>
      </c>
      <c r="AU15" s="31">
        <f>'FS Desroches Daily'!CJ17</f>
        <v>282</v>
      </c>
      <c r="AV15" s="31">
        <f>'FS Desroches Daily'!CL17</f>
        <v>800.00000000006821</v>
      </c>
      <c r="AW15" s="31">
        <f>'FS Desroches Daily'!CM17</f>
        <v>55</v>
      </c>
      <c r="AX15" s="31">
        <f>IF(LPG!F22-LPG!F21&lt;0,"0",(LPG!F22-LPG!F21)*1.8315)</f>
        <v>9.1574999999999989</v>
      </c>
      <c r="AY15" s="31" t="str">
        <f>IF(LPG!H22-LPG!H21&lt;0,"0",(LPG!H22-LPG!H21)*1.8315)</f>
        <v>0</v>
      </c>
      <c r="AZ15" s="31">
        <f>IF(LPG!J22-LPG!J21&lt;0,"0",(LPG!J22-LPG!J21)*1.8315)</f>
        <v>1.8314999999999999</v>
      </c>
      <c r="BA15" s="31">
        <f>IF(LPG!M22-LPG!M21&lt;0,"0",(LPG!M22-LPG!M21)*1.8315)</f>
        <v>3.6629999999999998</v>
      </c>
      <c r="BB15" s="31">
        <f>IF(LPG!Q22-LPG!Q21&lt;0,"0",(LPG!Q22-LPG!Q21)*1.8315)</f>
        <v>9.1574999999999989</v>
      </c>
      <c r="BC15" s="13">
        <f>'FS Desroches Daily'!CN17</f>
        <v>12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8</v>
      </c>
      <c r="D16" s="27">
        <v>2021</v>
      </c>
      <c r="E16" s="31">
        <f>'FS Desroches Daily'!D18</f>
        <v>2200.0000000002019</v>
      </c>
      <c r="F16" s="32">
        <f>'FS Desroches Daily'!F18</f>
        <v>2599.9999999997135</v>
      </c>
      <c r="G16" s="31">
        <f>'FS Desroches Daily'!H18</f>
        <v>2800.0000000001355</v>
      </c>
      <c r="H16" s="32">
        <f>'FS Desroches Daily'!J18</f>
        <v>1299.9999999998568</v>
      </c>
      <c r="I16" s="31">
        <f>'FS Desroches Daily'!L18</f>
        <v>2000.0000000002237</v>
      </c>
      <c r="J16" s="32">
        <f>'FS Desroches Daily'!N18</f>
        <v>900.0000000001229</v>
      </c>
      <c r="K16" s="13">
        <f>'FS Desroches Daily'!P18</f>
        <v>6</v>
      </c>
      <c r="L16" s="31">
        <f>'FS Desroches Daily'!R18</f>
        <v>3</v>
      </c>
      <c r="M16" s="31">
        <f>'FS Desroches Daily'!T18</f>
        <v>0.79999999999995453</v>
      </c>
      <c r="N16" s="31">
        <f>'FS Desroches Daily'!V18</f>
        <v>319.70000000001164</v>
      </c>
      <c r="O16" s="31">
        <f>'FS Desroches Daily'!X18</f>
        <v>310.00000000000227</v>
      </c>
      <c r="P16" s="31">
        <f>'FS Desroches Daily'!Z18</f>
        <v>2299.9999999999686</v>
      </c>
      <c r="Q16" s="31">
        <f>'FS Desroches Daily'!AB18</f>
        <v>339.99999999997499</v>
      </c>
      <c r="R16" s="31">
        <f>'FS Desroches Daily'!AD18</f>
        <v>280.00000000002956</v>
      </c>
      <c r="S16" s="31">
        <f>'FS Desroches Daily'!AF18</f>
        <v>199.99999999993179</v>
      </c>
      <c r="T16" s="31">
        <f>'FS Desroches Daily'!AH18</f>
        <v>35</v>
      </c>
      <c r="U16" s="35">
        <f>'FS Desroches Daily'!AJ18</f>
        <v>500</v>
      </c>
      <c r="V16" s="35">
        <f>'FS Desroches Daily'!AL18</f>
        <v>299.99999999998295</v>
      </c>
      <c r="W16" s="35">
        <f>'FS Desroches Daily'!AN18</f>
        <v>190.00000000002615</v>
      </c>
      <c r="X16" s="35">
        <f>'FS Desroches Daily'!AP18</f>
        <v>169.99999999998749</v>
      </c>
      <c r="Y16" s="35">
        <f>'FS Desroches Daily'!AR18</f>
        <v>180.00000000000682</v>
      </c>
      <c r="Z16" s="35">
        <f>'FS Desroches Daily'!AT18</f>
        <v>199.99999999998863</v>
      </c>
      <c r="AA16" s="35">
        <f>'FS Desroches Daily'!AT18</f>
        <v>199.99999999998863</v>
      </c>
      <c r="AB16" s="35">
        <f>'FS Desroches Daily'!AV18</f>
        <v>250</v>
      </c>
      <c r="AC16" s="35">
        <f>'FS Desroches Daily'!AZ18</f>
        <v>50.000000000011369</v>
      </c>
      <c r="AD16" s="35">
        <f>'FS Desroches Daily'!BB18</f>
        <v>19.99999999998181</v>
      </c>
      <c r="AE16" s="35">
        <f>'FS Desroches Daily'!BD18</f>
        <v>39.999999999992042</v>
      </c>
      <c r="AF16" s="31">
        <f>'FS Desroches Daily'!BF18</f>
        <v>21</v>
      </c>
      <c r="AG16" s="32">
        <f>'FS Desroches Daily'!BH18</f>
        <v>50.000000000011369</v>
      </c>
      <c r="AH16" s="32">
        <f>'FS Desroches Daily'!BJ18</f>
        <v>19.99999999998181</v>
      </c>
      <c r="AI16" s="32">
        <f>'FS Desroches Daily'!BL18</f>
        <v>50.000000000011369</v>
      </c>
      <c r="AJ16" s="32">
        <f>'FS Desroches Daily'!BN18</f>
        <v>39.999999999992042</v>
      </c>
      <c r="AK16" s="32">
        <f>'FS Desroches Daily'!BP18</f>
        <v>59.99999999994543</v>
      </c>
      <c r="AL16" s="32">
        <f>'FS Desroches Daily'!BR18</f>
        <v>25</v>
      </c>
      <c r="AM16" s="32">
        <f>'FS Desroches Daily'!BT18</f>
        <v>39.999999999992042</v>
      </c>
      <c r="AN16" s="32">
        <f>'FS Desroches Daily'!BV18</f>
        <v>44</v>
      </c>
      <c r="AO16" s="32">
        <f>'FS Desroches Daily'!BX18</f>
        <v>20.000000000010232</v>
      </c>
      <c r="AP16" s="32">
        <f>'FS Desroches Daily'!BZ18</f>
        <v>42</v>
      </c>
      <c r="AQ16" s="31">
        <f>'FS Desroches Daily'!CB18</f>
        <v>28.700000000004366</v>
      </c>
      <c r="AR16" s="31">
        <f>'FS Desroches Daily'!CD18</f>
        <v>5.5</v>
      </c>
      <c r="AS16" s="31">
        <f>'FS Desroches Daily'!CF18</f>
        <v>7</v>
      </c>
      <c r="AT16" s="31">
        <f>'FS Desroches Daily'!CH18</f>
        <v>56.5</v>
      </c>
      <c r="AU16" s="31">
        <f>'FS Desroches Daily'!CJ18</f>
        <v>285</v>
      </c>
      <c r="AV16" s="31">
        <f>'FS Desroches Daily'!CL18</f>
        <v>799.99999999995453</v>
      </c>
      <c r="AW16" s="31">
        <f>'FS Desroches Daily'!CM18</f>
        <v>88</v>
      </c>
      <c r="AX16" s="31">
        <f>IF(LPG!F23-LPG!F22&lt;0,"0",(LPG!F23-LPG!F22)*1.8315)</f>
        <v>14.651999999999999</v>
      </c>
      <c r="AY16" s="31">
        <f>IF(LPG!H23-LPG!H22&lt;0,"0",(LPG!H23-LPG!H22)*1.8315)</f>
        <v>3.6629999999999998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9.1574999999999989</v>
      </c>
      <c r="BC16" s="13">
        <f>'FS Desroches Daily'!CN18</f>
        <v>16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8</v>
      </c>
      <c r="D17" s="27">
        <v>2021</v>
      </c>
      <c r="E17" s="31">
        <f>'FS Desroches Daily'!D19</f>
        <v>1700.0000000000348</v>
      </c>
      <c r="F17" s="32">
        <f>'FS Desroches Daily'!F19</f>
        <v>2600.0000000001578</v>
      </c>
      <c r="G17" s="31">
        <f>'FS Desroches Daily'!H19</f>
        <v>2599.9999999997135</v>
      </c>
      <c r="H17" s="32">
        <f>'FS Desroches Daily'!J19</f>
        <v>1200.0000000000898</v>
      </c>
      <c r="I17" s="31">
        <f>'FS Desroches Daily'!L19</f>
        <v>1700.0000000000348</v>
      </c>
      <c r="J17" s="32">
        <f>'FS Desroches Daily'!N19</f>
        <v>899.99999999990087</v>
      </c>
      <c r="K17" s="13">
        <f>'FS Desroches Daily'!P19</f>
        <v>4</v>
      </c>
      <c r="L17" s="31">
        <f>'FS Desroches Daily'!R19</f>
        <v>2</v>
      </c>
      <c r="M17" s="31">
        <f>'FS Desroches Daily'!T19</f>
        <v>0.70000000000004547</v>
      </c>
      <c r="N17" s="31">
        <f>'FS Desroches Daily'!V19</f>
        <v>278</v>
      </c>
      <c r="O17" s="31">
        <f>'FS Desroches Daily'!X19</f>
        <v>220.00000000002728</v>
      </c>
      <c r="P17" s="31">
        <f>'FS Desroches Daily'!Z19</f>
        <v>2300.0000000004129</v>
      </c>
      <c r="Q17" s="31">
        <f>'FS Desroches Daily'!AB19</f>
        <v>319.99999999999318</v>
      </c>
      <c r="R17" s="31">
        <f>'FS Desroches Daily'!AD19</f>
        <v>219.99999999997044</v>
      </c>
      <c r="S17" s="31">
        <f>'FS Desroches Daily'!AF19</f>
        <v>210.00000000003638</v>
      </c>
      <c r="T17" s="31">
        <f>'FS Desroches Daily'!AH19</f>
        <v>32</v>
      </c>
      <c r="U17" s="35">
        <f>'FS Desroches Daily'!AJ19</f>
        <v>399.99999999997726</v>
      </c>
      <c r="V17" s="35">
        <f>'FS Desroches Daily'!AL19</f>
        <v>250</v>
      </c>
      <c r="W17" s="35">
        <f>'FS Desroches Daily'!AN19</f>
        <v>149.99999999997726</v>
      </c>
      <c r="X17" s="35">
        <f>'FS Desroches Daily'!AP19</f>
        <v>109.99999999998522</v>
      </c>
      <c r="Y17" s="35">
        <f>'FS Desroches Daily'!AR19</f>
        <v>109.99999999998522</v>
      </c>
      <c r="Z17" s="35">
        <f>'FS Desroches Daily'!AU20</f>
        <v>291.74</v>
      </c>
      <c r="AA17" s="35">
        <f>'FS Desroches Daily'!AU20</f>
        <v>291.74</v>
      </c>
      <c r="AB17" s="35">
        <f>'FS Desroches Daily'!AV19</f>
        <v>189.99999999999773</v>
      </c>
      <c r="AC17" s="35">
        <f>'FS Desroches Daily'!AZ19</f>
        <v>30.000000000029559</v>
      </c>
      <c r="AD17" s="35">
        <f>'FS Desroches Daily'!BB19</f>
        <v>29.999999999972715</v>
      </c>
      <c r="AE17" s="35">
        <f>'FS Desroches Daily'!BD19</f>
        <v>30.000000000001137</v>
      </c>
      <c r="AF17" s="31">
        <f>'FS Desroches Daily'!BF19</f>
        <v>35</v>
      </c>
      <c r="AG17" s="32">
        <f>'FS Desroches Daily'!BH19</f>
        <v>30.000000000001137</v>
      </c>
      <c r="AH17" s="32">
        <f>'FS Desroches Daily'!BJ19</f>
        <v>30.000000000029559</v>
      </c>
      <c r="AI17" s="32">
        <f>'FS Desroches Daily'!BL19</f>
        <v>30.000000000001137</v>
      </c>
      <c r="AJ17" s="32">
        <f>'FS Desroches Daily'!BN19</f>
        <v>39.999999999992042</v>
      </c>
      <c r="AK17" s="32">
        <f>'FS Desroches Daily'!BP19</f>
        <v>40.000000000020464</v>
      </c>
      <c r="AL17" s="32">
        <f>'FS Desroches Daily'!BR19</f>
        <v>16</v>
      </c>
      <c r="AM17" s="32">
        <f>'FS Desroches Daily'!BT19</f>
        <v>30.000000000001137</v>
      </c>
      <c r="AN17" s="32">
        <f>'FS Desroches Daily'!BV19</f>
        <v>35</v>
      </c>
      <c r="AO17" s="32">
        <f>'FS Desroches Daily'!BX19</f>
        <v>19.99999999998181</v>
      </c>
      <c r="AP17" s="32">
        <f>'FS Desroches Daily'!BZ19</f>
        <v>31</v>
      </c>
      <c r="AQ17" s="31">
        <f>'FS Desroches Daily'!CB19</f>
        <v>36.400000000001455</v>
      </c>
      <c r="AR17" s="31">
        <f>'FS Desroches Daily'!CD19</f>
        <v>6</v>
      </c>
      <c r="AS17" s="31">
        <f>'FS Desroches Daily'!CF19</f>
        <v>5.3000000000001819</v>
      </c>
      <c r="AT17" s="31">
        <f>'FS Desroches Daily'!CH19</f>
        <v>50.200000000004366</v>
      </c>
      <c r="AU17" s="31">
        <f>'FS Desroches Daily'!CJ19</f>
        <v>269</v>
      </c>
      <c r="AV17" s="31">
        <f>'FS Desroches Daily'!CL19</f>
        <v>730.00000000001819</v>
      </c>
      <c r="AW17" s="31">
        <f>'FS Desroches Daily'!CM19</f>
        <v>62</v>
      </c>
      <c r="AX17" s="31">
        <f>IF(LPG!F24-LPG!F23&lt;0,"0",(LPG!F24-LPG!F23)*1.8315)</f>
        <v>7.3259999999999996</v>
      </c>
      <c r="AY17" s="31">
        <f>IF(LPG!H24-LPG!H23&lt;0,"0",(LPG!H24-LPG!H23)*1.8315)</f>
        <v>3.6629999999999998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5.4944999999999995</v>
      </c>
      <c r="BC17" s="13">
        <f>'FS Desroches Daily'!CN19</f>
        <v>16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8</v>
      </c>
      <c r="D18" s="27">
        <v>2021</v>
      </c>
      <c r="E18" s="31">
        <f>'FS Desroches Daily'!D20</f>
        <v>1899.9999999995687</v>
      </c>
      <c r="F18" s="32">
        <f>'FS Desroches Daily'!F20</f>
        <v>2499.9999999999468</v>
      </c>
      <c r="G18" s="31">
        <f>'FS Desroches Daily'!H20</f>
        <v>2600.0000000001578</v>
      </c>
      <c r="H18" s="32">
        <f>'FS Desroches Daily'!J20</f>
        <v>1199.9999999998679</v>
      </c>
      <c r="I18" s="31">
        <f>'FS Desroches Daily'!L20</f>
        <v>1900.0000000000127</v>
      </c>
      <c r="J18" s="32">
        <f>'FS Desroches Daily'!N20</f>
        <v>599.99999999993395</v>
      </c>
      <c r="K18" s="13">
        <f>'FS Desroches Daily'!P20</f>
        <v>4</v>
      </c>
      <c r="L18" s="31">
        <f>'FS Desroches Daily'!R20</f>
        <v>2</v>
      </c>
      <c r="M18" s="31">
        <f>'FS Desroches Daily'!T20</f>
        <v>0.89999999999986358</v>
      </c>
      <c r="N18" s="31">
        <f>'FS Desroches Daily'!V20</f>
        <v>315</v>
      </c>
      <c r="O18" s="31">
        <f>'FS Desroches Daily'!X20</f>
        <v>229.99999999996135</v>
      </c>
      <c r="P18" s="31">
        <f>'FS Desroches Daily'!Z20</f>
        <v>2299.9999999999686</v>
      </c>
      <c r="Q18" s="31">
        <f>'FS Desroches Daily'!AB20</f>
        <v>160.00000000002501</v>
      </c>
      <c r="R18" s="31">
        <f>'FS Desroches Daily'!AD20</f>
        <v>199.99999999998863</v>
      </c>
      <c r="S18" s="31">
        <f>'FS Desroches Daily'!AF20</f>
        <v>179.99999999994998</v>
      </c>
      <c r="T18" s="31">
        <f>'FS Desroches Daily'!AH20</f>
        <v>34</v>
      </c>
      <c r="U18" s="35">
        <f>'FS Desroches Daily'!AJ20</f>
        <v>440.00000000005457</v>
      </c>
      <c r="V18" s="35">
        <f>'FS Desroches Daily'!AL20</f>
        <v>270.00000000001023</v>
      </c>
      <c r="W18" s="35">
        <f>'FS Desroches Daily'!AN20</f>
        <v>180.00000000000682</v>
      </c>
      <c r="X18" s="35">
        <f>'FS Desroches Daily'!AP20</f>
        <v>110.00000000001364</v>
      </c>
      <c r="Y18" s="35">
        <f>'FS Desroches Daily'!AR20</f>
        <v>110.00000000001364</v>
      </c>
      <c r="Z18" s="35">
        <f>'FS Desroches Daily'!AT20</f>
        <v>179.99999999994998</v>
      </c>
      <c r="AA18" s="35">
        <f>'FS Desroches Daily'!AT20</f>
        <v>179.99999999994998</v>
      </c>
      <c r="AB18" s="35">
        <f>'FS Desroches Daily'!AV20</f>
        <v>220.00000000002728</v>
      </c>
      <c r="AC18" s="35">
        <f>'FS Desroches Daily'!AZ20</f>
        <v>29.999999999972715</v>
      </c>
      <c r="AD18" s="35">
        <f>'FS Desroches Daily'!BB20</f>
        <v>20.000000000038654</v>
      </c>
      <c r="AE18" s="35">
        <f>'FS Desroches Daily'!BD20</f>
        <v>30.000000000001137</v>
      </c>
      <c r="AF18" s="31">
        <f>'FS Desroches Daily'!BF20</f>
        <v>27</v>
      </c>
      <c r="AG18" s="32">
        <f>'FS Desroches Daily'!BH20</f>
        <v>39.999999999992042</v>
      </c>
      <c r="AH18" s="32">
        <f>'FS Desroches Daily'!BJ20</f>
        <v>19.99999999998181</v>
      </c>
      <c r="AI18" s="32">
        <f>'FS Desroches Daily'!BL20</f>
        <v>30.000000000001137</v>
      </c>
      <c r="AJ18" s="32">
        <f>'FS Desroches Daily'!BN20</f>
        <v>30.000000000001137</v>
      </c>
      <c r="AK18" s="32">
        <f>'FS Desroches Daily'!BP20</f>
        <v>40.000000000020464</v>
      </c>
      <c r="AL18" s="32">
        <f>'FS Desroches Daily'!BR20</f>
        <v>19</v>
      </c>
      <c r="AM18" s="32">
        <f>'FS Desroches Daily'!BT20</f>
        <v>39.999999999992042</v>
      </c>
      <c r="AN18" s="32">
        <f>'FS Desroches Daily'!BV20</f>
        <v>38</v>
      </c>
      <c r="AO18" s="32">
        <f>'FS Desroches Daily'!BX20</f>
        <v>20.000000000010232</v>
      </c>
      <c r="AP18" s="32">
        <f>'FS Desroches Daily'!BZ20</f>
        <v>36</v>
      </c>
      <c r="AQ18" s="31">
        <f>'FS Desroches Daily'!CB20</f>
        <v>27.19999999999709</v>
      </c>
      <c r="AR18" s="31">
        <f>'FS Desroches Daily'!CD20</f>
        <v>6.2999999999992724</v>
      </c>
      <c r="AS18" s="31">
        <f>'FS Desroches Daily'!CF20</f>
        <v>0.5999999999994543</v>
      </c>
      <c r="AT18" s="31">
        <f>'FS Desroches Daily'!CH20</f>
        <v>53.5</v>
      </c>
      <c r="AU18" s="31">
        <f>'FS Desroches Daily'!CJ20</f>
        <v>270</v>
      </c>
      <c r="AV18" s="31">
        <f>'FS Desroches Daily'!CL20</f>
        <v>699.99999999993179</v>
      </c>
      <c r="AW18" s="31">
        <f>'FS Desroches Daily'!CM20</f>
        <v>63</v>
      </c>
      <c r="AX18" s="31">
        <f>IF(LPG!F25-LPG!F24&lt;0,"0",(LPG!F25-LPG!F24)*1.8315)</f>
        <v>16.483499999999999</v>
      </c>
      <c r="AY18" s="31">
        <f>IF(LPG!H25-LPG!H24&lt;0,"0",(LPG!H25-LPG!H24)*1.8315)</f>
        <v>5.4944999999999995</v>
      </c>
      <c r="AZ18" s="31">
        <f>IF(LPG!J25-LPG!J24&lt;0,"0",(LPG!J25-LPG!J24)*1.8315)</f>
        <v>3.6629999999999998</v>
      </c>
      <c r="BA18" s="31">
        <f>IF(LPG!M25-LPG!M24&lt;0,"0",(LPG!M25-LPG!M24)*1.8315)</f>
        <v>5.4944999999999995</v>
      </c>
      <c r="BB18" s="31">
        <f>IF(LPG!Q25-LPG!Q24&lt;0,"0",(LPG!Q25-LPG!Q24)*1.8315)</f>
        <v>10.988999999999999</v>
      </c>
      <c r="BC18" s="13">
        <f>'FS Desroches Daily'!CN20</f>
        <v>16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8</v>
      </c>
      <c r="D19" s="27">
        <v>2021</v>
      </c>
      <c r="E19" s="31">
        <f>'FS Desroches Daily'!D21</f>
        <v>1800.0000000002458</v>
      </c>
      <c r="F19" s="32">
        <f>'FS Desroches Daily'!F21</f>
        <v>2800.0000000001355</v>
      </c>
      <c r="G19" s="31">
        <f>'FS Desroches Daily'!H21</f>
        <v>2699.9999999999245</v>
      </c>
      <c r="H19" s="32">
        <f>'FS Desroches Daily'!J21</f>
        <v>1300.0000000000789</v>
      </c>
      <c r="I19" s="31">
        <f>'FS Desroches Daily'!L21</f>
        <v>1900.0000000000127</v>
      </c>
      <c r="J19" s="32">
        <f>'FS Desroches Daily'!N21</f>
        <v>800.00000000013392</v>
      </c>
      <c r="K19" s="13">
        <f>'FS Desroches Daily'!P21</f>
        <v>1</v>
      </c>
      <c r="L19" s="31">
        <f>'FS Desroches Daily'!R21</f>
        <v>3</v>
      </c>
      <c r="M19" s="31">
        <f>'FS Desroches Daily'!T21</f>
        <v>0.90000000000009095</v>
      </c>
      <c r="N19" s="31">
        <f>'FS Desroches Daily'!V21</f>
        <v>342.20000000001164</v>
      </c>
      <c r="O19" s="31">
        <f>'FS Desroches Daily'!X21</f>
        <v>290.00000000002046</v>
      </c>
      <c r="P19" s="31">
        <f>'FS Desroches Daily'!Z21</f>
        <v>2499.9999999999468</v>
      </c>
      <c r="Q19" s="31">
        <f>'FS Desroches Daily'!AB21</f>
        <v>339.99999999997499</v>
      </c>
      <c r="R19" s="31">
        <f>'FS Desroches Daily'!AD21</f>
        <v>220.00000000002728</v>
      </c>
      <c r="S19" s="31">
        <f>'FS Desroches Daily'!AF21</f>
        <v>180.00000000006366</v>
      </c>
      <c r="T19" s="31">
        <f>'FS Desroches Daily'!AH21</f>
        <v>31</v>
      </c>
      <c r="U19" s="35">
        <f>'FS Desroches Daily'!AJ21</f>
        <v>460.00000000003638</v>
      </c>
      <c r="V19" s="35">
        <f>'FS Desroches Daily'!AL21</f>
        <v>250</v>
      </c>
      <c r="W19" s="35">
        <f>'FS Desroches Daily'!AN21</f>
        <v>219.99999999999886</v>
      </c>
      <c r="X19" s="35">
        <f>'FS Desroches Daily'!AP21</f>
        <v>80.000000000012506</v>
      </c>
      <c r="Y19" s="35">
        <f>'FS Desroches Daily'!AR21</f>
        <v>109.99999999998522</v>
      </c>
      <c r="Z19" s="35">
        <f>'FS Desroches Daily'!AT21</f>
        <v>170.00000000001592</v>
      </c>
      <c r="AA19" s="35">
        <f>'FS Desroches Daily'!AT21</f>
        <v>170.00000000001592</v>
      </c>
      <c r="AB19" s="35">
        <f>'FS Desroches Daily'!AV21</f>
        <v>139.99999999998636</v>
      </c>
      <c r="AC19" s="35">
        <f>'FS Desroches Daily'!AZ21</f>
        <v>30.000000000029559</v>
      </c>
      <c r="AD19" s="35">
        <f>'FS Desroches Daily'!BB21</f>
        <v>29.999999999972715</v>
      </c>
      <c r="AE19" s="35">
        <f>'FS Desroches Daily'!BD21</f>
        <v>20.000000000010232</v>
      </c>
      <c r="AF19" s="31">
        <f>'FS Desroches Daily'!BF21</f>
        <v>23</v>
      </c>
      <c r="AG19" s="32">
        <f>'FS Desroches Daily'!BH21</f>
        <v>40.000000000020464</v>
      </c>
      <c r="AH19" s="32">
        <f>'FS Desroches Daily'!BJ21</f>
        <v>29.999999999972715</v>
      </c>
      <c r="AI19" s="32">
        <f>'FS Desroches Daily'!BL21</f>
        <v>39.999999999992042</v>
      </c>
      <c r="AJ19" s="32">
        <f>'FS Desroches Daily'!BN21</f>
        <v>40.000000000020464</v>
      </c>
      <c r="AK19" s="32">
        <f>'FS Desroches Daily'!BP21</f>
        <v>50.000000000011369</v>
      </c>
      <c r="AL19" s="32">
        <f>'FS Desroches Daily'!BR21</f>
        <v>33</v>
      </c>
      <c r="AM19" s="32">
        <f>'FS Desroches Daily'!BT21</f>
        <v>30.000000000001137</v>
      </c>
      <c r="AN19" s="32">
        <f>'FS Desroches Daily'!BV21</f>
        <v>44</v>
      </c>
      <c r="AO19" s="32">
        <f>'FS Desroches Daily'!BX21</f>
        <v>20.000000000010232</v>
      </c>
      <c r="AP19" s="32">
        <f>'FS Desroches Daily'!BZ21</f>
        <v>33</v>
      </c>
      <c r="AQ19" s="31">
        <f>'FS Desroches Daily'!CB21</f>
        <v>38.900000000001455</v>
      </c>
      <c r="AR19" s="31">
        <f>'FS Desroches Daily'!CD21</f>
        <v>6.8999999999996362</v>
      </c>
      <c r="AS19" s="31">
        <f>'FS Desroches Daily'!CF21</f>
        <v>6.8000000000001819</v>
      </c>
      <c r="AT19" s="31">
        <f>'FS Desroches Daily'!CH21</f>
        <v>50.299999999995634</v>
      </c>
      <c r="AU19" s="31">
        <f>'FS Desroches Daily'!CJ21</f>
        <v>282</v>
      </c>
      <c r="AV19" s="31">
        <f>'FS Desroches Daily'!CL21</f>
        <v>690.00000000005457</v>
      </c>
      <c r="AW19" s="31">
        <f>'FS Desroches Daily'!CM21</f>
        <v>69</v>
      </c>
      <c r="AX19" s="31">
        <f>IF(LPG!F26-LPG!F25&lt;0,"0",(LPG!F26-LPG!F25)*1.8315)</f>
        <v>1.8314999999999999</v>
      </c>
      <c r="AY19" s="31">
        <f>IF(LPG!H26-LPG!H25&lt;0,"0",(LPG!H26-LPG!H25)*1.8315)</f>
        <v>1.8314999999999999</v>
      </c>
      <c r="AZ19" s="31">
        <f>IF(LPG!J26-LPG!J25&lt;0,"0",(LPG!J26-LPG!J25)*1.8315)</f>
        <v>1.8314999999999999</v>
      </c>
      <c r="BA19" s="31">
        <f>IF(LPG!M26-LPG!M25&lt;0,"0",(LPG!M26-LPG!M25)*1.8315)</f>
        <v>0</v>
      </c>
      <c r="BB19" s="31">
        <f>IF(LPG!Q26-LPG!Q25&lt;0,"0",(LPG!Q26-LPG!Q25)*1.8315)</f>
        <v>1.8314999999999999</v>
      </c>
      <c r="BC19" s="13">
        <f>'FS Desroches Daily'!CN21</f>
        <v>10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8</v>
      </c>
      <c r="D20" s="27">
        <v>2021</v>
      </c>
      <c r="E20" s="31">
        <f>'FS Desroches Daily'!D22</f>
        <v>1700.0000000000348</v>
      </c>
      <c r="F20" s="32">
        <f>'FS Desroches Daily'!F22</f>
        <v>2599.9999999997135</v>
      </c>
      <c r="G20" s="31">
        <f>'FS Desroches Daily'!H22</f>
        <v>2600.0000000001578</v>
      </c>
      <c r="H20" s="32">
        <f>'FS Desroches Daily'!J22</f>
        <v>1300.0000000000789</v>
      </c>
      <c r="I20" s="31">
        <f>'FS Desroches Daily'!L22</f>
        <v>1999.9999999997797</v>
      </c>
      <c r="J20" s="32">
        <f>'FS Desroches Daily'!N22</f>
        <v>799.99999999991189</v>
      </c>
      <c r="K20" s="13">
        <f>'FS Desroches Daily'!P22</f>
        <v>7</v>
      </c>
      <c r="L20" s="31">
        <f>'FS Desroches Daily'!R22</f>
        <v>2</v>
      </c>
      <c r="M20" s="31">
        <f>'FS Desroches Daily'!T22</f>
        <v>0.70000000000004547</v>
      </c>
      <c r="N20" s="31">
        <f>'FS Desroches Daily'!V22</f>
        <v>343.09999999997672</v>
      </c>
      <c r="O20" s="31">
        <f>'FS Desroches Daily'!X22</f>
        <v>269.99999999998181</v>
      </c>
      <c r="P20" s="31">
        <f>'FS Desroches Daily'!Z22</f>
        <v>2399.9999999997358</v>
      </c>
      <c r="Q20" s="31">
        <f>'FS Desroches Daily'!AB22</f>
        <v>189.99999999999773</v>
      </c>
      <c r="R20" s="31">
        <f>'FS Desroches Daily'!AD22</f>
        <v>259.99999999999091</v>
      </c>
      <c r="S20" s="31">
        <f>'FS Desroches Daily'!AF22</f>
        <v>179.99999999994998</v>
      </c>
      <c r="T20" s="31">
        <f>'FS Desroches Daily'!AH22</f>
        <v>32</v>
      </c>
      <c r="U20" s="35">
        <f>'FS Desroches Daily'!AJ22</f>
        <v>459.99999999992269</v>
      </c>
      <c r="V20" s="35">
        <f>'FS Desroches Daily'!AL22</f>
        <v>180.00000000000682</v>
      </c>
      <c r="W20" s="35">
        <f>'FS Desroches Daily'!AN22</f>
        <v>170.00000000001592</v>
      </c>
      <c r="X20" s="35">
        <f>'FS Desroches Daily'!AP22</f>
        <v>109.99999999998522</v>
      </c>
      <c r="Y20" s="35">
        <f>'FS Desroches Daily'!AR22</f>
        <v>120.00000000000455</v>
      </c>
      <c r="Z20" s="35">
        <f>'FS Desroches Daily'!AT22</f>
        <v>100.00000000002274</v>
      </c>
      <c r="AA20" s="35">
        <f>'FS Desroches Daily'!AT22</f>
        <v>100.00000000002274</v>
      </c>
      <c r="AB20" s="35">
        <f>'FS Desroches Daily'!AV22</f>
        <v>90.000000000031832</v>
      </c>
      <c r="AC20" s="35">
        <f>'FS Desroches Daily'!AZ22</f>
        <v>39.99999999996362</v>
      </c>
      <c r="AD20" s="35">
        <f>'FS Desroches Daily'!BB22</f>
        <v>19.99999999998181</v>
      </c>
      <c r="AE20" s="35">
        <f>'FS Desroches Daily'!BD22</f>
        <v>39.999999999992042</v>
      </c>
      <c r="AF20" s="31" t="str">
        <f>'FS Desroches Daily'!BF22</f>
        <v/>
      </c>
      <c r="AG20" s="32">
        <f>'FS Desroches Daily'!BH22</f>
        <v>39.999999999992042</v>
      </c>
      <c r="AH20" s="32">
        <f>'FS Desroches Daily'!BJ22</f>
        <v>30.000000000029559</v>
      </c>
      <c r="AI20" s="32">
        <f>'FS Desroches Daily'!BL22</f>
        <v>30.000000000001137</v>
      </c>
      <c r="AJ20" s="32">
        <f>'FS Desroches Daily'!BN22</f>
        <v>39.999999999992042</v>
      </c>
      <c r="AK20" s="32">
        <f>'FS Desroches Daily'!BP22</f>
        <v>89.999999999974989</v>
      </c>
      <c r="AL20" s="32">
        <f>'FS Desroches Daily'!BR22</f>
        <v>35</v>
      </c>
      <c r="AM20" s="32">
        <f>'FS Desroches Daily'!BT22</f>
        <v>39.999999999992042</v>
      </c>
      <c r="AN20" s="32">
        <f>'FS Desroches Daily'!BV22</f>
        <v>41</v>
      </c>
      <c r="AO20" s="32">
        <f>'FS Desroches Daily'!BX22</f>
        <v>19.99999999998181</v>
      </c>
      <c r="AP20" s="32">
        <f>'FS Desroches Daily'!BZ22</f>
        <v>36</v>
      </c>
      <c r="AQ20" s="31">
        <f>'FS Desroches Daily'!CB22</f>
        <v>36.099999999998545</v>
      </c>
      <c r="AR20" s="31">
        <f>'FS Desroches Daily'!CD22</f>
        <v>4.5</v>
      </c>
      <c r="AS20" s="31">
        <f>'FS Desroches Daily'!CF22</f>
        <v>0.6000000000003638</v>
      </c>
      <c r="AT20" s="31">
        <f>'FS Desroches Daily'!CH22</f>
        <v>49.700000000004366</v>
      </c>
      <c r="AU20" s="31">
        <f>'FS Desroches Daily'!CJ22</f>
        <v>272</v>
      </c>
      <c r="AV20" s="31">
        <f>'FS Desroches Daily'!CL22</f>
        <v>669.99999999995907</v>
      </c>
      <c r="AW20" s="31">
        <f>'FS Desroches Daily'!CM22</f>
        <v>62</v>
      </c>
      <c r="AX20" s="31" t="str">
        <f>IF(LPG!F27-LPG!F26&lt;0,"0",(LPG!F27-LPG!F26)*1.8315)</f>
        <v>0</v>
      </c>
      <c r="AY20" s="31" t="str">
        <f>IF(LPG!H27-LPG!H26&lt;0,"0",(LPG!H27-LPG!H26)*1.8315)</f>
        <v>0</v>
      </c>
      <c r="AZ20" s="31" t="str">
        <f>IF(LPG!J27-LPG!J26&lt;0,"0",(LPG!J27-LPG!J26)*1.8315)</f>
        <v>0</v>
      </c>
      <c r="BA20" s="31" t="str">
        <f>IF(LPG!M27-LPG!M26&lt;0,"0",(LPG!M27-LPG!M26)*1.8315)</f>
        <v>0</v>
      </c>
      <c r="BB20" s="31" t="str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8</v>
      </c>
      <c r="D21" s="27">
        <v>2021</v>
      </c>
      <c r="E21" s="31" t="str">
        <f>'FS Desroches Daily'!D23</f>
        <v>0</v>
      </c>
      <c r="F21" s="32" t="str">
        <f>'FS Desroches Daily'!F23</f>
        <v>0</v>
      </c>
      <c r="G21" s="31" t="str">
        <f>'FS Desroches Daily'!H23</f>
        <v>0</v>
      </c>
      <c r="H21" s="32" t="str">
        <f>'FS Desroches Daily'!J23</f>
        <v>0</v>
      </c>
      <c r="I21" s="31" t="str">
        <f>'FS Desroches Daily'!L23</f>
        <v>0</v>
      </c>
      <c r="J21" s="32" t="str">
        <f>'FS Desroches Daily'!N23</f>
        <v/>
      </c>
      <c r="K21" s="13" t="str">
        <f>'FS Desroches Daily'!P23</f>
        <v/>
      </c>
      <c r="L21" s="31" t="str">
        <f>'FS Desroches Daily'!R23</f>
        <v/>
      </c>
      <c r="M21" s="31" t="str">
        <f>'FS Desroches Daily'!T23</f>
        <v/>
      </c>
      <c r="N21" s="31" t="str">
        <f>'FS Desroches Daily'!V23</f>
        <v/>
      </c>
      <c r="O21" s="31" t="str">
        <f>'FS Desroches Daily'!X23</f>
        <v/>
      </c>
      <c r="P21" s="31" t="str">
        <f>'FS Desroches Daily'!Z23</f>
        <v/>
      </c>
      <c r="Q21" s="31" t="str">
        <f>'FS Desroches Daily'!AB23</f>
        <v/>
      </c>
      <c r="R21" s="31" t="str">
        <f>'FS Desroches Daily'!AD23</f>
        <v/>
      </c>
      <c r="S21" s="31" t="str">
        <f>'FS Desroches Daily'!AF23</f>
        <v/>
      </c>
      <c r="T21" s="31" t="str">
        <f>'FS Desroches Daily'!AH23</f>
        <v/>
      </c>
      <c r="U21" s="35" t="str">
        <f>'FS Desroches Daily'!AJ23</f>
        <v/>
      </c>
      <c r="V21" s="35" t="str">
        <f>'FS Desroches Daily'!AL23</f>
        <v/>
      </c>
      <c r="W21" s="35" t="str">
        <f>'FS Desroches Daily'!AN23</f>
        <v/>
      </c>
      <c r="X21" s="35" t="str">
        <f>'FS Desroches Daily'!AP23</f>
        <v/>
      </c>
      <c r="Y21" s="35" t="str">
        <f>'FS Desroches Daily'!AR23</f>
        <v/>
      </c>
      <c r="Z21" s="35" t="str">
        <f>'FS Desroches Daily'!AT23</f>
        <v/>
      </c>
      <c r="AA21" s="35" t="str">
        <f>'FS Desroches Daily'!AT23</f>
        <v/>
      </c>
      <c r="AB21" s="35" t="str">
        <f>'FS Desroches Daily'!AV23</f>
        <v/>
      </c>
      <c r="AC21" s="35" t="str">
        <f>'FS Desroches Daily'!AZ23</f>
        <v/>
      </c>
      <c r="AD21" s="35" t="str">
        <f>'FS Desroches Daily'!BB23</f>
        <v/>
      </c>
      <c r="AE21" s="35" t="str">
        <f>'FS Desroches Daily'!BD23</f>
        <v/>
      </c>
      <c r="AF21" s="31">
        <f>'FS Desroches Daily'!BF23</f>
        <v>0</v>
      </c>
      <c r="AG21" s="32" t="str">
        <f>'FS Desroches Daily'!BH23</f>
        <v/>
      </c>
      <c r="AH21" s="32" t="str">
        <f>'FS Desroches Daily'!BJ23</f>
        <v/>
      </c>
      <c r="AI21" s="32" t="str">
        <f>'FS Desroches Daily'!BL23</f>
        <v/>
      </c>
      <c r="AJ21" s="32" t="str">
        <f>'FS Desroches Daily'!BN23</f>
        <v/>
      </c>
      <c r="AK21" s="32" t="str">
        <f>'FS Desroches Daily'!BP23</f>
        <v/>
      </c>
      <c r="AL21" s="32" t="str">
        <f>'FS Desroches Daily'!BR23</f>
        <v/>
      </c>
      <c r="AM21" s="32" t="str">
        <f>'FS Desroches Daily'!BT23</f>
        <v/>
      </c>
      <c r="AN21" s="32" t="str">
        <f>'FS Desroches Daily'!BV23</f>
        <v/>
      </c>
      <c r="AO21" s="32" t="str">
        <f>'FS Desroches Daily'!BX23</f>
        <v/>
      </c>
      <c r="AP21" s="32" t="str">
        <f>'FS Desroches Daily'!BZ23</f>
        <v/>
      </c>
      <c r="AQ21" s="31" t="str">
        <f>'FS Desroches Daily'!CB23</f>
        <v/>
      </c>
      <c r="AR21" s="31" t="str">
        <f>'FS Desroches Daily'!CD23</f>
        <v/>
      </c>
      <c r="AS21" s="31" t="str">
        <f>'FS Desroches Daily'!CF23</f>
        <v/>
      </c>
      <c r="AT21" s="31" t="str">
        <f>'FS Desroches Daily'!CH23</f>
        <v/>
      </c>
      <c r="AU21" s="31" t="str">
        <f>'FS Desroches Daily'!CJ23</f>
        <v/>
      </c>
      <c r="AV21" s="31" t="str">
        <f>'FS Desroches Daily'!CL23</f>
        <v/>
      </c>
      <c r="AW21" s="31" t="e">
        <f>'FS Desroches Daily'!CM23</f>
        <v>#VALUE!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8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8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8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8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8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8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8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8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8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8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8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41399.999999999891</v>
      </c>
      <c r="F33" s="17">
        <f t="shared" ref="F33:BC33" si="1">SUM(F2:F32)</f>
        <v>49299.999999999687</v>
      </c>
      <c r="G33" s="17">
        <f t="shared" si="1"/>
        <v>51000.000000000167</v>
      </c>
      <c r="H33" s="17">
        <f t="shared" si="1"/>
        <v>24100.000000000015</v>
      </c>
      <c r="I33" s="17">
        <f t="shared" si="1"/>
        <v>37599.999999999862</v>
      </c>
      <c r="J33" s="17">
        <f t="shared" si="1"/>
        <v>15900.000000000033</v>
      </c>
      <c r="K33" s="17">
        <f t="shared" si="1"/>
        <v>102</v>
      </c>
      <c r="L33" s="17">
        <f t="shared" si="1"/>
        <v>48</v>
      </c>
      <c r="M33" s="17">
        <f t="shared" si="1"/>
        <v>15.600000000000023</v>
      </c>
      <c r="N33" s="17">
        <f t="shared" si="1"/>
        <v>6113.5999999999767</v>
      </c>
      <c r="O33" s="17">
        <f t="shared" si="1"/>
        <v>5069.9999999999927</v>
      </c>
      <c r="P33" s="17">
        <f t="shared" si="1"/>
        <v>44099.999999999811</v>
      </c>
      <c r="Q33" s="17">
        <f t="shared" si="1"/>
        <v>5110.0000000000146</v>
      </c>
      <c r="R33" s="17">
        <f t="shared" si="1"/>
        <v>5029.9999999999727</v>
      </c>
      <c r="S33" s="17">
        <f t="shared" si="1"/>
        <v>3699.9999999999318</v>
      </c>
      <c r="T33" s="17">
        <f t="shared" si="1"/>
        <v>648</v>
      </c>
      <c r="U33" s="35">
        <f t="shared" si="1"/>
        <v>13069.999999999938</v>
      </c>
      <c r="V33" s="35">
        <f t="shared" si="1"/>
        <v>4240.0000000000091</v>
      </c>
      <c r="W33" s="35">
        <f t="shared" si="1"/>
        <v>3380.0000000000241</v>
      </c>
      <c r="X33" s="35">
        <f t="shared" si="1"/>
        <v>3129.9999999999964</v>
      </c>
      <c r="Y33" s="35">
        <f t="shared" si="1"/>
        <v>3159.9999999999973</v>
      </c>
      <c r="Z33" s="35">
        <f t="shared" si="1"/>
        <v>3231.7399999999975</v>
      </c>
      <c r="AA33" s="35">
        <f t="shared" si="1"/>
        <v>3231.7399999999975</v>
      </c>
      <c r="AB33" s="35">
        <f t="shared" si="1"/>
        <v>2990.0000000000091</v>
      </c>
      <c r="AC33" s="35">
        <f t="shared" si="1"/>
        <v>739.99999999995225</v>
      </c>
      <c r="AD33" s="35">
        <f t="shared" si="1"/>
        <v>479.99999999996135</v>
      </c>
      <c r="AE33" s="35">
        <f t="shared" si="1"/>
        <v>1039.999999999992</v>
      </c>
      <c r="AF33" s="17">
        <f t="shared" si="1"/>
        <v>515</v>
      </c>
      <c r="AG33" s="32">
        <f t="shared" si="1"/>
        <v>810.00000000000227</v>
      </c>
      <c r="AH33" s="32">
        <f t="shared" si="1"/>
        <v>490.00000000000909</v>
      </c>
      <c r="AI33" s="32">
        <f t="shared" si="1"/>
        <v>599.99999999999432</v>
      </c>
      <c r="AJ33" s="32">
        <f t="shared" si="1"/>
        <v>770.00000000001023</v>
      </c>
      <c r="AK33" s="32">
        <f t="shared" si="1"/>
        <v>970.00000000002728</v>
      </c>
      <c r="AL33" s="32">
        <f t="shared" si="1"/>
        <v>462</v>
      </c>
      <c r="AM33" s="32">
        <f t="shared" si="1"/>
        <v>699.99999999998863</v>
      </c>
      <c r="AN33" s="32">
        <f t="shared" si="1"/>
        <v>768</v>
      </c>
      <c r="AO33" s="32">
        <f t="shared" si="1"/>
        <v>389.99999999998636</v>
      </c>
      <c r="AP33" s="32">
        <f t="shared" si="1"/>
        <v>707</v>
      </c>
      <c r="AQ33" s="17">
        <f t="shared" si="1"/>
        <v>627.5</v>
      </c>
      <c r="AR33" s="17">
        <f t="shared" si="1"/>
        <v>121.19999999999891</v>
      </c>
      <c r="AS33" s="17">
        <f t="shared" si="1"/>
        <v>96.200000000000728</v>
      </c>
      <c r="AT33" s="17">
        <f t="shared" si="1"/>
        <v>954.90000000000146</v>
      </c>
      <c r="AU33" s="17">
        <f t="shared" si="1"/>
        <v>5183</v>
      </c>
      <c r="AV33" s="17">
        <f t="shared" si="1"/>
        <v>13939.999999999942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130.03649999999999</v>
      </c>
      <c r="BC33" s="17">
        <f t="shared" si="1"/>
        <v>213</v>
      </c>
    </row>
    <row r="35" spans="5:55" x14ac:dyDescent="0.25">
      <c r="E35" s="38">
        <f>E33/E37</f>
        <v>0.23953065876716892</v>
      </c>
      <c r="G35" s="29">
        <f>G33-M36</f>
        <v>44870.800000000192</v>
      </c>
      <c r="AE35" s="35">
        <f>SUM(U33:AE33)</f>
        <v>38693.479999999872</v>
      </c>
      <c r="AG35" s="32">
        <f>SUM(AG33:AP33)</f>
        <v>6667.0000000000191</v>
      </c>
    </row>
    <row r="36" spans="5:55" x14ac:dyDescent="0.25">
      <c r="G36" s="29">
        <f>G35-633*14</f>
        <v>36008.800000000192</v>
      </c>
      <c r="M36" s="29">
        <f>M33+N33</f>
        <v>6129.1999999999771</v>
      </c>
    </row>
    <row r="37" spans="5:55" x14ac:dyDescent="0.25">
      <c r="E37" s="17">
        <f>E33+F33+G33+H33+J33-633*14</f>
        <v>172837.9999999998</v>
      </c>
      <c r="G37" s="37">
        <f>M36/E37</f>
        <v>3.5462109026950003E-2</v>
      </c>
      <c r="M37" s="35">
        <f>AE35</f>
        <v>38693.479999999872</v>
      </c>
    </row>
    <row r="38" spans="5:55" x14ac:dyDescent="0.25">
      <c r="L38" s="27">
        <f>M38/E37</f>
        <v>3.8573693285041642E-2</v>
      </c>
      <c r="M38" s="29">
        <f>AG35</f>
        <v>6667.0000000000191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zoomScale="80" zoomScaleNormal="80" workbookViewId="0">
      <pane ySplit="1" topLeftCell="A5" activePane="bottomLeft" state="frozen"/>
      <selection pane="bottomLeft" activeCell="CV23" sqref="CV23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147</v>
      </c>
      <c r="T1" s="80"/>
      <c r="U1" s="79" t="s">
        <v>117</v>
      </c>
      <c r="V1" s="80"/>
      <c r="W1" s="81" t="s">
        <v>118</v>
      </c>
      <c r="X1" s="82"/>
      <c r="Y1" s="79" t="s">
        <v>119</v>
      </c>
      <c r="Z1" s="80"/>
      <c r="AA1" s="79" t="s">
        <v>120</v>
      </c>
      <c r="AB1" s="80"/>
      <c r="AC1" s="79" t="s">
        <v>121</v>
      </c>
      <c r="AD1" s="80"/>
      <c r="AE1" s="79" t="s">
        <v>122</v>
      </c>
      <c r="AF1" s="80"/>
      <c r="AG1" s="79" t="s">
        <v>20</v>
      </c>
      <c r="AH1" s="80"/>
      <c r="AI1" s="79" t="s">
        <v>123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137</v>
      </c>
      <c r="CQ1" s="85"/>
      <c r="CR1" s="83" t="s">
        <v>138</v>
      </c>
      <c r="CS1" s="83"/>
      <c r="CT1" s="84" t="s">
        <v>141</v>
      </c>
      <c r="CU1" s="85"/>
      <c r="CV1" s="83" t="s">
        <v>142</v>
      </c>
      <c r="CW1" s="83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</row>
    <row r="3" spans="1:102" ht="25.5" customHeight="1" thickBot="1" x14ac:dyDescent="0.45">
      <c r="A3" s="63">
        <v>44408</v>
      </c>
      <c r="B3" s="68"/>
      <c r="C3" s="58">
        <v>2.3572000000000002</v>
      </c>
      <c r="D3" s="64"/>
      <c r="E3" s="58">
        <v>3.3490000000000002</v>
      </c>
      <c r="F3" s="64"/>
      <c r="G3" s="58">
        <v>3.4056999999999999</v>
      </c>
      <c r="H3" s="64"/>
      <c r="I3" s="58">
        <v>1.6791</v>
      </c>
      <c r="J3" s="64"/>
      <c r="K3" s="58">
        <v>2.7126000000000001</v>
      </c>
      <c r="L3" s="64"/>
      <c r="M3" s="58">
        <v>1.4884999999999999</v>
      </c>
      <c r="N3" s="64"/>
      <c r="O3" s="58">
        <v>14542</v>
      </c>
      <c r="P3" s="67"/>
      <c r="Q3" s="58">
        <v>1093</v>
      </c>
      <c r="R3" s="67"/>
      <c r="S3" s="58">
        <v>1020.1</v>
      </c>
      <c r="T3" s="64"/>
      <c r="U3" s="58">
        <v>427651.2</v>
      </c>
      <c r="V3" s="67"/>
      <c r="W3" s="58">
        <v>406.47</v>
      </c>
      <c r="X3" s="65"/>
      <c r="Y3" s="58">
        <v>2.9289000000000001</v>
      </c>
      <c r="Z3" s="65"/>
      <c r="AA3" s="58">
        <v>405.28</v>
      </c>
      <c r="AB3" s="65"/>
      <c r="AC3" s="58">
        <v>378.73</v>
      </c>
      <c r="AD3" s="65"/>
      <c r="AE3" s="58">
        <v>575.82000000000005</v>
      </c>
      <c r="AF3" s="65"/>
      <c r="AG3" s="58">
        <v>5622</v>
      </c>
      <c r="AH3" s="67"/>
      <c r="AI3" s="58">
        <v>634.34</v>
      </c>
      <c r="AJ3" s="65"/>
      <c r="AK3" s="58">
        <v>210.12</v>
      </c>
      <c r="AL3" s="65"/>
      <c r="AM3" s="58">
        <v>199.92</v>
      </c>
      <c r="AN3" s="65"/>
      <c r="AO3" s="58">
        <v>193.06</v>
      </c>
      <c r="AP3" s="65"/>
      <c r="AQ3" s="58">
        <v>252.4</v>
      </c>
      <c r="AR3" s="65"/>
      <c r="AS3" s="58">
        <v>378.5</v>
      </c>
      <c r="AT3" s="65"/>
      <c r="AU3" s="58">
        <v>288.98</v>
      </c>
      <c r="AV3" s="65"/>
      <c r="AW3" s="58">
        <v>323.24</v>
      </c>
      <c r="AX3" s="65"/>
      <c r="AY3" s="58">
        <v>362.97</v>
      </c>
      <c r="AZ3" s="65"/>
      <c r="BA3" s="58">
        <v>382.05</v>
      </c>
      <c r="BB3" s="65"/>
      <c r="BC3" s="58">
        <v>244.86</v>
      </c>
      <c r="BD3" s="65"/>
      <c r="BE3" s="59">
        <v>41343</v>
      </c>
      <c r="BF3" s="67"/>
      <c r="BG3" s="60">
        <v>235.34</v>
      </c>
      <c r="BH3" s="65"/>
      <c r="BI3" s="60">
        <v>294.06</v>
      </c>
      <c r="BJ3" s="65"/>
      <c r="BK3" s="60">
        <v>237.87</v>
      </c>
      <c r="BL3" s="65"/>
      <c r="BM3" s="60">
        <v>225.07</v>
      </c>
      <c r="BN3" s="65"/>
      <c r="BO3" s="60">
        <v>288.77999999999997</v>
      </c>
      <c r="BP3" s="65"/>
      <c r="BQ3" s="60">
        <v>46194</v>
      </c>
      <c r="BR3" s="65"/>
      <c r="BS3" s="60">
        <v>201.75</v>
      </c>
      <c r="BT3" s="65"/>
      <c r="BU3" s="60">
        <v>41983</v>
      </c>
      <c r="BV3" s="65"/>
      <c r="BW3" s="60">
        <v>232.71</v>
      </c>
      <c r="BX3" s="65"/>
      <c r="BY3" s="60">
        <v>61770</v>
      </c>
      <c r="BZ3" s="67"/>
      <c r="CA3" s="60">
        <v>33136</v>
      </c>
      <c r="CB3" s="67"/>
      <c r="CC3" s="60">
        <v>12455.6</v>
      </c>
      <c r="CD3" s="67"/>
      <c r="CE3" s="60">
        <v>6588.9</v>
      </c>
      <c r="CF3" s="67"/>
      <c r="CG3" s="60">
        <v>60735.5</v>
      </c>
      <c r="CH3" s="67"/>
      <c r="CI3" s="60">
        <v>957957</v>
      </c>
      <c r="CJ3" s="67"/>
      <c r="CK3" s="60">
        <v>785.72</v>
      </c>
      <c r="CL3" s="64"/>
      <c r="CM3" s="65"/>
      <c r="CN3" s="62">
        <v>0</v>
      </c>
      <c r="CO3" s="62">
        <v>0</v>
      </c>
      <c r="CP3" s="68">
        <v>11206</v>
      </c>
      <c r="CQ3" s="67"/>
      <c r="CR3" s="68">
        <v>14965</v>
      </c>
      <c r="CS3" s="67"/>
      <c r="CT3" s="75">
        <v>6791</v>
      </c>
      <c r="CU3" s="67"/>
      <c r="CV3" s="68">
        <v>16309</v>
      </c>
      <c r="CW3" s="67"/>
      <c r="CX3" s="76"/>
    </row>
    <row r="4" spans="1:102" ht="25.5" customHeight="1" thickBot="1" x14ac:dyDescent="0.45">
      <c r="A4" s="63">
        <v>44409</v>
      </c>
      <c r="B4" s="68"/>
      <c r="C4" s="58">
        <v>2.3593999999999999</v>
      </c>
      <c r="D4" s="64">
        <f t="shared" ref="D4:D34" si="0">IF((C4-C3&lt;0), "0",(C4-C3)*1000000)</f>
        <v>2199.9999999997576</v>
      </c>
      <c r="E4" s="58">
        <v>3.3523000000000001</v>
      </c>
      <c r="F4" s="64">
        <f t="shared" ref="F4:F34" si="1">IF((E4-E3&lt;0), "0",(E4-E3)*1000000)</f>
        <v>3299.9999999998586</v>
      </c>
      <c r="G4" s="58">
        <v>3.4091999999999998</v>
      </c>
      <c r="H4" s="64">
        <f t="shared" ref="H4:H34" si="2">IF((G4-G3&lt;0), "0",(G4-G3)*1000000)</f>
        <v>3499.9999999998367</v>
      </c>
      <c r="I4" s="58">
        <v>1.6805000000000001</v>
      </c>
      <c r="J4" s="64">
        <f t="shared" ref="J4:J34" si="3">IF((I4-I3&lt;0), "0",(I4-I3)*1000000)</f>
        <v>1400.0000000000678</v>
      </c>
      <c r="K4" s="58">
        <v>2.7151000000000001</v>
      </c>
      <c r="L4" s="64">
        <f t="shared" ref="L4:L34" si="4">IF((K4-K3&lt;0), "0",(K4-K3)*1000000)</f>
        <v>2499.9999999999468</v>
      </c>
      <c r="M4" s="58">
        <v>1.4895</v>
      </c>
      <c r="N4" s="64">
        <f t="shared" ref="N4:N34" si="5">IF((M4-M3&lt;0), "",(M4-M3)*1000000)</f>
        <v>1000.0000000001119</v>
      </c>
      <c r="O4" s="58">
        <v>14549</v>
      </c>
      <c r="P4" s="67">
        <f>IF((O4-O3&lt;0), "",O4-O3)</f>
        <v>7</v>
      </c>
      <c r="Q4" s="58">
        <v>1096</v>
      </c>
      <c r="R4" s="67">
        <f t="shared" ref="R4:R34" si="6">IF((Q4-Q3&lt;0), "",Q4-Q3)</f>
        <v>3</v>
      </c>
      <c r="S4" s="58">
        <v>1021.3</v>
      </c>
      <c r="T4" s="67">
        <f t="shared" ref="T4:T34" si="7">IF((S4-S3&lt;0), "",S4-S3)</f>
        <v>1.1999999999999318</v>
      </c>
      <c r="U4" s="58">
        <v>428090.7</v>
      </c>
      <c r="V4" s="67">
        <f t="shared" ref="V4:V34" si="8">IF((U4-U3&lt;0), "",U4-U3)</f>
        <v>439.5</v>
      </c>
      <c r="W4" s="58">
        <v>406.79</v>
      </c>
      <c r="X4" s="65">
        <f t="shared" ref="X4:X34" si="9">IF((W4-W3&lt;0), "",(W4-W3)*1000)</f>
        <v>319.99999999999318</v>
      </c>
      <c r="Y4" s="58">
        <v>2.9319999999999999</v>
      </c>
      <c r="Z4" s="65">
        <f t="shared" ref="Z4:Z34" si="10">IF((Y4-Y3&lt;0), "",(Y4-Y3)*1000000)</f>
        <v>3099.9999999998809</v>
      </c>
      <c r="AA4" s="58">
        <v>405.61</v>
      </c>
      <c r="AB4" s="65">
        <f t="shared" ref="AB4:AB34" si="11">IF((AA4-AA3&lt;0), "",(AA4-AA3)*1000)</f>
        <v>330.00000000004093</v>
      </c>
      <c r="AC4" s="58">
        <v>379.02</v>
      </c>
      <c r="AD4" s="65">
        <f t="shared" ref="AD4:AD34" si="12">IF((AC4-AC3&lt;0), "",(AC4-AC3)*1000)</f>
        <v>289.99999999996362</v>
      </c>
      <c r="AE4" s="58">
        <v>576.04</v>
      </c>
      <c r="AF4" s="65">
        <f t="shared" ref="AF4:AF34" si="13">IF((AE4-AE3&lt;0), "",(AE4-AE3)*1000)</f>
        <v>219.9999999999136</v>
      </c>
      <c r="AG4" s="58">
        <v>5664</v>
      </c>
      <c r="AH4" s="67">
        <f t="shared" ref="AH4:AH34" si="14">IF((AG4-AG3&lt;0), "",AG4-AG3)</f>
        <v>42</v>
      </c>
      <c r="AI4" s="58">
        <v>635.02</v>
      </c>
      <c r="AJ4" s="65">
        <f t="shared" ref="AJ4:AP34" si="15">IF((AI4-AI3&lt;0), "",(AI4-AI3)*1000)</f>
        <v>679.99999999994998</v>
      </c>
      <c r="AK4" s="58">
        <v>210.36</v>
      </c>
      <c r="AL4" s="65">
        <f t="shared" si="15"/>
        <v>240.00000000000909</v>
      </c>
      <c r="AM4" s="58">
        <v>200</v>
      </c>
      <c r="AN4" s="65">
        <f t="shared" si="15"/>
        <v>80.000000000012506</v>
      </c>
      <c r="AO4" s="58">
        <v>193.31</v>
      </c>
      <c r="AP4" s="65">
        <f t="shared" si="15"/>
        <v>250</v>
      </c>
      <c r="AQ4" s="58">
        <v>252.7</v>
      </c>
      <c r="AR4" s="65">
        <f t="shared" ref="AR4:AR34" si="16">IF((AQ4-AQ3&lt;0), "",(AQ4-AQ3)*1000)</f>
        <v>299.99999999998295</v>
      </c>
      <c r="AS4" s="58">
        <v>378.62</v>
      </c>
      <c r="AT4" s="65">
        <f t="shared" ref="AT4:AT34" si="17">IF((AS4-AS3&lt;0), "",(AS4-AS3)*1000)</f>
        <v>120.00000000000455</v>
      </c>
      <c r="AU4" s="58">
        <v>289.14999999999998</v>
      </c>
      <c r="AV4" s="65">
        <f t="shared" ref="AV4:AV34" si="18">IF((AU4-AU3&lt;0), "",(AU4-AU3)*1000)</f>
        <v>169.99999999995907</v>
      </c>
      <c r="AW4" s="58">
        <v>323.33</v>
      </c>
      <c r="AX4" s="65">
        <f t="shared" ref="AX4:AX34" si="19">IF((AW4-AW3&lt;0), "",(AW4-AW3)*1000)</f>
        <v>89.999999999974989</v>
      </c>
      <c r="AY4" s="58">
        <v>363.01</v>
      </c>
      <c r="AZ4" s="65">
        <f t="shared" ref="AZ4:AZ34" si="20">IF((AY4-AY3&lt;0), "",(AY4-AY3)*1000)</f>
        <v>39.99999999996362</v>
      </c>
      <c r="BA4" s="58">
        <v>382.08</v>
      </c>
      <c r="BB4" s="65">
        <f t="shared" ref="BB4:BB34" si="21">IF((BA4-BA3&lt;0), "",(BA4-BA3)*1000)</f>
        <v>29.999999999972715</v>
      </c>
      <c r="BC4" s="58">
        <v>244.93</v>
      </c>
      <c r="BD4" s="65">
        <f t="shared" ref="BD4:BD34" si="22">IF((BC4-BC3&lt;0), "",(BC4-BC3)*1000)</f>
        <v>69.999999999993179</v>
      </c>
      <c r="BE4" s="59">
        <v>41382</v>
      </c>
      <c r="BF4" s="67">
        <f>IF((BE4-BE3&lt;0), "",BE4-BE3)</f>
        <v>39</v>
      </c>
      <c r="BG4" s="60">
        <v>235.4</v>
      </c>
      <c r="BH4" s="65">
        <f t="shared" ref="BH4:BH34" si="23">IF((BG4-BG3&lt;0), "",(BG4-BG3)*1000)</f>
        <v>60.000000000002274</v>
      </c>
      <c r="BI4" s="60">
        <v>294.10000000000002</v>
      </c>
      <c r="BJ4" s="65">
        <f>IF((BI4-BI3&lt;0), "",(BI4-BI3)*1000)</f>
        <v>40.000000000020464</v>
      </c>
      <c r="BK4" s="60">
        <v>237.9</v>
      </c>
      <c r="BL4" s="65">
        <f t="shared" ref="BL4:BL34" si="24">IF((BK4-BK3&lt;0), "",(BK4-BK3)*1000)</f>
        <v>30.000000000001137</v>
      </c>
      <c r="BM4" s="60">
        <v>225.11</v>
      </c>
      <c r="BN4" s="65">
        <f t="shared" ref="BN4:BN33" si="25">IF((BM4-BM3&lt;0), "",(BM4-BM3)*1000)</f>
        <v>40.000000000020464</v>
      </c>
      <c r="BO4" s="60">
        <v>288.82</v>
      </c>
      <c r="BP4" s="65">
        <f t="shared" ref="BP4:BP34" si="26">IF((BO4-BO3&lt;0), "",(BO4-BO3)*1000)</f>
        <v>40.000000000020464</v>
      </c>
      <c r="BQ4" s="60">
        <v>46221</v>
      </c>
      <c r="BR4" s="65">
        <f t="shared" ref="BR4:BR34" si="27">IF((BQ4-BQ3&lt;0), "",BQ4-BQ3)</f>
        <v>27</v>
      </c>
      <c r="BS4" s="60">
        <v>201.78</v>
      </c>
      <c r="BT4" s="65">
        <f t="shared" ref="BT4" si="28">IF((BS4-BS3&lt;0), "",(BS4-BS3)*1000)</f>
        <v>30.000000000001137</v>
      </c>
      <c r="BU4" s="60">
        <v>42027</v>
      </c>
      <c r="BV4" s="65">
        <f t="shared" ref="BV4:BV35" si="29">IF((BU4-BU3&lt;0), "",BU4-BU3)</f>
        <v>44</v>
      </c>
      <c r="BW4" s="60">
        <v>232.74</v>
      </c>
      <c r="BX4" s="65">
        <f t="shared" ref="BX4:BX34" si="30">IF((BW4-BW3&lt;0), "",(BW4-BW3)*1000)</f>
        <v>30.000000000001137</v>
      </c>
      <c r="BY4" s="60">
        <v>61818</v>
      </c>
      <c r="BZ4" s="67">
        <f t="shared" ref="BZ4:BZ34" si="31">IF((BY4-BY3&lt;0), "",BY4-BY3)</f>
        <v>48</v>
      </c>
      <c r="CA4" s="60">
        <v>33176</v>
      </c>
      <c r="CB4" s="67">
        <f t="shared" ref="CB4:CB33" si="32">IF((CA4-CA3&lt;0), "",CA4-CA3)</f>
        <v>40</v>
      </c>
      <c r="CC4" s="60">
        <v>12467.6</v>
      </c>
      <c r="CD4" s="67">
        <f t="shared" ref="CD4:CD34" si="33">IF((CC4-CC3&lt;0), "",CC4-CC3)</f>
        <v>12</v>
      </c>
      <c r="CE4" s="60">
        <v>6600.5</v>
      </c>
      <c r="CF4" s="67">
        <f t="shared" ref="CF4:CF33" si="34">IF((CE4-CE3&lt;0), "",CE4-CE3)</f>
        <v>11.600000000000364</v>
      </c>
      <c r="CG4" s="60">
        <v>60790.5</v>
      </c>
      <c r="CH4" s="67">
        <f t="shared" ref="CH4:CH34" si="35">IF((CG4-CG3&lt;0), "",CG4-CG3)</f>
        <v>55</v>
      </c>
      <c r="CI4" s="60">
        <v>958277</v>
      </c>
      <c r="CJ4" s="67">
        <f t="shared" ref="CJ4:CJ34" si="36">IF((CI4-CI3&lt;0), "",CI4-CI3)</f>
        <v>320</v>
      </c>
      <c r="CK4" s="60">
        <v>786.58</v>
      </c>
      <c r="CL4" s="64">
        <f t="shared" ref="CL4:CL34" si="37">IF((CK4-CK3&lt;0), "",(CK4-CK3)*1000)</f>
        <v>860.00000000001364</v>
      </c>
      <c r="CM4" s="65">
        <f>CQ4+CS4</f>
        <v>112</v>
      </c>
      <c r="CN4" s="62">
        <v>13</v>
      </c>
      <c r="CO4" s="62">
        <v>44</v>
      </c>
      <c r="CP4" s="68">
        <v>11277</v>
      </c>
      <c r="CQ4" s="67">
        <f t="shared" ref="CQ4:CW34" si="38">IF((CP4-CP3&lt;0), "",CP4-CP3)</f>
        <v>71</v>
      </c>
      <c r="CR4" s="68">
        <v>15006</v>
      </c>
      <c r="CS4" s="67">
        <f t="shared" si="38"/>
        <v>41</v>
      </c>
      <c r="CT4" s="75">
        <v>6805</v>
      </c>
      <c r="CU4" s="67">
        <f t="shared" si="38"/>
        <v>14</v>
      </c>
      <c r="CV4" s="68">
        <v>16343</v>
      </c>
      <c r="CW4" s="67">
        <f t="shared" si="38"/>
        <v>34</v>
      </c>
    </row>
    <row r="5" spans="1:102" ht="25.5" customHeight="1" thickBot="1" x14ac:dyDescent="0.45">
      <c r="A5" s="63">
        <v>44410</v>
      </c>
      <c r="B5" s="44"/>
      <c r="C5" s="58">
        <v>2.3616000000000001</v>
      </c>
      <c r="D5" s="64">
        <f t="shared" si="0"/>
        <v>2200.0000000002019</v>
      </c>
      <c r="E5" s="58">
        <v>3.3551000000000002</v>
      </c>
      <c r="F5" s="64">
        <f t="shared" si="1"/>
        <v>2800.0000000001355</v>
      </c>
      <c r="G5" s="58">
        <v>3.4117999999999999</v>
      </c>
      <c r="H5" s="64">
        <f t="shared" si="2"/>
        <v>2600.0000000001578</v>
      </c>
      <c r="I5" s="58">
        <v>1.6817</v>
      </c>
      <c r="J5" s="64">
        <f t="shared" si="3"/>
        <v>1199.9999999998679</v>
      </c>
      <c r="K5" s="58">
        <v>2.7170999999999998</v>
      </c>
      <c r="L5" s="64">
        <f t="shared" si="4"/>
        <v>1999.9999999997797</v>
      </c>
      <c r="M5" s="58">
        <v>1.4903999999999999</v>
      </c>
      <c r="N5" s="64">
        <f t="shared" si="5"/>
        <v>899.99999999990087</v>
      </c>
      <c r="O5" s="58">
        <v>14554</v>
      </c>
      <c r="P5" s="67">
        <f>IF((O5-O4&lt;0), "",O5-O4)</f>
        <v>5</v>
      </c>
      <c r="Q5" s="58">
        <v>1098</v>
      </c>
      <c r="R5" s="67">
        <f t="shared" si="6"/>
        <v>2</v>
      </c>
      <c r="S5" s="58">
        <v>1022.1</v>
      </c>
      <c r="T5" s="67">
        <f t="shared" si="7"/>
        <v>0.80000000000006821</v>
      </c>
      <c r="U5" s="58">
        <v>428321.1</v>
      </c>
      <c r="V5" s="67">
        <f t="shared" si="8"/>
        <v>230.39999999996508</v>
      </c>
      <c r="W5" s="58">
        <v>407.03</v>
      </c>
      <c r="X5" s="65">
        <f t="shared" si="9"/>
        <v>239.99999999995225</v>
      </c>
      <c r="Y5" s="58">
        <v>2.9340000000000002</v>
      </c>
      <c r="Z5" s="65">
        <f t="shared" si="10"/>
        <v>2000.0000000002237</v>
      </c>
      <c r="AA5" s="58">
        <v>405.89</v>
      </c>
      <c r="AB5" s="65">
        <f t="shared" si="11"/>
        <v>279.99999999997272</v>
      </c>
      <c r="AC5" s="58">
        <v>379.26</v>
      </c>
      <c r="AD5" s="65">
        <f t="shared" si="12"/>
        <v>240.00000000000909</v>
      </c>
      <c r="AE5" s="58">
        <v>576.28</v>
      </c>
      <c r="AF5" s="65">
        <f t="shared" si="13"/>
        <v>240.00000000000909</v>
      </c>
      <c r="AG5" s="58">
        <v>5693</v>
      </c>
      <c r="AH5" s="67">
        <f t="shared" si="14"/>
        <v>29</v>
      </c>
      <c r="AI5" s="58">
        <v>635.54</v>
      </c>
      <c r="AJ5" s="65">
        <f t="shared" si="15"/>
        <v>519.99999999998181</v>
      </c>
      <c r="AK5" s="58">
        <v>210.52</v>
      </c>
      <c r="AL5" s="65">
        <f t="shared" si="15"/>
        <v>159.99999999999659</v>
      </c>
      <c r="AM5" s="58">
        <v>200.07</v>
      </c>
      <c r="AN5" s="65">
        <f t="shared" si="15"/>
        <v>69.999999999993179</v>
      </c>
      <c r="AO5" s="58">
        <v>193.47</v>
      </c>
      <c r="AP5" s="65">
        <f t="shared" si="15"/>
        <v>159.99999999999659</v>
      </c>
      <c r="AQ5" s="58">
        <v>252.81</v>
      </c>
      <c r="AR5" s="65">
        <f t="shared" si="16"/>
        <v>110.00000000001364</v>
      </c>
      <c r="AS5" s="58">
        <v>378.71</v>
      </c>
      <c r="AT5" s="65">
        <f t="shared" si="17"/>
        <v>89.999999999974989</v>
      </c>
      <c r="AU5" s="58">
        <v>289.27999999999997</v>
      </c>
      <c r="AV5" s="65">
        <f t="shared" si="18"/>
        <v>129.99999999999545</v>
      </c>
      <c r="AW5" s="58">
        <v>323.39</v>
      </c>
      <c r="AX5" s="65">
        <f t="shared" si="19"/>
        <v>60.000000000002274</v>
      </c>
      <c r="AY5" s="58">
        <v>363.04</v>
      </c>
      <c r="AZ5" s="65">
        <f t="shared" si="20"/>
        <v>30.000000000029559</v>
      </c>
      <c r="BA5" s="58">
        <v>382.09</v>
      </c>
      <c r="BB5" s="65">
        <f t="shared" si="21"/>
        <v>9.9999999999909051</v>
      </c>
      <c r="BC5" s="58">
        <v>245</v>
      </c>
      <c r="BD5" s="65">
        <f t="shared" si="22"/>
        <v>69.999999999993179</v>
      </c>
      <c r="BE5" s="59">
        <v>41415</v>
      </c>
      <c r="BF5" s="67">
        <f t="shared" ref="BF5:BF34" si="39">IF((BE5-BE4&lt;0), "",BE5-BE4)</f>
        <v>33</v>
      </c>
      <c r="BG5" s="60">
        <v>235.44</v>
      </c>
      <c r="BH5" s="65">
        <f t="shared" si="23"/>
        <v>39.999999999992042</v>
      </c>
      <c r="BI5" s="60">
        <v>294.12</v>
      </c>
      <c r="BJ5" s="65">
        <f t="shared" ref="BJ5:BJ34" si="40">IF((BI5-BI4&lt;0), "",(BI5-BI4)*1000)</f>
        <v>19.99999999998181</v>
      </c>
      <c r="BK5" s="60">
        <v>237.93</v>
      </c>
      <c r="BL5" s="65">
        <f t="shared" si="24"/>
        <v>30.000000000001137</v>
      </c>
      <c r="BM5" s="60">
        <v>225.15</v>
      </c>
      <c r="BN5" s="65">
        <f t="shared" si="25"/>
        <v>39.999999999992042</v>
      </c>
      <c r="BO5" s="60">
        <v>288.85000000000002</v>
      </c>
      <c r="BP5" s="65">
        <f t="shared" si="26"/>
        <v>30.000000000029559</v>
      </c>
      <c r="BQ5" s="60">
        <v>46243</v>
      </c>
      <c r="BR5" s="65">
        <f t="shared" si="27"/>
        <v>22</v>
      </c>
      <c r="BS5" s="60">
        <v>201.81</v>
      </c>
      <c r="BT5" s="65">
        <f>IF((BS5-BS4&lt;0), "",(BS5-BS4)*1000)</f>
        <v>30.000000000001137</v>
      </c>
      <c r="BU5" s="60">
        <v>42063</v>
      </c>
      <c r="BV5" s="65">
        <f t="shared" si="29"/>
        <v>36</v>
      </c>
      <c r="BW5" s="60">
        <v>232.76</v>
      </c>
      <c r="BX5" s="65">
        <f t="shared" si="30"/>
        <v>19.99999999998181</v>
      </c>
      <c r="BY5" s="60">
        <v>61857</v>
      </c>
      <c r="BZ5" s="67">
        <f t="shared" si="31"/>
        <v>39</v>
      </c>
      <c r="CA5" s="60">
        <v>33206.699999999997</v>
      </c>
      <c r="CB5" s="67">
        <f t="shared" si="32"/>
        <v>30.69999999999709</v>
      </c>
      <c r="CC5" s="60">
        <v>12470.8</v>
      </c>
      <c r="CD5" s="67">
        <f t="shared" si="33"/>
        <v>3.1999999999989086</v>
      </c>
      <c r="CE5" s="60">
        <v>6612</v>
      </c>
      <c r="CF5" s="67">
        <f t="shared" si="34"/>
        <v>11.5</v>
      </c>
      <c r="CG5" s="60">
        <v>60826.7</v>
      </c>
      <c r="CH5" s="67">
        <f t="shared" si="35"/>
        <v>36.19999999999709</v>
      </c>
      <c r="CI5" s="60">
        <v>958505</v>
      </c>
      <c r="CJ5" s="67">
        <f t="shared" si="36"/>
        <v>228</v>
      </c>
      <c r="CK5" s="60">
        <v>787.36</v>
      </c>
      <c r="CL5" s="64">
        <f t="shared" si="37"/>
        <v>779.99999999997272</v>
      </c>
      <c r="CM5" s="65">
        <f t="shared" ref="CM5:CM34" si="41">CQ5+CS5</f>
        <v>63</v>
      </c>
      <c r="CN5" s="62">
        <v>13</v>
      </c>
      <c r="CO5" s="62">
        <v>44</v>
      </c>
      <c r="CP5" s="68">
        <v>11318</v>
      </c>
      <c r="CQ5" s="67">
        <f t="shared" si="38"/>
        <v>41</v>
      </c>
      <c r="CR5" s="68">
        <v>15028</v>
      </c>
      <c r="CS5" s="67">
        <f t="shared" si="38"/>
        <v>22</v>
      </c>
      <c r="CT5" s="75">
        <v>6814</v>
      </c>
      <c r="CU5" s="67">
        <f t="shared" si="38"/>
        <v>9</v>
      </c>
      <c r="CV5" s="68">
        <v>16372</v>
      </c>
      <c r="CW5" s="67">
        <f t="shared" si="38"/>
        <v>29</v>
      </c>
    </row>
    <row r="6" spans="1:102" ht="24.75" customHeight="1" thickBot="1" x14ac:dyDescent="0.45">
      <c r="A6" s="63">
        <v>44411</v>
      </c>
      <c r="B6" s="44"/>
      <c r="C6" s="58">
        <v>2.3633999999999999</v>
      </c>
      <c r="D6" s="64">
        <f t="shared" si="0"/>
        <v>1799.9999999998017</v>
      </c>
      <c r="E6" s="58">
        <v>3.3574000000000002</v>
      </c>
      <c r="F6" s="64">
        <f t="shared" si="1"/>
        <v>2299.9999999999686</v>
      </c>
      <c r="G6" s="58">
        <v>3.4138000000000002</v>
      </c>
      <c r="H6" s="64">
        <f t="shared" si="2"/>
        <v>2000.0000000002237</v>
      </c>
      <c r="I6" s="58">
        <v>1.6829000000000001</v>
      </c>
      <c r="J6" s="64">
        <f t="shared" si="3"/>
        <v>1200.0000000000898</v>
      </c>
      <c r="K6" s="58">
        <v>2.7189000000000001</v>
      </c>
      <c r="L6" s="64">
        <f t="shared" si="4"/>
        <v>1800.0000000002458</v>
      </c>
      <c r="M6" s="58">
        <v>1.4911000000000001</v>
      </c>
      <c r="N6" s="64">
        <f t="shared" si="5"/>
        <v>700.00000000014495</v>
      </c>
      <c r="O6" s="58">
        <v>14556</v>
      </c>
      <c r="P6" s="67">
        <f>IF((O6-O5&lt;0), "",O6-O5)</f>
        <v>2</v>
      </c>
      <c r="Q6" s="58">
        <v>1102</v>
      </c>
      <c r="R6" s="67">
        <f t="shared" si="6"/>
        <v>4</v>
      </c>
      <c r="S6" s="58">
        <v>1022.6</v>
      </c>
      <c r="T6" s="67">
        <f t="shared" si="7"/>
        <v>0.5</v>
      </c>
      <c r="U6" s="58">
        <v>428669.4</v>
      </c>
      <c r="V6" s="67">
        <f t="shared" si="8"/>
        <v>348.30000000004657</v>
      </c>
      <c r="W6" s="58">
        <v>407.31</v>
      </c>
      <c r="X6" s="65">
        <f t="shared" si="9"/>
        <v>280.00000000002956</v>
      </c>
      <c r="Y6" s="58">
        <v>2.9365000000000001</v>
      </c>
      <c r="Z6" s="65">
        <f t="shared" si="10"/>
        <v>2499.9999999999468</v>
      </c>
      <c r="AA6" s="58">
        <v>406.07</v>
      </c>
      <c r="AB6" s="65">
        <f t="shared" si="11"/>
        <v>180.00000000000682</v>
      </c>
      <c r="AC6" s="58">
        <v>379.56</v>
      </c>
      <c r="AD6" s="65">
        <f t="shared" si="12"/>
        <v>300.00000000001137</v>
      </c>
      <c r="AE6" s="58">
        <v>576.45000000000005</v>
      </c>
      <c r="AF6" s="65">
        <f t="shared" si="13"/>
        <v>170.00000000007276</v>
      </c>
      <c r="AG6" s="58">
        <v>5731</v>
      </c>
      <c r="AH6" s="67">
        <f t="shared" si="14"/>
        <v>38</v>
      </c>
      <c r="AI6" s="58">
        <v>636.21</v>
      </c>
      <c r="AJ6" s="65">
        <f t="shared" si="15"/>
        <v>670.00000000007276</v>
      </c>
      <c r="AK6" s="58">
        <v>210.74</v>
      </c>
      <c r="AL6" s="65">
        <f t="shared" si="15"/>
        <v>219.99999999999886</v>
      </c>
      <c r="AM6" s="58">
        <v>200.2</v>
      </c>
      <c r="AN6" s="65">
        <f t="shared" si="15"/>
        <v>129.99999999999545</v>
      </c>
      <c r="AO6" s="58">
        <v>193.69</v>
      </c>
      <c r="AP6" s="65">
        <f t="shared" si="15"/>
        <v>219.99999999999886</v>
      </c>
      <c r="AQ6" s="58">
        <v>253.12</v>
      </c>
      <c r="AR6" s="65">
        <f t="shared" si="16"/>
        <v>310.00000000000227</v>
      </c>
      <c r="AS6" s="58">
        <v>378.84</v>
      </c>
      <c r="AT6" s="65">
        <f t="shared" si="17"/>
        <v>129.99999999999545</v>
      </c>
      <c r="AU6" s="58">
        <v>289.45999999999998</v>
      </c>
      <c r="AV6" s="65">
        <f t="shared" si="18"/>
        <v>180.00000000000682</v>
      </c>
      <c r="AW6" s="58">
        <v>323.5</v>
      </c>
      <c r="AX6" s="65">
        <f t="shared" si="19"/>
        <v>110.00000000001364</v>
      </c>
      <c r="AY6" s="58">
        <v>363.08</v>
      </c>
      <c r="AZ6" s="65">
        <f t="shared" si="20"/>
        <v>39.99999999996362</v>
      </c>
      <c r="BA6" s="58">
        <v>382.12</v>
      </c>
      <c r="BB6" s="65">
        <f t="shared" si="21"/>
        <v>30.000000000029559</v>
      </c>
      <c r="BC6" s="58">
        <v>245.08</v>
      </c>
      <c r="BD6" s="65">
        <f t="shared" si="22"/>
        <v>80.000000000012506</v>
      </c>
      <c r="BE6" s="59">
        <v>41444</v>
      </c>
      <c r="BF6" s="67">
        <f t="shared" si="39"/>
        <v>29</v>
      </c>
      <c r="BG6" s="60">
        <v>235.5</v>
      </c>
      <c r="BH6" s="65">
        <f t="shared" si="23"/>
        <v>60.000000000002274</v>
      </c>
      <c r="BI6" s="60">
        <v>294.14</v>
      </c>
      <c r="BJ6" s="65">
        <f t="shared" si="40"/>
        <v>19.99999999998181</v>
      </c>
      <c r="BK6" s="60">
        <v>237.96</v>
      </c>
      <c r="BL6" s="65">
        <f t="shared" si="24"/>
        <v>30.000000000001137</v>
      </c>
      <c r="BM6" s="60">
        <v>225.2</v>
      </c>
      <c r="BN6" s="65">
        <f t="shared" si="25"/>
        <v>49.999999999982947</v>
      </c>
      <c r="BO6" s="60">
        <v>288.89999999999998</v>
      </c>
      <c r="BP6" s="65">
        <f t="shared" si="26"/>
        <v>49.999999999954525</v>
      </c>
      <c r="BQ6" s="60">
        <v>46274</v>
      </c>
      <c r="BR6" s="65">
        <f t="shared" si="27"/>
        <v>31</v>
      </c>
      <c r="BS6" s="60">
        <v>201.85</v>
      </c>
      <c r="BT6" s="65">
        <f t="shared" ref="BT6:BT35" si="42">IF((BS6-BS5&lt;0), "",(BS6-BS5)*1000)</f>
        <v>39.999999999992042</v>
      </c>
      <c r="BU6" s="60">
        <v>42108</v>
      </c>
      <c r="BV6" s="65">
        <f t="shared" si="29"/>
        <v>45</v>
      </c>
      <c r="BW6" s="60">
        <v>232.79</v>
      </c>
      <c r="BX6" s="65">
        <f t="shared" si="30"/>
        <v>30.000000000001137</v>
      </c>
      <c r="BY6" s="60">
        <v>61906</v>
      </c>
      <c r="BZ6" s="67">
        <f t="shared" si="31"/>
        <v>49</v>
      </c>
      <c r="CA6" s="60">
        <v>33235.9</v>
      </c>
      <c r="CB6" s="67">
        <f t="shared" si="32"/>
        <v>29.200000000004366</v>
      </c>
      <c r="CC6" s="60">
        <v>12478.4</v>
      </c>
      <c r="CD6" s="67">
        <f t="shared" si="33"/>
        <v>7.6000000000003638</v>
      </c>
      <c r="CE6" s="60">
        <v>6613</v>
      </c>
      <c r="CF6" s="67">
        <f t="shared" si="34"/>
        <v>1</v>
      </c>
      <c r="CG6" s="60">
        <v>60882.1</v>
      </c>
      <c r="CH6" s="67">
        <f t="shared" si="35"/>
        <v>55.400000000001455</v>
      </c>
      <c r="CI6" s="60">
        <v>958790</v>
      </c>
      <c r="CJ6" s="67">
        <f t="shared" si="36"/>
        <v>285</v>
      </c>
      <c r="CK6" s="60">
        <v>788.03</v>
      </c>
      <c r="CL6" s="64">
        <f t="shared" si="37"/>
        <v>669.99999999995907</v>
      </c>
      <c r="CM6" s="65">
        <f t="shared" si="41"/>
        <v>60</v>
      </c>
      <c r="CN6" s="62">
        <v>15</v>
      </c>
      <c r="CO6" s="62">
        <v>47</v>
      </c>
      <c r="CP6" s="68">
        <v>11363</v>
      </c>
      <c r="CQ6" s="67">
        <f t="shared" si="38"/>
        <v>45</v>
      </c>
      <c r="CR6" s="68">
        <v>15043</v>
      </c>
      <c r="CS6" s="67">
        <f t="shared" si="38"/>
        <v>15</v>
      </c>
      <c r="CT6" s="75">
        <v>6829</v>
      </c>
      <c r="CU6" s="67">
        <f t="shared" si="38"/>
        <v>15</v>
      </c>
      <c r="CV6" s="68">
        <v>16409</v>
      </c>
      <c r="CW6" s="67">
        <f t="shared" si="38"/>
        <v>37</v>
      </c>
    </row>
    <row r="7" spans="1:102" ht="25.5" customHeight="1" thickBot="1" x14ac:dyDescent="0.45">
      <c r="A7" s="63">
        <v>44412</v>
      </c>
      <c r="B7" s="44"/>
      <c r="C7" s="58">
        <v>2.3658000000000001</v>
      </c>
      <c r="D7" s="64">
        <f t="shared" si="0"/>
        <v>2400.0000000001796</v>
      </c>
      <c r="E7" s="58">
        <v>3.36</v>
      </c>
      <c r="F7" s="64">
        <f t="shared" si="1"/>
        <v>2599.9999999997135</v>
      </c>
      <c r="G7" s="58">
        <v>3.4165000000000001</v>
      </c>
      <c r="H7" s="64">
        <f t="shared" si="2"/>
        <v>2699.9999999999245</v>
      </c>
      <c r="I7" s="58">
        <v>1.6841999999999999</v>
      </c>
      <c r="J7" s="64">
        <f t="shared" si="3"/>
        <v>1299.9999999998568</v>
      </c>
      <c r="K7" s="58">
        <v>2.7208000000000001</v>
      </c>
      <c r="L7" s="64">
        <f t="shared" si="4"/>
        <v>1900.0000000000127</v>
      </c>
      <c r="M7" s="58">
        <v>1.4919</v>
      </c>
      <c r="N7" s="64">
        <f t="shared" si="5"/>
        <v>799.99999999991189</v>
      </c>
      <c r="O7" s="58">
        <v>14559</v>
      </c>
      <c r="P7" s="67">
        <f t="shared" ref="P7:P10" si="43">IF((O7-O6&lt;0), "",O7-O6)</f>
        <v>3</v>
      </c>
      <c r="Q7" s="58">
        <v>1104</v>
      </c>
      <c r="R7" s="67">
        <f t="shared" si="6"/>
        <v>2</v>
      </c>
      <c r="S7" s="58">
        <v>1023.4</v>
      </c>
      <c r="T7" s="67">
        <f t="shared" si="7"/>
        <v>0.79999999999995453</v>
      </c>
      <c r="U7" s="58">
        <v>428995</v>
      </c>
      <c r="V7" s="67">
        <f t="shared" si="8"/>
        <v>325.59999999997672</v>
      </c>
      <c r="W7" s="58">
        <v>407.56</v>
      </c>
      <c r="X7" s="65">
        <f t="shared" si="9"/>
        <v>250</v>
      </c>
      <c r="Y7" s="58">
        <v>2.9388000000000001</v>
      </c>
      <c r="Z7" s="65">
        <f t="shared" si="10"/>
        <v>2299.9999999999686</v>
      </c>
      <c r="AA7" s="58">
        <v>406.36</v>
      </c>
      <c r="AB7" s="65">
        <f t="shared" si="11"/>
        <v>290.00000000002046</v>
      </c>
      <c r="AC7" s="58">
        <v>379.83</v>
      </c>
      <c r="AD7" s="65">
        <f t="shared" si="12"/>
        <v>269.99999999998181</v>
      </c>
      <c r="AE7" s="58">
        <v>576.63</v>
      </c>
      <c r="AF7" s="65">
        <f t="shared" si="13"/>
        <v>179.99999999994998</v>
      </c>
      <c r="AG7" s="58">
        <v>5766</v>
      </c>
      <c r="AH7" s="67">
        <f t="shared" si="14"/>
        <v>35</v>
      </c>
      <c r="AI7" s="58">
        <v>637.11</v>
      </c>
      <c r="AJ7" s="65">
        <f t="shared" si="15"/>
        <v>899.99999999997726</v>
      </c>
      <c r="AK7" s="58">
        <v>210.97</v>
      </c>
      <c r="AL7" s="65">
        <f t="shared" si="15"/>
        <v>229.99999999998977</v>
      </c>
      <c r="AM7" s="58">
        <v>200.31</v>
      </c>
      <c r="AN7" s="65">
        <f t="shared" si="15"/>
        <v>110.00000000001364</v>
      </c>
      <c r="AO7" s="58">
        <v>193.86</v>
      </c>
      <c r="AP7" s="65">
        <f t="shared" si="15"/>
        <v>170.00000000001592</v>
      </c>
      <c r="AQ7" s="58">
        <v>253.35</v>
      </c>
      <c r="AR7" s="65">
        <f t="shared" si="16"/>
        <v>229.99999999998977</v>
      </c>
      <c r="AS7" s="58">
        <v>378.95</v>
      </c>
      <c r="AT7" s="65">
        <f t="shared" si="17"/>
        <v>110.00000000001364</v>
      </c>
      <c r="AU7" s="58">
        <v>289.62</v>
      </c>
      <c r="AV7" s="65">
        <f t="shared" si="18"/>
        <v>160.00000000002501</v>
      </c>
      <c r="AW7" s="58">
        <v>323.56</v>
      </c>
      <c r="AX7" s="65">
        <f t="shared" si="19"/>
        <v>60.000000000002274</v>
      </c>
      <c r="AY7" s="58">
        <v>363.12</v>
      </c>
      <c r="AZ7" s="65">
        <f t="shared" si="20"/>
        <v>40.000000000020464</v>
      </c>
      <c r="BA7" s="58">
        <v>382.15</v>
      </c>
      <c r="BB7" s="65">
        <f t="shared" si="21"/>
        <v>29.999999999972715</v>
      </c>
      <c r="BC7" s="58">
        <v>245.17</v>
      </c>
      <c r="BD7" s="65">
        <f t="shared" si="22"/>
        <v>89.999999999974989</v>
      </c>
      <c r="BE7" s="59">
        <v>41475</v>
      </c>
      <c r="BF7" s="67">
        <f t="shared" si="39"/>
        <v>31</v>
      </c>
      <c r="BG7" s="60">
        <v>235.56</v>
      </c>
      <c r="BH7" s="65">
        <f t="shared" si="23"/>
        <v>60.000000000002274</v>
      </c>
      <c r="BI7" s="60">
        <v>294.19</v>
      </c>
      <c r="BJ7" s="65">
        <f t="shared" si="40"/>
        <v>50.000000000011369</v>
      </c>
      <c r="BK7" s="60">
        <v>238.01</v>
      </c>
      <c r="BL7" s="65">
        <f t="shared" si="24"/>
        <v>49.999999999982947</v>
      </c>
      <c r="BM7" s="60">
        <v>225.26</v>
      </c>
      <c r="BN7" s="65">
        <f t="shared" si="25"/>
        <v>60.000000000002274</v>
      </c>
      <c r="BO7" s="60">
        <v>288.99</v>
      </c>
      <c r="BP7" s="65">
        <f t="shared" si="26"/>
        <v>90.000000000031832</v>
      </c>
      <c r="BQ7" s="60">
        <v>46320</v>
      </c>
      <c r="BR7" s="65">
        <f t="shared" si="27"/>
        <v>46</v>
      </c>
      <c r="BS7" s="60">
        <v>201.91</v>
      </c>
      <c r="BT7" s="65">
        <f t="shared" si="42"/>
        <v>60.000000000002274</v>
      </c>
      <c r="BU7" s="60">
        <v>42171</v>
      </c>
      <c r="BV7" s="65">
        <f t="shared" si="29"/>
        <v>63</v>
      </c>
      <c r="BW7" s="60">
        <v>232.83</v>
      </c>
      <c r="BX7" s="65">
        <f t="shared" si="30"/>
        <v>40.000000000020464</v>
      </c>
      <c r="BY7" s="60">
        <v>61968</v>
      </c>
      <c r="BZ7" s="67">
        <f t="shared" si="31"/>
        <v>62</v>
      </c>
      <c r="CA7" s="60">
        <v>33266.199999999997</v>
      </c>
      <c r="CB7" s="67">
        <f t="shared" si="32"/>
        <v>30.299999999995634</v>
      </c>
      <c r="CC7" s="60">
        <v>12484.7</v>
      </c>
      <c r="CD7" s="67">
        <f t="shared" si="33"/>
        <v>6.3000000000010914</v>
      </c>
      <c r="CE7" s="60">
        <v>6618.6</v>
      </c>
      <c r="CF7" s="67">
        <f t="shared" si="34"/>
        <v>5.6000000000003638</v>
      </c>
      <c r="CG7" s="60">
        <v>60941.2</v>
      </c>
      <c r="CH7" s="67">
        <f t="shared" si="35"/>
        <v>59.099999999998545</v>
      </c>
      <c r="CI7" s="60">
        <v>959062</v>
      </c>
      <c r="CJ7" s="67">
        <f t="shared" si="36"/>
        <v>272</v>
      </c>
      <c r="CK7" s="60">
        <v>788.76</v>
      </c>
      <c r="CL7" s="64">
        <f t="shared" si="37"/>
        <v>730.00000000001819</v>
      </c>
      <c r="CM7" s="65">
        <f t="shared" si="41"/>
        <v>45</v>
      </c>
      <c r="CN7" s="62">
        <v>15</v>
      </c>
      <c r="CO7" s="62">
        <v>47</v>
      </c>
      <c r="CP7" s="68">
        <v>11388</v>
      </c>
      <c r="CQ7" s="67">
        <f t="shared" si="38"/>
        <v>25</v>
      </c>
      <c r="CR7" s="68">
        <v>15063</v>
      </c>
      <c r="CS7" s="67">
        <f t="shared" si="38"/>
        <v>20</v>
      </c>
      <c r="CT7" s="75">
        <v>6849</v>
      </c>
      <c r="CU7" s="67">
        <f t="shared" si="38"/>
        <v>20</v>
      </c>
      <c r="CV7" s="68">
        <v>16481</v>
      </c>
      <c r="CW7" s="67">
        <f t="shared" si="38"/>
        <v>72</v>
      </c>
    </row>
    <row r="8" spans="1:102" ht="25.5" customHeight="1" thickBot="1" x14ac:dyDescent="0.45">
      <c r="A8" s="63">
        <v>44413</v>
      </c>
      <c r="B8" s="44"/>
      <c r="C8" s="58">
        <v>2.3685999999999998</v>
      </c>
      <c r="D8" s="64">
        <f t="shared" si="0"/>
        <v>2799.9999999996917</v>
      </c>
      <c r="E8" s="58">
        <v>3.3624999999999998</v>
      </c>
      <c r="F8" s="64">
        <f t="shared" si="1"/>
        <v>2499.9999999999468</v>
      </c>
      <c r="G8" s="58">
        <v>3.4192</v>
      </c>
      <c r="H8" s="64">
        <f t="shared" si="2"/>
        <v>2699.9999999999245</v>
      </c>
      <c r="I8" s="58">
        <v>1.6855</v>
      </c>
      <c r="J8" s="64">
        <f t="shared" si="3"/>
        <v>1300.0000000000789</v>
      </c>
      <c r="K8" s="58">
        <v>2.7227999999999999</v>
      </c>
      <c r="L8" s="64">
        <f t="shared" si="4"/>
        <v>1999.9999999997797</v>
      </c>
      <c r="M8" s="58">
        <v>1.4926999999999999</v>
      </c>
      <c r="N8" s="64">
        <f t="shared" si="5"/>
        <v>799.99999999991189</v>
      </c>
      <c r="O8" s="58">
        <v>14567</v>
      </c>
      <c r="P8" s="67">
        <f t="shared" si="43"/>
        <v>8</v>
      </c>
      <c r="Q8" s="58">
        <v>1106</v>
      </c>
      <c r="R8" s="67">
        <f t="shared" si="6"/>
        <v>2</v>
      </c>
      <c r="S8" s="58">
        <v>1024.2</v>
      </c>
      <c r="T8" s="67">
        <f t="shared" si="7"/>
        <v>0.80000000000006821</v>
      </c>
      <c r="U8" s="58">
        <v>429307.8</v>
      </c>
      <c r="V8" s="67">
        <f t="shared" si="8"/>
        <v>312.79999999998836</v>
      </c>
      <c r="W8" s="58">
        <v>407.82</v>
      </c>
      <c r="X8" s="65">
        <f t="shared" si="9"/>
        <v>259.99999999999091</v>
      </c>
      <c r="Y8" s="58">
        <v>2.9409999999999998</v>
      </c>
      <c r="Z8" s="65">
        <f t="shared" si="10"/>
        <v>2199.9999999997576</v>
      </c>
      <c r="AA8" s="58">
        <v>406.54</v>
      </c>
      <c r="AB8" s="65">
        <f t="shared" si="11"/>
        <v>180.00000000000682</v>
      </c>
      <c r="AC8" s="58">
        <v>380.15</v>
      </c>
      <c r="AD8" s="65">
        <f t="shared" si="12"/>
        <v>319.99999999999318</v>
      </c>
      <c r="AE8" s="58">
        <v>576.79999999999995</v>
      </c>
      <c r="AF8" s="65">
        <f t="shared" si="13"/>
        <v>169.99999999995907</v>
      </c>
      <c r="AG8" s="58">
        <v>5803</v>
      </c>
      <c r="AH8" s="67">
        <f t="shared" si="14"/>
        <v>37</v>
      </c>
      <c r="AI8" s="58">
        <v>638.17999999999995</v>
      </c>
      <c r="AJ8" s="65">
        <f t="shared" si="15"/>
        <v>1069.9999999999363</v>
      </c>
      <c r="AK8" s="58">
        <v>211.18</v>
      </c>
      <c r="AL8" s="65">
        <f t="shared" si="15"/>
        <v>210.00000000000796</v>
      </c>
      <c r="AM8" s="58">
        <v>200.57</v>
      </c>
      <c r="AN8" s="65">
        <f t="shared" si="15"/>
        <v>259.99999999999091</v>
      </c>
      <c r="AO8" s="58">
        <v>194.06</v>
      </c>
      <c r="AP8" s="65">
        <f t="shared" si="15"/>
        <v>199.99999999998863</v>
      </c>
      <c r="AQ8" s="58">
        <v>253.54</v>
      </c>
      <c r="AR8" s="65">
        <f t="shared" si="16"/>
        <v>189.99999999999773</v>
      </c>
      <c r="AS8" s="58">
        <v>379.06</v>
      </c>
      <c r="AT8" s="65">
        <f t="shared" si="17"/>
        <v>110.00000000001364</v>
      </c>
      <c r="AU8" s="58">
        <v>289.77</v>
      </c>
      <c r="AV8" s="65">
        <f t="shared" si="18"/>
        <v>149.99999999997726</v>
      </c>
      <c r="AW8" s="58">
        <v>323.62</v>
      </c>
      <c r="AX8" s="65">
        <f t="shared" si="19"/>
        <v>60.000000000002274</v>
      </c>
      <c r="AY8" s="58">
        <v>363.17</v>
      </c>
      <c r="AZ8" s="65">
        <f t="shared" si="20"/>
        <v>50.000000000011369</v>
      </c>
      <c r="BA8" s="58">
        <v>382.18</v>
      </c>
      <c r="BB8" s="65">
        <f t="shared" si="21"/>
        <v>30.000000000029559</v>
      </c>
      <c r="BC8" s="58">
        <v>245.26</v>
      </c>
      <c r="BD8" s="65">
        <f t="shared" si="22"/>
        <v>90.000000000003411</v>
      </c>
      <c r="BE8" s="59">
        <v>41501</v>
      </c>
      <c r="BF8" s="67">
        <f t="shared" si="39"/>
        <v>26</v>
      </c>
      <c r="BG8" s="60">
        <v>235.57</v>
      </c>
      <c r="BH8" s="65">
        <f t="shared" si="23"/>
        <v>9.9999999999909051</v>
      </c>
      <c r="BI8" s="60">
        <v>294.2</v>
      </c>
      <c r="BJ8" s="65">
        <f t="shared" si="40"/>
        <v>9.9999999999909051</v>
      </c>
      <c r="BK8" s="60">
        <v>238.01</v>
      </c>
      <c r="BL8" s="65">
        <f t="shared" si="24"/>
        <v>0</v>
      </c>
      <c r="BM8" s="60">
        <v>225.27</v>
      </c>
      <c r="BN8" s="65">
        <f t="shared" si="25"/>
        <v>10.000000000019327</v>
      </c>
      <c r="BO8" s="60">
        <v>289.01</v>
      </c>
      <c r="BP8" s="65">
        <f t="shared" si="26"/>
        <v>19.99999999998181</v>
      </c>
      <c r="BQ8" s="60">
        <v>46328</v>
      </c>
      <c r="BR8" s="65">
        <f t="shared" si="27"/>
        <v>8</v>
      </c>
      <c r="BS8" s="60">
        <v>201.92</v>
      </c>
      <c r="BT8" s="65">
        <f t="shared" si="42"/>
        <v>9.9999999999909051</v>
      </c>
      <c r="BU8" s="60">
        <v>42188</v>
      </c>
      <c r="BV8" s="65">
        <f t="shared" si="29"/>
        <v>17</v>
      </c>
      <c r="BW8" s="60">
        <v>232.84</v>
      </c>
      <c r="BX8" s="65">
        <f t="shared" si="30"/>
        <v>9.9999999999909051</v>
      </c>
      <c r="BY8" s="60">
        <v>61983</v>
      </c>
      <c r="BZ8" s="67">
        <f t="shared" si="31"/>
        <v>15</v>
      </c>
      <c r="CA8" s="60">
        <v>33301.699999999997</v>
      </c>
      <c r="CB8" s="67">
        <f t="shared" si="32"/>
        <v>35.5</v>
      </c>
      <c r="CC8" s="60">
        <v>12491.7</v>
      </c>
      <c r="CD8" s="67">
        <f t="shared" si="33"/>
        <v>7</v>
      </c>
      <c r="CE8" s="60">
        <v>6619.3</v>
      </c>
      <c r="CF8" s="67">
        <f t="shared" si="34"/>
        <v>0.6999999999998181</v>
      </c>
      <c r="CG8" s="60">
        <v>61001.2</v>
      </c>
      <c r="CH8" s="67">
        <f t="shared" si="35"/>
        <v>60</v>
      </c>
      <c r="CI8" s="60">
        <v>959330</v>
      </c>
      <c r="CJ8" s="67">
        <f t="shared" si="36"/>
        <v>268</v>
      </c>
      <c r="CK8" s="60">
        <v>789.39</v>
      </c>
      <c r="CL8" s="64">
        <f t="shared" si="37"/>
        <v>629.99999999999545</v>
      </c>
      <c r="CM8" s="65">
        <f t="shared" si="41"/>
        <v>70</v>
      </c>
      <c r="CN8" s="62">
        <v>15</v>
      </c>
      <c r="CO8" s="62">
        <v>47</v>
      </c>
      <c r="CP8" s="68">
        <v>11428</v>
      </c>
      <c r="CQ8" s="67">
        <f t="shared" si="38"/>
        <v>40</v>
      </c>
      <c r="CR8" s="68">
        <v>15093</v>
      </c>
      <c r="CS8" s="67">
        <f t="shared" si="38"/>
        <v>30</v>
      </c>
      <c r="CT8" s="75">
        <v>6871</v>
      </c>
      <c r="CU8" s="67">
        <f t="shared" si="38"/>
        <v>22</v>
      </c>
      <c r="CV8" s="68">
        <v>16561</v>
      </c>
      <c r="CW8" s="67">
        <f t="shared" si="38"/>
        <v>80</v>
      </c>
    </row>
    <row r="9" spans="1:102" ht="25.5" customHeight="1" thickBot="1" x14ac:dyDescent="0.45">
      <c r="A9" s="63">
        <v>44414</v>
      </c>
      <c r="B9" s="44"/>
      <c r="C9" s="58">
        <v>2.3715000000000002</v>
      </c>
      <c r="D9" s="64">
        <f t="shared" si="0"/>
        <v>2900.0000000003465</v>
      </c>
      <c r="E9" s="58">
        <v>3.3650000000000002</v>
      </c>
      <c r="F9" s="64">
        <f t="shared" si="1"/>
        <v>2500.0000000003906</v>
      </c>
      <c r="G9" s="58">
        <v>3.4218000000000002</v>
      </c>
      <c r="H9" s="64">
        <f t="shared" si="2"/>
        <v>2600.0000000001578</v>
      </c>
      <c r="I9" s="58">
        <v>1.6867000000000001</v>
      </c>
      <c r="J9" s="64">
        <f t="shared" si="3"/>
        <v>1200.0000000000898</v>
      </c>
      <c r="K9" s="58">
        <v>2.7246999999999999</v>
      </c>
      <c r="L9" s="64">
        <f t="shared" si="4"/>
        <v>1900.0000000000127</v>
      </c>
      <c r="M9" s="58">
        <v>1.4936</v>
      </c>
      <c r="N9" s="64">
        <f t="shared" si="5"/>
        <v>900.0000000001229</v>
      </c>
      <c r="O9" s="58">
        <v>14575</v>
      </c>
      <c r="P9" s="67">
        <f t="shared" si="43"/>
        <v>8</v>
      </c>
      <c r="Q9" s="58">
        <v>1108</v>
      </c>
      <c r="R9" s="67">
        <f t="shared" si="6"/>
        <v>2</v>
      </c>
      <c r="S9" s="58">
        <v>1025</v>
      </c>
      <c r="T9" s="67">
        <f t="shared" si="7"/>
        <v>0.79999999999995453</v>
      </c>
      <c r="U9" s="58">
        <v>429616.3</v>
      </c>
      <c r="V9" s="67">
        <f t="shared" si="8"/>
        <v>308.5</v>
      </c>
      <c r="W9" s="58">
        <v>408.06</v>
      </c>
      <c r="X9" s="65">
        <f t="shared" si="9"/>
        <v>240.00000000000909</v>
      </c>
      <c r="Y9" s="58">
        <v>2.9432999999999998</v>
      </c>
      <c r="Z9" s="65">
        <f t="shared" si="10"/>
        <v>2299.9999999999686</v>
      </c>
      <c r="AA9" s="58">
        <v>406.84</v>
      </c>
      <c r="AB9" s="65">
        <f t="shared" si="11"/>
        <v>299.99999999995453</v>
      </c>
      <c r="AC9" s="58">
        <v>380.41</v>
      </c>
      <c r="AD9" s="65">
        <f t="shared" si="12"/>
        <v>260.00000000004775</v>
      </c>
      <c r="AE9" s="58">
        <v>577</v>
      </c>
      <c r="AF9" s="65">
        <f t="shared" si="13"/>
        <v>200.00000000004547</v>
      </c>
      <c r="AG9" s="58">
        <v>5835</v>
      </c>
      <c r="AH9" s="67">
        <f t="shared" si="14"/>
        <v>32</v>
      </c>
      <c r="AI9" s="58">
        <v>639.37</v>
      </c>
      <c r="AJ9" s="65">
        <f t="shared" si="15"/>
        <v>1190.0000000000546</v>
      </c>
      <c r="AK9" s="58">
        <v>211.38</v>
      </c>
      <c r="AL9" s="65">
        <f t="shared" si="15"/>
        <v>199.99999999998863</v>
      </c>
      <c r="AM9" s="58">
        <v>200.89</v>
      </c>
      <c r="AN9" s="65">
        <f t="shared" si="15"/>
        <v>319.99999999999318</v>
      </c>
      <c r="AO9" s="58">
        <v>194.27</v>
      </c>
      <c r="AP9" s="65">
        <f t="shared" si="15"/>
        <v>210.00000000000796</v>
      </c>
      <c r="AQ9" s="58">
        <v>253.69</v>
      </c>
      <c r="AR9" s="65">
        <f t="shared" si="16"/>
        <v>150.00000000000568</v>
      </c>
      <c r="AS9" s="58">
        <v>379.29</v>
      </c>
      <c r="AT9" s="65">
        <f t="shared" si="17"/>
        <v>230.00000000001819</v>
      </c>
      <c r="AU9" s="58">
        <v>289.92</v>
      </c>
      <c r="AV9" s="65">
        <f t="shared" si="18"/>
        <v>150.00000000003411</v>
      </c>
      <c r="AW9" s="58">
        <v>323.68</v>
      </c>
      <c r="AX9" s="65">
        <f t="shared" si="19"/>
        <v>60.000000000002274</v>
      </c>
      <c r="AY9" s="58">
        <v>363.21</v>
      </c>
      <c r="AZ9" s="65">
        <f t="shared" si="20"/>
        <v>39.99999999996362</v>
      </c>
      <c r="BA9" s="58">
        <v>382.2</v>
      </c>
      <c r="BB9" s="65">
        <f t="shared" si="21"/>
        <v>19.99999999998181</v>
      </c>
      <c r="BC9" s="58">
        <v>245.37</v>
      </c>
      <c r="BD9" s="65">
        <f t="shared" si="22"/>
        <v>110.00000000001364</v>
      </c>
      <c r="BE9" s="59">
        <v>41526</v>
      </c>
      <c r="BF9" s="67">
        <f t="shared" si="39"/>
        <v>25</v>
      </c>
      <c r="BG9" s="60">
        <v>235.6</v>
      </c>
      <c r="BH9" s="65">
        <f t="shared" si="23"/>
        <v>30.000000000001137</v>
      </c>
      <c r="BI9" s="60">
        <v>294.22000000000003</v>
      </c>
      <c r="BJ9" s="65">
        <f t="shared" si="40"/>
        <v>20.000000000038654</v>
      </c>
      <c r="BK9" s="60">
        <v>238.04</v>
      </c>
      <c r="BL9" s="65">
        <f t="shared" si="24"/>
        <v>30.000000000001137</v>
      </c>
      <c r="BM9" s="60">
        <v>225.32</v>
      </c>
      <c r="BN9" s="65">
        <f t="shared" si="25"/>
        <v>49.999999999982947</v>
      </c>
      <c r="BO9" s="60">
        <v>289.06</v>
      </c>
      <c r="BP9" s="65">
        <f t="shared" si="26"/>
        <v>50.000000000011369</v>
      </c>
      <c r="BQ9" s="60">
        <v>46349</v>
      </c>
      <c r="BR9" s="65">
        <f t="shared" si="27"/>
        <v>21</v>
      </c>
      <c r="BS9" s="60">
        <v>201.96</v>
      </c>
      <c r="BT9" s="65">
        <f t="shared" si="42"/>
        <v>40.000000000020464</v>
      </c>
      <c r="BU9" s="60">
        <v>42226</v>
      </c>
      <c r="BV9" s="65">
        <f t="shared" si="29"/>
        <v>38</v>
      </c>
      <c r="BW9" s="60">
        <v>232.86</v>
      </c>
      <c r="BX9" s="65">
        <f t="shared" si="30"/>
        <v>20.000000000010232</v>
      </c>
      <c r="BY9" s="60">
        <v>62019</v>
      </c>
      <c r="BZ9" s="67">
        <f t="shared" si="31"/>
        <v>36</v>
      </c>
      <c r="CA9" s="60">
        <v>33333.699999999997</v>
      </c>
      <c r="CB9" s="67">
        <f t="shared" si="32"/>
        <v>32</v>
      </c>
      <c r="CC9" s="60">
        <v>12501.7</v>
      </c>
      <c r="CD9" s="67">
        <f t="shared" si="33"/>
        <v>10</v>
      </c>
      <c r="CE9" s="60">
        <v>6628.7</v>
      </c>
      <c r="CF9" s="67">
        <f t="shared" si="34"/>
        <v>9.3999999999996362</v>
      </c>
      <c r="CG9" s="60">
        <v>61053.5</v>
      </c>
      <c r="CH9" s="67">
        <f t="shared" si="35"/>
        <v>52.30000000000291</v>
      </c>
      <c r="CI9" s="60">
        <v>959592</v>
      </c>
      <c r="CJ9" s="67">
        <f t="shared" si="36"/>
        <v>262</v>
      </c>
      <c r="CK9" s="60">
        <v>790.16</v>
      </c>
      <c r="CL9" s="64">
        <f t="shared" si="37"/>
        <v>769.99999999998181</v>
      </c>
      <c r="CM9" s="65">
        <f t="shared" si="41"/>
        <v>97</v>
      </c>
      <c r="CN9" s="62">
        <v>20</v>
      </c>
      <c r="CO9" s="62">
        <v>66</v>
      </c>
      <c r="CP9" s="68">
        <v>11471</v>
      </c>
      <c r="CQ9" s="67">
        <f t="shared" si="38"/>
        <v>43</v>
      </c>
      <c r="CR9" s="68">
        <v>15147</v>
      </c>
      <c r="CS9" s="67">
        <f t="shared" si="38"/>
        <v>54</v>
      </c>
      <c r="CT9" s="75">
        <v>6894</v>
      </c>
      <c r="CU9" s="67">
        <f t="shared" si="38"/>
        <v>23</v>
      </c>
      <c r="CV9" s="68">
        <v>16646</v>
      </c>
      <c r="CW9" s="67">
        <f t="shared" si="38"/>
        <v>85</v>
      </c>
    </row>
    <row r="10" spans="1:102" ht="25.5" customHeight="1" thickBot="1" x14ac:dyDescent="0.45">
      <c r="A10" s="63">
        <v>44415</v>
      </c>
      <c r="B10" s="44"/>
      <c r="C10" s="58">
        <v>2.3742999999999999</v>
      </c>
      <c r="D10" s="64">
        <f t="shared" si="0"/>
        <v>2799.9999999996917</v>
      </c>
      <c r="E10" s="58">
        <v>3.3675999999999999</v>
      </c>
      <c r="F10" s="64">
        <f t="shared" si="1"/>
        <v>2599.9999999997135</v>
      </c>
      <c r="G10" s="58">
        <v>3.4245999999999999</v>
      </c>
      <c r="H10" s="64">
        <f t="shared" si="2"/>
        <v>2799.9999999996917</v>
      </c>
      <c r="I10" s="58">
        <v>1.6879</v>
      </c>
      <c r="J10" s="64">
        <f t="shared" si="3"/>
        <v>1199.9999999998679</v>
      </c>
      <c r="K10" s="58">
        <v>2.7265999999999999</v>
      </c>
      <c r="L10" s="64">
        <f t="shared" si="4"/>
        <v>1900.0000000000127</v>
      </c>
      <c r="M10" s="58">
        <v>1.4944</v>
      </c>
      <c r="N10" s="64">
        <f t="shared" si="5"/>
        <v>799.99999999991189</v>
      </c>
      <c r="O10" s="58">
        <v>14581</v>
      </c>
      <c r="P10" s="67">
        <f t="shared" si="43"/>
        <v>6</v>
      </c>
      <c r="Q10" s="58">
        <v>1111</v>
      </c>
      <c r="R10" s="67">
        <f t="shared" si="6"/>
        <v>3</v>
      </c>
      <c r="S10" s="58">
        <v>1026</v>
      </c>
      <c r="T10" s="67">
        <f t="shared" si="7"/>
        <v>1</v>
      </c>
      <c r="U10" s="58">
        <v>429946</v>
      </c>
      <c r="V10" s="67">
        <f t="shared" si="8"/>
        <v>329.70000000001164</v>
      </c>
      <c r="W10" s="58">
        <v>408.31</v>
      </c>
      <c r="X10" s="65">
        <f t="shared" si="9"/>
        <v>250</v>
      </c>
      <c r="Y10" s="58">
        <v>2.9456000000000002</v>
      </c>
      <c r="Z10" s="65">
        <f t="shared" si="10"/>
        <v>2300.0000000004129</v>
      </c>
      <c r="AA10" s="58">
        <v>407.16</v>
      </c>
      <c r="AB10" s="65">
        <f t="shared" si="11"/>
        <v>320.00000000005002</v>
      </c>
      <c r="AC10" s="58">
        <v>380.67</v>
      </c>
      <c r="AD10" s="65">
        <f t="shared" si="12"/>
        <v>259.99999999999091</v>
      </c>
      <c r="AE10" s="58">
        <v>577.17999999999995</v>
      </c>
      <c r="AF10" s="65">
        <f t="shared" si="13"/>
        <v>179.99999999994998</v>
      </c>
      <c r="AG10" s="58">
        <v>5869</v>
      </c>
      <c r="AH10" s="67">
        <f t="shared" si="14"/>
        <v>34</v>
      </c>
      <c r="AI10" s="58">
        <v>640.46</v>
      </c>
      <c r="AJ10" s="65">
        <f t="shared" si="15"/>
        <v>1090.0000000000318</v>
      </c>
      <c r="AK10" s="58">
        <v>211.6</v>
      </c>
      <c r="AL10" s="65">
        <f t="shared" si="15"/>
        <v>219.99999999999886</v>
      </c>
      <c r="AM10" s="58">
        <v>201.22</v>
      </c>
      <c r="AN10" s="65">
        <f t="shared" si="15"/>
        <v>330.00000000001251</v>
      </c>
      <c r="AO10" s="58">
        <v>194.46</v>
      </c>
      <c r="AP10" s="65">
        <f t="shared" si="15"/>
        <v>189.99999999999773</v>
      </c>
      <c r="AQ10" s="58">
        <v>253.84</v>
      </c>
      <c r="AR10" s="65">
        <f t="shared" si="16"/>
        <v>150.00000000000568</v>
      </c>
      <c r="AS10" s="58">
        <v>379.47</v>
      </c>
      <c r="AT10" s="65">
        <f t="shared" si="17"/>
        <v>180.00000000000682</v>
      </c>
      <c r="AU10" s="58">
        <v>290.08</v>
      </c>
      <c r="AV10" s="65">
        <f t="shared" si="18"/>
        <v>159.99999999996817</v>
      </c>
      <c r="AW10" s="58">
        <v>323.74</v>
      </c>
      <c r="AX10" s="65">
        <f t="shared" si="19"/>
        <v>60.000000000002274</v>
      </c>
      <c r="AY10" s="58">
        <v>363.25</v>
      </c>
      <c r="AZ10" s="65">
        <f t="shared" si="20"/>
        <v>40.000000000020464</v>
      </c>
      <c r="BA10" s="58">
        <v>382.23</v>
      </c>
      <c r="BB10" s="65">
        <f t="shared" si="21"/>
        <v>30.000000000029559</v>
      </c>
      <c r="BC10" s="58">
        <v>245.44</v>
      </c>
      <c r="BD10" s="65">
        <f t="shared" si="22"/>
        <v>69.999999999993179</v>
      </c>
      <c r="BE10" s="59">
        <v>41565</v>
      </c>
      <c r="BF10" s="67">
        <f t="shared" si="39"/>
        <v>39</v>
      </c>
      <c r="BG10" s="60">
        <v>235.65</v>
      </c>
      <c r="BH10" s="65">
        <f t="shared" si="23"/>
        <v>50.000000000011369</v>
      </c>
      <c r="BI10" s="60">
        <v>294.25</v>
      </c>
      <c r="BJ10" s="65">
        <f t="shared" si="40"/>
        <v>29.999999999972715</v>
      </c>
      <c r="BK10" s="60">
        <v>238.06</v>
      </c>
      <c r="BL10" s="65">
        <f t="shared" si="24"/>
        <v>20.000000000010232</v>
      </c>
      <c r="BM10" s="60">
        <v>225.35</v>
      </c>
      <c r="BN10" s="65">
        <f t="shared" si="25"/>
        <v>30.000000000001137</v>
      </c>
      <c r="BO10" s="60">
        <v>289.11</v>
      </c>
      <c r="BP10" s="65">
        <f t="shared" si="26"/>
        <v>50.000000000011369</v>
      </c>
      <c r="BQ10" s="60">
        <v>46371</v>
      </c>
      <c r="BR10" s="65">
        <f t="shared" si="27"/>
        <v>22</v>
      </c>
      <c r="BS10" s="60">
        <v>202</v>
      </c>
      <c r="BT10" s="65">
        <f t="shared" si="42"/>
        <v>39.999999999992042</v>
      </c>
      <c r="BU10" s="60">
        <v>42265</v>
      </c>
      <c r="BV10" s="65">
        <f t="shared" si="29"/>
        <v>39</v>
      </c>
      <c r="BW10" s="60">
        <v>232.88</v>
      </c>
      <c r="BX10" s="65">
        <f t="shared" si="30"/>
        <v>19.99999999998181</v>
      </c>
      <c r="BY10" s="60">
        <v>62060</v>
      </c>
      <c r="BZ10" s="67">
        <f t="shared" si="31"/>
        <v>41</v>
      </c>
      <c r="CA10" s="60">
        <v>33371.800000000003</v>
      </c>
      <c r="CB10" s="67">
        <f t="shared" si="32"/>
        <v>38.100000000005821</v>
      </c>
      <c r="CC10" s="60">
        <v>12507.1</v>
      </c>
      <c r="CD10" s="67">
        <f t="shared" si="33"/>
        <v>5.3999999999996362</v>
      </c>
      <c r="CE10" s="60">
        <v>6639.7</v>
      </c>
      <c r="CF10" s="67">
        <f t="shared" si="34"/>
        <v>11</v>
      </c>
      <c r="CG10" s="60">
        <v>61106.400000000001</v>
      </c>
      <c r="CH10" s="67">
        <f t="shared" si="35"/>
        <v>52.900000000001455</v>
      </c>
      <c r="CI10" s="60">
        <v>959859</v>
      </c>
      <c r="CJ10" s="67">
        <f t="shared" si="36"/>
        <v>267</v>
      </c>
      <c r="CK10" s="60">
        <v>790.89</v>
      </c>
      <c r="CL10" s="64">
        <f t="shared" si="37"/>
        <v>730.00000000001819</v>
      </c>
      <c r="CM10" s="65">
        <f t="shared" si="41"/>
        <v>102</v>
      </c>
      <c r="CN10" s="62">
        <v>20</v>
      </c>
      <c r="CO10" s="62">
        <v>66</v>
      </c>
      <c r="CP10" s="68">
        <v>11518</v>
      </c>
      <c r="CQ10" s="67">
        <f>IF((CP10-CP9&lt;0), "",CP10-CP9)</f>
        <v>47</v>
      </c>
      <c r="CR10" s="68">
        <v>15202</v>
      </c>
      <c r="CS10" s="67">
        <f t="shared" si="38"/>
        <v>55</v>
      </c>
      <c r="CT10" s="75">
        <v>6918</v>
      </c>
      <c r="CU10" s="67">
        <f t="shared" si="38"/>
        <v>24</v>
      </c>
      <c r="CV10" s="68">
        <v>16728</v>
      </c>
      <c r="CW10" s="67">
        <f t="shared" si="38"/>
        <v>82</v>
      </c>
    </row>
    <row r="11" spans="1:102" ht="25.5" customHeight="1" thickBot="1" x14ac:dyDescent="0.45">
      <c r="A11" s="63">
        <v>44416</v>
      </c>
      <c r="B11" s="44"/>
      <c r="C11" s="58">
        <v>2.3771</v>
      </c>
      <c r="D11" s="64">
        <f t="shared" si="0"/>
        <v>2800.0000000001355</v>
      </c>
      <c r="E11" s="58">
        <v>3.3700999999999999</v>
      </c>
      <c r="F11" s="64">
        <f t="shared" si="1"/>
        <v>2499.9999999999468</v>
      </c>
      <c r="G11" s="58">
        <v>3.4272999999999998</v>
      </c>
      <c r="H11" s="64">
        <f t="shared" si="2"/>
        <v>2699.9999999999245</v>
      </c>
      <c r="I11" s="58">
        <v>1.6892</v>
      </c>
      <c r="J11" s="64">
        <f t="shared" si="3"/>
        <v>1300.0000000000789</v>
      </c>
      <c r="K11" s="58">
        <v>2.7284000000000002</v>
      </c>
      <c r="L11" s="64">
        <f t="shared" si="4"/>
        <v>1800.0000000002458</v>
      </c>
      <c r="M11" s="58">
        <v>1.4953000000000001</v>
      </c>
      <c r="N11" s="64">
        <f t="shared" si="5"/>
        <v>900.0000000001229</v>
      </c>
      <c r="O11" s="58">
        <v>14584</v>
      </c>
      <c r="P11" s="67">
        <f t="shared" ref="P11:P34" si="44">IF((O11-O10&lt;0), "",O11-O10)</f>
        <v>3</v>
      </c>
      <c r="Q11" s="58">
        <v>1113</v>
      </c>
      <c r="R11" s="67">
        <f t="shared" si="6"/>
        <v>2</v>
      </c>
      <c r="S11" s="58">
        <v>1026.8</v>
      </c>
      <c r="T11" s="67">
        <f t="shared" si="7"/>
        <v>0.79999999999995453</v>
      </c>
      <c r="U11" s="58">
        <v>430218.7</v>
      </c>
      <c r="V11" s="67">
        <f t="shared" si="8"/>
        <v>272.70000000001164</v>
      </c>
      <c r="W11" s="58">
        <v>408.59</v>
      </c>
      <c r="X11" s="65">
        <f t="shared" si="9"/>
        <v>279.99999999997272</v>
      </c>
      <c r="Y11" s="58">
        <v>2.9479000000000002</v>
      </c>
      <c r="Z11" s="65">
        <f t="shared" si="10"/>
        <v>2299.9999999999686</v>
      </c>
      <c r="AA11" s="58">
        <v>407.49</v>
      </c>
      <c r="AB11" s="65">
        <f t="shared" si="11"/>
        <v>329.99999999998408</v>
      </c>
      <c r="AC11" s="58">
        <v>380.95</v>
      </c>
      <c r="AD11" s="65">
        <f t="shared" si="12"/>
        <v>279.99999999997272</v>
      </c>
      <c r="AE11" s="58">
        <v>577.36</v>
      </c>
      <c r="AF11" s="65">
        <f t="shared" si="13"/>
        <v>180.00000000006366</v>
      </c>
      <c r="AG11" s="58">
        <v>5901</v>
      </c>
      <c r="AH11" s="67">
        <f t="shared" si="14"/>
        <v>32</v>
      </c>
      <c r="AI11" s="58">
        <v>641.63</v>
      </c>
      <c r="AJ11" s="65">
        <f t="shared" si="15"/>
        <v>1169.9999999999591</v>
      </c>
      <c r="AK11" s="58">
        <v>211.8</v>
      </c>
      <c r="AL11" s="65">
        <f t="shared" si="15"/>
        <v>200.00000000001705</v>
      </c>
      <c r="AM11" s="58">
        <v>201.54</v>
      </c>
      <c r="AN11" s="65">
        <f t="shared" si="15"/>
        <v>319.99999999999318</v>
      </c>
      <c r="AO11" s="58">
        <v>194.66</v>
      </c>
      <c r="AP11" s="65">
        <f t="shared" si="15"/>
        <v>199.99999999998863</v>
      </c>
      <c r="AQ11" s="58">
        <v>253.99</v>
      </c>
      <c r="AR11" s="65">
        <f t="shared" si="16"/>
        <v>150.00000000000568</v>
      </c>
      <c r="AS11" s="58">
        <v>379.64</v>
      </c>
      <c r="AT11" s="65">
        <f t="shared" si="17"/>
        <v>169.99999999995907</v>
      </c>
      <c r="AU11" s="58">
        <v>290.18</v>
      </c>
      <c r="AV11" s="65">
        <f t="shared" si="18"/>
        <v>100.00000000002274</v>
      </c>
      <c r="AW11" s="58">
        <v>323.77999999999997</v>
      </c>
      <c r="AX11" s="65">
        <f t="shared" si="19"/>
        <v>39.99999999996362</v>
      </c>
      <c r="AY11" s="58">
        <v>363.28</v>
      </c>
      <c r="AZ11" s="65">
        <f t="shared" si="20"/>
        <v>29.999999999972715</v>
      </c>
      <c r="BA11" s="58">
        <v>382.26</v>
      </c>
      <c r="BB11" s="65">
        <f t="shared" si="21"/>
        <v>29.999999999972715</v>
      </c>
      <c r="BC11" s="58">
        <v>245.52</v>
      </c>
      <c r="BD11" s="65">
        <f>IF((BC11-BC10&lt;0), "",(BC11-BC10)*1000)</f>
        <v>80.000000000012506</v>
      </c>
      <c r="BE11" s="59">
        <v>41571</v>
      </c>
      <c r="BF11" s="67">
        <f t="shared" si="39"/>
        <v>6</v>
      </c>
      <c r="BG11" s="60">
        <v>235.68</v>
      </c>
      <c r="BH11" s="65">
        <f t="shared" si="23"/>
        <v>30.000000000001137</v>
      </c>
      <c r="BI11" s="60">
        <v>294.27</v>
      </c>
      <c r="BJ11" s="65">
        <f t="shared" si="40"/>
        <v>19.99999999998181</v>
      </c>
      <c r="BK11" s="60">
        <v>238.1</v>
      </c>
      <c r="BL11" s="65">
        <f t="shared" si="24"/>
        <v>39.999999999992042</v>
      </c>
      <c r="BM11" s="60">
        <v>225.39</v>
      </c>
      <c r="BN11" s="65">
        <f t="shared" si="25"/>
        <v>39.999999999992042</v>
      </c>
      <c r="BO11" s="60">
        <v>289.16000000000003</v>
      </c>
      <c r="BP11" s="65">
        <f t="shared" si="26"/>
        <v>50.000000000011369</v>
      </c>
      <c r="BQ11" s="60">
        <v>46393</v>
      </c>
      <c r="BR11" s="65">
        <f t="shared" si="27"/>
        <v>22</v>
      </c>
      <c r="BS11" s="60">
        <v>202.03</v>
      </c>
      <c r="BT11" s="65">
        <f t="shared" si="42"/>
        <v>30.000000000001137</v>
      </c>
      <c r="BU11" s="60">
        <v>42298</v>
      </c>
      <c r="BV11" s="65">
        <f t="shared" si="29"/>
        <v>33</v>
      </c>
      <c r="BW11" s="60">
        <v>232.9</v>
      </c>
      <c r="BX11" s="65">
        <f t="shared" si="30"/>
        <v>20.000000000010232</v>
      </c>
      <c r="BY11" s="60">
        <v>62104</v>
      </c>
      <c r="BZ11" s="67">
        <f t="shared" si="31"/>
        <v>44</v>
      </c>
      <c r="CA11" s="60">
        <v>33410</v>
      </c>
      <c r="CB11" s="67">
        <f t="shared" si="32"/>
        <v>38.19999999999709</v>
      </c>
      <c r="CC11" s="60">
        <v>12512.6</v>
      </c>
      <c r="CD11" s="67">
        <f t="shared" si="33"/>
        <v>5.5</v>
      </c>
      <c r="CE11" s="60">
        <v>6642.5</v>
      </c>
      <c r="CF11" s="67">
        <f t="shared" si="34"/>
        <v>2.8000000000001819</v>
      </c>
      <c r="CG11" s="60">
        <v>61151</v>
      </c>
      <c r="CH11" s="67">
        <f t="shared" si="35"/>
        <v>44.599999999998545</v>
      </c>
      <c r="CI11" s="60">
        <v>960137</v>
      </c>
      <c r="CJ11" s="67">
        <f t="shared" si="36"/>
        <v>278</v>
      </c>
      <c r="CK11" s="60">
        <v>791.71</v>
      </c>
      <c r="CL11" s="64">
        <f t="shared" si="37"/>
        <v>820.00000000005002</v>
      </c>
      <c r="CM11" s="65">
        <f t="shared" si="41"/>
        <v>90</v>
      </c>
      <c r="CN11" s="62">
        <v>0</v>
      </c>
      <c r="CO11" s="62">
        <v>0</v>
      </c>
      <c r="CP11" s="68">
        <v>11560</v>
      </c>
      <c r="CQ11" s="67">
        <f>IF((CP11-CP10&lt;0), "",CP11-CP10)</f>
        <v>42</v>
      </c>
      <c r="CR11" s="68">
        <v>15250</v>
      </c>
      <c r="CS11" s="67">
        <f t="shared" si="38"/>
        <v>48</v>
      </c>
      <c r="CT11" s="75">
        <v>6942</v>
      </c>
      <c r="CU11" s="67">
        <f t="shared" si="38"/>
        <v>24</v>
      </c>
      <c r="CV11" s="68">
        <v>16810</v>
      </c>
      <c r="CW11" s="67">
        <f t="shared" si="38"/>
        <v>82</v>
      </c>
    </row>
    <row r="12" spans="1:102" ht="25.5" customHeight="1" thickBot="1" x14ac:dyDescent="0.45">
      <c r="A12" s="63">
        <v>44417</v>
      </c>
      <c r="B12" s="44"/>
      <c r="C12" s="58">
        <v>2.3791000000000002</v>
      </c>
      <c r="D12" s="64">
        <f t="shared" si="0"/>
        <v>2000.0000000002237</v>
      </c>
      <c r="E12" s="58">
        <v>3.3723999999999998</v>
      </c>
      <c r="F12" s="64">
        <f t="shared" si="1"/>
        <v>2299.9999999999686</v>
      </c>
      <c r="G12" s="58">
        <v>3.4304000000000001</v>
      </c>
      <c r="H12" s="64">
        <f t="shared" si="2"/>
        <v>3100.0000000003247</v>
      </c>
      <c r="I12" s="58">
        <v>1.6902999999999999</v>
      </c>
      <c r="J12" s="64">
        <f t="shared" si="3"/>
        <v>1099.9999999998788</v>
      </c>
      <c r="K12" s="58">
        <v>2.7303999999999999</v>
      </c>
      <c r="L12" s="64">
        <f t="shared" si="4"/>
        <v>1999.9999999997797</v>
      </c>
      <c r="M12" s="58">
        <v>1.4962</v>
      </c>
      <c r="N12" s="64">
        <f t="shared" si="5"/>
        <v>899.99999999990087</v>
      </c>
      <c r="O12" s="58">
        <v>14590</v>
      </c>
      <c r="P12" s="67">
        <f t="shared" si="44"/>
        <v>6</v>
      </c>
      <c r="Q12" s="58">
        <v>1115</v>
      </c>
      <c r="R12" s="67">
        <f t="shared" si="6"/>
        <v>2</v>
      </c>
      <c r="S12" s="58">
        <v>1028</v>
      </c>
      <c r="T12" s="67">
        <f t="shared" si="7"/>
        <v>1.2000000000000455</v>
      </c>
      <c r="U12" s="58">
        <v>430566.7</v>
      </c>
      <c r="V12" s="67">
        <f t="shared" si="8"/>
        <v>348</v>
      </c>
      <c r="W12" s="58">
        <v>408.84</v>
      </c>
      <c r="X12" s="65">
        <f t="shared" si="9"/>
        <v>250</v>
      </c>
      <c r="Y12" s="58">
        <v>2.9499</v>
      </c>
      <c r="Z12" s="65">
        <f t="shared" si="10"/>
        <v>1999.9999999997797</v>
      </c>
      <c r="AA12" s="58">
        <v>407.81</v>
      </c>
      <c r="AB12" s="65">
        <f t="shared" si="11"/>
        <v>319.99999999999318</v>
      </c>
      <c r="AC12" s="58">
        <v>381.21</v>
      </c>
      <c r="AD12" s="65">
        <f t="shared" si="12"/>
        <v>259.99999999999091</v>
      </c>
      <c r="AE12" s="58">
        <v>577.53</v>
      </c>
      <c r="AF12" s="65">
        <f t="shared" si="13"/>
        <v>169.99999999995907</v>
      </c>
      <c r="AG12" s="58">
        <v>5932</v>
      </c>
      <c r="AH12" s="67">
        <f t="shared" si="14"/>
        <v>31</v>
      </c>
      <c r="AI12" s="58">
        <v>642.32000000000005</v>
      </c>
      <c r="AJ12" s="65">
        <f t="shared" si="15"/>
        <v>690.00000000005457</v>
      </c>
      <c r="AK12" s="58">
        <v>211.99</v>
      </c>
      <c r="AL12" s="65">
        <f t="shared" si="15"/>
        <v>189.99999999999773</v>
      </c>
      <c r="AM12" s="58">
        <v>201.68</v>
      </c>
      <c r="AN12" s="65">
        <f t="shared" si="15"/>
        <v>140.00000000001478</v>
      </c>
      <c r="AO12" s="58">
        <v>194.81</v>
      </c>
      <c r="AP12" s="65">
        <f t="shared" si="15"/>
        <v>150.00000000000568</v>
      </c>
      <c r="AQ12" s="58">
        <v>254.13</v>
      </c>
      <c r="AR12" s="65">
        <f t="shared" si="16"/>
        <v>139.99999999998636</v>
      </c>
      <c r="AS12" s="58">
        <v>379.81</v>
      </c>
      <c r="AT12" s="65">
        <f t="shared" si="17"/>
        <v>170.00000000001592</v>
      </c>
      <c r="AU12" s="58">
        <v>290.26</v>
      </c>
      <c r="AV12" s="65">
        <f t="shared" si="18"/>
        <v>79.999999999984084</v>
      </c>
      <c r="AW12" s="58">
        <v>323.82</v>
      </c>
      <c r="AX12" s="65">
        <f t="shared" si="19"/>
        <v>40.000000000020464</v>
      </c>
      <c r="AY12" s="58">
        <v>363.33</v>
      </c>
      <c r="AZ12" s="65">
        <f t="shared" si="20"/>
        <v>50.000000000011369</v>
      </c>
      <c r="BA12" s="58">
        <v>382.28</v>
      </c>
      <c r="BB12" s="65">
        <f t="shared" si="21"/>
        <v>19.99999999998181</v>
      </c>
      <c r="BC12" s="58">
        <v>245.57</v>
      </c>
      <c r="BD12" s="65">
        <f t="shared" si="22"/>
        <v>49.999999999982947</v>
      </c>
      <c r="BE12" s="59">
        <v>41598</v>
      </c>
      <c r="BF12" s="67">
        <f t="shared" si="39"/>
        <v>27</v>
      </c>
      <c r="BG12" s="60">
        <v>235.72</v>
      </c>
      <c r="BH12" s="65">
        <f t="shared" si="23"/>
        <v>39.999999999992042</v>
      </c>
      <c r="BI12" s="60">
        <v>294.3</v>
      </c>
      <c r="BJ12" s="65">
        <f t="shared" si="40"/>
        <v>30.000000000029559</v>
      </c>
      <c r="BK12" s="60">
        <v>238.12</v>
      </c>
      <c r="BL12" s="65">
        <f t="shared" si="24"/>
        <v>20.000000000010232</v>
      </c>
      <c r="BM12" s="60">
        <v>225.43</v>
      </c>
      <c r="BN12" s="65">
        <f t="shared" si="25"/>
        <v>40.000000000020464</v>
      </c>
      <c r="BO12" s="60">
        <v>289.2</v>
      </c>
      <c r="BP12" s="65">
        <f t="shared" si="26"/>
        <v>39.99999999996362</v>
      </c>
      <c r="BQ12" s="60">
        <v>46412</v>
      </c>
      <c r="BR12" s="65">
        <f t="shared" si="27"/>
        <v>19</v>
      </c>
      <c r="BS12" s="60">
        <v>202.06</v>
      </c>
      <c r="BT12" s="65">
        <f t="shared" si="42"/>
        <v>30.000000000001137</v>
      </c>
      <c r="BU12" s="60">
        <v>42338</v>
      </c>
      <c r="BV12" s="65">
        <f t="shared" si="29"/>
        <v>40</v>
      </c>
      <c r="BW12" s="60">
        <v>232.92</v>
      </c>
      <c r="BX12" s="65">
        <f t="shared" si="30"/>
        <v>19.99999999998181</v>
      </c>
      <c r="BY12" s="60">
        <v>62143</v>
      </c>
      <c r="BZ12" s="67">
        <f t="shared" si="31"/>
        <v>39</v>
      </c>
      <c r="CA12" s="60">
        <v>33436.699999999997</v>
      </c>
      <c r="CB12" s="67">
        <f t="shared" si="32"/>
        <v>26.69999999999709</v>
      </c>
      <c r="CC12" s="60">
        <v>12516.6</v>
      </c>
      <c r="CD12" s="67">
        <f t="shared" si="33"/>
        <v>4</v>
      </c>
      <c r="CE12" s="60">
        <v>6648.8</v>
      </c>
      <c r="CF12" s="67">
        <f t="shared" si="34"/>
        <v>6.3000000000001819</v>
      </c>
      <c r="CG12" s="60">
        <v>61194</v>
      </c>
      <c r="CH12" s="67">
        <f t="shared" si="35"/>
        <v>43</v>
      </c>
      <c r="CI12" s="60">
        <v>960410</v>
      </c>
      <c r="CJ12" s="67">
        <f t="shared" si="36"/>
        <v>273</v>
      </c>
      <c r="CK12" s="60">
        <v>792.43</v>
      </c>
      <c r="CL12" s="64">
        <f t="shared" si="37"/>
        <v>719.9999999999136</v>
      </c>
      <c r="CM12" s="65">
        <f t="shared" si="41"/>
        <v>73</v>
      </c>
      <c r="CN12" s="62">
        <v>0</v>
      </c>
      <c r="CO12" s="62">
        <v>0</v>
      </c>
      <c r="CP12" s="68">
        <v>11605</v>
      </c>
      <c r="CQ12" s="67">
        <f>IF((CP12-CP11&lt;0), "",CP12-CP11)</f>
        <v>45</v>
      </c>
      <c r="CR12" s="68">
        <v>15278</v>
      </c>
      <c r="CS12" s="67">
        <f t="shared" si="38"/>
        <v>28</v>
      </c>
      <c r="CT12" s="75">
        <v>6956</v>
      </c>
      <c r="CU12" s="67">
        <f t="shared" si="38"/>
        <v>14</v>
      </c>
      <c r="CV12" s="68">
        <v>16847</v>
      </c>
      <c r="CW12" s="67">
        <f t="shared" si="38"/>
        <v>37</v>
      </c>
    </row>
    <row r="13" spans="1:102" ht="25.5" customHeight="1" thickBot="1" x14ac:dyDescent="0.45">
      <c r="A13" s="63">
        <v>44418</v>
      </c>
      <c r="B13" s="44"/>
      <c r="C13" s="58">
        <v>2.3809</v>
      </c>
      <c r="D13" s="64">
        <f t="shared" si="0"/>
        <v>1799.9999999998017</v>
      </c>
      <c r="E13" s="58">
        <v>3.3748999999999998</v>
      </c>
      <c r="F13" s="64">
        <f t="shared" si="1"/>
        <v>2499.9999999999468</v>
      </c>
      <c r="G13" s="58">
        <v>3.4342000000000001</v>
      </c>
      <c r="H13" s="64">
        <f t="shared" si="2"/>
        <v>3800.0000000000255</v>
      </c>
      <c r="I13" s="58">
        <v>1.6917</v>
      </c>
      <c r="J13" s="64">
        <f t="shared" si="3"/>
        <v>1400.0000000000678</v>
      </c>
      <c r="K13" s="58">
        <v>2.7324000000000002</v>
      </c>
      <c r="L13" s="64">
        <f t="shared" si="4"/>
        <v>2000.0000000002237</v>
      </c>
      <c r="M13" s="58">
        <v>1.4968999999999999</v>
      </c>
      <c r="N13" s="64">
        <f t="shared" si="5"/>
        <v>699.99999999992292</v>
      </c>
      <c r="O13" s="58">
        <v>14593</v>
      </c>
      <c r="P13" s="67">
        <f t="shared" si="44"/>
        <v>3</v>
      </c>
      <c r="Q13" s="58">
        <v>1117</v>
      </c>
      <c r="R13" s="67">
        <f t="shared" si="6"/>
        <v>2</v>
      </c>
      <c r="S13" s="58">
        <v>1028.5999999999999</v>
      </c>
      <c r="T13" s="67">
        <f t="shared" si="7"/>
        <v>0.59999999999990905</v>
      </c>
      <c r="U13" s="58">
        <v>430837.7</v>
      </c>
      <c r="V13" s="67">
        <f t="shared" si="8"/>
        <v>271</v>
      </c>
      <c r="W13" s="58">
        <v>409.08</v>
      </c>
      <c r="X13" s="65">
        <f t="shared" si="9"/>
        <v>240.00000000000909</v>
      </c>
      <c r="Y13" s="58">
        <v>2.9521000000000002</v>
      </c>
      <c r="Z13" s="65">
        <f t="shared" si="10"/>
        <v>2200.0000000002019</v>
      </c>
      <c r="AA13" s="58">
        <v>408.2</v>
      </c>
      <c r="AB13" s="65">
        <f t="shared" si="11"/>
        <v>389.99999999998636</v>
      </c>
      <c r="AC13" s="58">
        <v>381.44</v>
      </c>
      <c r="AD13" s="65">
        <f t="shared" si="12"/>
        <v>230.00000000001819</v>
      </c>
      <c r="AE13" s="58">
        <v>577.73</v>
      </c>
      <c r="AF13" s="65">
        <f t="shared" si="13"/>
        <v>200.00000000004547</v>
      </c>
      <c r="AG13" s="58">
        <v>5964</v>
      </c>
      <c r="AH13" s="67">
        <f t="shared" si="14"/>
        <v>32</v>
      </c>
      <c r="AI13" s="58">
        <v>642.82000000000005</v>
      </c>
      <c r="AJ13" s="65">
        <f t="shared" si="15"/>
        <v>500</v>
      </c>
      <c r="AK13" s="58">
        <v>212.17</v>
      </c>
      <c r="AL13" s="65">
        <f t="shared" si="15"/>
        <v>179.9999999999784</v>
      </c>
      <c r="AM13" s="58">
        <v>201.8</v>
      </c>
      <c r="AN13" s="65">
        <f t="shared" si="15"/>
        <v>120.00000000000455</v>
      </c>
      <c r="AO13" s="58">
        <v>194.97</v>
      </c>
      <c r="AP13" s="65">
        <f t="shared" si="15"/>
        <v>159.99999999999659</v>
      </c>
      <c r="AQ13" s="58">
        <v>254.28</v>
      </c>
      <c r="AR13" s="65">
        <f t="shared" si="16"/>
        <v>150.00000000000568</v>
      </c>
      <c r="AS13" s="58">
        <v>379.99</v>
      </c>
      <c r="AT13" s="65">
        <f t="shared" si="17"/>
        <v>180.00000000000682</v>
      </c>
      <c r="AU13" s="58">
        <v>290.35000000000002</v>
      </c>
      <c r="AV13" s="65">
        <f t="shared" si="18"/>
        <v>90.000000000031832</v>
      </c>
      <c r="AW13" s="58">
        <v>323.87</v>
      </c>
      <c r="AX13" s="65">
        <f t="shared" si="19"/>
        <v>50.000000000011369</v>
      </c>
      <c r="AY13" s="58">
        <v>363.37</v>
      </c>
      <c r="AZ13" s="65">
        <f t="shared" si="20"/>
        <v>40.000000000020464</v>
      </c>
      <c r="BA13" s="58">
        <v>382.31</v>
      </c>
      <c r="BB13" s="65">
        <f t="shared" si="21"/>
        <v>30.000000000029559</v>
      </c>
      <c r="BC13" s="58">
        <v>245.61</v>
      </c>
      <c r="BD13" s="65">
        <f t="shared" si="22"/>
        <v>40.000000000020464</v>
      </c>
      <c r="BE13" s="59">
        <v>41628</v>
      </c>
      <c r="BF13" s="67">
        <f t="shared" si="39"/>
        <v>30</v>
      </c>
      <c r="BG13" s="60">
        <v>235.77</v>
      </c>
      <c r="BH13" s="65">
        <f t="shared" si="23"/>
        <v>50.000000000011369</v>
      </c>
      <c r="BI13" s="60">
        <v>294.32</v>
      </c>
      <c r="BJ13" s="65">
        <f t="shared" si="40"/>
        <v>19.99999999998181</v>
      </c>
      <c r="BK13" s="60">
        <v>238.15</v>
      </c>
      <c r="BL13" s="65">
        <f t="shared" si="24"/>
        <v>30.000000000001137</v>
      </c>
      <c r="BM13" s="60">
        <v>225.47</v>
      </c>
      <c r="BN13" s="65">
        <f t="shared" si="25"/>
        <v>39.999999999992042</v>
      </c>
      <c r="BO13" s="60">
        <v>289.25</v>
      </c>
      <c r="BP13" s="65">
        <f t="shared" si="26"/>
        <v>50.000000000011369</v>
      </c>
      <c r="BQ13" s="60">
        <v>46431</v>
      </c>
      <c r="BR13" s="65">
        <f t="shared" si="27"/>
        <v>19</v>
      </c>
      <c r="BS13" s="60">
        <v>202.11</v>
      </c>
      <c r="BT13" s="65">
        <f t="shared" si="42"/>
        <v>50.000000000011369</v>
      </c>
      <c r="BU13" s="60">
        <v>42382</v>
      </c>
      <c r="BV13" s="65">
        <f t="shared" si="29"/>
        <v>44</v>
      </c>
      <c r="BW13" s="60">
        <v>232.94</v>
      </c>
      <c r="BX13" s="65">
        <f t="shared" si="30"/>
        <v>20.000000000010232</v>
      </c>
      <c r="BY13" s="60">
        <v>62173</v>
      </c>
      <c r="BZ13" s="67">
        <f t="shared" si="31"/>
        <v>30</v>
      </c>
      <c r="CA13" s="60">
        <v>33468.800000000003</v>
      </c>
      <c r="CB13" s="67">
        <f t="shared" si="32"/>
        <v>32.100000000005821</v>
      </c>
      <c r="CC13" s="60">
        <v>12524.2</v>
      </c>
      <c r="CD13" s="67">
        <f t="shared" si="33"/>
        <v>7.6000000000003638</v>
      </c>
      <c r="CE13" s="60">
        <v>6649.4</v>
      </c>
      <c r="CF13" s="67">
        <f t="shared" si="34"/>
        <v>0.5999999999994543</v>
      </c>
      <c r="CG13" s="60">
        <v>61237</v>
      </c>
      <c r="CH13" s="67">
        <f t="shared" si="35"/>
        <v>43</v>
      </c>
      <c r="CI13" s="60">
        <v>960610</v>
      </c>
      <c r="CJ13" s="67">
        <f t="shared" si="36"/>
        <v>200</v>
      </c>
      <c r="CK13" s="60">
        <v>793.11</v>
      </c>
      <c r="CL13" s="64">
        <f t="shared" si="37"/>
        <v>680.00000000006366</v>
      </c>
      <c r="CM13" s="65">
        <f t="shared" si="41"/>
        <v>51</v>
      </c>
      <c r="CN13" s="62">
        <v>0</v>
      </c>
      <c r="CO13" s="62">
        <v>0</v>
      </c>
      <c r="CP13" s="68">
        <v>11641</v>
      </c>
      <c r="CQ13" s="67">
        <f>IF((CP13-CP12&lt;0), "",CP13-CP12)</f>
        <v>36</v>
      </c>
      <c r="CR13" s="68">
        <v>15293</v>
      </c>
      <c r="CS13" s="67">
        <f t="shared" si="38"/>
        <v>15</v>
      </c>
      <c r="CT13" s="75">
        <v>6967</v>
      </c>
      <c r="CU13" s="67">
        <f t="shared" si="38"/>
        <v>11</v>
      </c>
      <c r="CV13" s="68">
        <v>16879</v>
      </c>
      <c r="CW13" s="67">
        <f t="shared" si="38"/>
        <v>32</v>
      </c>
    </row>
    <row r="14" spans="1:102" ht="25.5" customHeight="1" thickBot="1" x14ac:dyDescent="0.45">
      <c r="A14" s="63">
        <v>44419</v>
      </c>
      <c r="B14" s="44"/>
      <c r="C14" s="58">
        <v>2.3828</v>
      </c>
      <c r="D14" s="64">
        <f t="shared" si="0"/>
        <v>1900.0000000000127</v>
      </c>
      <c r="E14" s="58">
        <v>3.3773</v>
      </c>
      <c r="F14" s="64">
        <f t="shared" si="1"/>
        <v>2400.0000000001796</v>
      </c>
      <c r="G14" s="58">
        <v>3.4354</v>
      </c>
      <c r="H14" s="64">
        <f t="shared" si="2"/>
        <v>1199.9999999998679</v>
      </c>
      <c r="I14" s="58">
        <v>1.6929000000000001</v>
      </c>
      <c r="J14" s="64">
        <f t="shared" si="3"/>
        <v>1200.0000000000898</v>
      </c>
      <c r="K14" s="58">
        <v>2.7343999999999999</v>
      </c>
      <c r="L14" s="64">
        <f t="shared" si="4"/>
        <v>1999.9999999997797</v>
      </c>
      <c r="M14" s="58">
        <v>1.4978</v>
      </c>
      <c r="N14" s="64">
        <f t="shared" si="5"/>
        <v>900.0000000001229</v>
      </c>
      <c r="O14" s="58">
        <v>14594</v>
      </c>
      <c r="P14" s="67">
        <f t="shared" si="44"/>
        <v>1</v>
      </c>
      <c r="Q14" s="58">
        <v>1120</v>
      </c>
      <c r="R14" s="67">
        <f t="shared" si="6"/>
        <v>3</v>
      </c>
      <c r="S14" s="58">
        <v>1029.4000000000001</v>
      </c>
      <c r="T14" s="67">
        <f t="shared" si="7"/>
        <v>0.8000000000001819</v>
      </c>
      <c r="U14" s="58">
        <v>431146.7</v>
      </c>
      <c r="V14" s="67">
        <f t="shared" si="8"/>
        <v>309</v>
      </c>
      <c r="W14" s="58">
        <v>409.34</v>
      </c>
      <c r="X14" s="65">
        <f t="shared" si="9"/>
        <v>259.99999999999091</v>
      </c>
      <c r="Y14" s="58">
        <v>2.9542000000000002</v>
      </c>
      <c r="Z14" s="65">
        <f t="shared" si="10"/>
        <v>2099.9999999999909</v>
      </c>
      <c r="AA14" s="58">
        <v>408.33</v>
      </c>
      <c r="AB14" s="65">
        <f t="shared" si="11"/>
        <v>129.99999999999545</v>
      </c>
      <c r="AC14" s="58">
        <v>381.71</v>
      </c>
      <c r="AD14" s="65">
        <f t="shared" si="12"/>
        <v>269.99999999998181</v>
      </c>
      <c r="AE14" s="58">
        <v>577.94000000000005</v>
      </c>
      <c r="AF14" s="65">
        <f t="shared" si="13"/>
        <v>210.00000000003638</v>
      </c>
      <c r="AG14" s="58">
        <v>5998</v>
      </c>
      <c r="AH14" s="67">
        <f t="shared" si="14"/>
        <v>34</v>
      </c>
      <c r="AI14" s="58">
        <v>643.32000000000005</v>
      </c>
      <c r="AJ14" s="65">
        <f t="shared" si="15"/>
        <v>500</v>
      </c>
      <c r="AK14" s="58">
        <v>212.38</v>
      </c>
      <c r="AL14" s="65">
        <f t="shared" si="15"/>
        <v>210.00000000000796</v>
      </c>
      <c r="AM14" s="58">
        <v>201.94</v>
      </c>
      <c r="AN14" s="65">
        <f t="shared" si="15"/>
        <v>139.99999999998636</v>
      </c>
      <c r="AO14" s="58">
        <v>195.13</v>
      </c>
      <c r="AP14" s="65">
        <f t="shared" si="15"/>
        <v>159.99999999999659</v>
      </c>
      <c r="AQ14" s="58">
        <v>254.46</v>
      </c>
      <c r="AR14" s="65">
        <f t="shared" si="16"/>
        <v>180.00000000000682</v>
      </c>
      <c r="AS14" s="58">
        <v>380.18</v>
      </c>
      <c r="AT14" s="65">
        <f t="shared" si="17"/>
        <v>189.99999999999773</v>
      </c>
      <c r="AU14" s="58">
        <v>290.45999999999998</v>
      </c>
      <c r="AV14" s="65">
        <f t="shared" si="18"/>
        <v>109.9999999999568</v>
      </c>
      <c r="AW14" s="58">
        <v>323.93</v>
      </c>
      <c r="AX14" s="65">
        <f t="shared" si="19"/>
        <v>60.000000000002274</v>
      </c>
      <c r="AY14" s="58">
        <v>363.42</v>
      </c>
      <c r="AZ14" s="65">
        <f t="shared" si="20"/>
        <v>50.000000000011369</v>
      </c>
      <c r="BA14" s="58">
        <v>382.34</v>
      </c>
      <c r="BB14" s="65">
        <f t="shared" si="21"/>
        <v>29.999999999972715</v>
      </c>
      <c r="BC14" s="58">
        <v>245.64</v>
      </c>
      <c r="BD14" s="65">
        <f t="shared" si="22"/>
        <v>29.999999999972715</v>
      </c>
      <c r="BE14" s="59">
        <v>41667</v>
      </c>
      <c r="BF14" s="67">
        <f t="shared" si="39"/>
        <v>39</v>
      </c>
      <c r="BG14" s="60">
        <v>235.81</v>
      </c>
      <c r="BH14" s="65">
        <f t="shared" si="23"/>
        <v>39.999999999992042</v>
      </c>
      <c r="BI14" s="60">
        <v>294.33999999999997</v>
      </c>
      <c r="BJ14" s="65">
        <f t="shared" si="40"/>
        <v>19.99999999998181</v>
      </c>
      <c r="BK14" s="60">
        <v>238.18</v>
      </c>
      <c r="BL14" s="65">
        <f t="shared" si="24"/>
        <v>30.000000000001137</v>
      </c>
      <c r="BM14" s="60">
        <v>225.51</v>
      </c>
      <c r="BN14" s="65">
        <f t="shared" si="25"/>
        <v>39.999999999992042</v>
      </c>
      <c r="BO14" s="60">
        <v>289.3</v>
      </c>
      <c r="BP14" s="65">
        <f t="shared" si="26"/>
        <v>50.000000000011369</v>
      </c>
      <c r="BQ14" s="60">
        <v>46453</v>
      </c>
      <c r="BR14" s="65">
        <f t="shared" si="27"/>
        <v>22</v>
      </c>
      <c r="BS14" s="60">
        <v>202.15</v>
      </c>
      <c r="BT14" s="65">
        <f t="shared" si="42"/>
        <v>39.999999999992042</v>
      </c>
      <c r="BU14" s="60">
        <v>42420</v>
      </c>
      <c r="BV14" s="65">
        <f t="shared" si="29"/>
        <v>38</v>
      </c>
      <c r="BW14" s="60">
        <v>232.96</v>
      </c>
      <c r="BX14" s="65">
        <f t="shared" si="30"/>
        <v>20.000000000010232</v>
      </c>
      <c r="BY14" s="60">
        <v>62194</v>
      </c>
      <c r="BZ14" s="67">
        <f t="shared" si="31"/>
        <v>21</v>
      </c>
      <c r="CA14" s="60">
        <v>33501.599999999999</v>
      </c>
      <c r="CB14" s="67">
        <f t="shared" si="32"/>
        <v>32.799999999995634</v>
      </c>
      <c r="CC14" s="60">
        <v>12531.1</v>
      </c>
      <c r="CD14" s="67">
        <f t="shared" si="33"/>
        <v>6.8999999999996362</v>
      </c>
      <c r="CE14" s="60">
        <v>6658.7</v>
      </c>
      <c r="CF14" s="67">
        <f t="shared" si="34"/>
        <v>9.3000000000001819</v>
      </c>
      <c r="CG14" s="60">
        <v>61280.1</v>
      </c>
      <c r="CH14" s="67">
        <f t="shared" si="35"/>
        <v>43.099999999998545</v>
      </c>
      <c r="CI14" s="60">
        <v>960937</v>
      </c>
      <c r="CJ14" s="67">
        <f t="shared" si="36"/>
        <v>327</v>
      </c>
      <c r="CK14" s="60">
        <v>793.84</v>
      </c>
      <c r="CL14" s="64">
        <f t="shared" si="37"/>
        <v>730.00000000001819</v>
      </c>
      <c r="CM14" s="65">
        <f t="shared" si="41"/>
        <v>71</v>
      </c>
      <c r="CN14" s="62">
        <v>10</v>
      </c>
      <c r="CO14" s="62">
        <v>29</v>
      </c>
      <c r="CP14" s="68">
        <v>11691</v>
      </c>
      <c r="CQ14" s="67">
        <f t="shared" si="38"/>
        <v>50</v>
      </c>
      <c r="CR14" s="68">
        <v>15314</v>
      </c>
      <c r="CS14" s="67">
        <f t="shared" si="38"/>
        <v>21</v>
      </c>
      <c r="CT14" s="75">
        <v>6976</v>
      </c>
      <c r="CU14" s="67">
        <f t="shared" si="38"/>
        <v>9</v>
      </c>
      <c r="CV14" s="68">
        <v>16917</v>
      </c>
      <c r="CW14" s="67">
        <f t="shared" si="38"/>
        <v>38</v>
      </c>
    </row>
    <row r="15" spans="1:102" ht="25.5" customHeight="1" thickBot="1" x14ac:dyDescent="0.45">
      <c r="A15" s="63">
        <v>44420</v>
      </c>
      <c r="B15" s="44"/>
      <c r="C15" s="58">
        <v>2.3847999999999998</v>
      </c>
      <c r="D15" s="64">
        <f t="shared" si="0"/>
        <v>1999.9999999997797</v>
      </c>
      <c r="E15" s="58">
        <v>3.38</v>
      </c>
      <c r="F15" s="64">
        <f t="shared" si="1"/>
        <v>2699.9999999999245</v>
      </c>
      <c r="G15" s="58">
        <v>3.4380999999999999</v>
      </c>
      <c r="H15" s="64">
        <f t="shared" si="2"/>
        <v>2699.9999999999245</v>
      </c>
      <c r="I15" s="58">
        <v>1.6941999999999999</v>
      </c>
      <c r="J15" s="64">
        <f t="shared" si="3"/>
        <v>1299.9999999998568</v>
      </c>
      <c r="K15" s="58">
        <v>2.7364999999999999</v>
      </c>
      <c r="L15" s="64">
        <f t="shared" si="4"/>
        <v>2099.9999999999909</v>
      </c>
      <c r="M15" s="58">
        <v>1.4985999999999999</v>
      </c>
      <c r="N15" s="64">
        <f t="shared" si="5"/>
        <v>799.99999999991189</v>
      </c>
      <c r="O15" s="58">
        <v>14602</v>
      </c>
      <c r="P15" s="67">
        <f t="shared" si="44"/>
        <v>8</v>
      </c>
      <c r="Q15" s="58">
        <v>1123</v>
      </c>
      <c r="R15" s="67">
        <f t="shared" si="6"/>
        <v>3</v>
      </c>
      <c r="S15" s="58">
        <v>1030.2</v>
      </c>
      <c r="T15" s="67">
        <f t="shared" si="7"/>
        <v>0.79999999999995453</v>
      </c>
      <c r="U15" s="58">
        <v>431529</v>
      </c>
      <c r="V15" s="67">
        <f t="shared" si="8"/>
        <v>382.29999999998836</v>
      </c>
      <c r="W15" s="58">
        <v>409.63</v>
      </c>
      <c r="X15" s="65">
        <f t="shared" si="9"/>
        <v>290.00000000002046</v>
      </c>
      <c r="Y15" s="58">
        <v>2.9565999999999999</v>
      </c>
      <c r="Z15" s="65">
        <f t="shared" si="10"/>
        <v>2399.9999999997358</v>
      </c>
      <c r="AA15" s="58">
        <v>408.56</v>
      </c>
      <c r="AB15" s="65">
        <f t="shared" si="11"/>
        <v>230.00000000001819</v>
      </c>
      <c r="AC15" s="58">
        <v>381.96</v>
      </c>
      <c r="AD15" s="65">
        <f t="shared" si="12"/>
        <v>250</v>
      </c>
      <c r="AE15" s="58">
        <v>578.14</v>
      </c>
      <c r="AF15" s="65">
        <f t="shared" si="13"/>
        <v>199.99999999993179</v>
      </c>
      <c r="AG15" s="58">
        <v>6032</v>
      </c>
      <c r="AH15" s="67">
        <f t="shared" si="14"/>
        <v>34</v>
      </c>
      <c r="AI15" s="58">
        <v>643.88</v>
      </c>
      <c r="AJ15" s="65">
        <f t="shared" si="15"/>
        <v>559.99999999994543</v>
      </c>
      <c r="AK15" s="58">
        <v>212.61</v>
      </c>
      <c r="AL15" s="65">
        <f t="shared" si="15"/>
        <v>230.00000000001819</v>
      </c>
      <c r="AM15" s="58">
        <v>202.09</v>
      </c>
      <c r="AN15" s="65">
        <f t="shared" si="15"/>
        <v>150.00000000000568</v>
      </c>
      <c r="AO15" s="58">
        <v>195.27</v>
      </c>
      <c r="AP15" s="65">
        <f t="shared" si="15"/>
        <v>140.00000000001478</v>
      </c>
      <c r="AQ15" s="58">
        <v>254.63</v>
      </c>
      <c r="AR15" s="65">
        <f t="shared" si="16"/>
        <v>169.99999999998749</v>
      </c>
      <c r="AS15" s="58">
        <v>380.38</v>
      </c>
      <c r="AT15" s="65">
        <f t="shared" si="17"/>
        <v>199.99999999998863</v>
      </c>
      <c r="AU15" s="58">
        <v>290.63</v>
      </c>
      <c r="AV15" s="65">
        <f t="shared" si="18"/>
        <v>170.00000000001592</v>
      </c>
      <c r="AW15" s="58">
        <v>323.99</v>
      </c>
      <c r="AX15" s="65">
        <f t="shared" si="19"/>
        <v>60.000000000002274</v>
      </c>
      <c r="AY15" s="58">
        <v>363.46</v>
      </c>
      <c r="AZ15" s="65">
        <f t="shared" si="20"/>
        <v>39.99999999996362</v>
      </c>
      <c r="BA15" s="58">
        <v>382.36</v>
      </c>
      <c r="BB15" s="65">
        <f t="shared" si="21"/>
        <v>20.000000000038654</v>
      </c>
      <c r="BC15" s="58">
        <v>245.68</v>
      </c>
      <c r="BD15" s="65">
        <f t="shared" si="22"/>
        <v>40.000000000020464</v>
      </c>
      <c r="BE15" s="59">
        <v>41696</v>
      </c>
      <c r="BF15" s="67">
        <f t="shared" si="39"/>
        <v>29</v>
      </c>
      <c r="BG15" s="60">
        <v>235.86</v>
      </c>
      <c r="BH15" s="65">
        <f t="shared" si="23"/>
        <v>50.000000000011369</v>
      </c>
      <c r="BI15" s="60">
        <v>294.37</v>
      </c>
      <c r="BJ15" s="65">
        <f t="shared" si="40"/>
        <v>30.000000000029559</v>
      </c>
      <c r="BK15" s="60">
        <v>238.22</v>
      </c>
      <c r="BL15" s="65">
        <f t="shared" si="24"/>
        <v>39.999999999992042</v>
      </c>
      <c r="BM15" s="60">
        <v>225.56</v>
      </c>
      <c r="BN15" s="65">
        <f t="shared" si="25"/>
        <v>50.000000000011369</v>
      </c>
      <c r="BO15" s="60">
        <v>289.35000000000002</v>
      </c>
      <c r="BP15" s="65">
        <f t="shared" si="26"/>
        <v>50.000000000011369</v>
      </c>
      <c r="BQ15" s="60">
        <v>46476</v>
      </c>
      <c r="BR15" s="65">
        <f t="shared" si="27"/>
        <v>23</v>
      </c>
      <c r="BS15" s="60">
        <v>202.19</v>
      </c>
      <c r="BT15" s="65">
        <f t="shared" si="42"/>
        <v>39.999999999992042</v>
      </c>
      <c r="BU15" s="60">
        <v>42469</v>
      </c>
      <c r="BV15" s="65">
        <f t="shared" si="29"/>
        <v>49</v>
      </c>
      <c r="BW15" s="60">
        <v>232.97</v>
      </c>
      <c r="BX15" s="65">
        <f t="shared" si="30"/>
        <v>9.9999999999909051</v>
      </c>
      <c r="BY15" s="60">
        <v>62230</v>
      </c>
      <c r="BZ15" s="67">
        <f t="shared" si="31"/>
        <v>36</v>
      </c>
      <c r="CA15" s="60">
        <v>33532.6</v>
      </c>
      <c r="CB15" s="67">
        <f t="shared" si="32"/>
        <v>31</v>
      </c>
      <c r="CC15" s="60">
        <v>12537.2</v>
      </c>
      <c r="CD15" s="67">
        <f t="shared" si="33"/>
        <v>6.1000000000003638</v>
      </c>
      <c r="CE15" s="60">
        <v>6659.2</v>
      </c>
      <c r="CF15" s="67">
        <f t="shared" si="34"/>
        <v>0.5</v>
      </c>
      <c r="CG15" s="60">
        <v>61337.8</v>
      </c>
      <c r="CH15" s="67">
        <f t="shared" si="35"/>
        <v>57.700000000004366</v>
      </c>
      <c r="CI15" s="60">
        <v>961202</v>
      </c>
      <c r="CJ15" s="67">
        <f t="shared" si="36"/>
        <v>265</v>
      </c>
      <c r="CK15" s="60">
        <v>794.59</v>
      </c>
      <c r="CL15" s="64">
        <f t="shared" si="37"/>
        <v>750</v>
      </c>
      <c r="CM15" s="65">
        <f t="shared" si="41"/>
        <v>61</v>
      </c>
      <c r="CN15" s="62">
        <v>10</v>
      </c>
      <c r="CO15" s="62">
        <v>29</v>
      </c>
      <c r="CP15" s="68">
        <v>11728</v>
      </c>
      <c r="CQ15" s="67">
        <f t="shared" si="38"/>
        <v>37</v>
      </c>
      <c r="CR15" s="68">
        <v>15338</v>
      </c>
      <c r="CS15" s="67">
        <f t="shared" si="38"/>
        <v>24</v>
      </c>
      <c r="CT15" s="75">
        <v>6986</v>
      </c>
      <c r="CU15" s="67">
        <f t="shared" si="38"/>
        <v>10</v>
      </c>
      <c r="CV15" s="68">
        <v>16942</v>
      </c>
      <c r="CW15" s="67">
        <f t="shared" si="38"/>
        <v>25</v>
      </c>
    </row>
    <row r="16" spans="1:102" ht="25.5" customHeight="1" thickBot="1" x14ac:dyDescent="0.45">
      <c r="A16" s="63">
        <v>44421</v>
      </c>
      <c r="B16" s="44"/>
      <c r="C16" s="58">
        <v>2.3872</v>
      </c>
      <c r="D16" s="64">
        <f t="shared" si="0"/>
        <v>2400.0000000001796</v>
      </c>
      <c r="E16" s="58">
        <v>3.3826999999999998</v>
      </c>
      <c r="F16" s="64">
        <f t="shared" si="1"/>
        <v>2699.9999999999245</v>
      </c>
      <c r="G16" s="58">
        <v>3.4407000000000001</v>
      </c>
      <c r="H16" s="64">
        <f t="shared" si="2"/>
        <v>2600.0000000001578</v>
      </c>
      <c r="I16" s="58">
        <v>1.6955</v>
      </c>
      <c r="J16" s="64">
        <f t="shared" si="3"/>
        <v>1300.0000000000789</v>
      </c>
      <c r="K16" s="58">
        <v>2.7385999999999999</v>
      </c>
      <c r="L16" s="64">
        <f t="shared" si="4"/>
        <v>2099.9999999999909</v>
      </c>
      <c r="M16" s="58">
        <v>1.4996</v>
      </c>
      <c r="N16" s="64">
        <f t="shared" si="5"/>
        <v>1000.0000000001119</v>
      </c>
      <c r="O16" s="58">
        <v>14613</v>
      </c>
      <c r="P16" s="67">
        <f t="shared" si="44"/>
        <v>11</v>
      </c>
      <c r="Q16" s="58">
        <v>1126</v>
      </c>
      <c r="R16" s="67">
        <f t="shared" si="6"/>
        <v>3</v>
      </c>
      <c r="S16" s="58">
        <v>1030.9000000000001</v>
      </c>
      <c r="T16" s="67">
        <f t="shared" si="7"/>
        <v>0.70000000000004547</v>
      </c>
      <c r="U16" s="58">
        <v>431841.9</v>
      </c>
      <c r="V16" s="67">
        <f t="shared" si="8"/>
        <v>312.90000000002328</v>
      </c>
      <c r="W16" s="58">
        <v>409.92</v>
      </c>
      <c r="X16" s="65">
        <f t="shared" si="9"/>
        <v>290.00000000002046</v>
      </c>
      <c r="Y16" s="58">
        <v>2.9590000000000001</v>
      </c>
      <c r="Z16" s="65">
        <f t="shared" si="10"/>
        <v>2400.0000000001796</v>
      </c>
      <c r="AA16" s="58">
        <v>408.85</v>
      </c>
      <c r="AB16" s="65">
        <f t="shared" si="11"/>
        <v>290.00000000002046</v>
      </c>
      <c r="AC16" s="58">
        <v>382.27</v>
      </c>
      <c r="AD16" s="65">
        <f t="shared" si="12"/>
        <v>310.00000000000227</v>
      </c>
      <c r="AE16" s="58">
        <v>578.37</v>
      </c>
      <c r="AF16" s="65">
        <f t="shared" si="13"/>
        <v>230.00000000001819</v>
      </c>
      <c r="AG16" s="58">
        <v>6071</v>
      </c>
      <c r="AH16" s="67">
        <f t="shared" si="14"/>
        <v>39</v>
      </c>
      <c r="AI16" s="58">
        <v>644.62</v>
      </c>
      <c r="AJ16" s="65">
        <f t="shared" si="15"/>
        <v>740.00000000000909</v>
      </c>
      <c r="AK16" s="58">
        <v>212.85</v>
      </c>
      <c r="AL16" s="65">
        <f t="shared" si="15"/>
        <v>239.99999999998067</v>
      </c>
      <c r="AM16" s="58">
        <v>202.25</v>
      </c>
      <c r="AN16" s="65">
        <f t="shared" si="15"/>
        <v>159.99999999999659</v>
      </c>
      <c r="AO16" s="58">
        <v>195.44</v>
      </c>
      <c r="AP16" s="65">
        <f t="shared" si="15"/>
        <v>169.99999999998749</v>
      </c>
      <c r="AQ16" s="58">
        <v>254.76</v>
      </c>
      <c r="AR16" s="65">
        <f t="shared" si="16"/>
        <v>129.99999999999545</v>
      </c>
      <c r="AS16" s="58">
        <v>380.59</v>
      </c>
      <c r="AT16" s="65">
        <f t="shared" si="17"/>
        <v>209.99999999997954</v>
      </c>
      <c r="AU16" s="58">
        <v>290.87</v>
      </c>
      <c r="AV16" s="65">
        <f t="shared" si="18"/>
        <v>240.00000000000909</v>
      </c>
      <c r="AW16" s="58">
        <v>324.05</v>
      </c>
      <c r="AX16" s="65">
        <f t="shared" si="19"/>
        <v>60.000000000002274</v>
      </c>
      <c r="AY16" s="58">
        <v>363.5</v>
      </c>
      <c r="AZ16" s="65">
        <f t="shared" si="20"/>
        <v>40.000000000020464</v>
      </c>
      <c r="BA16" s="58">
        <v>382.39</v>
      </c>
      <c r="BB16" s="65">
        <f t="shared" si="21"/>
        <v>29.999999999972715</v>
      </c>
      <c r="BC16" s="58">
        <v>245.71</v>
      </c>
      <c r="BD16" s="65">
        <f t="shared" si="22"/>
        <v>30.000000000001137</v>
      </c>
      <c r="BE16" s="59">
        <v>41725</v>
      </c>
      <c r="BF16" s="67">
        <f t="shared" si="39"/>
        <v>29</v>
      </c>
      <c r="BG16" s="60">
        <v>235.91</v>
      </c>
      <c r="BH16" s="65">
        <f t="shared" si="23"/>
        <v>49.999999999982947</v>
      </c>
      <c r="BI16" s="60">
        <v>294.39</v>
      </c>
      <c r="BJ16" s="65">
        <f t="shared" si="40"/>
        <v>19.99999999998181</v>
      </c>
      <c r="BK16" s="60">
        <v>238.25</v>
      </c>
      <c r="BL16" s="65">
        <f t="shared" si="24"/>
        <v>30.000000000001137</v>
      </c>
      <c r="BM16" s="60">
        <v>225.6</v>
      </c>
      <c r="BN16" s="65">
        <f t="shared" si="25"/>
        <v>39.999999999992042</v>
      </c>
      <c r="BO16" s="60">
        <v>289.41000000000003</v>
      </c>
      <c r="BP16" s="65">
        <f t="shared" si="26"/>
        <v>60.000000000002274</v>
      </c>
      <c r="BQ16" s="60">
        <v>46501</v>
      </c>
      <c r="BR16" s="65">
        <f t="shared" si="27"/>
        <v>25</v>
      </c>
      <c r="BS16" s="60">
        <v>202.23</v>
      </c>
      <c r="BT16" s="65">
        <f t="shared" si="42"/>
        <v>39.999999999992042</v>
      </c>
      <c r="BU16" s="60">
        <v>42508</v>
      </c>
      <c r="BV16" s="65">
        <f t="shared" si="29"/>
        <v>39</v>
      </c>
      <c r="BW16" s="60">
        <v>232.99</v>
      </c>
      <c r="BX16" s="65">
        <f t="shared" si="30"/>
        <v>20.000000000010232</v>
      </c>
      <c r="BY16" s="60">
        <v>62264</v>
      </c>
      <c r="BZ16" s="67">
        <f t="shared" si="31"/>
        <v>34</v>
      </c>
      <c r="CA16" s="60">
        <v>33570.300000000003</v>
      </c>
      <c r="CB16" s="67">
        <f t="shared" si="32"/>
        <v>37.700000000004366</v>
      </c>
      <c r="CC16" s="60">
        <v>12540.6</v>
      </c>
      <c r="CD16" s="67">
        <f t="shared" si="33"/>
        <v>3.3999999999996362</v>
      </c>
      <c r="CE16" s="60">
        <v>6664.2</v>
      </c>
      <c r="CF16" s="67">
        <f t="shared" si="34"/>
        <v>5</v>
      </c>
      <c r="CG16" s="60">
        <v>61387.9</v>
      </c>
      <c r="CH16" s="67">
        <f t="shared" si="35"/>
        <v>50.099999999998545</v>
      </c>
      <c r="CI16" s="60">
        <v>961480</v>
      </c>
      <c r="CJ16" s="67">
        <f t="shared" si="36"/>
        <v>278</v>
      </c>
      <c r="CK16" s="60">
        <v>795.27</v>
      </c>
      <c r="CL16" s="64">
        <f t="shared" si="37"/>
        <v>679.99999999994998</v>
      </c>
      <c r="CM16" s="65">
        <f t="shared" si="41"/>
        <v>66</v>
      </c>
      <c r="CN16" s="62">
        <v>12</v>
      </c>
      <c r="CO16" s="62">
        <v>32</v>
      </c>
      <c r="CP16" s="68">
        <v>11775</v>
      </c>
      <c r="CQ16" s="67">
        <f t="shared" si="38"/>
        <v>47</v>
      </c>
      <c r="CR16" s="68">
        <v>15357</v>
      </c>
      <c r="CS16" s="67">
        <f t="shared" si="38"/>
        <v>19</v>
      </c>
      <c r="CT16" s="75">
        <v>7000</v>
      </c>
      <c r="CU16" s="67">
        <f t="shared" si="38"/>
        <v>14</v>
      </c>
      <c r="CV16" s="68">
        <v>16967</v>
      </c>
      <c r="CW16" s="67">
        <f t="shared" si="38"/>
        <v>25</v>
      </c>
    </row>
    <row r="17" spans="1:101" ht="25.5" customHeight="1" thickBot="1" x14ac:dyDescent="0.45">
      <c r="A17" s="63">
        <v>44422</v>
      </c>
      <c r="B17" s="44"/>
      <c r="C17" s="58">
        <v>2.3893</v>
      </c>
      <c r="D17" s="64">
        <f t="shared" si="0"/>
        <v>2099.9999999999909</v>
      </c>
      <c r="E17" s="58">
        <v>3.3852000000000002</v>
      </c>
      <c r="F17" s="64">
        <f t="shared" si="1"/>
        <v>2500.0000000003906</v>
      </c>
      <c r="G17" s="58">
        <v>3.4434</v>
      </c>
      <c r="H17" s="64">
        <f t="shared" si="2"/>
        <v>2699.9999999999245</v>
      </c>
      <c r="I17" s="58">
        <v>1.6969000000000001</v>
      </c>
      <c r="J17" s="64">
        <f t="shared" si="3"/>
        <v>1400.0000000000678</v>
      </c>
      <c r="K17" s="58">
        <v>2.7406999999999999</v>
      </c>
      <c r="L17" s="64">
        <f t="shared" si="4"/>
        <v>2099.9999999999909</v>
      </c>
      <c r="M17" s="58">
        <v>1.5004</v>
      </c>
      <c r="N17" s="64">
        <f t="shared" si="5"/>
        <v>799.99999999991189</v>
      </c>
      <c r="O17" s="58">
        <v>14622</v>
      </c>
      <c r="P17" s="67">
        <f t="shared" si="44"/>
        <v>9</v>
      </c>
      <c r="Q17" s="58">
        <v>1129</v>
      </c>
      <c r="R17" s="67">
        <f t="shared" si="6"/>
        <v>3</v>
      </c>
      <c r="S17" s="58">
        <v>1031.7</v>
      </c>
      <c r="T17" s="67">
        <f t="shared" si="7"/>
        <v>0.79999999999995453</v>
      </c>
      <c r="U17" s="58">
        <v>432166.8</v>
      </c>
      <c r="V17" s="67">
        <f t="shared" si="8"/>
        <v>324.89999999996508</v>
      </c>
      <c r="W17" s="58">
        <v>410.2</v>
      </c>
      <c r="X17" s="65">
        <f t="shared" si="9"/>
        <v>279.99999999997272</v>
      </c>
      <c r="Y17" s="58">
        <v>2.9611999999999998</v>
      </c>
      <c r="Z17" s="65">
        <f t="shared" si="10"/>
        <v>2199.9999999997576</v>
      </c>
      <c r="AA17" s="58">
        <v>409.04</v>
      </c>
      <c r="AB17" s="65">
        <f t="shared" si="11"/>
        <v>189.99999999999773</v>
      </c>
      <c r="AC17" s="58">
        <v>382.58</v>
      </c>
      <c r="AD17" s="65">
        <f t="shared" si="12"/>
        <v>310.00000000000227</v>
      </c>
      <c r="AE17" s="58">
        <v>578.57000000000005</v>
      </c>
      <c r="AF17" s="65">
        <f t="shared" si="13"/>
        <v>200.00000000004547</v>
      </c>
      <c r="AG17" s="58">
        <v>6106</v>
      </c>
      <c r="AH17" s="67">
        <f t="shared" si="14"/>
        <v>35</v>
      </c>
      <c r="AI17" s="58">
        <v>645.15</v>
      </c>
      <c r="AJ17" s="65">
        <f t="shared" si="15"/>
        <v>529.99999999997272</v>
      </c>
      <c r="AK17" s="58">
        <v>213.11</v>
      </c>
      <c r="AL17" s="65">
        <f t="shared" si="15"/>
        <v>260.00000000001933</v>
      </c>
      <c r="AM17" s="58">
        <v>202.39</v>
      </c>
      <c r="AN17" s="65">
        <f t="shared" si="15"/>
        <v>139.99999999998636</v>
      </c>
      <c r="AO17" s="58">
        <v>195.61</v>
      </c>
      <c r="AP17" s="65">
        <f t="shared" si="15"/>
        <v>170.00000000001592</v>
      </c>
      <c r="AQ17" s="58">
        <v>254.93</v>
      </c>
      <c r="AR17" s="65">
        <f t="shared" si="16"/>
        <v>170.00000000001592</v>
      </c>
      <c r="AS17" s="58">
        <v>380.79</v>
      </c>
      <c r="AT17" s="65">
        <f t="shared" si="17"/>
        <v>200.00000000004547</v>
      </c>
      <c r="AU17" s="58">
        <v>291.08</v>
      </c>
      <c r="AV17" s="65">
        <f t="shared" si="18"/>
        <v>209.99999999997954</v>
      </c>
      <c r="AW17" s="58">
        <v>324.11</v>
      </c>
      <c r="AX17" s="65">
        <f t="shared" si="19"/>
        <v>60.000000000002274</v>
      </c>
      <c r="AY17" s="58">
        <v>363.53</v>
      </c>
      <c r="AZ17" s="65">
        <f t="shared" si="20"/>
        <v>29.999999999972715</v>
      </c>
      <c r="BA17" s="58">
        <v>382.41</v>
      </c>
      <c r="BB17" s="65">
        <f t="shared" si="21"/>
        <v>20.000000000038654</v>
      </c>
      <c r="BC17" s="58">
        <v>245.74</v>
      </c>
      <c r="BD17" s="65">
        <f t="shared" si="22"/>
        <v>30.000000000001137</v>
      </c>
      <c r="BE17" s="59">
        <v>41752</v>
      </c>
      <c r="BF17" s="67">
        <f t="shared" si="39"/>
        <v>27</v>
      </c>
      <c r="BG17" s="60">
        <v>235.95</v>
      </c>
      <c r="BH17" s="65">
        <f t="shared" si="23"/>
        <v>39.999999999992042</v>
      </c>
      <c r="BI17" s="60">
        <v>294.42</v>
      </c>
      <c r="BJ17" s="65">
        <f t="shared" si="40"/>
        <v>30.000000000029559</v>
      </c>
      <c r="BK17" s="60">
        <v>238.29</v>
      </c>
      <c r="BL17" s="65">
        <f t="shared" si="24"/>
        <v>39.999999999992042</v>
      </c>
      <c r="BM17" s="60">
        <v>225.65</v>
      </c>
      <c r="BN17" s="65">
        <f t="shared" si="25"/>
        <v>50.000000000011369</v>
      </c>
      <c r="BO17" s="60">
        <v>289.47000000000003</v>
      </c>
      <c r="BP17" s="65">
        <f t="shared" si="26"/>
        <v>60.000000000002274</v>
      </c>
      <c r="BQ17" s="60">
        <v>46528</v>
      </c>
      <c r="BR17" s="65">
        <f t="shared" si="27"/>
        <v>27</v>
      </c>
      <c r="BS17" s="60">
        <v>202.27</v>
      </c>
      <c r="BT17" s="65">
        <f t="shared" si="42"/>
        <v>40.000000000020464</v>
      </c>
      <c r="BU17" s="60">
        <v>42549</v>
      </c>
      <c r="BV17" s="65">
        <f t="shared" si="29"/>
        <v>41</v>
      </c>
      <c r="BW17" s="60">
        <v>233</v>
      </c>
      <c r="BX17" s="65">
        <f t="shared" si="30"/>
        <v>9.9999999999909051</v>
      </c>
      <c r="BY17" s="60">
        <v>62299</v>
      </c>
      <c r="BZ17" s="67">
        <f t="shared" si="31"/>
        <v>35</v>
      </c>
      <c r="CA17" s="60">
        <v>33596.199999999997</v>
      </c>
      <c r="CB17" s="67">
        <f t="shared" si="32"/>
        <v>25.899999999994179</v>
      </c>
      <c r="CC17" s="60">
        <v>12547.6</v>
      </c>
      <c r="CD17" s="67">
        <f t="shared" si="33"/>
        <v>7</v>
      </c>
      <c r="CE17" s="60">
        <v>6664.8</v>
      </c>
      <c r="CF17" s="67">
        <f t="shared" si="34"/>
        <v>0.6000000000003638</v>
      </c>
      <c r="CG17" s="60">
        <v>61430.2</v>
      </c>
      <c r="CH17" s="67">
        <f t="shared" si="35"/>
        <v>42.299999999995634</v>
      </c>
      <c r="CI17" s="60">
        <v>961762</v>
      </c>
      <c r="CJ17" s="67">
        <f t="shared" si="36"/>
        <v>282</v>
      </c>
      <c r="CK17" s="60">
        <v>796.07</v>
      </c>
      <c r="CL17" s="64">
        <f t="shared" si="37"/>
        <v>800.00000000006821</v>
      </c>
      <c r="CM17" s="65">
        <f t="shared" si="41"/>
        <v>55</v>
      </c>
      <c r="CN17" s="62">
        <v>12</v>
      </c>
      <c r="CO17" s="62">
        <v>32</v>
      </c>
      <c r="CP17" s="68">
        <v>11806</v>
      </c>
      <c r="CQ17" s="67">
        <f t="shared" si="38"/>
        <v>31</v>
      </c>
      <c r="CR17" s="68">
        <v>15381</v>
      </c>
      <c r="CS17" s="67">
        <f t="shared" si="38"/>
        <v>24</v>
      </c>
      <c r="CT17" s="75">
        <v>7010</v>
      </c>
      <c r="CU17" s="67">
        <f t="shared" si="38"/>
        <v>10</v>
      </c>
      <c r="CV17" s="68">
        <v>16986</v>
      </c>
      <c r="CW17" s="67">
        <f t="shared" si="38"/>
        <v>19</v>
      </c>
    </row>
    <row r="18" spans="1:101" ht="25.5" customHeight="1" thickBot="1" x14ac:dyDescent="0.45">
      <c r="A18" s="63">
        <v>44423</v>
      </c>
      <c r="B18" s="44"/>
      <c r="C18" s="58">
        <v>2.3915000000000002</v>
      </c>
      <c r="D18" s="64">
        <f t="shared" si="0"/>
        <v>2200.0000000002019</v>
      </c>
      <c r="E18" s="58">
        <v>3.3877999999999999</v>
      </c>
      <c r="F18" s="64">
        <f t="shared" si="1"/>
        <v>2599.9999999997135</v>
      </c>
      <c r="G18" s="58">
        <v>3.4462000000000002</v>
      </c>
      <c r="H18" s="64">
        <f t="shared" si="2"/>
        <v>2800.0000000001355</v>
      </c>
      <c r="I18" s="58">
        <v>1.6981999999999999</v>
      </c>
      <c r="J18" s="64">
        <f t="shared" si="3"/>
        <v>1299.9999999998568</v>
      </c>
      <c r="K18" s="58">
        <v>2.7427000000000001</v>
      </c>
      <c r="L18" s="64">
        <f t="shared" si="4"/>
        <v>2000.0000000002237</v>
      </c>
      <c r="M18" s="58">
        <v>1.5013000000000001</v>
      </c>
      <c r="N18" s="64">
        <f t="shared" si="5"/>
        <v>900.0000000001229</v>
      </c>
      <c r="O18" s="58">
        <v>14628</v>
      </c>
      <c r="P18" s="67">
        <f t="shared" si="44"/>
        <v>6</v>
      </c>
      <c r="Q18" s="58">
        <v>1132</v>
      </c>
      <c r="R18" s="67">
        <f t="shared" si="6"/>
        <v>3</v>
      </c>
      <c r="S18" s="58">
        <v>1032.5</v>
      </c>
      <c r="T18" s="67">
        <f t="shared" si="7"/>
        <v>0.79999999999995453</v>
      </c>
      <c r="U18" s="58">
        <v>432486.5</v>
      </c>
      <c r="V18" s="67">
        <f t="shared" si="8"/>
        <v>319.70000000001164</v>
      </c>
      <c r="W18" s="58">
        <v>410.51</v>
      </c>
      <c r="X18" s="65">
        <f t="shared" si="9"/>
        <v>310.00000000000227</v>
      </c>
      <c r="Y18" s="58">
        <v>2.9634999999999998</v>
      </c>
      <c r="Z18" s="65">
        <f t="shared" si="10"/>
        <v>2299.9999999999686</v>
      </c>
      <c r="AA18" s="58">
        <v>409.38</v>
      </c>
      <c r="AB18" s="65">
        <f t="shared" si="11"/>
        <v>339.99999999997499</v>
      </c>
      <c r="AC18" s="58">
        <v>382.86</v>
      </c>
      <c r="AD18" s="65">
        <f t="shared" si="12"/>
        <v>280.00000000002956</v>
      </c>
      <c r="AE18" s="58">
        <v>578.77</v>
      </c>
      <c r="AF18" s="65">
        <f t="shared" si="13"/>
        <v>199.99999999993179</v>
      </c>
      <c r="AG18" s="58">
        <v>6141</v>
      </c>
      <c r="AH18" s="67">
        <f t="shared" si="14"/>
        <v>35</v>
      </c>
      <c r="AI18" s="58">
        <v>645.65</v>
      </c>
      <c r="AJ18" s="65">
        <f t="shared" si="15"/>
        <v>500</v>
      </c>
      <c r="AK18" s="58">
        <v>213.41</v>
      </c>
      <c r="AL18" s="65">
        <f t="shared" si="15"/>
        <v>299.99999999998295</v>
      </c>
      <c r="AM18" s="58">
        <v>202.58</v>
      </c>
      <c r="AN18" s="65">
        <f t="shared" si="15"/>
        <v>190.00000000002615</v>
      </c>
      <c r="AO18" s="58">
        <v>195.78</v>
      </c>
      <c r="AP18" s="65">
        <f t="shared" si="15"/>
        <v>169.99999999998749</v>
      </c>
      <c r="AQ18" s="58">
        <v>255.11</v>
      </c>
      <c r="AR18" s="65">
        <f t="shared" si="16"/>
        <v>180.00000000000682</v>
      </c>
      <c r="AS18" s="58">
        <v>380.99</v>
      </c>
      <c r="AT18" s="65">
        <f t="shared" si="17"/>
        <v>199.99999999998863</v>
      </c>
      <c r="AU18" s="58">
        <v>291.33</v>
      </c>
      <c r="AV18" s="65">
        <f t="shared" si="18"/>
        <v>250</v>
      </c>
      <c r="AW18" s="58">
        <v>324.19</v>
      </c>
      <c r="AX18" s="65">
        <f t="shared" si="19"/>
        <v>79.999999999984084</v>
      </c>
      <c r="AY18" s="58">
        <v>363.58</v>
      </c>
      <c r="AZ18" s="65">
        <f t="shared" si="20"/>
        <v>50.000000000011369</v>
      </c>
      <c r="BA18" s="58">
        <v>382.43</v>
      </c>
      <c r="BB18" s="65">
        <f t="shared" si="21"/>
        <v>19.99999999998181</v>
      </c>
      <c r="BC18" s="58">
        <v>245.78</v>
      </c>
      <c r="BD18" s="65">
        <f t="shared" si="22"/>
        <v>39.999999999992042</v>
      </c>
      <c r="BE18" s="59">
        <v>41773</v>
      </c>
      <c r="BF18" s="67">
        <f t="shared" si="39"/>
        <v>21</v>
      </c>
      <c r="BG18" s="60">
        <v>236</v>
      </c>
      <c r="BH18" s="65">
        <f t="shared" si="23"/>
        <v>50.000000000011369</v>
      </c>
      <c r="BI18" s="60">
        <v>294.44</v>
      </c>
      <c r="BJ18" s="65">
        <f t="shared" si="40"/>
        <v>19.99999999998181</v>
      </c>
      <c r="BK18" s="60">
        <v>238.34</v>
      </c>
      <c r="BL18" s="65">
        <f t="shared" si="24"/>
        <v>50.000000000011369</v>
      </c>
      <c r="BM18" s="60">
        <v>225.69</v>
      </c>
      <c r="BN18" s="65">
        <f t="shared" si="25"/>
        <v>39.999999999992042</v>
      </c>
      <c r="BO18" s="60">
        <v>289.52999999999997</v>
      </c>
      <c r="BP18" s="65">
        <f t="shared" si="26"/>
        <v>59.99999999994543</v>
      </c>
      <c r="BQ18" s="60">
        <v>46553</v>
      </c>
      <c r="BR18" s="65">
        <f t="shared" si="27"/>
        <v>25</v>
      </c>
      <c r="BS18" s="60">
        <v>202.31</v>
      </c>
      <c r="BT18" s="65">
        <f t="shared" si="42"/>
        <v>39.999999999992042</v>
      </c>
      <c r="BU18" s="60">
        <v>42593</v>
      </c>
      <c r="BV18" s="65">
        <f t="shared" si="29"/>
        <v>44</v>
      </c>
      <c r="BW18" s="60">
        <v>233.02</v>
      </c>
      <c r="BX18" s="65">
        <f t="shared" si="30"/>
        <v>20.000000000010232</v>
      </c>
      <c r="BY18" s="60">
        <v>62341</v>
      </c>
      <c r="BZ18" s="67">
        <f t="shared" si="31"/>
        <v>42</v>
      </c>
      <c r="CA18" s="60">
        <v>33624.9</v>
      </c>
      <c r="CB18" s="67">
        <f t="shared" si="32"/>
        <v>28.700000000004366</v>
      </c>
      <c r="CC18" s="60">
        <v>12553.1</v>
      </c>
      <c r="CD18" s="67">
        <f t="shared" si="33"/>
        <v>5.5</v>
      </c>
      <c r="CE18" s="60">
        <v>6671.8</v>
      </c>
      <c r="CF18" s="67">
        <f t="shared" si="34"/>
        <v>7</v>
      </c>
      <c r="CG18" s="60">
        <v>61486.7</v>
      </c>
      <c r="CH18" s="67">
        <f t="shared" si="35"/>
        <v>56.5</v>
      </c>
      <c r="CI18" s="60">
        <v>962047</v>
      </c>
      <c r="CJ18" s="67">
        <f t="shared" si="36"/>
        <v>285</v>
      </c>
      <c r="CK18" s="60">
        <v>796.87</v>
      </c>
      <c r="CL18" s="64">
        <f t="shared" si="37"/>
        <v>799.99999999995453</v>
      </c>
      <c r="CM18" s="65">
        <f t="shared" si="41"/>
        <v>88</v>
      </c>
      <c r="CN18" s="62">
        <v>16</v>
      </c>
      <c r="CO18" s="62">
        <v>40</v>
      </c>
      <c r="CP18" s="68">
        <v>11870</v>
      </c>
      <c r="CQ18" s="67">
        <f t="shared" si="38"/>
        <v>64</v>
      </c>
      <c r="CR18" s="68">
        <v>15405</v>
      </c>
      <c r="CS18" s="67">
        <f t="shared" si="38"/>
        <v>24</v>
      </c>
      <c r="CT18" s="75">
        <v>7020</v>
      </c>
      <c r="CU18" s="67">
        <f t="shared" si="38"/>
        <v>10</v>
      </c>
      <c r="CV18" s="68">
        <v>17005</v>
      </c>
      <c r="CW18" s="67">
        <f t="shared" si="38"/>
        <v>19</v>
      </c>
    </row>
    <row r="19" spans="1:101" ht="25.5" customHeight="1" thickBot="1" x14ac:dyDescent="0.45">
      <c r="A19" s="63">
        <v>44424</v>
      </c>
      <c r="B19" s="44"/>
      <c r="C19" s="58">
        <v>2.3932000000000002</v>
      </c>
      <c r="D19" s="64">
        <f t="shared" si="0"/>
        <v>1700.0000000000348</v>
      </c>
      <c r="E19" s="58">
        <v>3.3904000000000001</v>
      </c>
      <c r="F19" s="64">
        <f t="shared" si="1"/>
        <v>2600.0000000001578</v>
      </c>
      <c r="G19" s="58">
        <v>3.4487999999999999</v>
      </c>
      <c r="H19" s="64">
        <f t="shared" si="2"/>
        <v>2599.9999999997135</v>
      </c>
      <c r="I19" s="58">
        <v>1.6994</v>
      </c>
      <c r="J19" s="64">
        <f t="shared" si="3"/>
        <v>1200.0000000000898</v>
      </c>
      <c r="K19" s="58">
        <v>2.7444000000000002</v>
      </c>
      <c r="L19" s="64">
        <f t="shared" si="4"/>
        <v>1700.0000000000348</v>
      </c>
      <c r="M19" s="58">
        <v>1.5022</v>
      </c>
      <c r="N19" s="64">
        <f t="shared" si="5"/>
        <v>899.99999999990087</v>
      </c>
      <c r="O19" s="58">
        <v>14632</v>
      </c>
      <c r="P19" s="67">
        <f t="shared" si="44"/>
        <v>4</v>
      </c>
      <c r="Q19" s="58">
        <v>1134</v>
      </c>
      <c r="R19" s="67">
        <f t="shared" si="6"/>
        <v>2</v>
      </c>
      <c r="S19" s="58">
        <v>1033.2</v>
      </c>
      <c r="T19" s="67">
        <f t="shared" si="7"/>
        <v>0.70000000000004547</v>
      </c>
      <c r="U19" s="58">
        <v>432764.5</v>
      </c>
      <c r="V19" s="67">
        <f t="shared" si="8"/>
        <v>278</v>
      </c>
      <c r="W19" s="58">
        <v>410.73</v>
      </c>
      <c r="X19" s="65">
        <f t="shared" si="9"/>
        <v>220.00000000002728</v>
      </c>
      <c r="Y19" s="58">
        <v>2.9658000000000002</v>
      </c>
      <c r="Z19" s="65">
        <f t="shared" si="10"/>
        <v>2300.0000000004129</v>
      </c>
      <c r="AA19" s="58">
        <v>409.7</v>
      </c>
      <c r="AB19" s="65">
        <f t="shared" si="11"/>
        <v>319.99999999999318</v>
      </c>
      <c r="AC19" s="58">
        <v>383.08</v>
      </c>
      <c r="AD19" s="65">
        <f t="shared" si="12"/>
        <v>219.99999999997044</v>
      </c>
      <c r="AE19" s="58">
        <v>578.98</v>
      </c>
      <c r="AF19" s="65">
        <f t="shared" si="13"/>
        <v>210.00000000003638</v>
      </c>
      <c r="AG19" s="58">
        <v>6173</v>
      </c>
      <c r="AH19" s="67">
        <f t="shared" si="14"/>
        <v>32</v>
      </c>
      <c r="AI19" s="58">
        <v>646.04999999999995</v>
      </c>
      <c r="AJ19" s="65">
        <f t="shared" si="15"/>
        <v>399.99999999997726</v>
      </c>
      <c r="AK19" s="58">
        <v>213.66</v>
      </c>
      <c r="AL19" s="65">
        <f t="shared" si="15"/>
        <v>250</v>
      </c>
      <c r="AM19" s="58">
        <v>202.73</v>
      </c>
      <c r="AN19" s="65">
        <f t="shared" si="15"/>
        <v>149.99999999997726</v>
      </c>
      <c r="AO19" s="58">
        <v>195.89</v>
      </c>
      <c r="AP19" s="65">
        <f t="shared" si="15"/>
        <v>109.99999999998522</v>
      </c>
      <c r="AQ19" s="58">
        <v>255.22</v>
      </c>
      <c r="AR19" s="65">
        <f t="shared" si="16"/>
        <v>109.99999999998522</v>
      </c>
      <c r="AS19" s="58">
        <v>381.16</v>
      </c>
      <c r="AT19" s="65">
        <f t="shared" si="17"/>
        <v>170.00000000001592</v>
      </c>
      <c r="AU19" s="58">
        <v>291.52</v>
      </c>
      <c r="AV19" s="65">
        <f t="shared" si="18"/>
        <v>189.99999999999773</v>
      </c>
      <c r="AW19" s="58">
        <v>324.25</v>
      </c>
      <c r="AX19" s="65">
        <f t="shared" si="19"/>
        <v>60.000000000002274</v>
      </c>
      <c r="AY19" s="58">
        <v>363.61</v>
      </c>
      <c r="AZ19" s="65">
        <f t="shared" si="20"/>
        <v>30.000000000029559</v>
      </c>
      <c r="BA19" s="58">
        <v>382.46</v>
      </c>
      <c r="BB19" s="65">
        <f t="shared" si="21"/>
        <v>29.999999999972715</v>
      </c>
      <c r="BC19" s="58">
        <v>245.81</v>
      </c>
      <c r="BD19" s="65">
        <f t="shared" si="22"/>
        <v>30.000000000001137</v>
      </c>
      <c r="BE19" s="59">
        <v>41808</v>
      </c>
      <c r="BF19" s="67">
        <f t="shared" si="39"/>
        <v>35</v>
      </c>
      <c r="BG19" s="60">
        <v>236.03</v>
      </c>
      <c r="BH19" s="65">
        <f t="shared" si="23"/>
        <v>30.000000000001137</v>
      </c>
      <c r="BI19" s="60">
        <v>294.47000000000003</v>
      </c>
      <c r="BJ19" s="65">
        <f t="shared" si="40"/>
        <v>30.000000000029559</v>
      </c>
      <c r="BK19" s="60">
        <v>238.37</v>
      </c>
      <c r="BL19" s="65">
        <f t="shared" si="24"/>
        <v>30.000000000001137</v>
      </c>
      <c r="BM19" s="60">
        <v>225.73</v>
      </c>
      <c r="BN19" s="65">
        <f t="shared" si="25"/>
        <v>39.999999999992042</v>
      </c>
      <c r="BO19" s="60">
        <v>289.57</v>
      </c>
      <c r="BP19" s="65">
        <f t="shared" si="26"/>
        <v>40.000000000020464</v>
      </c>
      <c r="BQ19" s="60">
        <v>46569</v>
      </c>
      <c r="BR19" s="65">
        <f t="shared" si="27"/>
        <v>16</v>
      </c>
      <c r="BS19" s="60">
        <v>202.34</v>
      </c>
      <c r="BT19" s="65">
        <f t="shared" si="42"/>
        <v>30.000000000001137</v>
      </c>
      <c r="BU19" s="60">
        <v>42628</v>
      </c>
      <c r="BV19" s="65">
        <f t="shared" si="29"/>
        <v>35</v>
      </c>
      <c r="BW19" s="60">
        <v>233.04</v>
      </c>
      <c r="BX19" s="65">
        <f t="shared" si="30"/>
        <v>19.99999999998181</v>
      </c>
      <c r="BY19" s="60">
        <v>62372</v>
      </c>
      <c r="BZ19" s="67">
        <f t="shared" si="31"/>
        <v>31</v>
      </c>
      <c r="CA19" s="60">
        <v>33661.300000000003</v>
      </c>
      <c r="CB19" s="67">
        <f t="shared" si="32"/>
        <v>36.400000000001455</v>
      </c>
      <c r="CC19" s="60">
        <v>12559.1</v>
      </c>
      <c r="CD19" s="67">
        <f t="shared" si="33"/>
        <v>6</v>
      </c>
      <c r="CE19" s="60">
        <v>6677.1</v>
      </c>
      <c r="CF19" s="67">
        <f t="shared" si="34"/>
        <v>5.3000000000001819</v>
      </c>
      <c r="CG19" s="60">
        <v>61536.9</v>
      </c>
      <c r="CH19" s="67">
        <f t="shared" si="35"/>
        <v>50.200000000004366</v>
      </c>
      <c r="CI19" s="60">
        <v>962316</v>
      </c>
      <c r="CJ19" s="67">
        <f t="shared" si="36"/>
        <v>269</v>
      </c>
      <c r="CK19" s="60">
        <v>797.6</v>
      </c>
      <c r="CL19" s="64">
        <f t="shared" si="37"/>
        <v>730.00000000001819</v>
      </c>
      <c r="CM19" s="65">
        <f t="shared" si="41"/>
        <v>62</v>
      </c>
      <c r="CN19" s="62">
        <v>16</v>
      </c>
      <c r="CO19" s="62">
        <v>42</v>
      </c>
      <c r="CP19" s="68">
        <v>11910</v>
      </c>
      <c r="CQ19" s="67">
        <f t="shared" si="38"/>
        <v>40</v>
      </c>
      <c r="CR19" s="68">
        <v>15427</v>
      </c>
      <c r="CS19" s="67">
        <f t="shared" si="38"/>
        <v>22</v>
      </c>
      <c r="CT19" s="75">
        <v>7030</v>
      </c>
      <c r="CU19" s="67">
        <f t="shared" si="38"/>
        <v>10</v>
      </c>
      <c r="CV19" s="68">
        <v>17022</v>
      </c>
      <c r="CW19" s="67">
        <f t="shared" si="38"/>
        <v>17</v>
      </c>
    </row>
    <row r="20" spans="1:101" ht="25.5" customHeight="1" thickBot="1" x14ac:dyDescent="0.45">
      <c r="A20" s="63">
        <v>44425</v>
      </c>
      <c r="B20" s="44"/>
      <c r="C20" s="58">
        <v>2.3950999999999998</v>
      </c>
      <c r="D20" s="64">
        <f t="shared" si="0"/>
        <v>1899.9999999995687</v>
      </c>
      <c r="E20" s="58">
        <v>3.3929</v>
      </c>
      <c r="F20" s="64">
        <f t="shared" si="1"/>
        <v>2499.9999999999468</v>
      </c>
      <c r="G20" s="58">
        <v>3.4514</v>
      </c>
      <c r="H20" s="64">
        <f t="shared" si="2"/>
        <v>2600.0000000001578</v>
      </c>
      <c r="I20" s="58">
        <v>1.7005999999999999</v>
      </c>
      <c r="J20" s="64">
        <f t="shared" si="3"/>
        <v>1199.9999999998679</v>
      </c>
      <c r="K20" s="58">
        <v>2.7463000000000002</v>
      </c>
      <c r="L20" s="64">
        <f t="shared" si="4"/>
        <v>1900.0000000000127</v>
      </c>
      <c r="M20" s="58">
        <v>1.5027999999999999</v>
      </c>
      <c r="N20" s="64">
        <f t="shared" si="5"/>
        <v>599.99999999993395</v>
      </c>
      <c r="O20" s="58">
        <v>14636</v>
      </c>
      <c r="P20" s="67">
        <f t="shared" si="44"/>
        <v>4</v>
      </c>
      <c r="Q20" s="58">
        <v>1136</v>
      </c>
      <c r="R20" s="67">
        <f t="shared" si="6"/>
        <v>2</v>
      </c>
      <c r="S20" s="58">
        <v>1034.0999999999999</v>
      </c>
      <c r="T20" s="67">
        <f t="shared" si="7"/>
        <v>0.89999999999986358</v>
      </c>
      <c r="U20" s="58">
        <v>433079.5</v>
      </c>
      <c r="V20" s="67">
        <f t="shared" si="8"/>
        <v>315</v>
      </c>
      <c r="W20" s="58">
        <v>410.96</v>
      </c>
      <c r="X20" s="65">
        <f t="shared" si="9"/>
        <v>229.99999999996135</v>
      </c>
      <c r="Y20" s="58">
        <v>2.9681000000000002</v>
      </c>
      <c r="Z20" s="65">
        <f t="shared" si="10"/>
        <v>2299.9999999999686</v>
      </c>
      <c r="AA20" s="58">
        <v>409.86</v>
      </c>
      <c r="AB20" s="65">
        <f t="shared" si="11"/>
        <v>160.00000000002501</v>
      </c>
      <c r="AC20" s="58">
        <v>383.28</v>
      </c>
      <c r="AD20" s="65">
        <f t="shared" si="12"/>
        <v>199.99999999998863</v>
      </c>
      <c r="AE20" s="58">
        <v>579.16</v>
      </c>
      <c r="AF20" s="65">
        <f t="shared" si="13"/>
        <v>179.99999999994998</v>
      </c>
      <c r="AG20" s="58">
        <v>6207</v>
      </c>
      <c r="AH20" s="67">
        <f t="shared" si="14"/>
        <v>34</v>
      </c>
      <c r="AI20" s="58">
        <v>646.49</v>
      </c>
      <c r="AJ20" s="65">
        <f t="shared" si="15"/>
        <v>440.00000000005457</v>
      </c>
      <c r="AK20" s="58">
        <v>213.93</v>
      </c>
      <c r="AL20" s="65">
        <f t="shared" si="15"/>
        <v>270.00000000001023</v>
      </c>
      <c r="AM20" s="58">
        <v>202.91</v>
      </c>
      <c r="AN20" s="65">
        <f t="shared" si="15"/>
        <v>180.00000000000682</v>
      </c>
      <c r="AO20" s="58">
        <v>196</v>
      </c>
      <c r="AP20" s="65">
        <f t="shared" si="15"/>
        <v>110.00000000001364</v>
      </c>
      <c r="AQ20" s="58">
        <v>255.33</v>
      </c>
      <c r="AR20" s="65">
        <f t="shared" si="16"/>
        <v>110.00000000001364</v>
      </c>
      <c r="AS20" s="58">
        <v>381.34</v>
      </c>
      <c r="AT20" s="65">
        <f t="shared" si="17"/>
        <v>179.99999999994998</v>
      </c>
      <c r="AU20" s="58">
        <v>291.74</v>
      </c>
      <c r="AV20" s="65">
        <f t="shared" si="18"/>
        <v>220.00000000002728</v>
      </c>
      <c r="AW20" s="58">
        <v>324.3</v>
      </c>
      <c r="AX20" s="65">
        <f t="shared" si="19"/>
        <v>50.000000000011369</v>
      </c>
      <c r="AY20" s="58">
        <v>363.64</v>
      </c>
      <c r="AZ20" s="65">
        <f t="shared" si="20"/>
        <v>29.999999999972715</v>
      </c>
      <c r="BA20" s="58">
        <v>382.48</v>
      </c>
      <c r="BB20" s="65">
        <f t="shared" si="21"/>
        <v>20.000000000038654</v>
      </c>
      <c r="BC20" s="58">
        <v>245.84</v>
      </c>
      <c r="BD20" s="65">
        <f t="shared" si="22"/>
        <v>30.000000000001137</v>
      </c>
      <c r="BE20" s="59">
        <v>41835</v>
      </c>
      <c r="BF20" s="67">
        <f t="shared" si="39"/>
        <v>27</v>
      </c>
      <c r="BG20" s="60">
        <v>236.07</v>
      </c>
      <c r="BH20" s="65">
        <f t="shared" si="23"/>
        <v>39.999999999992042</v>
      </c>
      <c r="BI20" s="60">
        <v>294.49</v>
      </c>
      <c r="BJ20" s="65">
        <f t="shared" si="40"/>
        <v>19.99999999998181</v>
      </c>
      <c r="BK20" s="60">
        <v>238.4</v>
      </c>
      <c r="BL20" s="65">
        <f t="shared" si="24"/>
        <v>30.000000000001137</v>
      </c>
      <c r="BM20" s="60">
        <v>225.76</v>
      </c>
      <c r="BN20" s="65">
        <f t="shared" si="25"/>
        <v>30.000000000001137</v>
      </c>
      <c r="BO20" s="60">
        <v>289.61</v>
      </c>
      <c r="BP20" s="65">
        <f t="shared" si="26"/>
        <v>40.000000000020464</v>
      </c>
      <c r="BQ20" s="60">
        <v>46588</v>
      </c>
      <c r="BR20" s="65">
        <f t="shared" si="27"/>
        <v>19</v>
      </c>
      <c r="BS20" s="60">
        <v>202.38</v>
      </c>
      <c r="BT20" s="65">
        <f t="shared" si="42"/>
        <v>39.999999999992042</v>
      </c>
      <c r="BU20" s="60">
        <v>42666</v>
      </c>
      <c r="BV20" s="65">
        <f t="shared" si="29"/>
        <v>38</v>
      </c>
      <c r="BW20" s="60">
        <v>233.06</v>
      </c>
      <c r="BX20" s="65">
        <f t="shared" si="30"/>
        <v>20.000000000010232</v>
      </c>
      <c r="BY20" s="60">
        <v>62408</v>
      </c>
      <c r="BZ20" s="67">
        <f t="shared" si="31"/>
        <v>36</v>
      </c>
      <c r="CA20" s="60">
        <v>33688.5</v>
      </c>
      <c r="CB20" s="67">
        <f t="shared" si="32"/>
        <v>27.19999999999709</v>
      </c>
      <c r="CC20" s="60">
        <v>12565.4</v>
      </c>
      <c r="CD20" s="67">
        <f t="shared" si="33"/>
        <v>6.2999999999992724</v>
      </c>
      <c r="CE20" s="60">
        <v>6677.7</v>
      </c>
      <c r="CF20" s="67">
        <f t="shared" si="34"/>
        <v>0.5999999999994543</v>
      </c>
      <c r="CG20" s="60">
        <v>61590.400000000001</v>
      </c>
      <c r="CH20" s="67">
        <f t="shared" si="35"/>
        <v>53.5</v>
      </c>
      <c r="CI20" s="60">
        <v>962586</v>
      </c>
      <c r="CJ20" s="67">
        <f t="shared" si="36"/>
        <v>270</v>
      </c>
      <c r="CK20" s="60">
        <v>798.3</v>
      </c>
      <c r="CL20" s="64">
        <f t="shared" si="37"/>
        <v>699.99999999993179</v>
      </c>
      <c r="CM20" s="65">
        <f t="shared" si="41"/>
        <v>63</v>
      </c>
      <c r="CN20" s="62">
        <v>16</v>
      </c>
      <c r="CO20" s="62">
        <v>42</v>
      </c>
      <c r="CP20" s="68">
        <v>11952</v>
      </c>
      <c r="CQ20" s="67">
        <f t="shared" si="38"/>
        <v>42</v>
      </c>
      <c r="CR20" s="68">
        <v>15448</v>
      </c>
      <c r="CS20" s="67">
        <f t="shared" si="38"/>
        <v>21</v>
      </c>
      <c r="CT20" s="75">
        <v>7040</v>
      </c>
      <c r="CU20" s="67">
        <f t="shared" si="38"/>
        <v>10</v>
      </c>
      <c r="CV20" s="68">
        <v>17038</v>
      </c>
      <c r="CW20" s="67">
        <f t="shared" si="38"/>
        <v>16</v>
      </c>
    </row>
    <row r="21" spans="1:101" ht="25.5" customHeight="1" thickBot="1" x14ac:dyDescent="0.45">
      <c r="A21" s="63">
        <v>44426</v>
      </c>
      <c r="B21" s="44"/>
      <c r="C21" s="58">
        <v>2.3969</v>
      </c>
      <c r="D21" s="64">
        <f t="shared" si="0"/>
        <v>1800.0000000002458</v>
      </c>
      <c r="E21" s="58">
        <v>3.3957000000000002</v>
      </c>
      <c r="F21" s="64">
        <f t="shared" si="1"/>
        <v>2800.0000000001355</v>
      </c>
      <c r="G21" s="58">
        <v>3.4540999999999999</v>
      </c>
      <c r="H21" s="64">
        <f t="shared" si="2"/>
        <v>2699.9999999999245</v>
      </c>
      <c r="I21" s="58">
        <v>1.7019</v>
      </c>
      <c r="J21" s="64">
        <f t="shared" si="3"/>
        <v>1300.0000000000789</v>
      </c>
      <c r="K21" s="58">
        <v>2.7482000000000002</v>
      </c>
      <c r="L21" s="64">
        <f t="shared" si="4"/>
        <v>1900.0000000000127</v>
      </c>
      <c r="M21" s="58">
        <v>1.5036</v>
      </c>
      <c r="N21" s="64">
        <f t="shared" si="5"/>
        <v>800.00000000013392</v>
      </c>
      <c r="O21" s="58">
        <v>14637</v>
      </c>
      <c r="P21" s="67">
        <f t="shared" si="44"/>
        <v>1</v>
      </c>
      <c r="Q21" s="58">
        <v>1139</v>
      </c>
      <c r="R21" s="67">
        <f t="shared" si="6"/>
        <v>3</v>
      </c>
      <c r="S21" s="58">
        <v>1035</v>
      </c>
      <c r="T21" s="67">
        <f t="shared" si="7"/>
        <v>0.90000000000009095</v>
      </c>
      <c r="U21" s="58">
        <v>433421.7</v>
      </c>
      <c r="V21" s="67">
        <f t="shared" si="8"/>
        <v>342.20000000001164</v>
      </c>
      <c r="W21" s="58">
        <v>411.25</v>
      </c>
      <c r="X21" s="65">
        <f t="shared" si="9"/>
        <v>290.00000000002046</v>
      </c>
      <c r="Y21" s="58">
        <v>2.9706000000000001</v>
      </c>
      <c r="Z21" s="65">
        <f t="shared" si="10"/>
        <v>2499.9999999999468</v>
      </c>
      <c r="AA21" s="58">
        <v>410.2</v>
      </c>
      <c r="AB21" s="65">
        <f t="shared" si="11"/>
        <v>339.99999999997499</v>
      </c>
      <c r="AC21" s="58">
        <v>383.5</v>
      </c>
      <c r="AD21" s="65">
        <f t="shared" si="12"/>
        <v>220.00000000002728</v>
      </c>
      <c r="AE21" s="58">
        <v>579.34</v>
      </c>
      <c r="AF21" s="65">
        <f t="shared" si="13"/>
        <v>180.00000000006366</v>
      </c>
      <c r="AG21" s="58">
        <v>6238</v>
      </c>
      <c r="AH21" s="67">
        <f t="shared" si="14"/>
        <v>31</v>
      </c>
      <c r="AI21" s="58">
        <v>646.95000000000005</v>
      </c>
      <c r="AJ21" s="65">
        <f t="shared" si="15"/>
        <v>460.00000000003638</v>
      </c>
      <c r="AK21" s="58">
        <v>214.18</v>
      </c>
      <c r="AL21" s="65">
        <f t="shared" si="15"/>
        <v>250</v>
      </c>
      <c r="AM21" s="58">
        <v>203.13</v>
      </c>
      <c r="AN21" s="65">
        <f t="shared" si="15"/>
        <v>219.99999999999886</v>
      </c>
      <c r="AO21" s="58">
        <v>196.08</v>
      </c>
      <c r="AP21" s="65">
        <f t="shared" si="15"/>
        <v>80.000000000012506</v>
      </c>
      <c r="AQ21" s="58">
        <v>255.44</v>
      </c>
      <c r="AR21" s="65">
        <f t="shared" si="16"/>
        <v>109.99999999998522</v>
      </c>
      <c r="AS21" s="58">
        <v>381.51</v>
      </c>
      <c r="AT21" s="65">
        <f t="shared" si="17"/>
        <v>170.00000000001592</v>
      </c>
      <c r="AU21" s="58">
        <v>291.88</v>
      </c>
      <c r="AV21" s="65">
        <f t="shared" si="18"/>
        <v>139.99999999998636</v>
      </c>
      <c r="AW21" s="58">
        <v>324.36</v>
      </c>
      <c r="AX21" s="65">
        <f t="shared" si="19"/>
        <v>60.000000000002274</v>
      </c>
      <c r="AY21" s="58">
        <v>363.67</v>
      </c>
      <c r="AZ21" s="65">
        <f t="shared" si="20"/>
        <v>30.000000000029559</v>
      </c>
      <c r="BA21" s="58">
        <v>382.51</v>
      </c>
      <c r="BB21" s="65">
        <f t="shared" si="21"/>
        <v>29.999999999972715</v>
      </c>
      <c r="BC21" s="58">
        <v>245.86</v>
      </c>
      <c r="BD21" s="65">
        <f t="shared" si="22"/>
        <v>20.000000000010232</v>
      </c>
      <c r="BE21" s="59">
        <v>41858</v>
      </c>
      <c r="BF21" s="67">
        <f t="shared" si="39"/>
        <v>23</v>
      </c>
      <c r="BG21" s="60">
        <v>236.11</v>
      </c>
      <c r="BH21" s="65">
        <f t="shared" si="23"/>
        <v>40.000000000020464</v>
      </c>
      <c r="BI21" s="60">
        <v>294.52</v>
      </c>
      <c r="BJ21" s="65">
        <f t="shared" si="40"/>
        <v>29.999999999972715</v>
      </c>
      <c r="BK21" s="60">
        <v>238.44</v>
      </c>
      <c r="BL21" s="65">
        <f t="shared" si="24"/>
        <v>39.999999999992042</v>
      </c>
      <c r="BM21" s="60">
        <v>225.8</v>
      </c>
      <c r="BN21" s="65">
        <f t="shared" si="25"/>
        <v>40.000000000020464</v>
      </c>
      <c r="BO21" s="60">
        <v>289.66000000000003</v>
      </c>
      <c r="BP21" s="65">
        <f t="shared" si="26"/>
        <v>50.000000000011369</v>
      </c>
      <c r="BQ21" s="60">
        <v>46621</v>
      </c>
      <c r="BR21" s="65">
        <f t="shared" si="27"/>
        <v>33</v>
      </c>
      <c r="BS21" s="60">
        <v>202.41</v>
      </c>
      <c r="BT21" s="65">
        <f t="shared" si="42"/>
        <v>30.000000000001137</v>
      </c>
      <c r="BU21" s="60">
        <v>42710</v>
      </c>
      <c r="BV21" s="65">
        <f t="shared" si="29"/>
        <v>44</v>
      </c>
      <c r="BW21" s="60">
        <v>233.08</v>
      </c>
      <c r="BX21" s="65">
        <f t="shared" si="30"/>
        <v>20.000000000010232</v>
      </c>
      <c r="BY21" s="60">
        <v>62441</v>
      </c>
      <c r="BZ21" s="67">
        <f t="shared" si="31"/>
        <v>33</v>
      </c>
      <c r="CA21" s="60">
        <v>33727.4</v>
      </c>
      <c r="CB21" s="67">
        <f t="shared" si="32"/>
        <v>38.900000000001455</v>
      </c>
      <c r="CC21" s="60">
        <v>12572.3</v>
      </c>
      <c r="CD21" s="67">
        <f t="shared" si="33"/>
        <v>6.8999999999996362</v>
      </c>
      <c r="CE21" s="60">
        <v>6684.5</v>
      </c>
      <c r="CF21" s="67">
        <f t="shared" si="34"/>
        <v>6.8000000000001819</v>
      </c>
      <c r="CG21" s="60">
        <v>61640.7</v>
      </c>
      <c r="CH21" s="67">
        <f t="shared" si="35"/>
        <v>50.299999999995634</v>
      </c>
      <c r="CI21" s="60">
        <v>962868</v>
      </c>
      <c r="CJ21" s="67">
        <f t="shared" si="36"/>
        <v>282</v>
      </c>
      <c r="CK21" s="60">
        <v>798.99</v>
      </c>
      <c r="CL21" s="64">
        <f t="shared" si="37"/>
        <v>690.00000000005457</v>
      </c>
      <c r="CM21" s="65">
        <f t="shared" si="41"/>
        <v>69</v>
      </c>
      <c r="CN21" s="62">
        <v>10</v>
      </c>
      <c r="CO21" s="62">
        <v>20</v>
      </c>
      <c r="CP21" s="68">
        <v>11998</v>
      </c>
      <c r="CQ21" s="67">
        <f t="shared" si="38"/>
        <v>46</v>
      </c>
      <c r="CR21" s="68">
        <v>15471</v>
      </c>
      <c r="CS21" s="67">
        <f t="shared" si="38"/>
        <v>23</v>
      </c>
      <c r="CT21" s="75">
        <v>7050</v>
      </c>
      <c r="CU21" s="67">
        <f t="shared" si="38"/>
        <v>10</v>
      </c>
      <c r="CV21" s="68">
        <v>17056</v>
      </c>
      <c r="CW21" s="67">
        <f t="shared" si="38"/>
        <v>18</v>
      </c>
    </row>
    <row r="22" spans="1:101" ht="25.5" customHeight="1" thickBot="1" x14ac:dyDescent="0.45">
      <c r="A22" s="63">
        <v>44427</v>
      </c>
      <c r="B22" s="44"/>
      <c r="C22" s="58">
        <v>2.3986000000000001</v>
      </c>
      <c r="D22" s="64">
        <f t="shared" si="0"/>
        <v>1700.0000000000348</v>
      </c>
      <c r="E22" s="58">
        <v>3.3982999999999999</v>
      </c>
      <c r="F22" s="64">
        <f t="shared" si="1"/>
        <v>2599.9999999997135</v>
      </c>
      <c r="G22" s="58">
        <v>3.4567000000000001</v>
      </c>
      <c r="H22" s="64">
        <f t="shared" si="2"/>
        <v>2600.0000000001578</v>
      </c>
      <c r="I22" s="58">
        <v>1.7032</v>
      </c>
      <c r="J22" s="64">
        <f t="shared" si="3"/>
        <v>1300.0000000000789</v>
      </c>
      <c r="K22" s="58">
        <v>2.7502</v>
      </c>
      <c r="L22" s="64">
        <f t="shared" si="4"/>
        <v>1999.9999999997797</v>
      </c>
      <c r="M22" s="58">
        <v>1.5044</v>
      </c>
      <c r="N22" s="64">
        <f t="shared" si="5"/>
        <v>799.99999999991189</v>
      </c>
      <c r="O22" s="58">
        <v>14644</v>
      </c>
      <c r="P22" s="67">
        <f t="shared" si="44"/>
        <v>7</v>
      </c>
      <c r="Q22" s="58">
        <v>1141</v>
      </c>
      <c r="R22" s="67">
        <f t="shared" si="6"/>
        <v>2</v>
      </c>
      <c r="S22" s="58">
        <v>1035.7</v>
      </c>
      <c r="T22" s="67">
        <f t="shared" si="7"/>
        <v>0.70000000000004547</v>
      </c>
      <c r="U22" s="58">
        <v>433764.8</v>
      </c>
      <c r="V22" s="67">
        <f t="shared" si="8"/>
        <v>343.09999999997672</v>
      </c>
      <c r="W22" s="58">
        <v>411.52</v>
      </c>
      <c r="X22" s="65">
        <f t="shared" si="9"/>
        <v>269.99999999998181</v>
      </c>
      <c r="Y22" s="58">
        <v>2.9729999999999999</v>
      </c>
      <c r="Z22" s="65">
        <f t="shared" si="10"/>
        <v>2399.9999999997358</v>
      </c>
      <c r="AA22" s="58">
        <v>410.39</v>
      </c>
      <c r="AB22" s="65">
        <f t="shared" si="11"/>
        <v>189.99999999999773</v>
      </c>
      <c r="AC22" s="58">
        <v>383.76</v>
      </c>
      <c r="AD22" s="65">
        <f t="shared" si="12"/>
        <v>259.99999999999091</v>
      </c>
      <c r="AE22" s="58">
        <v>579.52</v>
      </c>
      <c r="AF22" s="65">
        <f t="shared" si="13"/>
        <v>179.99999999994998</v>
      </c>
      <c r="AG22" s="58">
        <v>6270</v>
      </c>
      <c r="AH22" s="67">
        <f t="shared" si="14"/>
        <v>32</v>
      </c>
      <c r="AI22" s="58">
        <v>647.41</v>
      </c>
      <c r="AJ22" s="65">
        <f t="shared" si="15"/>
        <v>459.99999999992269</v>
      </c>
      <c r="AK22" s="58">
        <v>214.36</v>
      </c>
      <c r="AL22" s="65">
        <f t="shared" si="15"/>
        <v>180.00000000000682</v>
      </c>
      <c r="AM22" s="58">
        <v>203.3</v>
      </c>
      <c r="AN22" s="65">
        <f t="shared" si="15"/>
        <v>170.00000000001592</v>
      </c>
      <c r="AO22" s="58">
        <v>196.19</v>
      </c>
      <c r="AP22" s="65">
        <f t="shared" si="15"/>
        <v>109.99999999998522</v>
      </c>
      <c r="AQ22" s="58">
        <v>255.56</v>
      </c>
      <c r="AR22" s="65">
        <f t="shared" si="16"/>
        <v>120.00000000000455</v>
      </c>
      <c r="AS22" s="58">
        <v>381.61</v>
      </c>
      <c r="AT22" s="65">
        <f t="shared" si="17"/>
        <v>100.00000000002274</v>
      </c>
      <c r="AU22" s="58">
        <v>291.97000000000003</v>
      </c>
      <c r="AV22" s="65">
        <f t="shared" si="18"/>
        <v>90.000000000031832</v>
      </c>
      <c r="AW22" s="58">
        <v>324.42</v>
      </c>
      <c r="AX22" s="65">
        <f t="shared" si="19"/>
        <v>60.000000000002274</v>
      </c>
      <c r="AY22" s="58">
        <v>363.71</v>
      </c>
      <c r="AZ22" s="65">
        <f t="shared" si="20"/>
        <v>39.99999999996362</v>
      </c>
      <c r="BA22" s="58">
        <v>382.53</v>
      </c>
      <c r="BB22" s="65">
        <f t="shared" si="21"/>
        <v>19.99999999998181</v>
      </c>
      <c r="BC22" s="58">
        <v>245.9</v>
      </c>
      <c r="BD22" s="65">
        <f t="shared" si="22"/>
        <v>39.999999999992042</v>
      </c>
      <c r="BE22" s="59"/>
      <c r="BF22" s="67" t="str">
        <f t="shared" si="39"/>
        <v/>
      </c>
      <c r="BG22" s="60">
        <v>236.15</v>
      </c>
      <c r="BH22" s="65">
        <f t="shared" si="23"/>
        <v>39.999999999992042</v>
      </c>
      <c r="BI22" s="60">
        <v>294.55</v>
      </c>
      <c r="BJ22" s="65">
        <f t="shared" si="40"/>
        <v>30.000000000029559</v>
      </c>
      <c r="BK22" s="60">
        <v>238.47</v>
      </c>
      <c r="BL22" s="65">
        <f t="shared" si="24"/>
        <v>30.000000000001137</v>
      </c>
      <c r="BM22" s="60">
        <v>225.84</v>
      </c>
      <c r="BN22" s="65">
        <f t="shared" si="25"/>
        <v>39.999999999992042</v>
      </c>
      <c r="BO22" s="60">
        <v>289.75</v>
      </c>
      <c r="BP22" s="65">
        <f t="shared" si="26"/>
        <v>89.999999999974989</v>
      </c>
      <c r="BQ22" s="60">
        <v>46656</v>
      </c>
      <c r="BR22" s="65">
        <f t="shared" si="27"/>
        <v>35</v>
      </c>
      <c r="BS22" s="60">
        <v>202.45</v>
      </c>
      <c r="BT22" s="65">
        <f t="shared" si="42"/>
        <v>39.999999999992042</v>
      </c>
      <c r="BU22" s="60">
        <v>42751</v>
      </c>
      <c r="BV22" s="65">
        <f t="shared" si="29"/>
        <v>41</v>
      </c>
      <c r="BW22" s="60">
        <v>233.1</v>
      </c>
      <c r="BX22" s="65">
        <f t="shared" si="30"/>
        <v>19.99999999998181</v>
      </c>
      <c r="BY22" s="60">
        <v>62477</v>
      </c>
      <c r="BZ22" s="67">
        <f t="shared" si="31"/>
        <v>36</v>
      </c>
      <c r="CA22" s="60">
        <v>33763.5</v>
      </c>
      <c r="CB22" s="67">
        <f t="shared" si="32"/>
        <v>36.099999999998545</v>
      </c>
      <c r="CC22" s="60">
        <v>12576.8</v>
      </c>
      <c r="CD22" s="67">
        <f t="shared" si="33"/>
        <v>4.5</v>
      </c>
      <c r="CE22" s="60">
        <v>6685.1</v>
      </c>
      <c r="CF22" s="67">
        <f t="shared" si="34"/>
        <v>0.6000000000003638</v>
      </c>
      <c r="CG22" s="60">
        <v>61690.400000000001</v>
      </c>
      <c r="CH22" s="67">
        <f t="shared" si="35"/>
        <v>49.700000000004366</v>
      </c>
      <c r="CI22" s="60">
        <v>963140</v>
      </c>
      <c r="CJ22" s="67">
        <f t="shared" si="36"/>
        <v>272</v>
      </c>
      <c r="CK22" s="60">
        <v>799.66</v>
      </c>
      <c r="CL22" s="64">
        <f t="shared" si="37"/>
        <v>669.99999999995907</v>
      </c>
      <c r="CM22" s="65">
        <f t="shared" si="41"/>
        <v>62</v>
      </c>
      <c r="CN22" s="62">
        <v>0</v>
      </c>
      <c r="CO22" s="62">
        <v>0</v>
      </c>
      <c r="CP22" s="68">
        <v>12036</v>
      </c>
      <c r="CQ22" s="67">
        <f t="shared" si="38"/>
        <v>38</v>
      </c>
      <c r="CR22" s="68">
        <v>15495</v>
      </c>
      <c r="CS22" s="67">
        <f t="shared" si="38"/>
        <v>24</v>
      </c>
      <c r="CT22" s="75">
        <v>7060</v>
      </c>
      <c r="CU22" s="67">
        <f t="shared" si="38"/>
        <v>10</v>
      </c>
      <c r="CV22" s="68">
        <v>17071</v>
      </c>
      <c r="CW22" s="67">
        <f t="shared" si="38"/>
        <v>15</v>
      </c>
    </row>
    <row r="23" spans="1:101" ht="25.5" customHeight="1" thickBot="1" x14ac:dyDescent="0.45">
      <c r="A23" s="63">
        <v>44428</v>
      </c>
      <c r="B23" s="44"/>
      <c r="C23" s="58"/>
      <c r="D23" s="64" t="str">
        <f t="shared" si="0"/>
        <v>0</v>
      </c>
      <c r="E23" s="58"/>
      <c r="F23" s="64" t="str">
        <f t="shared" si="1"/>
        <v>0</v>
      </c>
      <c r="G23" s="58"/>
      <c r="H23" s="64" t="str">
        <f t="shared" si="2"/>
        <v>0</v>
      </c>
      <c r="I23" s="58"/>
      <c r="J23" s="64" t="str">
        <f t="shared" si="3"/>
        <v>0</v>
      </c>
      <c r="K23" s="58"/>
      <c r="L23" s="64" t="str">
        <f t="shared" si="4"/>
        <v>0</v>
      </c>
      <c r="M23" s="58"/>
      <c r="N23" s="64" t="str">
        <f t="shared" si="5"/>
        <v/>
      </c>
      <c r="O23" s="58"/>
      <c r="P23" s="67" t="str">
        <f t="shared" si="44"/>
        <v/>
      </c>
      <c r="Q23" s="58"/>
      <c r="R23" s="67" t="str">
        <f t="shared" si="6"/>
        <v/>
      </c>
      <c r="S23" s="58"/>
      <c r="T23" s="67" t="str">
        <f t="shared" si="7"/>
        <v/>
      </c>
      <c r="U23" s="58"/>
      <c r="V23" s="67" t="str">
        <f t="shared" si="8"/>
        <v/>
      </c>
      <c r="W23" s="58"/>
      <c r="X23" s="65" t="str">
        <f t="shared" si="9"/>
        <v/>
      </c>
      <c r="Y23" s="58"/>
      <c r="Z23" s="65" t="str">
        <f t="shared" si="10"/>
        <v/>
      </c>
      <c r="AA23" s="58"/>
      <c r="AB23" s="65" t="str">
        <f t="shared" si="11"/>
        <v/>
      </c>
      <c r="AC23" s="58"/>
      <c r="AD23" s="65" t="str">
        <f t="shared" si="12"/>
        <v/>
      </c>
      <c r="AE23" s="58"/>
      <c r="AF23" s="65" t="str">
        <f t="shared" si="13"/>
        <v/>
      </c>
      <c r="AG23" s="58"/>
      <c r="AH23" s="67" t="str">
        <f t="shared" si="14"/>
        <v/>
      </c>
      <c r="AI23" s="58"/>
      <c r="AJ23" s="65" t="str">
        <f t="shared" si="15"/>
        <v/>
      </c>
      <c r="AK23" s="58"/>
      <c r="AL23" s="65" t="str">
        <f t="shared" si="15"/>
        <v/>
      </c>
      <c r="AM23" s="58"/>
      <c r="AN23" s="65" t="str">
        <f t="shared" si="15"/>
        <v/>
      </c>
      <c r="AO23" s="58"/>
      <c r="AP23" s="65" t="str">
        <f t="shared" si="15"/>
        <v/>
      </c>
      <c r="AQ23" s="58"/>
      <c r="AR23" s="65" t="str">
        <f t="shared" si="16"/>
        <v/>
      </c>
      <c r="AS23" s="58"/>
      <c r="AT23" s="65" t="str">
        <f t="shared" si="17"/>
        <v/>
      </c>
      <c r="AU23" s="58"/>
      <c r="AV23" s="65" t="str">
        <f t="shared" si="18"/>
        <v/>
      </c>
      <c r="AW23" s="58"/>
      <c r="AX23" s="65" t="str">
        <f t="shared" si="19"/>
        <v/>
      </c>
      <c r="AY23" s="58"/>
      <c r="AZ23" s="65" t="str">
        <f t="shared" si="20"/>
        <v/>
      </c>
      <c r="BA23" s="58"/>
      <c r="BB23" s="65" t="str">
        <f t="shared" si="21"/>
        <v/>
      </c>
      <c r="BC23" s="58"/>
      <c r="BD23" s="65" t="str">
        <f t="shared" si="22"/>
        <v/>
      </c>
      <c r="BE23" s="59"/>
      <c r="BF23" s="67">
        <f t="shared" si="39"/>
        <v>0</v>
      </c>
      <c r="BG23" s="60"/>
      <c r="BH23" s="65" t="str">
        <f t="shared" si="23"/>
        <v/>
      </c>
      <c r="BI23" s="60"/>
      <c r="BJ23" s="65" t="str">
        <f t="shared" si="40"/>
        <v/>
      </c>
      <c r="BK23" s="60"/>
      <c r="BL23" s="65" t="str">
        <f t="shared" si="24"/>
        <v/>
      </c>
      <c r="BM23" s="60"/>
      <c r="BN23" s="65" t="str">
        <f t="shared" si="25"/>
        <v/>
      </c>
      <c r="BO23" s="60"/>
      <c r="BP23" s="65" t="str">
        <f t="shared" si="26"/>
        <v/>
      </c>
      <c r="BQ23" s="60"/>
      <c r="BR23" s="65" t="str">
        <f t="shared" si="27"/>
        <v/>
      </c>
      <c r="BS23" s="60"/>
      <c r="BT23" s="65" t="str">
        <f t="shared" si="42"/>
        <v/>
      </c>
      <c r="BU23" s="60"/>
      <c r="BV23" s="65" t="str">
        <f t="shared" si="29"/>
        <v/>
      </c>
      <c r="BW23" s="60"/>
      <c r="BX23" s="65" t="str">
        <f t="shared" si="30"/>
        <v/>
      </c>
      <c r="BY23" s="60"/>
      <c r="BZ23" s="67" t="str">
        <f t="shared" si="31"/>
        <v/>
      </c>
      <c r="CA23" s="60"/>
      <c r="CB23" s="67" t="str">
        <f t="shared" si="32"/>
        <v/>
      </c>
      <c r="CC23" s="60"/>
      <c r="CD23" s="67" t="str">
        <f t="shared" si="33"/>
        <v/>
      </c>
      <c r="CE23" s="60"/>
      <c r="CF23" s="67" t="str">
        <f t="shared" si="34"/>
        <v/>
      </c>
      <c r="CG23" s="60"/>
      <c r="CH23" s="67" t="str">
        <f t="shared" si="35"/>
        <v/>
      </c>
      <c r="CI23" s="60"/>
      <c r="CJ23" s="67" t="str">
        <f t="shared" si="36"/>
        <v/>
      </c>
      <c r="CK23" s="60"/>
      <c r="CL23" s="64" t="str">
        <f t="shared" si="37"/>
        <v/>
      </c>
      <c r="CM23" s="65" t="e">
        <f t="shared" si="41"/>
        <v>#VALUE!</v>
      </c>
      <c r="CN23" s="62">
        <v>0</v>
      </c>
      <c r="CO23" s="62">
        <v>0</v>
      </c>
      <c r="CP23" s="68"/>
      <c r="CQ23" s="67" t="str">
        <f t="shared" si="38"/>
        <v/>
      </c>
      <c r="CR23" s="68"/>
      <c r="CS23" s="67" t="str">
        <f t="shared" si="38"/>
        <v/>
      </c>
      <c r="CT23" s="75"/>
      <c r="CU23" s="67" t="str">
        <f t="shared" si="38"/>
        <v/>
      </c>
      <c r="CV23" s="68"/>
      <c r="CW23" s="67" t="str">
        <f t="shared" si="38"/>
        <v/>
      </c>
    </row>
    <row r="24" spans="1:101" ht="25.5" customHeight="1" thickBot="1" x14ac:dyDescent="0.45">
      <c r="A24" s="63">
        <v>44429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44430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44431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44432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44433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44434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44435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44436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44437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44438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44439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P28" sqref="P28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  <c r="T4" t="s">
        <v>144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44408</v>
      </c>
      <c r="B7" s="40">
        <v>0</v>
      </c>
      <c r="C7" s="40">
        <v>14</v>
      </c>
      <c r="D7" s="40">
        <v>48</v>
      </c>
      <c r="E7" s="41">
        <v>85</v>
      </c>
      <c r="F7" s="41">
        <v>5530</v>
      </c>
      <c r="G7" s="41">
        <v>0</v>
      </c>
      <c r="H7" s="41">
        <v>1628</v>
      </c>
      <c r="I7" s="41">
        <v>80</v>
      </c>
      <c r="J7" s="41">
        <v>385</v>
      </c>
      <c r="K7" s="42">
        <v>85</v>
      </c>
      <c r="L7" s="42">
        <v>35</v>
      </c>
      <c r="M7" s="42">
        <v>1379</v>
      </c>
      <c r="N7" s="39">
        <v>15</v>
      </c>
      <c r="O7" s="39">
        <v>0</v>
      </c>
      <c r="P7" s="39">
        <v>85</v>
      </c>
      <c r="Q7" s="39">
        <v>4003</v>
      </c>
      <c r="R7" s="78">
        <v>70</v>
      </c>
      <c r="S7" s="78">
        <v>200</v>
      </c>
    </row>
    <row r="8" spans="1:20" x14ac:dyDescent="0.25">
      <c r="A8" s="73">
        <v>44409</v>
      </c>
      <c r="B8" s="40">
        <v>0</v>
      </c>
      <c r="C8" s="40">
        <v>13</v>
      </c>
      <c r="D8" s="40">
        <v>44</v>
      </c>
      <c r="E8" s="41">
        <v>85</v>
      </c>
      <c r="F8" s="41">
        <v>5536</v>
      </c>
      <c r="G8" s="41">
        <v>0</v>
      </c>
      <c r="H8" s="41">
        <v>1632</v>
      </c>
      <c r="I8" s="41">
        <v>65</v>
      </c>
      <c r="J8" s="41">
        <v>386</v>
      </c>
      <c r="K8" s="42">
        <v>85</v>
      </c>
      <c r="L8" s="42">
        <v>35</v>
      </c>
      <c r="M8" s="42">
        <v>1380</v>
      </c>
      <c r="N8" s="39">
        <v>10</v>
      </c>
      <c r="O8" s="39">
        <v>0</v>
      </c>
      <c r="P8" s="39">
        <v>85</v>
      </c>
      <c r="Q8" s="39">
        <v>4007</v>
      </c>
      <c r="R8" s="78">
        <v>70</v>
      </c>
      <c r="S8" s="78">
        <v>200</v>
      </c>
      <c r="T8">
        <f>S8-S7</f>
        <v>0</v>
      </c>
    </row>
    <row r="9" spans="1:20" x14ac:dyDescent="0.25">
      <c r="A9" s="73">
        <v>44410</v>
      </c>
      <c r="B9" s="40">
        <v>0</v>
      </c>
      <c r="C9" s="40">
        <v>13</v>
      </c>
      <c r="D9" s="40">
        <v>44</v>
      </c>
      <c r="E9" s="41">
        <v>85</v>
      </c>
      <c r="F9" s="41">
        <v>5540</v>
      </c>
      <c r="G9" s="41">
        <v>0</v>
      </c>
      <c r="H9" s="41">
        <v>1634</v>
      </c>
      <c r="I9" s="41">
        <v>55</v>
      </c>
      <c r="J9" s="41">
        <v>388</v>
      </c>
      <c r="K9" s="42">
        <v>85</v>
      </c>
      <c r="L9" s="42">
        <v>35</v>
      </c>
      <c r="M9" s="42">
        <v>1382</v>
      </c>
      <c r="N9" s="39">
        <v>10</v>
      </c>
      <c r="O9" s="39">
        <v>0</v>
      </c>
      <c r="P9" s="39">
        <v>85</v>
      </c>
      <c r="Q9" s="39">
        <v>4011</v>
      </c>
      <c r="R9" s="78">
        <v>70</v>
      </c>
      <c r="S9" s="78">
        <v>200</v>
      </c>
      <c r="T9">
        <f t="shared" ref="T9:T39" si="0">S9-S8</f>
        <v>0</v>
      </c>
    </row>
    <row r="10" spans="1:20" x14ac:dyDescent="0.25">
      <c r="A10" s="73">
        <v>44411</v>
      </c>
      <c r="B10" s="40">
        <v>0</v>
      </c>
      <c r="C10" s="40">
        <v>15</v>
      </c>
      <c r="D10" s="40">
        <v>47</v>
      </c>
      <c r="E10" s="41">
        <v>85</v>
      </c>
      <c r="F10" s="41">
        <v>5545</v>
      </c>
      <c r="G10" s="41">
        <v>0</v>
      </c>
      <c r="H10" s="41">
        <v>1636</v>
      </c>
      <c r="I10" s="41">
        <v>45</v>
      </c>
      <c r="J10" s="41">
        <v>389</v>
      </c>
      <c r="K10" s="42">
        <v>85</v>
      </c>
      <c r="L10" s="42">
        <v>35</v>
      </c>
      <c r="M10" s="42">
        <v>1382</v>
      </c>
      <c r="N10" s="39">
        <v>10</v>
      </c>
      <c r="O10" s="39">
        <v>0</v>
      </c>
      <c r="P10" s="39">
        <v>85</v>
      </c>
      <c r="Q10" s="39">
        <v>4013</v>
      </c>
      <c r="R10" s="78">
        <v>70</v>
      </c>
      <c r="S10" s="78">
        <v>200</v>
      </c>
      <c r="T10">
        <f t="shared" si="0"/>
        <v>0</v>
      </c>
    </row>
    <row r="11" spans="1:20" x14ac:dyDescent="0.25">
      <c r="A11" s="73">
        <v>44412</v>
      </c>
      <c r="B11" s="40">
        <v>0</v>
      </c>
      <c r="C11" s="40">
        <v>15</v>
      </c>
      <c r="D11" s="40">
        <v>47</v>
      </c>
      <c r="E11" s="41">
        <v>85</v>
      </c>
      <c r="F11" s="41">
        <v>5551</v>
      </c>
      <c r="G11" s="41">
        <v>0</v>
      </c>
      <c r="H11" s="41">
        <v>1637</v>
      </c>
      <c r="I11" s="41">
        <v>35</v>
      </c>
      <c r="J11" s="41">
        <v>390</v>
      </c>
      <c r="K11" s="42">
        <v>85</v>
      </c>
      <c r="L11" s="42">
        <v>30</v>
      </c>
      <c r="M11" s="42">
        <v>1384</v>
      </c>
      <c r="N11" s="39">
        <v>5</v>
      </c>
      <c r="O11" s="39">
        <v>0</v>
      </c>
      <c r="P11" s="39">
        <v>85</v>
      </c>
      <c r="Q11" s="39">
        <v>4018</v>
      </c>
      <c r="R11" s="78">
        <v>70</v>
      </c>
      <c r="S11" s="78">
        <v>200</v>
      </c>
      <c r="T11">
        <f t="shared" si="0"/>
        <v>0</v>
      </c>
    </row>
    <row r="12" spans="1:20" x14ac:dyDescent="0.25">
      <c r="A12" s="73">
        <v>44413</v>
      </c>
      <c r="B12" s="40">
        <v>0</v>
      </c>
      <c r="C12" s="40">
        <v>15</v>
      </c>
      <c r="D12" s="40">
        <v>47</v>
      </c>
      <c r="E12" s="41">
        <v>85</v>
      </c>
      <c r="F12" s="41">
        <v>5556</v>
      </c>
      <c r="G12" s="41">
        <v>0</v>
      </c>
      <c r="H12" s="41">
        <v>1639</v>
      </c>
      <c r="I12" s="41">
        <v>20</v>
      </c>
      <c r="J12" s="41">
        <v>391</v>
      </c>
      <c r="K12" s="42">
        <v>85</v>
      </c>
      <c r="L12" s="42">
        <v>30</v>
      </c>
      <c r="M12" s="42">
        <v>1384</v>
      </c>
      <c r="N12" s="39">
        <v>5</v>
      </c>
      <c r="O12" s="39">
        <v>0</v>
      </c>
      <c r="P12" s="39">
        <v>85</v>
      </c>
      <c r="Q12" s="39">
        <v>4022</v>
      </c>
      <c r="R12" s="78">
        <v>50</v>
      </c>
      <c r="S12" s="78">
        <v>200</v>
      </c>
      <c r="T12">
        <f t="shared" si="0"/>
        <v>0</v>
      </c>
    </row>
    <row r="13" spans="1:20" x14ac:dyDescent="0.25">
      <c r="A13" s="73">
        <v>44414</v>
      </c>
      <c r="B13" s="40">
        <v>0</v>
      </c>
      <c r="C13" s="40">
        <v>20</v>
      </c>
      <c r="D13" s="40">
        <v>66</v>
      </c>
      <c r="E13" s="41">
        <v>85</v>
      </c>
      <c r="F13" s="41">
        <v>5564</v>
      </c>
      <c r="G13" s="41">
        <v>0</v>
      </c>
      <c r="H13" s="41">
        <v>1642</v>
      </c>
      <c r="I13" s="41">
        <v>10</v>
      </c>
      <c r="J13" s="41">
        <v>393</v>
      </c>
      <c r="K13" s="42">
        <v>85</v>
      </c>
      <c r="L13" s="42">
        <v>30</v>
      </c>
      <c r="M13" s="42">
        <v>1386</v>
      </c>
      <c r="N13" s="39">
        <v>0</v>
      </c>
      <c r="O13" s="39">
        <v>0</v>
      </c>
      <c r="P13" s="39">
        <v>80</v>
      </c>
      <c r="Q13" s="39">
        <v>4025</v>
      </c>
      <c r="R13" s="78">
        <v>50</v>
      </c>
      <c r="S13" s="78">
        <v>212</v>
      </c>
      <c r="T13">
        <f t="shared" si="0"/>
        <v>12</v>
      </c>
    </row>
    <row r="14" spans="1:20" x14ac:dyDescent="0.25">
      <c r="A14" s="73">
        <v>44415</v>
      </c>
      <c r="B14" s="40">
        <v>0</v>
      </c>
      <c r="C14" s="40">
        <v>20</v>
      </c>
      <c r="D14" s="40">
        <v>66</v>
      </c>
      <c r="E14" s="41">
        <v>80</v>
      </c>
      <c r="F14" s="41">
        <v>5571</v>
      </c>
      <c r="G14" s="41">
        <v>0</v>
      </c>
      <c r="H14" s="41">
        <v>1645</v>
      </c>
      <c r="I14" s="41">
        <v>10</v>
      </c>
      <c r="J14" s="41">
        <v>394</v>
      </c>
      <c r="K14" s="42">
        <v>85</v>
      </c>
      <c r="L14" s="42">
        <v>25</v>
      </c>
      <c r="M14" s="42">
        <v>1387</v>
      </c>
      <c r="N14" s="39">
        <v>0</v>
      </c>
      <c r="O14" s="39">
        <v>0</v>
      </c>
      <c r="P14" s="39">
        <v>80</v>
      </c>
      <c r="Q14" s="39">
        <v>4028</v>
      </c>
      <c r="R14" s="78">
        <v>50</v>
      </c>
      <c r="S14" s="78">
        <v>214</v>
      </c>
      <c r="T14">
        <f t="shared" si="0"/>
        <v>2</v>
      </c>
    </row>
    <row r="15" spans="1:20" x14ac:dyDescent="0.25">
      <c r="A15" s="73">
        <v>44416</v>
      </c>
      <c r="B15" s="40">
        <v>0</v>
      </c>
      <c r="C15" s="40">
        <v>0</v>
      </c>
      <c r="D15" s="40">
        <v>0</v>
      </c>
      <c r="E15" s="41">
        <v>65</v>
      </c>
      <c r="F15" s="41">
        <v>5578</v>
      </c>
      <c r="G15" s="41">
        <v>0</v>
      </c>
      <c r="H15" s="41">
        <v>1647</v>
      </c>
      <c r="I15" s="41">
        <v>5</v>
      </c>
      <c r="J15" s="41">
        <v>395</v>
      </c>
      <c r="K15" s="42">
        <v>85</v>
      </c>
      <c r="L15" s="42">
        <v>25</v>
      </c>
      <c r="M15" s="42">
        <v>1388</v>
      </c>
      <c r="N15" s="39">
        <v>0</v>
      </c>
      <c r="O15" s="39">
        <v>0</v>
      </c>
      <c r="P15" s="39">
        <v>75</v>
      </c>
      <c r="Q15" s="39">
        <v>4032</v>
      </c>
      <c r="R15" s="78">
        <v>45</v>
      </c>
      <c r="S15" s="78">
        <v>217</v>
      </c>
      <c r="T15">
        <f t="shared" si="0"/>
        <v>3</v>
      </c>
    </row>
    <row r="16" spans="1:20" x14ac:dyDescent="0.25">
      <c r="A16" s="73">
        <v>44417</v>
      </c>
      <c r="B16" s="40">
        <v>0</v>
      </c>
      <c r="C16" s="40">
        <v>0</v>
      </c>
      <c r="D16" s="40">
        <v>0</v>
      </c>
      <c r="E16" s="41">
        <v>50</v>
      </c>
      <c r="F16" s="41">
        <v>5586</v>
      </c>
      <c r="G16" s="41">
        <v>0</v>
      </c>
      <c r="H16" s="41">
        <v>1649</v>
      </c>
      <c r="I16" s="41">
        <v>0</v>
      </c>
      <c r="J16" s="41">
        <v>396</v>
      </c>
      <c r="K16" s="42">
        <v>85</v>
      </c>
      <c r="L16" s="42">
        <v>25</v>
      </c>
      <c r="M16" s="42">
        <v>1390</v>
      </c>
      <c r="N16" s="39">
        <v>0</v>
      </c>
      <c r="O16" s="39">
        <v>0</v>
      </c>
      <c r="P16" s="39">
        <v>70</v>
      </c>
      <c r="Q16" s="39">
        <v>4036</v>
      </c>
      <c r="R16" s="78">
        <v>45</v>
      </c>
      <c r="S16" s="78">
        <v>217</v>
      </c>
      <c r="T16">
        <f t="shared" si="0"/>
        <v>0</v>
      </c>
    </row>
    <row r="17" spans="1:20" x14ac:dyDescent="0.25">
      <c r="A17" s="73">
        <v>44418</v>
      </c>
      <c r="B17" s="40">
        <v>0</v>
      </c>
      <c r="C17" s="40">
        <v>0</v>
      </c>
      <c r="D17" s="40">
        <v>0</v>
      </c>
      <c r="E17" s="41">
        <v>40</v>
      </c>
      <c r="F17" s="41">
        <v>5592</v>
      </c>
      <c r="G17" s="41">
        <v>0</v>
      </c>
      <c r="H17" s="41">
        <v>1651</v>
      </c>
      <c r="I17" s="41">
        <v>0</v>
      </c>
      <c r="J17" s="41">
        <v>397</v>
      </c>
      <c r="K17" s="42">
        <v>85</v>
      </c>
      <c r="L17" s="42">
        <v>25</v>
      </c>
      <c r="M17" s="42">
        <v>1390</v>
      </c>
      <c r="N17" s="39">
        <v>0</v>
      </c>
      <c r="O17" s="39">
        <v>0</v>
      </c>
      <c r="P17" s="39">
        <v>65</v>
      </c>
      <c r="Q17" s="39">
        <v>4038</v>
      </c>
      <c r="R17" s="78">
        <v>45</v>
      </c>
      <c r="S17" s="78">
        <v>217</v>
      </c>
      <c r="T17">
        <f t="shared" si="0"/>
        <v>0</v>
      </c>
    </row>
    <row r="18" spans="1:20" x14ac:dyDescent="0.25">
      <c r="A18" s="73">
        <v>44419</v>
      </c>
      <c r="B18" s="40">
        <v>0</v>
      </c>
      <c r="C18" s="40">
        <v>10</v>
      </c>
      <c r="D18" s="40">
        <v>29</v>
      </c>
      <c r="E18" s="41">
        <v>30</v>
      </c>
      <c r="F18" s="41">
        <v>5597</v>
      </c>
      <c r="G18" s="41">
        <v>0</v>
      </c>
      <c r="H18" s="41">
        <v>1653</v>
      </c>
      <c r="I18" s="41">
        <v>0</v>
      </c>
      <c r="J18" s="41">
        <v>398</v>
      </c>
      <c r="K18" s="42">
        <v>85</v>
      </c>
      <c r="L18" s="42">
        <v>20</v>
      </c>
      <c r="M18" s="42">
        <v>1392</v>
      </c>
      <c r="N18" s="39">
        <v>0</v>
      </c>
      <c r="O18" s="39">
        <v>0</v>
      </c>
      <c r="P18" s="39">
        <v>60</v>
      </c>
      <c r="Q18" s="39">
        <v>4042</v>
      </c>
      <c r="R18" s="78">
        <v>45</v>
      </c>
      <c r="S18" s="78">
        <v>217</v>
      </c>
      <c r="T18">
        <f t="shared" si="0"/>
        <v>0</v>
      </c>
    </row>
    <row r="19" spans="1:20" x14ac:dyDescent="0.25">
      <c r="A19" s="73">
        <v>44420</v>
      </c>
      <c r="B19" s="40">
        <v>0</v>
      </c>
      <c r="C19" s="40">
        <v>10</v>
      </c>
      <c r="D19" s="40">
        <v>29</v>
      </c>
      <c r="E19" s="41">
        <v>25</v>
      </c>
      <c r="F19" s="41">
        <v>5602</v>
      </c>
      <c r="G19" s="41">
        <v>85</v>
      </c>
      <c r="H19" s="41">
        <v>1656</v>
      </c>
      <c r="I19" s="41">
        <v>0</v>
      </c>
      <c r="J19" s="41">
        <v>400</v>
      </c>
      <c r="K19" s="42">
        <v>85</v>
      </c>
      <c r="L19" s="42">
        <v>20</v>
      </c>
      <c r="M19" s="42">
        <v>1392</v>
      </c>
      <c r="N19" s="39">
        <v>0</v>
      </c>
      <c r="O19" s="39">
        <v>0</v>
      </c>
      <c r="P19" s="39">
        <v>55</v>
      </c>
      <c r="Q19" s="39">
        <v>4045</v>
      </c>
      <c r="R19" s="78">
        <v>45</v>
      </c>
      <c r="S19" s="78">
        <v>217</v>
      </c>
      <c r="T19">
        <f t="shared" si="0"/>
        <v>0</v>
      </c>
    </row>
    <row r="20" spans="1:20" x14ac:dyDescent="0.25">
      <c r="A20" s="73">
        <v>44421</v>
      </c>
      <c r="B20" s="40">
        <v>0</v>
      </c>
      <c r="C20" s="40">
        <v>12</v>
      </c>
      <c r="D20" s="40">
        <v>32</v>
      </c>
      <c r="E20" s="41">
        <v>25</v>
      </c>
      <c r="F20" s="41">
        <v>5610</v>
      </c>
      <c r="G20" s="41">
        <v>70</v>
      </c>
      <c r="H20" s="41">
        <v>1658</v>
      </c>
      <c r="I20" s="41">
        <v>0</v>
      </c>
      <c r="J20" s="41">
        <v>401</v>
      </c>
      <c r="K20" s="42">
        <v>85</v>
      </c>
      <c r="L20" s="42">
        <v>20</v>
      </c>
      <c r="M20" s="42">
        <v>1393</v>
      </c>
      <c r="N20" s="39">
        <v>0</v>
      </c>
      <c r="O20" s="39">
        <v>0</v>
      </c>
      <c r="P20" s="39">
        <v>55</v>
      </c>
      <c r="Q20" s="39">
        <v>4049</v>
      </c>
      <c r="R20" s="78">
        <v>45</v>
      </c>
      <c r="S20" s="78">
        <v>217</v>
      </c>
      <c r="T20">
        <f t="shared" si="0"/>
        <v>0</v>
      </c>
    </row>
    <row r="21" spans="1:20" x14ac:dyDescent="0.25">
      <c r="A21" s="73">
        <v>44422</v>
      </c>
      <c r="B21" s="40">
        <v>0</v>
      </c>
      <c r="C21" s="40">
        <v>12</v>
      </c>
      <c r="D21" s="40">
        <v>32</v>
      </c>
      <c r="E21" s="41">
        <v>25</v>
      </c>
      <c r="F21" s="41">
        <v>5616</v>
      </c>
      <c r="G21" s="41">
        <v>60</v>
      </c>
      <c r="H21" s="41">
        <v>1666</v>
      </c>
      <c r="I21" s="41">
        <v>0</v>
      </c>
      <c r="J21" s="41">
        <v>402</v>
      </c>
      <c r="K21" s="42">
        <v>85</v>
      </c>
      <c r="L21" s="42">
        <v>20</v>
      </c>
      <c r="M21" s="42">
        <v>1393</v>
      </c>
      <c r="N21" s="39">
        <v>0</v>
      </c>
      <c r="O21" s="39">
        <v>0</v>
      </c>
      <c r="P21" s="39">
        <v>50</v>
      </c>
      <c r="Q21" s="39">
        <v>4054</v>
      </c>
      <c r="R21" s="78">
        <v>45</v>
      </c>
      <c r="S21" s="78">
        <v>217</v>
      </c>
      <c r="T21">
        <f t="shared" si="0"/>
        <v>0</v>
      </c>
    </row>
    <row r="22" spans="1:20" x14ac:dyDescent="0.25">
      <c r="A22" s="73">
        <v>44423</v>
      </c>
      <c r="B22" s="40">
        <v>0</v>
      </c>
      <c r="C22" s="40">
        <v>16</v>
      </c>
      <c r="D22" s="40">
        <v>40</v>
      </c>
      <c r="E22" s="41">
        <v>20</v>
      </c>
      <c r="F22" s="41">
        <v>5621</v>
      </c>
      <c r="G22" s="41">
        <v>45</v>
      </c>
      <c r="H22" s="41">
        <v>1662</v>
      </c>
      <c r="I22" s="41">
        <v>0</v>
      </c>
      <c r="J22" s="41">
        <v>403</v>
      </c>
      <c r="K22" s="42">
        <v>85</v>
      </c>
      <c r="L22" s="42">
        <v>19</v>
      </c>
      <c r="M22" s="42">
        <v>1395</v>
      </c>
      <c r="N22" s="39">
        <v>0</v>
      </c>
      <c r="O22" s="39">
        <v>0</v>
      </c>
      <c r="P22" s="39">
        <v>45</v>
      </c>
      <c r="Q22" s="39">
        <v>4059</v>
      </c>
      <c r="R22" s="78">
        <v>45</v>
      </c>
      <c r="S22" s="78">
        <v>217</v>
      </c>
      <c r="T22">
        <f t="shared" si="0"/>
        <v>0</v>
      </c>
    </row>
    <row r="23" spans="1:20" x14ac:dyDescent="0.25">
      <c r="A23" s="73">
        <v>44424</v>
      </c>
      <c r="B23" s="40">
        <v>0</v>
      </c>
      <c r="C23" s="40">
        <v>16</v>
      </c>
      <c r="D23" s="40">
        <v>42</v>
      </c>
      <c r="E23" s="41">
        <v>20</v>
      </c>
      <c r="F23" s="41">
        <v>5629</v>
      </c>
      <c r="G23" s="41">
        <v>35</v>
      </c>
      <c r="H23" s="41">
        <v>1664</v>
      </c>
      <c r="I23" s="41">
        <v>0</v>
      </c>
      <c r="J23" s="41">
        <v>403</v>
      </c>
      <c r="K23" s="42">
        <v>85</v>
      </c>
      <c r="L23" s="42">
        <v>15</v>
      </c>
      <c r="M23" s="42">
        <v>1395</v>
      </c>
      <c r="N23" s="39">
        <v>0</v>
      </c>
      <c r="O23" s="39">
        <v>0</v>
      </c>
      <c r="P23" s="39">
        <v>35</v>
      </c>
      <c r="Q23" s="39">
        <v>4064</v>
      </c>
      <c r="R23" s="78">
        <v>45</v>
      </c>
      <c r="S23" s="78">
        <v>217</v>
      </c>
      <c r="T23">
        <f t="shared" si="0"/>
        <v>0</v>
      </c>
    </row>
    <row r="24" spans="1:20" x14ac:dyDescent="0.25">
      <c r="A24" s="73">
        <v>44425</v>
      </c>
      <c r="B24" s="40">
        <v>0</v>
      </c>
      <c r="C24" s="40">
        <v>10</v>
      </c>
      <c r="D24" s="40">
        <v>20</v>
      </c>
      <c r="E24" s="41">
        <v>20</v>
      </c>
      <c r="F24" s="41">
        <v>5633</v>
      </c>
      <c r="G24" s="41">
        <v>25</v>
      </c>
      <c r="H24" s="41">
        <v>1666</v>
      </c>
      <c r="I24" s="41">
        <v>0</v>
      </c>
      <c r="J24" s="41">
        <v>403</v>
      </c>
      <c r="K24" s="42">
        <v>85</v>
      </c>
      <c r="L24" s="42">
        <v>15</v>
      </c>
      <c r="M24" s="42">
        <v>1395</v>
      </c>
      <c r="N24" s="39">
        <v>0</v>
      </c>
      <c r="O24" s="39">
        <v>0</v>
      </c>
      <c r="P24" s="39">
        <v>30</v>
      </c>
      <c r="Q24" s="39">
        <v>4067</v>
      </c>
      <c r="R24" s="78">
        <v>45</v>
      </c>
      <c r="S24" s="78">
        <v>217</v>
      </c>
      <c r="T24">
        <f t="shared" si="0"/>
        <v>0</v>
      </c>
    </row>
    <row r="25" spans="1:20" x14ac:dyDescent="0.25">
      <c r="A25" s="73">
        <v>44426</v>
      </c>
      <c r="B25" s="40">
        <v>0</v>
      </c>
      <c r="C25" s="40">
        <v>10</v>
      </c>
      <c r="D25" s="40">
        <v>20</v>
      </c>
      <c r="E25" s="41">
        <v>20</v>
      </c>
      <c r="F25" s="41">
        <v>5642</v>
      </c>
      <c r="G25" s="41">
        <v>10</v>
      </c>
      <c r="H25" s="41">
        <v>1669</v>
      </c>
      <c r="I25" s="41">
        <v>0</v>
      </c>
      <c r="J25" s="41">
        <v>405</v>
      </c>
      <c r="K25" s="42">
        <v>85</v>
      </c>
      <c r="L25" s="42">
        <v>15</v>
      </c>
      <c r="M25" s="42">
        <v>1398</v>
      </c>
      <c r="N25" s="39">
        <v>0</v>
      </c>
      <c r="O25" s="39">
        <v>0</v>
      </c>
      <c r="P25" s="39">
        <v>25</v>
      </c>
      <c r="Q25" s="39">
        <v>4073</v>
      </c>
      <c r="R25" s="78">
        <v>45</v>
      </c>
      <c r="S25" s="78">
        <v>217</v>
      </c>
      <c r="T25">
        <f t="shared" si="0"/>
        <v>0</v>
      </c>
    </row>
    <row r="26" spans="1:20" x14ac:dyDescent="0.25">
      <c r="A26" s="73">
        <v>44427</v>
      </c>
      <c r="B26" s="40">
        <v>0</v>
      </c>
      <c r="C26" s="40">
        <v>10</v>
      </c>
      <c r="D26" s="40">
        <v>20</v>
      </c>
      <c r="E26" s="41">
        <v>20</v>
      </c>
      <c r="F26" s="41">
        <v>5643</v>
      </c>
      <c r="G26" s="41">
        <v>10</v>
      </c>
      <c r="H26" s="41">
        <v>1670</v>
      </c>
      <c r="I26" s="41">
        <v>0</v>
      </c>
      <c r="J26" s="41">
        <v>406</v>
      </c>
      <c r="K26" s="42">
        <v>85</v>
      </c>
      <c r="L26" s="42">
        <v>14</v>
      </c>
      <c r="M26" s="42">
        <v>1398</v>
      </c>
      <c r="N26" s="39">
        <v>0</v>
      </c>
      <c r="O26" s="39">
        <v>0</v>
      </c>
      <c r="P26" s="39">
        <v>25</v>
      </c>
      <c r="Q26" s="39">
        <v>4074</v>
      </c>
      <c r="R26" s="78">
        <v>45</v>
      </c>
      <c r="S26" s="78">
        <v>217</v>
      </c>
      <c r="T26">
        <f t="shared" si="0"/>
        <v>0</v>
      </c>
    </row>
    <row r="27" spans="1:20" x14ac:dyDescent="0.25">
      <c r="A27" s="73">
        <v>44428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-217</v>
      </c>
    </row>
    <row r="28" spans="1:20" x14ac:dyDescent="0.25">
      <c r="A28" s="73">
        <v>44429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44430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44431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44432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44433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44434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44435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44436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44437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44438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44439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44440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2021-08-20T19:50:46Z</dcterms:modified>
</cp:coreProperties>
</file>