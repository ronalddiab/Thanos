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 calcMode="manual"/>
</workbook>
</file>

<file path=xl/calcChain.xml><?xml version="1.0" encoding="utf-8"?>
<calcChain xmlns="http://schemas.openxmlformats.org/spreadsheetml/2006/main"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<sst xmlns="http://schemas.openxmlformats.org/spreadsheetml/2006/main" count="105" uniqueCount="38">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</sst>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12" sqref="M1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v>0</v>
      </c>
      <c r="F3" s="22">
        <v>0.11799999999999999</v>
      </c>
      <c r="G3" s="24">
        <v>0</v>
      </c>
      <c r="H3" s="22">
        <v>0.99</v>
      </c>
      <c r="I3" s="24">
        <v>0</v>
      </c>
      <c r="J3" s="22">
        <v>8.1000000000000003E-2</v>
      </c>
      <c r="K3" s="56">
        <v>0</v>
      </c>
      <c r="L3" s="24">
        <v>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0</v>
      </c>
      <c r="F4" s="22">
        <v>0.11799999999999999</v>
      </c>
      <c r="G4" s="24">
        <f>(('09 - 2020'!E10-'09 - 2020'!E9)+('09 - 2020'!F10-'09 - 2020'!F9)+('09 - 2020'!G10-'09 - 2020'!G9))*1.81</f>
        <v>0</v>
      </c>
      <c r="H4" s="22">
        <v>0.99</v>
      </c>
      <c r="I4" s="24">
        <f>'09 - 2020'!J10-'09 - 2020'!J9</f>
        <v>0</v>
      </c>
      <c r="J4" s="22">
        <v>8.1000000000000003E-2</v>
      </c>
      <c r="K4" s="56">
        <f>'09 - 2020'!H10-'09 - 2020'!H9</f>
        <v>0</v>
      </c>
      <c r="L4" s="24">
        <f>'09 - 2020'!I10-'09 - 2020'!I9</f>
        <v>0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0</v>
      </c>
      <c r="F5" s="22">
        <v>0.11799999999999999</v>
      </c>
      <c r="G5" s="24">
        <f>(('09 - 2020'!E11-'09 - 2020'!E10)+('09 - 2020'!F11-'09 - 2020'!F10)+('09 - 2020'!G11-'09 - 2020'!G10))*1.81</f>
        <v>0</v>
      </c>
      <c r="H5" s="22">
        <v>0.99</v>
      </c>
      <c r="I5" s="24">
        <f>'09 - 2020'!J11-'09 - 2020'!J10</f>
        <v>0</v>
      </c>
      <c r="J5" s="22">
        <v>8.1000000000000003E-2</v>
      </c>
      <c r="K5" s="56">
        <f>'09 - 2020'!H11-'09 - 2020'!H10</f>
        <v>0</v>
      </c>
      <c r="L5" s="24">
        <f>'09 - 2020'!I11-'09 - 2020'!I10</f>
        <v>0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0</v>
      </c>
      <c r="F6" s="22">
        <v>0.11799999999999999</v>
      </c>
      <c r="G6" s="24">
        <f>(('09 - 2020'!E12-'09 - 2020'!E11)+('09 - 2020'!F12-'09 - 2020'!F11)+('09 - 2020'!G12-'09 - 2020'!G11))*1.81</f>
        <v>0</v>
      </c>
      <c r="H6" s="22">
        <v>0.99</v>
      </c>
      <c r="I6" s="24">
        <f>'09 - 2020'!J12-'09 - 2020'!J11</f>
        <v>0</v>
      </c>
      <c r="J6" s="22">
        <v>8.1000000000000003E-2</v>
      </c>
      <c r="K6" s="56">
        <f>'09 - 2020'!H12-'09 - 2020'!H11</f>
        <v>0</v>
      </c>
      <c r="L6" s="24">
        <f>'09 - 2020'!I12-'09 - 2020'!I11</f>
        <v>0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0</v>
      </c>
      <c r="F7" s="22">
        <v>0.11799999999999999</v>
      </c>
      <c r="G7" s="24">
        <f>(('09 - 2020'!E13-'09 - 2020'!E12)+('09 - 2020'!F13-'09 - 2020'!F12)+('09 - 2020'!G13-'09 - 2020'!G12))*1.81</f>
        <v>0</v>
      </c>
      <c r="H7" s="22">
        <v>0.99</v>
      </c>
      <c r="I7" s="24">
        <f>'09 - 2020'!J13-'09 - 2020'!J12</f>
        <v>0</v>
      </c>
      <c r="J7" s="22">
        <v>8.1000000000000003E-2</v>
      </c>
      <c r="K7" s="56">
        <f>'09 - 2020'!H13-'09 - 2020'!H12</f>
        <v>0</v>
      </c>
      <c r="L7" s="24">
        <f>'09 - 2020'!I13-'09 - 2020'!I12</f>
        <v>0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0</v>
      </c>
      <c r="F8" s="22">
        <v>0.11799999999999999</v>
      </c>
      <c r="G8" s="24">
        <f>(('09 - 2020'!E14-'09 - 2020'!E13)+('09 - 2020'!F14-'09 - 2020'!F13)+('09 - 2020'!G14-'09 - 2020'!G13))*1.81</f>
        <v>0</v>
      </c>
      <c r="H8" s="22">
        <v>0.99</v>
      </c>
      <c r="I8" s="24">
        <f>'09 - 2020'!J14-'09 - 2020'!J13</f>
        <v>0</v>
      </c>
      <c r="J8" s="22">
        <v>8.1000000000000003E-2</v>
      </c>
      <c r="K8" s="56">
        <f>'09 - 2020'!H14-'09 - 2020'!H13</f>
        <v>0</v>
      </c>
      <c r="L8" s="24">
        <f>'09 - 2020'!I14-'09 - 2020'!I13</f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0</v>
      </c>
      <c r="F9" s="22">
        <v>0.11799999999999999</v>
      </c>
      <c r="G9" s="24">
        <f>(('09 - 2020'!E15-'09 - 2020'!E14)+('09 - 2020'!F15-'09 - 2020'!F14)+('09 - 2020'!G15-'09 - 2020'!G14))*1.81</f>
        <v>0</v>
      </c>
      <c r="H9" s="22">
        <v>0.99</v>
      </c>
      <c r="I9" s="24">
        <f>'09 - 2020'!J15-'09 - 2020'!J14</f>
        <v>0</v>
      </c>
      <c r="J9" s="22">
        <v>8.1000000000000003E-2</v>
      </c>
      <c r="K9" s="56">
        <f>'09 - 2020'!H15-'09 - 2020'!H14</f>
        <v>0</v>
      </c>
      <c r="L9" s="24">
        <f>'09 - 2020'!I15-'09 - 2020'!I14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0</v>
      </c>
      <c r="F10" s="22">
        <v>0.11799999999999999</v>
      </c>
      <c r="G10" s="24">
        <f>(('09 - 2020'!E16-'09 - 2020'!E15)+('09 - 2020'!F16-'09 - 2020'!F15)+('09 - 2020'!G16-'09 - 2020'!G15))*1.81</f>
        <v>0</v>
      </c>
      <c r="H10" s="22">
        <v>0.99</v>
      </c>
      <c r="I10" s="24">
        <f>'09 - 2020'!J16-'09 - 2020'!J15</f>
        <v>0</v>
      </c>
      <c r="J10" s="22">
        <v>8.1000000000000003E-2</v>
      </c>
      <c r="K10" s="56">
        <f>'09 - 2020'!H16-'09 - 2020'!H15</f>
        <v>0</v>
      </c>
      <c r="L10" s="24">
        <f>'09 - 2020'!I16-'09 - 2020'!I15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0</v>
      </c>
      <c r="F11" s="22">
        <v>0.11799999999999999</v>
      </c>
      <c r="G11" s="24">
        <f>(('09 - 2020'!E17-'09 - 2020'!E16)+('09 - 2020'!F17-'09 - 2020'!F16)+('09 - 2020'!G17-'09 - 2020'!G16))*1.81</f>
        <v>0</v>
      </c>
      <c r="H11" s="22">
        <v>0.99</v>
      </c>
      <c r="I11" s="24">
        <f>'09 - 2020'!J17-'09 - 2020'!J16</f>
        <v>0</v>
      </c>
      <c r="J11" s="22">
        <v>8.1000000000000003E-2</v>
      </c>
      <c r="K11" s="56">
        <f>'09 - 2020'!H17-'09 - 2020'!H16</f>
        <v>0</v>
      </c>
      <c r="L11" s="24">
        <f>'09 - 2020'!I17-'09 - 2020'!I16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9" sqref="J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v>0</v>
      </c>
      <c r="F3" s="24">
        <v>0</v>
      </c>
      <c r="G3" s="22">
        <v>0.11799999999999999</v>
      </c>
      <c r="H3" s="24">
        <v>0</v>
      </c>
      <c r="I3" s="24">
        <v>0</v>
      </c>
      <c r="J3" s="24">
        <v>0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0</v>
      </c>
      <c r="F4" s="24">
        <f>'09 - 2020'!C10-'09 - 2020'!C9</f>
        <v>0</v>
      </c>
      <c r="G4" s="22">
        <v>0.11799999999999999</v>
      </c>
      <c r="H4" s="24">
        <f>'09 - 2020'!E10-'09 - 2020'!E9</f>
        <v>0</v>
      </c>
      <c r="I4" s="24">
        <f>'09 - 2020'!F10-'09 - 2020'!F9</f>
        <v>0</v>
      </c>
      <c r="J4" s="24">
        <f>'09 - 2020'!G10-'09 - 2020'!G9</f>
        <v>0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0</v>
      </c>
      <c r="F5" s="24">
        <f>'09 - 2020'!C11-'09 - 2020'!C10</f>
        <v>0</v>
      </c>
      <c r="G5" s="22">
        <v>0.11799999999999999</v>
      </c>
      <c r="H5" s="24">
        <f>'09 - 2020'!E11-'09 - 2020'!E10</f>
        <v>0</v>
      </c>
      <c r="I5" s="24">
        <f>'09 - 2020'!F11-'09 - 2020'!F10</f>
        <v>0</v>
      </c>
      <c r="J5" s="24">
        <f>'09 - 2020'!G11-'09 - 2020'!G10</f>
        <v>0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0</v>
      </c>
      <c r="F6" s="24">
        <f>'09 - 2020'!C12-'09 - 2020'!C11</f>
        <v>0</v>
      </c>
      <c r="G6" s="22">
        <v>0.11799999999999999</v>
      </c>
      <c r="H6" s="24">
        <f>'09 - 2020'!E12-'09 - 2020'!E11</f>
        <v>0</v>
      </c>
      <c r="I6" s="24">
        <f>'09 - 2020'!F12-'09 - 2020'!F11</f>
        <v>0</v>
      </c>
      <c r="J6" s="24">
        <f>'09 - 2020'!G12-'09 - 2020'!G11</f>
        <v>0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0</v>
      </c>
      <c r="F7" s="24">
        <f>'09 - 2020'!C13-'09 - 2020'!C12</f>
        <v>0</v>
      </c>
      <c r="G7" s="22">
        <v>0.11799999999999999</v>
      </c>
      <c r="H7" s="24">
        <f>'09 - 2020'!E13-'09 - 2020'!E12</f>
        <v>0</v>
      </c>
      <c r="I7" s="24">
        <f>'09 - 2020'!F13-'09 - 2020'!F12</f>
        <v>0</v>
      </c>
      <c r="J7" s="24">
        <f>'09 - 2020'!G13-'09 - 2020'!G12</f>
        <v>0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0</v>
      </c>
      <c r="F8" s="24">
        <f>'09 - 2020'!C14-'09 - 2020'!C13</f>
        <v>0</v>
      </c>
      <c r="G8" s="22">
        <v>0.11799999999999999</v>
      </c>
      <c r="H8" s="24">
        <f>'09 - 2020'!E14-'09 - 2020'!E13</f>
        <v>0</v>
      </c>
      <c r="I8" s="24">
        <f>'09 - 2020'!F14-'09 - 2020'!F13</f>
        <v>0</v>
      </c>
      <c r="J8" s="24">
        <f>'09 - 2020'!G14-'09 - 2020'!G13</f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0</v>
      </c>
      <c r="F9" s="24">
        <f>'09 - 2020'!C15-'09 - 2020'!C14</f>
        <v>0</v>
      </c>
      <c r="G9" s="22">
        <v>0.11799999999999999</v>
      </c>
      <c r="H9" s="24">
        <f>'09 - 2020'!E15-'09 - 2020'!E14</f>
        <v>0</v>
      </c>
      <c r="I9" s="24">
        <f>'09 - 2020'!F15-'09 - 2020'!F14</f>
        <v>0</v>
      </c>
      <c r="J9" s="24">
        <f>'09 - 2020'!G15-'09 - 2020'!G14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0</v>
      </c>
      <c r="F10" s="24">
        <f>'09 - 2020'!C16-'09 - 2020'!C15</f>
        <v>0</v>
      </c>
      <c r="G10" s="22">
        <v>0.11799999999999999</v>
      </c>
      <c r="H10" s="24">
        <f>'09 - 2020'!E16-'09 - 2020'!E15</f>
        <v>0</v>
      </c>
      <c r="I10" s="24">
        <f>'09 - 2020'!F16-'09 - 2020'!F15</f>
        <v>0</v>
      </c>
      <c r="J10" s="24">
        <f>'09 - 2020'!G16-'09 - 2020'!G15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0</v>
      </c>
      <c r="F11" s="24">
        <f>'09 - 2020'!C17-'09 - 2020'!C16</f>
        <v>0</v>
      </c>
      <c r="G11" s="22">
        <v>0.11799999999999999</v>
      </c>
      <c r="H11" s="24">
        <f>'09 - 2020'!E17-'09 - 2020'!E16</f>
        <v>0</v>
      </c>
      <c r="I11" s="24">
        <f>'09 - 2020'!F17-'09 - 2020'!F16</f>
        <v>0</v>
      </c>
      <c r="J11" s="24">
        <f>'09 - 2020'!G17-'09 - 2020'!G16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7" sqref="C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/>
      <c r="L8" s="40"/>
      <c r="M8" s="46"/>
    </row>
    <row r="9" spans="1:15" ht="12.75" customHeight="1" x14ac:dyDescent="0.25">
      <c r="A9" s="45">
        <v>44076</v>
      </c>
      <c r="B9" s="25"/>
      <c r="C9" s="19"/>
      <c r="D9" s="36"/>
      <c r="E9" s="21"/>
      <c r="F9" s="21"/>
      <c r="G9" s="21"/>
      <c r="H9" s="19"/>
      <c r="I9" s="15"/>
      <c r="J9" s="15"/>
      <c r="K9" s="18"/>
      <c r="L9" s="30"/>
      <c r="M9" s="46"/>
    </row>
    <row r="10" spans="1:15" ht="12.75" customHeight="1" x14ac:dyDescent="0.25">
      <c r="A10" s="45">
        <v>44077</v>
      </c>
      <c r="B10" s="15"/>
      <c r="C10" s="15"/>
      <c r="D10" s="16"/>
      <c r="E10" s="21"/>
      <c r="F10" s="21"/>
      <c r="G10" s="21"/>
      <c r="H10" s="19"/>
      <c r="I10" s="15"/>
      <c r="J10" s="61"/>
      <c r="K10" s="18"/>
      <c r="L10" s="30"/>
      <c r="M10" s="46"/>
    </row>
    <row r="11" spans="1:15" ht="12.75" customHeight="1" x14ac:dyDescent="0.25">
      <c r="A11" s="45">
        <v>44078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30"/>
      <c r="M11" s="46"/>
    </row>
    <row r="12" spans="1:15" ht="12.75" customHeight="1" x14ac:dyDescent="0.25">
      <c r="A12" s="45">
        <v>44079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v>44080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v>44081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44082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44083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2020-09-01T10:38:30Z</dcterms:modified>
</cp:coreProperties>
</file>