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<sst xmlns="http://schemas.openxmlformats.org/spreadsheetml/2006/main" count="315" uniqueCount="148">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</sst>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12.820499999999999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27.4725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45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14779.999999999356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124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14210.000000000349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122</v>
      </c>
      <c r="J17" s="11">
        <f t="shared" si="2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 t="e">
        <f>Submetering!E18+Submetering!F18+Submetering!G18+Submetering!H18+Submetering!J18-Submetering!AV18</f>
        <v>#VALUE!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 t="e">
        <f>'FS Desroches Daily'!CM20</f>
        <v>#VALUE!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70.0000000000216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14.651999999999999</v>
      </c>
      <c r="BA15" s="31">
        <f>IF(LPG!M22-LPG!M21&lt;0,"0",(LPG!M22-LPG!M21)*1.8315)</f>
        <v>5.4944999999999995</v>
      </c>
      <c r="BB15" s="31">
        <f>IF(LPG!Q22-LPG!Q21&lt;0,"0",(LPG!Q22-LPG!Q21)*1.8315)</f>
        <v>7.3259999999999996</v>
      </c>
      <c r="BC15" s="13">
        <f>'FS Desroches Daily'!CN17</f>
        <v>45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4000.0000000000036</v>
      </c>
      <c r="F16" s="32">
        <f>'FS Desroches Daily'!F18</f>
        <v>3999.9999999995593</v>
      </c>
      <c r="G16" s="31">
        <f>'FS Desroches Daily'!H18</f>
        <v>3800.0000000000255</v>
      </c>
      <c r="H16" s="32">
        <f>'FS Desroches Daily'!J18</f>
        <v>1799.9999999998017</v>
      </c>
      <c r="I16" s="31">
        <f>'FS Desroches Daily'!L18</f>
        <v>2099.9999999999909</v>
      </c>
      <c r="J16" s="32">
        <f>'FS Desroches Daily'!N18</f>
        <v>2299.9999999999686</v>
      </c>
      <c r="K16" s="13">
        <f>'FS Desroches Daily'!P18</f>
        <v>40</v>
      </c>
      <c r="L16" s="31">
        <f>'FS Desroches Daily'!R18</f>
        <v>6</v>
      </c>
      <c r="M16" s="31">
        <f>'FS Desroches Daily'!T18</f>
        <v>1.8000000000001819</v>
      </c>
      <c r="N16" s="31">
        <f>'FS Desroches Daily'!V18</f>
        <v>662.29999999993015</v>
      </c>
      <c r="O16" s="31">
        <f>'FS Desroches Daily'!X18</f>
        <v>419.99999999995907</v>
      </c>
      <c r="P16" s="31">
        <f>'FS Desroches Daily'!Z18</f>
        <v>3099.9999999998809</v>
      </c>
      <c r="Q16" s="31">
        <f>'FS Desroches Daily'!AB18</f>
        <v>450.00000000004547</v>
      </c>
      <c r="R16" s="31">
        <f>'FS Desroches Daily'!AD18</f>
        <v>629.99999999999545</v>
      </c>
      <c r="S16" s="31">
        <f>'FS Desroches Daily'!AF18</f>
        <v>1160.0000000000819</v>
      </c>
      <c r="T16" s="31">
        <f>'FS Desroches Daily'!AH18</f>
        <v>48</v>
      </c>
      <c r="U16" s="35">
        <f>'FS Desroches Daily'!AJ18</f>
        <v>850.00000000002274</v>
      </c>
      <c r="V16" s="35">
        <f>'FS Desroches Daily'!AL18</f>
        <v>259.99999999999091</v>
      </c>
      <c r="W16" s="35">
        <f>'FS Desroches Daily'!AN18</f>
        <v>230.00000000001819</v>
      </c>
      <c r="X16" s="35">
        <f>'FS Desroches Daily'!AP18</f>
        <v>240.00000000000909</v>
      </c>
      <c r="Y16" s="35">
        <f>'FS Desroches Daily'!AR18</f>
        <v>300.00000000001137</v>
      </c>
      <c r="Z16" s="35">
        <f>'FS Desroches Daily'!AT18</f>
        <v>360.00000000001364</v>
      </c>
      <c r="AA16" s="35">
        <f>'FS Desroches Daily'!AT18</f>
        <v>360.00000000001364</v>
      </c>
      <c r="AB16" s="35">
        <f>'FS Desroches Daily'!AV18</f>
        <v>379.99999999999545</v>
      </c>
      <c r="AC16" s="35">
        <f>'FS Desroches Daily'!AZ18</f>
        <v>299.99999999995453</v>
      </c>
      <c r="AD16" s="35">
        <f>'FS Desroches Daily'!BB18</f>
        <v>50.000000000011369</v>
      </c>
      <c r="AE16" s="35">
        <f>'FS Desroches Daily'!BD18</f>
        <v>180.00000000000682</v>
      </c>
      <c r="AF16" s="31">
        <f>'FS Desroches Daily'!BF18</f>
        <v>57</v>
      </c>
      <c r="AG16" s="32">
        <f>'FS Desroches Daily'!BH18</f>
        <v>50.000000000011369</v>
      </c>
      <c r="AH16" s="32">
        <f>'FS Desroches Daily'!BJ18</f>
        <v>29.999999999972715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69.999999999993179</v>
      </c>
      <c r="AL16" s="32">
        <f>'FS Desroches Daily'!BR18</f>
        <v>46</v>
      </c>
      <c r="AM16" s="32">
        <f>'FS Desroches Daily'!BT18</f>
        <v>49.999999999982947</v>
      </c>
      <c r="AN16" s="32">
        <f>'FS Desroches Daily'!BV18</f>
        <v>50</v>
      </c>
      <c r="AO16" s="32">
        <f>'FS Desroches Daily'!BX18</f>
        <v>60.000000000002274</v>
      </c>
      <c r="AP16" s="32">
        <f>'FS Desroches Daily'!BZ18</f>
        <v>56</v>
      </c>
      <c r="AQ16" s="31">
        <f>'FS Desroches Daily'!CB18</f>
        <v>43.099999999998545</v>
      </c>
      <c r="AR16" s="31">
        <f>'FS Desroches Daily'!CD18</f>
        <v>11.299999999999272</v>
      </c>
      <c r="AS16" s="31">
        <f>'FS Desroches Daily'!CF18</f>
        <v>1.7999999999992724</v>
      </c>
      <c r="AT16" s="31">
        <f>'FS Desroches Daily'!CH18</f>
        <v>47.30000000000291</v>
      </c>
      <c r="AU16" s="31">
        <f>'FS Desroches Daily'!CJ18</f>
        <v>332</v>
      </c>
      <c r="AV16" s="31">
        <f>'FS Desroches Daily'!CL18</f>
        <v>1120.0000000000045</v>
      </c>
      <c r="AW16" s="31">
        <f>'FS Desroches Daily'!CM18</f>
        <v>124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3600.0000000000477</v>
      </c>
      <c r="F17" s="32">
        <f>'FS Desroches Daily'!F19</f>
        <v>4000.0000000004475</v>
      </c>
      <c r="G17" s="31">
        <f>'FS Desroches Daily'!H19</f>
        <v>3499.9999999998367</v>
      </c>
      <c r="H17" s="32">
        <f>'FS Desroches Daily'!J19</f>
        <v>1900.0000000000127</v>
      </c>
      <c r="I17" s="31">
        <f>'FS Desroches Daily'!L19</f>
        <v>2000.0000000002237</v>
      </c>
      <c r="J17" s="32">
        <f>'FS Desroches Daily'!N19</f>
        <v>2099.9999999999909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440.10000000009313</v>
      </c>
      <c r="O17" s="31">
        <f>'FS Desroches Daily'!X19</f>
        <v>319.99999999999318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519.99999999998181</v>
      </c>
      <c r="S17" s="31">
        <f>'FS Desroches Daily'!AF19</f>
        <v>1009.9999999999909</v>
      </c>
      <c r="T17" s="31">
        <f>'FS Desroches Daily'!AH19</f>
        <v>37</v>
      </c>
      <c r="U17" s="35">
        <f>'FS Desroches Daily'!AJ19</f>
        <v>779.99999999997272</v>
      </c>
      <c r="V17" s="35">
        <f>'FS Desroches Daily'!AL19</f>
        <v>230.00000000001819</v>
      </c>
      <c r="W17" s="35">
        <f>'FS Desroches Daily'!AN19</f>
        <v>219.99999999997044</v>
      </c>
      <c r="X17" s="35">
        <f>'FS Desroches Daily'!AP19</f>
        <v>200.00000000001705</v>
      </c>
      <c r="Y17" s="35">
        <f>'FS Desroches Daily'!AR19</f>
        <v>250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339.99999999997499</v>
      </c>
      <c r="AC17" s="35">
        <f>'FS Desroches Daily'!AZ19</f>
        <v>230.00000000001819</v>
      </c>
      <c r="AD17" s="35">
        <f>'FS Desroches Daily'!BB19</f>
        <v>230.00000000001819</v>
      </c>
      <c r="AE17" s="35">
        <f>'FS Desroches Daily'!BD19</f>
        <v>100.00000000002274</v>
      </c>
      <c r="AF17" s="31">
        <f>'FS Desroches Daily'!BF19</f>
        <v>21</v>
      </c>
      <c r="AG17" s="32">
        <f>'FS Desroches Daily'!BH19</f>
        <v>39.999999999992042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69.999999999993179</v>
      </c>
      <c r="AL17" s="32">
        <f>'FS Desroches Daily'!BR19</f>
        <v>46</v>
      </c>
      <c r="AM17" s="32">
        <f>'FS Desroches Daily'!BT19</f>
        <v>50.000000000011369</v>
      </c>
      <c r="AN17" s="32">
        <f>'FS Desroches Daily'!BV19</f>
        <v>51</v>
      </c>
      <c r="AO17" s="32">
        <f>'FS Desroches Daily'!BX19</f>
        <v>50.000000000011369</v>
      </c>
      <c r="AP17" s="32">
        <f>'FS Desroches Daily'!BZ19</f>
        <v>49</v>
      </c>
      <c r="AQ17" s="31">
        <f>'FS Desroches Daily'!CB19</f>
        <v>50.400000000001455</v>
      </c>
      <c r="AR17" s="31">
        <f>'FS Desroches Daily'!CD19</f>
        <v>10</v>
      </c>
      <c r="AS17" s="31">
        <f>'FS Desroches Daily'!CF19</f>
        <v>5.1000000000003638</v>
      </c>
      <c r="AT17" s="31">
        <f>'FS Desroches Daily'!CH19</f>
        <v>39.399999999994179</v>
      </c>
      <c r="AU17" s="31">
        <f>'FS Desroches Daily'!CJ19</f>
        <v>332</v>
      </c>
      <c r="AV17" s="31">
        <f>'FS Desroches Daily'!CL19</f>
        <v>889.99999999998636</v>
      </c>
      <c r="AW17" s="31">
        <f>'FS Desroches Daily'!CM19</f>
        <v>122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37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63399.999999999658</v>
      </c>
      <c r="F33" s="17">
        <f t="shared" ref="F33:BC33" si="0">SUM(F2:F32)</f>
        <v>57400.000000000349</v>
      </c>
      <c r="G33" s="17">
        <f t="shared" si="0"/>
        <v>58799.999999999767</v>
      </c>
      <c r="H33" s="17">
        <f t="shared" si="0"/>
        <v>30100.000000000029</v>
      </c>
      <c r="I33" s="17">
        <f t="shared" si="0"/>
        <v>41100.000000000146</v>
      </c>
      <c r="J33" s="17">
        <f t="shared" si="0"/>
        <v>37399.999999999876</v>
      </c>
      <c r="K33" s="17">
        <f t="shared" si="0"/>
        <v>614</v>
      </c>
      <c r="L33" s="17">
        <f t="shared" si="0"/>
        <v>100</v>
      </c>
      <c r="M33" s="17">
        <f t="shared" si="0"/>
        <v>23.599999999999909</v>
      </c>
      <c r="N33" s="17">
        <f t="shared" si="0"/>
        <v>8678.2000000000698</v>
      </c>
      <c r="O33" s="17">
        <f t="shared" si="0"/>
        <v>6239.9999999999527</v>
      </c>
      <c r="P33" s="17">
        <f t="shared" si="0"/>
        <v>51000.000000000167</v>
      </c>
      <c r="Q33" s="17">
        <f t="shared" si="0"/>
        <v>7300.0000000000136</v>
      </c>
      <c r="R33" s="17">
        <f t="shared" si="0"/>
        <v>9740.0000000000109</v>
      </c>
      <c r="S33" s="17">
        <f t="shared" si="0"/>
        <v>18750</v>
      </c>
      <c r="T33" s="17">
        <f t="shared" si="0"/>
        <v>673</v>
      </c>
      <c r="U33" s="35">
        <f t="shared" si="0"/>
        <v>16059.999999999944</v>
      </c>
      <c r="V33" s="35">
        <f t="shared" si="0"/>
        <v>4670.0000000000164</v>
      </c>
      <c r="W33" s="35">
        <f t="shared" si="0"/>
        <v>5189.9999999999982</v>
      </c>
      <c r="X33" s="35">
        <f t="shared" si="0"/>
        <v>4220.0000000000273</v>
      </c>
      <c r="Y33" s="35">
        <f t="shared" si="0"/>
        <v>4136.4999999999891</v>
      </c>
      <c r="Z33" s="35">
        <f t="shared" si="0"/>
        <v>4819.9999999999936</v>
      </c>
      <c r="AA33" s="35">
        <f t="shared" si="0"/>
        <v>4819.9999999999936</v>
      </c>
      <c r="AB33" s="35">
        <f t="shared" si="0"/>
        <v>4810.0000000000018</v>
      </c>
      <c r="AC33" s="35">
        <f t="shared" si="0"/>
        <v>3589.999999999975</v>
      </c>
      <c r="AD33" s="35">
        <f t="shared" si="0"/>
        <v>4100.0000000000227</v>
      </c>
      <c r="AE33" s="35">
        <f t="shared" si="0"/>
        <v>2569.9999999999932</v>
      </c>
      <c r="AF33" s="17">
        <f t="shared" si="0"/>
        <v>580</v>
      </c>
      <c r="AG33" s="32">
        <f t="shared" si="0"/>
        <v>740.00000000000909</v>
      </c>
      <c r="AH33" s="32">
        <f t="shared" si="0"/>
        <v>620.00000000000455</v>
      </c>
      <c r="AI33" s="32">
        <f t="shared" si="0"/>
        <v>1019.9999999999818</v>
      </c>
      <c r="AJ33" s="32">
        <f t="shared" si="0"/>
        <v>789.99999999999204</v>
      </c>
      <c r="AK33" s="32">
        <f t="shared" si="0"/>
        <v>1089.999999999975</v>
      </c>
      <c r="AL33" s="32">
        <f t="shared" si="0"/>
        <v>769</v>
      </c>
      <c r="AM33" s="32">
        <f t="shared" si="0"/>
        <v>939.99999999999773</v>
      </c>
      <c r="AN33" s="32">
        <f t="shared" si="0"/>
        <v>802</v>
      </c>
      <c r="AO33" s="32">
        <f t="shared" si="0"/>
        <v>830.00000000001251</v>
      </c>
      <c r="AP33" s="32">
        <f t="shared" si="0"/>
        <v>826</v>
      </c>
      <c r="AQ33" s="17">
        <f t="shared" si="0"/>
        <v>993.59999999999854</v>
      </c>
      <c r="AR33" s="17">
        <f t="shared" si="0"/>
        <v>198.39999999999964</v>
      </c>
      <c r="AS33" s="17">
        <f t="shared" si="0"/>
        <v>91.899999999999636</v>
      </c>
      <c r="AT33" s="17">
        <f t="shared" si="0"/>
        <v>841</v>
      </c>
      <c r="AU33" s="17">
        <f t="shared" si="0"/>
        <v>5139</v>
      </c>
      <c r="AV33" s="17">
        <f t="shared" si="0"/>
        <v>15250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98.900999999999996</v>
      </c>
      <c r="BC33" s="17">
        <f t="shared" si="0"/>
        <v>576</v>
      </c>
    </row>
    <row r="35" spans="5:55" x14ac:dyDescent="0.25">
      <c r="E35" s="38">
        <f>E33/E37</f>
        <v>0.26612043418766002</v>
      </c>
      <c r="G35" s="29">
        <f>G33-M36</f>
        <v>50098.199999999699</v>
      </c>
      <c r="AE35" s="35">
        <f>SUM(U33:AE33)</f>
        <v>58986.499999999949</v>
      </c>
      <c r="AG35" s="32">
        <f>SUM(AG33:AP33)</f>
        <v>8426.9999999999727</v>
      </c>
    </row>
    <row r="36" spans="5:55" x14ac:dyDescent="0.25">
      <c r="G36" s="29">
        <f>G35-633*14</f>
        <v>41236.199999999699</v>
      </c>
      <c r="M36" s="29">
        <f>M33+N33</f>
        <v>8701.8000000000702</v>
      </c>
    </row>
    <row r="37" spans="5:55" x14ac:dyDescent="0.25">
      <c r="E37" s="17">
        <f>E33+F33+G33+H33+J33-633*14</f>
        <v>238237.99999999968</v>
      </c>
      <c r="G37" s="37">
        <f>M36/E37</f>
        <v>3.652565921473519E-2</v>
      </c>
      <c r="M37" s="35">
        <f>AE35</f>
        <v>58986.499999999949</v>
      </c>
    </row>
    <row r="38" spans="5:55" x14ac:dyDescent="0.25">
      <c r="L38" s="27">
        <f>M38/E37</f>
        <v>3.5372190834375643E-2</v>
      </c>
      <c r="M38" s="29">
        <f>AG35</f>
        <v>8426.9999999999727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F1" zoomScale="82" zoomScaleNormal="82" workbookViewId="0">
      <pane ySplit="1" topLeftCell="A8" activePane="bottomLeft" state="frozen"/>
      <selection pane="bottomLeft" activeCell="CP20" sqref="CP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215.33</v>
      </c>
      <c r="BT17" s="65">
        <f t="shared" si="84"/>
        <v>70.0000000000216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>
        <v>45</v>
      </c>
      <c r="CO17" s="62">
        <v>104</v>
      </c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>
        <v>3.2029999999999998</v>
      </c>
      <c r="D18" s="64">
        <f t="shared" si="50"/>
        <v>4000.0000000000036</v>
      </c>
      <c r="E18" s="58">
        <v>4.2949999999999999</v>
      </c>
      <c r="F18" s="64">
        <f t="shared" si="51"/>
        <v>3999.9999999995593</v>
      </c>
      <c r="G18" s="58">
        <v>4.2538</v>
      </c>
      <c r="H18" s="64">
        <f t="shared" si="52"/>
        <v>3800.0000000000255</v>
      </c>
      <c r="I18" s="58">
        <v>2.1374</v>
      </c>
      <c r="J18" s="64">
        <f t="shared" si="53"/>
        <v>1799.9999999998017</v>
      </c>
      <c r="K18" s="58">
        <v>3.3386999999999998</v>
      </c>
      <c r="L18" s="64">
        <f t="shared" si="54"/>
        <v>2099.9999999999909</v>
      </c>
      <c r="M18" s="58">
        <v>1.9217</v>
      </c>
      <c r="N18" s="64">
        <f t="shared" si="55"/>
        <v>2299.9999999999686</v>
      </c>
      <c r="O18" s="58">
        <v>20772</v>
      </c>
      <c r="P18" s="67">
        <f t="shared" si="56"/>
        <v>40</v>
      </c>
      <c r="Q18" s="58">
        <v>2540</v>
      </c>
      <c r="R18" s="67">
        <f t="shared" si="57"/>
        <v>6</v>
      </c>
      <c r="S18" s="58">
        <v>1340.4</v>
      </c>
      <c r="T18" s="67">
        <f t="shared" si="58"/>
        <v>1.8000000000001819</v>
      </c>
      <c r="U18" s="58">
        <v>547799.69999999995</v>
      </c>
      <c r="V18" s="67">
        <f t="shared" si="59"/>
        <v>662.29999999993015</v>
      </c>
      <c r="W18" s="58">
        <v>508.71</v>
      </c>
      <c r="X18" s="65">
        <f t="shared" si="60"/>
        <v>419.99999999995907</v>
      </c>
      <c r="Y18" s="58">
        <v>3.7757999999999998</v>
      </c>
      <c r="Z18" s="65">
        <f t="shared" si="61"/>
        <v>3099.9999999998809</v>
      </c>
      <c r="AA18" s="58">
        <v>512.08000000000004</v>
      </c>
      <c r="AB18" s="65">
        <f t="shared" si="62"/>
        <v>450.00000000004547</v>
      </c>
      <c r="AC18" s="58">
        <v>503.86</v>
      </c>
      <c r="AD18" s="65">
        <f t="shared" si="63"/>
        <v>629.99999999999545</v>
      </c>
      <c r="AE18" s="58">
        <v>747.94</v>
      </c>
      <c r="AF18" s="65">
        <f t="shared" si="64"/>
        <v>1160.0000000000819</v>
      </c>
      <c r="AG18" s="58">
        <v>17135</v>
      </c>
      <c r="AH18" s="67">
        <f t="shared" si="65"/>
        <v>48</v>
      </c>
      <c r="AI18" s="58">
        <v>850.88</v>
      </c>
      <c r="AJ18" s="65">
        <f t="shared" si="66"/>
        <v>850.00000000002274</v>
      </c>
      <c r="AK18" s="58">
        <v>284.02</v>
      </c>
      <c r="AL18" s="65">
        <f t="shared" si="67"/>
        <v>259.99999999999091</v>
      </c>
      <c r="AM18" s="58">
        <v>265.8</v>
      </c>
      <c r="AN18" s="65">
        <f t="shared" si="68"/>
        <v>230.00000000001819</v>
      </c>
      <c r="AO18" s="58">
        <v>255.96</v>
      </c>
      <c r="AP18" s="65">
        <f t="shared" si="69"/>
        <v>240.00000000000909</v>
      </c>
      <c r="AQ18" s="58">
        <v>311.79000000000002</v>
      </c>
      <c r="AR18" s="65">
        <f t="shared" si="70"/>
        <v>300.00000000001137</v>
      </c>
      <c r="AS18" s="58">
        <v>436.86</v>
      </c>
      <c r="AT18" s="65">
        <f t="shared" si="71"/>
        <v>360.00000000001364</v>
      </c>
      <c r="AU18" s="58">
        <v>346.12</v>
      </c>
      <c r="AV18" s="65">
        <f t="shared" si="72"/>
        <v>379.99999999999545</v>
      </c>
      <c r="AW18" s="58">
        <v>376.31</v>
      </c>
      <c r="AX18" s="65">
        <f t="shared" si="73"/>
        <v>199.99999999998863</v>
      </c>
      <c r="AY18" s="58">
        <v>409.34</v>
      </c>
      <c r="AZ18" s="65">
        <f t="shared" si="74"/>
        <v>299.99999999995453</v>
      </c>
      <c r="BA18" s="58">
        <v>429.88</v>
      </c>
      <c r="BB18" s="65">
        <f t="shared" si="75"/>
        <v>50.000000000011369</v>
      </c>
      <c r="BC18" s="58">
        <v>276.13</v>
      </c>
      <c r="BD18" s="65">
        <f t="shared" si="76"/>
        <v>180.00000000000682</v>
      </c>
      <c r="BE18" s="59">
        <v>51188</v>
      </c>
      <c r="BF18" s="67">
        <f t="shared" si="77"/>
        <v>57</v>
      </c>
      <c r="BG18" s="60">
        <v>248.18</v>
      </c>
      <c r="BH18" s="65">
        <f t="shared" si="78"/>
        <v>50.000000000011369</v>
      </c>
      <c r="BI18" s="60">
        <v>302.95999999999998</v>
      </c>
      <c r="BJ18" s="65">
        <f t="shared" si="79"/>
        <v>29.999999999972715</v>
      </c>
      <c r="BK18" s="60">
        <v>251.48</v>
      </c>
      <c r="BL18" s="65">
        <f t="shared" si="80"/>
        <v>79.999999999984084</v>
      </c>
      <c r="BM18" s="60">
        <v>237.77</v>
      </c>
      <c r="BN18" s="65">
        <f t="shared" si="81"/>
        <v>50.000000000011369</v>
      </c>
      <c r="BO18" s="60">
        <v>305.49</v>
      </c>
      <c r="BP18" s="65">
        <f t="shared" si="82"/>
        <v>69.999999999993179</v>
      </c>
      <c r="BQ18" s="60">
        <v>56342</v>
      </c>
      <c r="BR18" s="65">
        <f t="shared" si="83"/>
        <v>46</v>
      </c>
      <c r="BS18" s="60">
        <v>215.38</v>
      </c>
      <c r="BT18" s="65">
        <f t="shared" si="84"/>
        <v>49.999999999982947</v>
      </c>
      <c r="BU18" s="60">
        <v>53897</v>
      </c>
      <c r="BV18" s="65">
        <f t="shared" si="85"/>
        <v>50</v>
      </c>
      <c r="BW18" s="60">
        <v>243.66</v>
      </c>
      <c r="BX18" s="65">
        <f t="shared" si="86"/>
        <v>60.000000000002274</v>
      </c>
      <c r="BY18" s="60">
        <v>73570</v>
      </c>
      <c r="BZ18" s="67">
        <f t="shared" si="87"/>
        <v>56</v>
      </c>
      <c r="CA18" s="60">
        <v>47940</v>
      </c>
      <c r="CB18" s="67">
        <f t="shared" si="88"/>
        <v>43.099999999998545</v>
      </c>
      <c r="CC18" s="60">
        <v>15633.9</v>
      </c>
      <c r="CD18" s="67">
        <f t="shared" si="89"/>
        <v>11.299999999999272</v>
      </c>
      <c r="CE18" s="60">
        <v>8099.9</v>
      </c>
      <c r="CF18" s="67">
        <f t="shared" si="90"/>
        <v>1.7999999999992724</v>
      </c>
      <c r="CG18" s="60">
        <v>74221.3</v>
      </c>
      <c r="CH18" s="67">
        <f t="shared" si="91"/>
        <v>47.30000000000291</v>
      </c>
      <c r="CI18" s="60">
        <v>1044674</v>
      </c>
      <c r="CJ18" s="67">
        <f t="shared" si="92"/>
        <v>332</v>
      </c>
      <c r="CK18" s="60">
        <v>986.92</v>
      </c>
      <c r="CL18" s="64">
        <f t="shared" si="93"/>
        <v>1120.0000000000045</v>
      </c>
      <c r="CM18" s="65">
        <f t="shared" si="94"/>
        <v>124</v>
      </c>
      <c r="CN18" s="62">
        <v>40</v>
      </c>
      <c r="CO18" s="62">
        <v>85</v>
      </c>
      <c r="CP18" s="68">
        <v>30083</v>
      </c>
      <c r="CQ18" s="67">
        <f t="shared" si="97"/>
        <v>97</v>
      </c>
      <c r="CR18" s="68">
        <v>21428</v>
      </c>
      <c r="CS18" s="67">
        <f t="shared" si="45"/>
        <v>27</v>
      </c>
      <c r="CT18" s="75">
        <v>10065</v>
      </c>
      <c r="CU18" s="67">
        <f t="shared" si="47"/>
        <v>14</v>
      </c>
      <c r="CV18" s="68">
        <v>24202</v>
      </c>
      <c r="CW18" s="67">
        <f t="shared" si="95"/>
        <v>18</v>
      </c>
      <c r="CX18" s="58">
        <v>2941.1</v>
      </c>
      <c r="CY18" s="67">
        <f t="shared" si="96"/>
        <v>12.799999999999727</v>
      </c>
    </row>
    <row r="19" spans="1:103" ht="25.5" customHeight="1" thickBot="1" x14ac:dyDescent="0.45">
      <c r="A19" s="63">
        <v>44697</v>
      </c>
      <c r="B19" s="44"/>
      <c r="C19" s="58">
        <v>3.2065999999999999</v>
      </c>
      <c r="D19" s="64">
        <f t="shared" si="50"/>
        <v>3600.0000000000477</v>
      </c>
      <c r="E19" s="58">
        <v>4.2990000000000004</v>
      </c>
      <c r="F19" s="64">
        <f t="shared" si="51"/>
        <v>4000.0000000004475</v>
      </c>
      <c r="G19" s="58">
        <v>4.2572999999999999</v>
      </c>
      <c r="H19" s="64">
        <f t="shared" si="52"/>
        <v>3499.9999999998367</v>
      </c>
      <c r="I19" s="58">
        <v>2.1393</v>
      </c>
      <c r="J19" s="64">
        <f t="shared" si="53"/>
        <v>1900.0000000000127</v>
      </c>
      <c r="K19" s="58">
        <v>3.3407</v>
      </c>
      <c r="L19" s="64">
        <f t="shared" si="54"/>
        <v>2000.0000000002237</v>
      </c>
      <c r="M19" s="58">
        <v>1.9238</v>
      </c>
      <c r="N19" s="64">
        <f t="shared" si="55"/>
        <v>2099.9999999999909</v>
      </c>
      <c r="O19" s="58">
        <v>20805</v>
      </c>
      <c r="P19" s="67">
        <f t="shared" si="56"/>
        <v>33</v>
      </c>
      <c r="Q19" s="58">
        <v>2545</v>
      </c>
      <c r="R19" s="67">
        <f t="shared" si="57"/>
        <v>5</v>
      </c>
      <c r="S19" s="58">
        <v>1341.6</v>
      </c>
      <c r="T19" s="67">
        <f t="shared" si="58"/>
        <v>1.1999999999998181</v>
      </c>
      <c r="U19" s="58">
        <v>548239.80000000005</v>
      </c>
      <c r="V19" s="67">
        <f t="shared" si="59"/>
        <v>440.10000000009313</v>
      </c>
      <c r="W19" s="58">
        <v>509.03</v>
      </c>
      <c r="X19" s="65">
        <f t="shared" si="60"/>
        <v>319.99999999999318</v>
      </c>
      <c r="Y19" s="58">
        <v>3.7787999999999999</v>
      </c>
      <c r="Z19" s="65">
        <f t="shared" si="61"/>
        <v>3000.0000000001137</v>
      </c>
      <c r="AA19" s="58">
        <v>512.5</v>
      </c>
      <c r="AB19" s="65">
        <f t="shared" si="62"/>
        <v>419.99999999995907</v>
      </c>
      <c r="AC19" s="58">
        <v>504.38</v>
      </c>
      <c r="AD19" s="65">
        <f t="shared" si="63"/>
        <v>519.99999999998181</v>
      </c>
      <c r="AE19" s="58">
        <v>748.95</v>
      </c>
      <c r="AF19" s="65">
        <f t="shared" si="64"/>
        <v>1009.9999999999909</v>
      </c>
      <c r="AG19" s="58">
        <v>17172</v>
      </c>
      <c r="AH19" s="67">
        <f t="shared" si="65"/>
        <v>37</v>
      </c>
      <c r="AI19" s="58">
        <v>851.66</v>
      </c>
      <c r="AJ19" s="65">
        <f t="shared" si="66"/>
        <v>779.99999999997272</v>
      </c>
      <c r="AK19" s="58">
        <v>284.25</v>
      </c>
      <c r="AL19" s="65">
        <f t="shared" si="67"/>
        <v>230.00000000001819</v>
      </c>
      <c r="AM19" s="58">
        <v>266.02</v>
      </c>
      <c r="AN19" s="65">
        <f t="shared" si="68"/>
        <v>219.99999999997044</v>
      </c>
      <c r="AO19" s="58">
        <v>256.16000000000003</v>
      </c>
      <c r="AP19" s="65">
        <f t="shared" si="69"/>
        <v>200.00000000001705</v>
      </c>
      <c r="AQ19" s="58">
        <v>312.04000000000002</v>
      </c>
      <c r="AR19" s="65">
        <f t="shared" si="70"/>
        <v>250</v>
      </c>
      <c r="AS19" s="58">
        <v>437.22</v>
      </c>
      <c r="AT19" s="65">
        <f t="shared" si="71"/>
        <v>360.00000000001364</v>
      </c>
      <c r="AU19" s="58">
        <v>346.46</v>
      </c>
      <c r="AV19" s="65">
        <f t="shared" si="72"/>
        <v>339.99999999997499</v>
      </c>
      <c r="AW19" s="58">
        <v>376.49</v>
      </c>
      <c r="AX19" s="65">
        <f t="shared" si="73"/>
        <v>180.00000000000682</v>
      </c>
      <c r="AY19" s="58">
        <v>409.57</v>
      </c>
      <c r="AZ19" s="65">
        <f t="shared" si="74"/>
        <v>230.00000000001819</v>
      </c>
      <c r="BA19" s="58">
        <v>430.11</v>
      </c>
      <c r="BB19" s="65">
        <f t="shared" si="75"/>
        <v>230.00000000001819</v>
      </c>
      <c r="BC19" s="58">
        <v>276.23</v>
      </c>
      <c r="BD19" s="65">
        <f t="shared" si="76"/>
        <v>100.00000000002274</v>
      </c>
      <c r="BE19" s="59">
        <v>51209</v>
      </c>
      <c r="BF19" s="67">
        <f t="shared" si="77"/>
        <v>21</v>
      </c>
      <c r="BG19" s="60">
        <v>248.22</v>
      </c>
      <c r="BH19" s="65">
        <f t="shared" si="78"/>
        <v>39.999999999992042</v>
      </c>
      <c r="BI19" s="60">
        <v>302.99</v>
      </c>
      <c r="BJ19" s="65">
        <f t="shared" si="79"/>
        <v>30.000000000029559</v>
      </c>
      <c r="BK19" s="60">
        <v>251.54</v>
      </c>
      <c r="BL19" s="65">
        <f t="shared" si="80"/>
        <v>60.000000000002274</v>
      </c>
      <c r="BM19" s="60">
        <v>237.82</v>
      </c>
      <c r="BN19" s="65">
        <f t="shared" si="81"/>
        <v>49.999999999982947</v>
      </c>
      <c r="BO19" s="60">
        <v>305.56</v>
      </c>
      <c r="BP19" s="65">
        <f t="shared" si="82"/>
        <v>69.999999999993179</v>
      </c>
      <c r="BQ19" s="60">
        <v>56388</v>
      </c>
      <c r="BR19" s="65">
        <f t="shared" si="83"/>
        <v>46</v>
      </c>
      <c r="BS19" s="60">
        <v>215.43</v>
      </c>
      <c r="BT19" s="65">
        <f t="shared" si="84"/>
        <v>50.000000000011369</v>
      </c>
      <c r="BU19" s="60">
        <v>53948</v>
      </c>
      <c r="BV19" s="65">
        <f t="shared" si="85"/>
        <v>51</v>
      </c>
      <c r="BW19" s="60">
        <v>243.71</v>
      </c>
      <c r="BX19" s="65">
        <f t="shared" si="86"/>
        <v>50.000000000011369</v>
      </c>
      <c r="BY19" s="60">
        <v>73619</v>
      </c>
      <c r="BZ19" s="67">
        <f t="shared" si="87"/>
        <v>49</v>
      </c>
      <c r="CA19" s="60">
        <v>47990.400000000001</v>
      </c>
      <c r="CB19" s="67">
        <f t="shared" si="88"/>
        <v>50.400000000001455</v>
      </c>
      <c r="CC19" s="60">
        <v>15643.9</v>
      </c>
      <c r="CD19" s="67">
        <f t="shared" si="89"/>
        <v>10</v>
      </c>
      <c r="CE19" s="60">
        <v>8105</v>
      </c>
      <c r="CF19" s="67">
        <f t="shared" si="90"/>
        <v>5.1000000000003638</v>
      </c>
      <c r="CG19" s="60">
        <v>74260.7</v>
      </c>
      <c r="CH19" s="67">
        <f t="shared" si="91"/>
        <v>39.399999999994179</v>
      </c>
      <c r="CI19" s="60">
        <v>1045006</v>
      </c>
      <c r="CJ19" s="67">
        <f t="shared" si="92"/>
        <v>332</v>
      </c>
      <c r="CK19" s="60">
        <v>987.81</v>
      </c>
      <c r="CL19" s="64">
        <f t="shared" si="93"/>
        <v>889.99999999998636</v>
      </c>
      <c r="CM19" s="65">
        <f t="shared" si="94"/>
        <v>122</v>
      </c>
      <c r="CN19" s="62">
        <v>37</v>
      </c>
      <c r="CO19" s="62">
        <v>79</v>
      </c>
      <c r="CP19" s="68">
        <v>30176</v>
      </c>
      <c r="CQ19" s="67">
        <f t="shared" si="97"/>
        <v>93</v>
      </c>
      <c r="CR19" s="68">
        <v>21457</v>
      </c>
      <c r="CS19" s="67">
        <f t="shared" si="45"/>
        <v>29</v>
      </c>
      <c r="CT19" s="75">
        <v>10078</v>
      </c>
      <c r="CU19" s="67">
        <f t="shared" si="47"/>
        <v>13</v>
      </c>
      <c r="CV19" s="68">
        <v>24227</v>
      </c>
      <c r="CW19" s="67">
        <f t="shared" si="95"/>
        <v>25</v>
      </c>
      <c r="CX19" s="58">
        <v>2953.7</v>
      </c>
      <c r="CY19" s="67">
        <f t="shared" si="96"/>
        <v>12.599999999999909</v>
      </c>
    </row>
    <row r="20" spans="1:103" ht="25.5" customHeight="1" thickBot="1" x14ac:dyDescent="0.45">
      <c r="A20" s="63">
        <v>44698</v>
      </c>
      <c r="B20" s="44"/>
      <c r="C20" s="58"/>
      <c r="D20" s="64" t="str">
        <f t="shared" si="50"/>
        <v>0</v>
      </c>
      <c r="E20" s="58"/>
      <c r="F20" s="64" t="str">
        <f t="shared" si="51"/>
        <v>0</v>
      </c>
      <c r="G20" s="58"/>
      <c r="H20" s="64" t="str">
        <f t="shared" si="52"/>
        <v>0</v>
      </c>
      <c r="I20" s="58"/>
      <c r="J20" s="64" t="str">
        <f t="shared" si="53"/>
        <v>0</v>
      </c>
      <c r="K20" s="58"/>
      <c r="L20" s="64" t="str">
        <f t="shared" si="54"/>
        <v>0</v>
      </c>
      <c r="M20" s="58"/>
      <c r="N20" s="64" t="str">
        <f t="shared" si="55"/>
        <v/>
      </c>
      <c r="O20" s="58"/>
      <c r="P20" s="67" t="str">
        <f t="shared" si="56"/>
        <v/>
      </c>
      <c r="Q20" s="58"/>
      <c r="R20" s="67" t="str">
        <f t="shared" si="57"/>
        <v/>
      </c>
      <c r="S20" s="58"/>
      <c r="T20" s="67" t="str">
        <f t="shared" si="58"/>
        <v/>
      </c>
      <c r="U20" s="58"/>
      <c r="V20" s="67" t="str">
        <f t="shared" si="59"/>
        <v/>
      </c>
      <c r="W20" s="58"/>
      <c r="X20" s="65" t="str">
        <f t="shared" si="60"/>
        <v/>
      </c>
      <c r="Y20" s="58"/>
      <c r="Z20" s="65" t="str">
        <f t="shared" si="61"/>
        <v/>
      </c>
      <c r="AA20" s="58"/>
      <c r="AB20" s="65" t="str">
        <f t="shared" si="62"/>
        <v/>
      </c>
      <c r="AC20" s="58"/>
      <c r="AD20" s="65" t="str">
        <f t="shared" si="63"/>
        <v/>
      </c>
      <c r="AE20" s="58"/>
      <c r="AF20" s="65" t="str">
        <f t="shared" si="64"/>
        <v/>
      </c>
      <c r="AG20" s="58"/>
      <c r="AH20" s="67" t="str">
        <f t="shared" si="65"/>
        <v/>
      </c>
      <c r="AI20" s="58"/>
      <c r="AJ20" s="65" t="str">
        <f t="shared" si="66"/>
        <v/>
      </c>
      <c r="AK20" s="58"/>
      <c r="AL20" s="65" t="str">
        <f t="shared" si="67"/>
        <v/>
      </c>
      <c r="AM20" s="58"/>
      <c r="AN20" s="65" t="str">
        <f t="shared" si="68"/>
        <v/>
      </c>
      <c r="AO20" s="58"/>
      <c r="AP20" s="65" t="str">
        <f t="shared" si="69"/>
        <v/>
      </c>
      <c r="AQ20" s="58"/>
      <c r="AR20" s="65" t="str">
        <f t="shared" si="70"/>
        <v/>
      </c>
      <c r="AS20" s="58"/>
      <c r="AT20" s="65" t="str">
        <f t="shared" si="71"/>
        <v/>
      </c>
      <c r="AU20" s="58"/>
      <c r="AV20" s="65" t="str">
        <f t="shared" si="72"/>
        <v/>
      </c>
      <c r="AW20" s="58"/>
      <c r="AX20" s="65" t="str">
        <f t="shared" si="73"/>
        <v/>
      </c>
      <c r="AY20" s="58"/>
      <c r="AZ20" s="65" t="str">
        <f t="shared" si="74"/>
        <v/>
      </c>
      <c r="BA20" s="58"/>
      <c r="BB20" s="65" t="str">
        <f t="shared" si="75"/>
        <v/>
      </c>
      <c r="BC20" s="58"/>
      <c r="BD20" s="65" t="str">
        <f t="shared" si="76"/>
        <v/>
      </c>
      <c r="BE20" s="59"/>
      <c r="BF20" s="67" t="str">
        <f t="shared" si="77"/>
        <v/>
      </c>
      <c r="BG20" s="60"/>
      <c r="BH20" s="65" t="str">
        <f t="shared" si="78"/>
        <v/>
      </c>
      <c r="BI20" s="60"/>
      <c r="BJ20" s="65" t="str">
        <f t="shared" si="79"/>
        <v/>
      </c>
      <c r="BK20" s="60"/>
      <c r="BL20" s="65" t="str">
        <f t="shared" si="80"/>
        <v/>
      </c>
      <c r="BM20" s="60"/>
      <c r="BN20" s="65" t="str">
        <f t="shared" si="81"/>
        <v/>
      </c>
      <c r="BO20" s="60"/>
      <c r="BP20" s="65" t="str">
        <f t="shared" si="82"/>
        <v/>
      </c>
      <c r="BQ20" s="60"/>
      <c r="BR20" s="65" t="str">
        <f t="shared" si="83"/>
        <v/>
      </c>
      <c r="BS20" s="60"/>
      <c r="BT20" s="65" t="str">
        <f t="shared" si="84"/>
        <v/>
      </c>
      <c r="BU20" s="60"/>
      <c r="BV20" s="65" t="str">
        <f t="shared" si="85"/>
        <v/>
      </c>
      <c r="BW20" s="60"/>
      <c r="BX20" s="65" t="str">
        <f t="shared" si="86"/>
        <v/>
      </c>
      <c r="BY20" s="60"/>
      <c r="BZ20" s="67" t="str">
        <f t="shared" si="87"/>
        <v/>
      </c>
      <c r="CA20" s="60"/>
      <c r="CB20" s="67" t="str">
        <f t="shared" si="88"/>
        <v/>
      </c>
      <c r="CC20" s="60"/>
      <c r="CD20" s="67" t="str">
        <f t="shared" si="89"/>
        <v/>
      </c>
      <c r="CE20" s="60"/>
      <c r="CF20" s="67" t="str">
        <f t="shared" si="90"/>
        <v/>
      </c>
      <c r="CG20" s="60"/>
      <c r="CH20" s="67" t="str">
        <f t="shared" si="91"/>
        <v/>
      </c>
      <c r="CI20" s="60"/>
      <c r="CJ20" s="67" t="str">
        <f t="shared" si="92"/>
        <v/>
      </c>
      <c r="CK20" s="60"/>
      <c r="CL20" s="64" t="str">
        <f t="shared" si="93"/>
        <v/>
      </c>
      <c r="CM20" s="65" t="e">
        <f t="shared" si="94"/>
        <v>#VALUE!</v>
      </c>
      <c r="CN20" s="62"/>
      <c r="CO20" s="62"/>
      <c r="CP20" s="68"/>
      <c r="CQ20" s="67" t="str">
        <f t="shared" si="97"/>
        <v/>
      </c>
      <c r="CR20" s="68"/>
      <c r="CS20" s="67" t="str">
        <f t="shared" si="45"/>
        <v/>
      </c>
      <c r="CT20" s="75"/>
      <c r="CU20" s="67" t="str">
        <f t="shared" si="47"/>
        <v/>
      </c>
      <c r="CV20" s="68"/>
      <c r="CW20" s="67" t="str">
        <f t="shared" si="95"/>
        <v/>
      </c>
      <c r="CX20" s="58"/>
      <c r="CY20" s="67" t="str">
        <f t="shared" si="96"/>
        <v/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4" sqref="B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2212</v>
      </c>
      <c r="I19" s="41">
        <v>40</v>
      </c>
      <c r="J19" s="41">
        <v>617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2212</v>
      </c>
      <c r="I20" s="41">
        <v>85</v>
      </c>
      <c r="J20" s="41">
        <v>620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>
        <v>0</v>
      </c>
      <c r="C21" s="40">
        <v>45</v>
      </c>
      <c r="D21" s="40">
        <v>104</v>
      </c>
      <c r="E21" s="41">
        <v>85</v>
      </c>
      <c r="F21" s="41">
        <v>6834</v>
      </c>
      <c r="G21" s="41">
        <v>60</v>
      </c>
      <c r="H21" s="41">
        <v>2212</v>
      </c>
      <c r="I21" s="41">
        <v>85</v>
      </c>
      <c r="J21" s="41">
        <v>620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>
        <v>0</v>
      </c>
      <c r="C22" s="40">
        <v>40</v>
      </c>
      <c r="D22" s="40">
        <v>85</v>
      </c>
      <c r="E22" s="41">
        <v>85</v>
      </c>
      <c r="F22" s="41">
        <v>6834</v>
      </c>
      <c r="G22" s="41">
        <v>41</v>
      </c>
      <c r="H22" s="41">
        <v>2212</v>
      </c>
      <c r="I22" s="41">
        <v>85</v>
      </c>
      <c r="J22" s="41">
        <v>628</v>
      </c>
      <c r="K22" s="42">
        <v>85</v>
      </c>
      <c r="L22" s="42">
        <v>19</v>
      </c>
      <c r="M22" s="42">
        <v>1758</v>
      </c>
      <c r="N22" s="39">
        <v>85</v>
      </c>
      <c r="O22" s="39">
        <v>80</v>
      </c>
      <c r="P22" s="39">
        <v>85</v>
      </c>
      <c r="Q22" s="39">
        <v>4995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44697</v>
      </c>
      <c r="B23" s="40">
        <v>0</v>
      </c>
      <c r="C23" s="40">
        <v>37</v>
      </c>
      <c r="D23" s="40">
        <v>79</v>
      </c>
      <c r="E23" s="41">
        <v>85</v>
      </c>
      <c r="F23" s="41">
        <v>6834</v>
      </c>
      <c r="G23" s="41">
        <v>30</v>
      </c>
      <c r="H23" s="41">
        <v>2212</v>
      </c>
      <c r="I23" s="41">
        <v>85</v>
      </c>
      <c r="J23" s="41">
        <v>631</v>
      </c>
      <c r="K23" s="42">
        <v>85</v>
      </c>
      <c r="L23" s="42">
        <v>18</v>
      </c>
      <c r="M23" s="42">
        <v>1760</v>
      </c>
      <c r="N23" s="39">
        <v>85</v>
      </c>
      <c r="O23" s="39">
        <v>79</v>
      </c>
      <c r="P23" s="39">
        <v>85</v>
      </c>
      <c r="Q23" s="39">
        <v>4999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-227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2022-05-17T18:42:10Z</dcterms:modified>
</cp:coreProperties>
</file>