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1"/>
  <workbookPr filterPrivacy="1" defaultThemeVersion="124226"/>
  <xr:revisionPtr revIDLastSave="0" documentId="13_ncr:1_{D065D8F6-912D-4D34-A330-0DE711B8A2E6}" xr6:coauthVersionLast="36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U23" i="2" l="1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17" i="8" l="1"/>
  <c r="J12" i="2"/>
  <c r="S8" i="8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2" i="4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L22" i="3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F22" i="3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8" authorId="0" shapeId="0" xr:uid="{0654830B-AFB0-436F-BA56-78E14FA29F8A}">
      <text>
        <r>
          <rPr>
            <sz val="11"/>
            <color theme="1"/>
            <rFont val="Calibri"/>
            <family val="2"/>
            <scheme val="minor"/>
          </rPr>
          <t>Comment:
    Informed meter reading has issue</t>
        </r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<sst xmlns="http://schemas.openxmlformats.org/spreadsheetml/2006/main" count="201" uniqueCount="128">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</sst>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-420700</c:v>
                </c:pt>
                <c:pt idx="1">
                  <c:v>-2380800</c:v>
                </c:pt>
                <c:pt idx="2">
                  <c:v>-229580.00000000003</c:v>
                </c:pt>
                <c:pt idx="3">
                  <c:v>-891160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-52942</c:v>
                </c:pt>
                <c:pt idx="1">
                  <c:v>0.17797724101995194</c:v>
                </c:pt>
                <c:pt idx="2" formatCode="_(* #,##0.00_);_(* \(#,##0.00\);_(* &quot;-&quot;??_);_(@_)">
                  <c:v>-202425.5</c:v>
                </c:pt>
                <c:pt idx="3">
                  <c:v>0.68050190778747077</c:v>
                </c:pt>
                <c:pt idx="4" formatCode="0.00">
                  <c:v>-27014</c:v>
                </c:pt>
                <c:pt idx="5">
                  <c:v>9.0814045349873099E-2</c:v>
                </c:pt>
                <c:pt idx="6" formatCode="0.00">
                  <c:v>-36614</c:v>
                </c:pt>
                <c:pt idx="7">
                  <c:v>0.12308674970164557</c:v>
                </c:pt>
                <c:pt idx="8" formatCode="0.00">
                  <c:v>-6229</c:v>
                </c:pt>
                <c:pt idx="9">
                  <c:v>2.0940278688249037E-2</c:v>
                </c:pt>
                <c:pt idx="10" formatCode="0.00">
                  <c:v>-641.5</c:v>
                </c:pt>
                <c:pt idx="11">
                  <c:v>2.1565562335064629E-3</c:v>
                </c:pt>
                <c:pt idx="12" formatCode="0.00">
                  <c:v>-66928</c:v>
                </c:pt>
                <c:pt idx="13">
                  <c:v>0.22499453717244045</c:v>
                </c:pt>
                <c:pt idx="14" formatCode="_(* #,##0.00_);_(* \(#,##0.00\);_(* &quot;-&quot;??_);_(@_)">
                  <c:v>-247852</c:v>
                </c:pt>
                <c:pt idx="15">
                  <c:v>0.83321399156203246</c:v>
                </c:pt>
                <c:pt idx="16" formatCode="0.00">
                  <c:v>-111641</c:v>
                </c:pt>
                <c:pt idx="17">
                  <c:v>0.3753080194308574</c:v>
                </c:pt>
                <c:pt idx="18" formatCode="0.00">
                  <c:v>-20282</c:v>
                </c:pt>
                <c:pt idx="19">
                  <c:v>6.8182811423192644E-2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5670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-297465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-772569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186880"/>
        <c:axId val="196188416"/>
      </c:barChart>
      <c:catAx>
        <c:axId val="196186880"/>
        <c:scaling>
          <c:orientation val="minMax"/>
        </c:scaling>
        <c:delete val="1"/>
        <c:axPos val="b"/>
        <c:majorTickMark val="none"/>
        <c:minorTickMark val="none"/>
        <c:tickLblPos val="nextTo"/>
        <c:crossAx val="196188416"/>
        <c:crosses val="autoZero"/>
        <c:auto val="1"/>
        <c:lblAlgn val="ctr"/>
        <c:lblOffset val="100"/>
        <c:noMultiLvlLbl val="0"/>
      </c:catAx>
      <c:valAx>
        <c:axId val="19618841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96186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21" sqref="M21:O21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7</v>
      </c>
      <c r="D2" s="46">
        <v>2021</v>
      </c>
      <c r="E2" s="107">
        <v>22320.000000000167</v>
      </c>
      <c r="F2" s="48">
        <v>0.14000000000000001</v>
      </c>
      <c r="G2" s="107">
        <v>5978</v>
      </c>
      <c r="H2" s="48">
        <v>0.45</v>
      </c>
      <c r="I2" s="65">
        <v>227</v>
      </c>
      <c r="J2" s="76">
        <v>0.4</v>
      </c>
      <c r="K2" s="108"/>
      <c r="L2" s="76"/>
      <c r="M2" s="72">
        <v>13</v>
      </c>
      <c r="N2" s="72">
        <v>35</v>
      </c>
      <c r="O2" s="72">
        <v>77</v>
      </c>
    </row>
    <row r="3" spans="1:15" ht="15" x14ac:dyDescent="0.25">
      <c r="A3" s="45" t="s">
        <v>9</v>
      </c>
      <c r="B3" s="46">
        <f>B2+1</f>
        <v>2</v>
      </c>
      <c r="C3" s="47">
        <v>7</v>
      </c>
      <c r="D3" s="46">
        <v>2021</v>
      </c>
      <c r="E3" s="107">
        <v>22910.000000000306</v>
      </c>
      <c r="F3" s="48">
        <v>0.14000000000000001</v>
      </c>
      <c r="G3" s="107">
        <v>6232</v>
      </c>
      <c r="H3" s="48">
        <v>0.45</v>
      </c>
      <c r="I3" s="65">
        <v>247</v>
      </c>
      <c r="J3" s="76">
        <v>0.4</v>
      </c>
      <c r="K3" s="108"/>
      <c r="L3" s="76"/>
      <c r="M3" s="72">
        <v>13</v>
      </c>
      <c r="N3" s="72">
        <v>35</v>
      </c>
      <c r="O3" s="72">
        <v>96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7</v>
      </c>
      <c r="D4" s="46">
        <v>2021</v>
      </c>
      <c r="E4" s="107">
        <v>23560.000000001084</v>
      </c>
      <c r="F4" s="48">
        <v>0.14000000000000001</v>
      </c>
      <c r="G4" s="107">
        <v>6371</v>
      </c>
      <c r="H4" s="48">
        <v>0.45</v>
      </c>
      <c r="I4" s="65">
        <v>242</v>
      </c>
      <c r="J4" s="76">
        <v>0.4</v>
      </c>
      <c r="K4" s="108"/>
      <c r="L4" s="76"/>
      <c r="M4" s="72">
        <v>13</v>
      </c>
      <c r="N4" s="72">
        <v>35</v>
      </c>
      <c r="O4" s="72">
        <v>93</v>
      </c>
    </row>
    <row r="5" spans="1:15" ht="15" x14ac:dyDescent="0.25">
      <c r="A5" s="45" t="s">
        <v>9</v>
      </c>
      <c r="B5" s="46">
        <f t="shared" si="0"/>
        <v>4</v>
      </c>
      <c r="C5" s="47">
        <v>7</v>
      </c>
      <c r="D5" s="46">
        <v>2021</v>
      </c>
      <c r="E5" s="107">
        <v>23199.999999998683</v>
      </c>
      <c r="F5" s="48">
        <v>0.14000000000000001</v>
      </c>
      <c r="G5" s="107">
        <v>6318</v>
      </c>
      <c r="H5" s="48">
        <v>0.45</v>
      </c>
      <c r="I5" s="65">
        <v>246</v>
      </c>
      <c r="J5" s="76">
        <v>0.4</v>
      </c>
      <c r="K5" s="108"/>
      <c r="L5" s="76"/>
      <c r="M5" s="72">
        <v>13</v>
      </c>
      <c r="N5" s="72">
        <v>33</v>
      </c>
      <c r="O5" s="72">
        <v>80</v>
      </c>
    </row>
    <row r="6" spans="1:15" ht="15" x14ac:dyDescent="0.25">
      <c r="A6" s="45" t="s">
        <v>9</v>
      </c>
      <c r="B6" s="46">
        <f t="shared" si="0"/>
        <v>5</v>
      </c>
      <c r="C6" s="47">
        <v>7</v>
      </c>
      <c r="D6" s="46">
        <v>2021</v>
      </c>
      <c r="E6" s="107">
        <v>22669.999999998934</v>
      </c>
      <c r="F6" s="48">
        <v>0.14000000000000001</v>
      </c>
      <c r="G6" s="107">
        <v>6184</v>
      </c>
      <c r="H6" s="48">
        <v>0.45</v>
      </c>
      <c r="I6" s="65">
        <v>245</v>
      </c>
      <c r="J6" s="76">
        <v>0.4</v>
      </c>
      <c r="K6" s="108"/>
      <c r="L6" s="76"/>
      <c r="M6" s="72">
        <v>15</v>
      </c>
      <c r="N6" s="72">
        <v>43</v>
      </c>
      <c r="O6" s="72">
        <v>117</v>
      </c>
    </row>
    <row r="7" spans="1:15" ht="15" x14ac:dyDescent="0.25">
      <c r="A7" s="45" t="s">
        <v>9</v>
      </c>
      <c r="B7" s="46">
        <f t="shared" si="0"/>
        <v>6</v>
      </c>
      <c r="C7" s="47">
        <v>7</v>
      </c>
      <c r="D7" s="46">
        <v>2021</v>
      </c>
      <c r="E7" s="107">
        <v>22710.000000002081</v>
      </c>
      <c r="F7" s="48">
        <v>0.14000000000000001</v>
      </c>
      <c r="G7" s="107">
        <v>6070</v>
      </c>
      <c r="H7" s="48">
        <v>0.45</v>
      </c>
      <c r="I7" s="65">
        <v>240</v>
      </c>
      <c r="J7" s="76">
        <v>0.4</v>
      </c>
      <c r="K7" s="108"/>
      <c r="L7" s="76"/>
      <c r="M7" s="72">
        <v>10</v>
      </c>
      <c r="N7" s="72">
        <v>31</v>
      </c>
      <c r="O7" s="72">
        <v>97</v>
      </c>
    </row>
    <row r="8" spans="1:15" ht="15" x14ac:dyDescent="0.25">
      <c r="A8" s="45" t="s">
        <v>9</v>
      </c>
      <c r="B8" s="46">
        <f t="shared" si="0"/>
        <v>7</v>
      </c>
      <c r="C8" s="47">
        <v>7</v>
      </c>
      <c r="D8" s="46">
        <v>2021</v>
      </c>
      <c r="E8" s="107">
        <v>23189.99999999869</v>
      </c>
      <c r="F8" s="48">
        <v>0.14000000000000001</v>
      </c>
      <c r="G8" s="107">
        <v>6272</v>
      </c>
      <c r="H8" s="48">
        <v>0.45</v>
      </c>
      <c r="I8" s="65">
        <v>226</v>
      </c>
      <c r="J8" s="76">
        <v>0.4</v>
      </c>
      <c r="K8" s="108"/>
      <c r="L8" s="76"/>
      <c r="M8" s="72">
        <v>10</v>
      </c>
      <c r="N8" s="72">
        <v>35</v>
      </c>
      <c r="O8" s="72">
        <v>93</v>
      </c>
    </row>
    <row r="9" spans="1:15" ht="15" x14ac:dyDescent="0.25">
      <c r="A9" s="45" t="s">
        <v>9</v>
      </c>
      <c r="B9" s="46">
        <f t="shared" si="0"/>
        <v>8</v>
      </c>
      <c r="C9" s="47">
        <v>7</v>
      </c>
      <c r="D9" s="46">
        <v>2021</v>
      </c>
      <c r="E9" s="107">
        <v>22890.000000000327</v>
      </c>
      <c r="F9" s="48">
        <v>0.14000000000000001</v>
      </c>
      <c r="G9" s="107">
        <v>6236</v>
      </c>
      <c r="H9" s="48">
        <v>0.45</v>
      </c>
      <c r="I9" s="65">
        <v>235</v>
      </c>
      <c r="J9" s="76">
        <v>0.4</v>
      </c>
      <c r="K9" s="108"/>
      <c r="L9" s="76"/>
      <c r="M9" s="72">
        <v>13</v>
      </c>
      <c r="N9" s="72">
        <v>36</v>
      </c>
      <c r="O9" s="72">
        <v>117</v>
      </c>
    </row>
    <row r="10" spans="1:15" ht="15" x14ac:dyDescent="0.25">
      <c r="A10" s="45" t="s">
        <v>9</v>
      </c>
      <c r="B10" s="46">
        <f t="shared" si="0"/>
        <v>9</v>
      </c>
      <c r="C10" s="47">
        <v>7</v>
      </c>
      <c r="D10" s="46">
        <v>2021</v>
      </c>
      <c r="E10" s="107">
        <v>19059.99999999904</v>
      </c>
      <c r="F10" s="48">
        <v>0.14000000000000001</v>
      </c>
      <c r="G10" s="107">
        <v>5185</v>
      </c>
      <c r="H10" s="48">
        <v>0.45</v>
      </c>
      <c r="I10" s="65">
        <v>325</v>
      </c>
      <c r="J10" s="76">
        <v>0.4</v>
      </c>
      <c r="K10" s="108"/>
      <c r="L10" s="76"/>
      <c r="M10" s="72">
        <v>12</v>
      </c>
      <c r="N10" s="72">
        <v>32</v>
      </c>
      <c r="O10" s="72">
        <v>83</v>
      </c>
    </row>
    <row r="11" spans="1:15" ht="15" x14ac:dyDescent="0.25">
      <c r="A11" s="45" t="s">
        <v>9</v>
      </c>
      <c r="B11" s="46">
        <f t="shared" si="0"/>
        <v>10</v>
      </c>
      <c r="C11" s="47">
        <v>7</v>
      </c>
      <c r="D11" s="46">
        <v>2021</v>
      </c>
      <c r="E11" s="107">
        <v>21280.000000001113</v>
      </c>
      <c r="F11" s="48">
        <v>0.14000000000000001</v>
      </c>
      <c r="G11" s="107">
        <v>5833</v>
      </c>
      <c r="H11" s="48">
        <v>0.45</v>
      </c>
      <c r="I11" s="65">
        <v>239</v>
      </c>
      <c r="J11" s="76">
        <v>0.4</v>
      </c>
      <c r="K11" s="108"/>
      <c r="L11" s="76"/>
      <c r="M11" s="72">
        <v>11</v>
      </c>
      <c r="N11" s="72">
        <v>27</v>
      </c>
      <c r="O11" s="72">
        <v>87</v>
      </c>
    </row>
    <row r="12" spans="1:15" ht="15" x14ac:dyDescent="0.25">
      <c r="A12" s="45" t="s">
        <v>9</v>
      </c>
      <c r="B12" s="46">
        <f t="shared" si="0"/>
        <v>11</v>
      </c>
      <c r="C12" s="47">
        <v>7</v>
      </c>
      <c r="D12" s="46">
        <v>2021</v>
      </c>
      <c r="E12" s="107">
        <v>23830.000000000378</v>
      </c>
      <c r="F12" s="48">
        <v>0.14000000000000001</v>
      </c>
      <c r="G12" s="107">
        <v>6356</v>
      </c>
      <c r="H12" s="48">
        <v>0.45</v>
      </c>
      <c r="I12" s="65">
        <v>376</v>
      </c>
      <c r="J12" s="76">
        <v>0.4</v>
      </c>
      <c r="K12" s="108"/>
      <c r="L12" s="76"/>
      <c r="M12" s="72">
        <v>9</v>
      </c>
      <c r="N12" s="72">
        <v>23</v>
      </c>
      <c r="O12" s="72">
        <v>54</v>
      </c>
    </row>
    <row r="13" spans="1:15" ht="15" x14ac:dyDescent="0.25">
      <c r="A13" s="45" t="s">
        <v>9</v>
      </c>
      <c r="B13" s="46">
        <f t="shared" si="0"/>
        <v>12</v>
      </c>
      <c r="C13" s="47">
        <v>7</v>
      </c>
      <c r="D13" s="46">
        <v>2021</v>
      </c>
      <c r="E13" s="107">
        <v>22739.999999998417</v>
      </c>
      <c r="F13" s="48">
        <v>0.14000000000000001</v>
      </c>
      <c r="G13" s="107">
        <v>6141</v>
      </c>
      <c r="H13" s="48">
        <v>0.45</v>
      </c>
      <c r="I13" s="65">
        <v>387</v>
      </c>
      <c r="J13" s="76">
        <v>0.4</v>
      </c>
      <c r="K13" s="108"/>
      <c r="L13" s="76"/>
      <c r="M13" s="72">
        <v>14</v>
      </c>
      <c r="N13" s="72">
        <v>31</v>
      </c>
      <c r="O13" s="72">
        <v>83</v>
      </c>
    </row>
    <row r="14" spans="1:15" ht="15" x14ac:dyDescent="0.25">
      <c r="A14" s="45" t="s">
        <v>9</v>
      </c>
      <c r="B14" s="46">
        <f t="shared" si="0"/>
        <v>13</v>
      </c>
      <c r="C14" s="47">
        <v>7</v>
      </c>
      <c r="D14" s="46">
        <v>2021</v>
      </c>
      <c r="E14" s="107">
        <v>22780.000000002023</v>
      </c>
      <c r="F14" s="48">
        <v>0.14000000000000001</v>
      </c>
      <c r="G14" s="107">
        <v>6142</v>
      </c>
      <c r="H14" s="48">
        <v>0.45</v>
      </c>
      <c r="I14" s="65">
        <v>253</v>
      </c>
      <c r="J14" s="76">
        <v>0.4</v>
      </c>
      <c r="K14" s="108"/>
      <c r="L14" s="76"/>
      <c r="M14" s="72">
        <v>16</v>
      </c>
      <c r="N14" s="72">
        <v>40</v>
      </c>
      <c r="O14" s="72">
        <v>97</v>
      </c>
    </row>
    <row r="15" spans="1:15" ht="15" x14ac:dyDescent="0.25">
      <c r="A15" s="45" t="s">
        <v>9</v>
      </c>
      <c r="B15" s="46">
        <f t="shared" si="0"/>
        <v>14</v>
      </c>
      <c r="C15" s="47">
        <v>7</v>
      </c>
      <c r="D15" s="46">
        <v>2021</v>
      </c>
      <c r="E15" s="107">
        <v>22879.9999999992</v>
      </c>
      <c r="F15" s="48">
        <v>0.14000000000000001</v>
      </c>
      <c r="G15" s="107">
        <v>6162</v>
      </c>
      <c r="H15" s="48">
        <v>0.45</v>
      </c>
      <c r="I15" s="65">
        <v>263</v>
      </c>
      <c r="J15" s="76">
        <v>0.4</v>
      </c>
      <c r="K15" s="108"/>
      <c r="L15" s="76"/>
      <c r="M15" s="72">
        <v>57</v>
      </c>
      <c r="N15" s="72">
        <v>115</v>
      </c>
      <c r="O15" s="72">
        <v>249</v>
      </c>
    </row>
    <row r="16" spans="1:15" ht="15" x14ac:dyDescent="0.25">
      <c r="A16" s="45" t="s">
        <v>9</v>
      </c>
      <c r="B16" s="46">
        <f t="shared" si="0"/>
        <v>15</v>
      </c>
      <c r="C16" s="47">
        <v>7</v>
      </c>
      <c r="D16" s="46">
        <v>2021</v>
      </c>
      <c r="E16" s="107">
        <v>23499.999999999091</v>
      </c>
      <c r="F16" s="48">
        <v>0.14000000000000001</v>
      </c>
      <c r="G16" s="107">
        <v>6437</v>
      </c>
      <c r="H16" s="48">
        <v>0.45</v>
      </c>
      <c r="I16" s="65">
        <v>289</v>
      </c>
      <c r="J16" s="76">
        <v>0.4</v>
      </c>
      <c r="K16" s="108"/>
      <c r="L16" s="76"/>
      <c r="M16" s="72">
        <v>57</v>
      </c>
      <c r="N16" s="72">
        <v>116</v>
      </c>
      <c r="O16" s="72">
        <v>243</v>
      </c>
    </row>
    <row r="17" spans="1:15" ht="15" x14ac:dyDescent="0.25">
      <c r="A17" s="45" t="s">
        <v>9</v>
      </c>
      <c r="B17" s="46">
        <f t="shared" si="0"/>
        <v>16</v>
      </c>
      <c r="C17" s="47">
        <v>7</v>
      </c>
      <c r="D17" s="46">
        <v>2021</v>
      </c>
      <c r="E17" s="107">
        <v>23690.000000000284</v>
      </c>
      <c r="F17" s="48">
        <v>0.14000000000000001</v>
      </c>
      <c r="G17" s="107">
        <v>6365</v>
      </c>
      <c r="H17" s="48">
        <v>0.45</v>
      </c>
      <c r="I17" s="65">
        <v>324</v>
      </c>
      <c r="J17" s="76">
        <v>0.4</v>
      </c>
      <c r="K17" s="108"/>
      <c r="L17" s="76"/>
      <c r="M17" s="72">
        <v>57</v>
      </c>
      <c r="N17" s="72">
        <v>112</v>
      </c>
      <c r="O17" s="72">
        <v>323</v>
      </c>
    </row>
    <row r="18" spans="1:15" ht="15" x14ac:dyDescent="0.25">
      <c r="A18" s="45" t="s">
        <v>9</v>
      </c>
      <c r="B18" s="46">
        <f t="shared" si="0"/>
        <v>17</v>
      </c>
      <c r="C18" s="47">
        <v>7</v>
      </c>
      <c r="D18" s="46">
        <v>2021</v>
      </c>
      <c r="E18" s="107">
        <v>24750.000000001364</v>
      </c>
      <c r="F18" s="48">
        <v>0.14000000000000001</v>
      </c>
      <c r="G18" s="107">
        <v>6742</v>
      </c>
      <c r="H18" s="48">
        <v>0.45</v>
      </c>
      <c r="I18" s="65">
        <v>244</v>
      </c>
      <c r="J18" s="76">
        <v>0.4</v>
      </c>
      <c r="K18" s="108"/>
      <c r="L18" s="76"/>
      <c r="M18" s="72">
        <v>58</v>
      </c>
      <c r="N18" s="72">
        <v>117</v>
      </c>
      <c r="O18" s="72">
        <v>270</v>
      </c>
    </row>
    <row r="19" spans="1:15" ht="15" x14ac:dyDescent="0.25">
      <c r="A19" s="45" t="s">
        <v>9</v>
      </c>
      <c r="B19" s="46">
        <f t="shared" si="0"/>
        <v>18</v>
      </c>
      <c r="C19" s="47">
        <v>7</v>
      </c>
      <c r="D19" s="46">
        <v>2021</v>
      </c>
      <c r="E19" s="107">
        <v>23820.00000000016</v>
      </c>
      <c r="F19" s="48">
        <v>0.14000000000000001</v>
      </c>
      <c r="G19" s="107">
        <v>6548</v>
      </c>
      <c r="H19" s="48">
        <v>0.45</v>
      </c>
      <c r="I19" s="65">
        <v>244</v>
      </c>
      <c r="J19" s="76">
        <v>0.4</v>
      </c>
      <c r="K19" s="108"/>
      <c r="L19" s="76"/>
      <c r="M19" s="72">
        <v>58</v>
      </c>
      <c r="N19" s="72">
        <v>119</v>
      </c>
      <c r="O19" s="72">
        <v>272</v>
      </c>
    </row>
    <row r="20" spans="1:15" ht="15" x14ac:dyDescent="0.25">
      <c r="A20" s="45" t="s">
        <v>9</v>
      </c>
      <c r="B20" s="46">
        <f t="shared" si="0"/>
        <v>19</v>
      </c>
      <c r="C20" s="47">
        <v>7</v>
      </c>
      <c r="D20" s="46">
        <v>2021</v>
      </c>
      <c r="E20" s="107">
        <v>23509.999999998628</v>
      </c>
      <c r="F20" s="48">
        <v>0.14000000000000001</v>
      </c>
      <c r="G20" s="107">
        <v>6641</v>
      </c>
      <c r="H20" s="48">
        <v>0.45</v>
      </c>
      <c r="I20" s="65">
        <v>306</v>
      </c>
      <c r="J20" s="76">
        <v>0.4</v>
      </c>
      <c r="K20" s="108"/>
      <c r="L20" s="76"/>
      <c r="M20" s="72">
        <v>16</v>
      </c>
      <c r="N20" s="72">
        <v>41</v>
      </c>
      <c r="O20" s="72">
        <v>173</v>
      </c>
    </row>
    <row r="21" spans="1:15" ht="15" x14ac:dyDescent="0.25">
      <c r="A21" s="45" t="s">
        <v>9</v>
      </c>
      <c r="B21" s="46">
        <f t="shared" si="0"/>
        <v>20</v>
      </c>
      <c r="C21" s="47">
        <v>7</v>
      </c>
      <c r="D21" s="46">
        <v>2021</v>
      </c>
      <c r="E21" s="107">
        <v>25200.000000000728</v>
      </c>
      <c r="F21" s="48">
        <v>0.14000000000000001</v>
      </c>
      <c r="G21" s="107">
        <v>6679</v>
      </c>
      <c r="H21" s="48">
        <v>0.45</v>
      </c>
      <c r="I21" s="65">
        <v>270</v>
      </c>
      <c r="J21" s="76">
        <v>0.4</v>
      </c>
      <c r="K21" s="108"/>
      <c r="L21" s="76"/>
      <c r="M21" s="72">
        <v>15</v>
      </c>
      <c r="N21" s="72">
        <v>57</v>
      </c>
      <c r="O21" s="72">
        <v>152</v>
      </c>
    </row>
    <row r="22" spans="1:15" ht="15" x14ac:dyDescent="0.25">
      <c r="A22" s="45" t="s">
        <v>9</v>
      </c>
      <c r="B22" s="46">
        <f t="shared" si="0"/>
        <v>21</v>
      </c>
      <c r="C22" s="47">
        <v>7</v>
      </c>
      <c r="D22" s="46">
        <v>2021</v>
      </c>
      <c r="E22" s="107"/>
      <c r="F22" s="48">
        <v>0.14000000000000001</v>
      </c>
      <c r="G22" s="107"/>
      <c r="H22" s="48">
        <v>0.45</v>
      </c>
      <c r="I22" s="65"/>
      <c r="J22" s="76">
        <v>0.4</v>
      </c>
      <c r="K22" s="108"/>
      <c r="L22" s="76"/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7</v>
      </c>
      <c r="D23" s="46">
        <v>2021</v>
      </c>
      <c r="E23" s="107"/>
      <c r="F23" s="48">
        <v>0.14000000000000001</v>
      </c>
      <c r="G23" s="107"/>
      <c r="H23" s="48">
        <v>0.45</v>
      </c>
      <c r="I23" s="65"/>
      <c r="J23" s="76">
        <v>0.4</v>
      </c>
      <c r="K23" s="108"/>
      <c r="L23" s="76"/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7</v>
      </c>
      <c r="D24" s="46">
        <v>2021</v>
      </c>
      <c r="E24" s="107"/>
      <c r="F24" s="48">
        <v>0.14000000000000001</v>
      </c>
      <c r="G24" s="107"/>
      <c r="H24" s="48">
        <v>0.45</v>
      </c>
      <c r="I24" s="65"/>
      <c r="J24" s="76">
        <v>0.4</v>
      </c>
      <c r="K24" s="108"/>
      <c r="L24" s="76"/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7</v>
      </c>
      <c r="D25" s="46">
        <v>2021</v>
      </c>
      <c r="E25" s="107"/>
      <c r="F25" s="48">
        <v>0.14000000000000001</v>
      </c>
      <c r="G25" s="107"/>
      <c r="H25" s="48">
        <v>0.45</v>
      </c>
      <c r="I25" s="65"/>
      <c r="J25" s="76">
        <v>0.4</v>
      </c>
      <c r="K25" s="108"/>
      <c r="L25" s="76"/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7</v>
      </c>
      <c r="D26" s="46">
        <v>2021</v>
      </c>
      <c r="E26" s="107"/>
      <c r="F26" s="48">
        <v>0.14000000000000001</v>
      </c>
      <c r="G26" s="107"/>
      <c r="H26" s="48">
        <v>0.45</v>
      </c>
      <c r="I26" s="65"/>
      <c r="J26" s="76">
        <v>0.4</v>
      </c>
      <c r="K26" s="108"/>
      <c r="L26" s="76"/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7</v>
      </c>
      <c r="D27" s="46">
        <v>2021</v>
      </c>
      <c r="E27" s="107"/>
      <c r="F27" s="48">
        <v>0.14000000000000001</v>
      </c>
      <c r="G27" s="107"/>
      <c r="H27" s="48">
        <v>0.45</v>
      </c>
      <c r="I27" s="65"/>
      <c r="J27" s="76">
        <v>0.4</v>
      </c>
      <c r="K27" s="108"/>
      <c r="L27" s="76"/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7</v>
      </c>
      <c r="D28" s="46">
        <v>2021</v>
      </c>
      <c r="E28" s="107"/>
      <c r="F28" s="48">
        <v>0.14000000000000001</v>
      </c>
      <c r="G28" s="107"/>
      <c r="H28" s="48">
        <v>0.45</v>
      </c>
      <c r="I28" s="65"/>
      <c r="J28" s="76">
        <v>0.4</v>
      </c>
      <c r="K28" s="108"/>
      <c r="L28" s="76"/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7</v>
      </c>
      <c r="D29" s="46">
        <v>2021</v>
      </c>
      <c r="E29" s="107"/>
      <c r="F29" s="48">
        <v>0.14000000000000001</v>
      </c>
      <c r="G29" s="107"/>
      <c r="H29" s="48">
        <v>0.45</v>
      </c>
      <c r="I29" s="65"/>
      <c r="J29" s="76">
        <v>0.4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7</v>
      </c>
      <c r="D30" s="46">
        <v>2021</v>
      </c>
      <c r="E30" s="107"/>
      <c r="F30" s="48">
        <v>0.14000000000000001</v>
      </c>
      <c r="G30" s="107"/>
      <c r="H30" s="48">
        <v>0.45</v>
      </c>
      <c r="I30" s="65"/>
      <c r="J30" s="76">
        <v>0.4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7</v>
      </c>
      <c r="D31" s="46">
        <v>2021</v>
      </c>
      <c r="E31" s="107"/>
      <c r="F31" s="48">
        <v>0.14000000000000001</v>
      </c>
      <c r="G31" s="107"/>
      <c r="H31" s="48">
        <v>0.45</v>
      </c>
      <c r="I31" s="65"/>
      <c r="J31" s="76">
        <v>0.4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7</v>
      </c>
      <c r="D32" s="46">
        <v>2021</v>
      </c>
      <c r="E32" s="107"/>
      <c r="F32" s="48">
        <v>0.14000000000000001</v>
      </c>
      <c r="G32" s="107"/>
      <c r="H32" s="48">
        <v>0.45</v>
      </c>
      <c r="I32" s="65"/>
      <c r="J32" s="76">
        <v>0.4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460490.00000000058</v>
      </c>
      <c r="F33" s="104">
        <v>0</v>
      </c>
      <c r="G33" s="101">
        <f>SUM(G2:G32)</f>
        <v>124892</v>
      </c>
      <c r="H33" s="102">
        <v>0</v>
      </c>
      <c r="I33" s="103">
        <f>SUM(I2:I32)</f>
        <v>5428</v>
      </c>
      <c r="J33" s="104">
        <v>0</v>
      </c>
      <c r="K33" s="105">
        <v>0</v>
      </c>
      <c r="L33" s="102">
        <v>0</v>
      </c>
      <c r="M33" s="106">
        <f t="shared" ref="M33:O33" si="1">SUM(M2:M32)</f>
        <v>480</v>
      </c>
      <c r="N33" s="106">
        <f t="shared" si="1"/>
        <v>1113</v>
      </c>
      <c r="O33" s="106">
        <f t="shared" si="1"/>
        <v>2856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23" sqref="V23:X23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20" t="s">
        <v>11</v>
      </c>
      <c r="C2" s="120" t="s">
        <v>12</v>
      </c>
      <c r="D2" s="120" t="s">
        <v>13</v>
      </c>
      <c r="E2" s="120" t="s">
        <v>14</v>
      </c>
      <c r="F2" s="120" t="s">
        <v>15</v>
      </c>
      <c r="G2" s="115" t="s">
        <v>16</v>
      </c>
      <c r="H2" s="117" t="s">
        <v>17</v>
      </c>
      <c r="I2" s="120" t="s">
        <v>18</v>
      </c>
      <c r="J2" s="122" t="s">
        <v>19</v>
      </c>
      <c r="K2" s="123"/>
      <c r="L2" s="124"/>
      <c r="M2" s="115" t="s">
        <v>20</v>
      </c>
      <c r="N2" s="117" t="s">
        <v>21</v>
      </c>
      <c r="O2" s="118" t="s">
        <v>22</v>
      </c>
      <c r="P2" s="117" t="s">
        <v>23</v>
      </c>
      <c r="Q2" s="125" t="s">
        <v>24</v>
      </c>
      <c r="R2" s="120" t="s">
        <v>25</v>
      </c>
      <c r="S2" s="120" t="s">
        <v>26</v>
      </c>
      <c r="T2" s="120" t="s">
        <v>27</v>
      </c>
      <c r="V2" s="127" t="s">
        <v>6</v>
      </c>
      <c r="W2" s="127" t="s">
        <v>7</v>
      </c>
      <c r="X2" s="127" t="s">
        <v>8</v>
      </c>
    </row>
    <row r="3" spans="1:25" s="17" customFormat="1" ht="45" customHeight="1" x14ac:dyDescent="0.25">
      <c r="A3" s="30"/>
      <c r="B3" s="121"/>
      <c r="C3" s="121"/>
      <c r="D3" s="121"/>
      <c r="E3" s="121"/>
      <c r="F3" s="121"/>
      <c r="G3" s="116"/>
      <c r="H3" s="117"/>
      <c r="I3" s="12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6"/>
      <c r="R3" s="121"/>
      <c r="S3" s="121"/>
      <c r="T3" s="121"/>
      <c r="V3" s="127"/>
      <c r="W3" s="127"/>
      <c r="X3" s="127"/>
    </row>
    <row r="4" spans="1:25" ht="21" customHeight="1" x14ac:dyDescent="0.25">
      <c r="A4" s="8">
        <v>44378</v>
      </c>
      <c r="B4" s="1">
        <v>981.18</v>
      </c>
      <c r="C4" s="1">
        <v>229.58</v>
      </c>
      <c r="D4" s="1">
        <v>7480564.5499999998</v>
      </c>
      <c r="E4" s="1">
        <v>8184646.8899999997</v>
      </c>
      <c r="F4" s="1">
        <v>2.3807999999999998</v>
      </c>
      <c r="G4" s="1">
        <v>746.17</v>
      </c>
      <c r="H4" s="1">
        <v>622.15</v>
      </c>
      <c r="I4" s="1">
        <v>236.04</v>
      </c>
      <c r="J4" s="1">
        <v>316.45999999999998</v>
      </c>
      <c r="K4" s="1">
        <v>340.8</v>
      </c>
      <c r="L4" s="1">
        <v>233.9</v>
      </c>
      <c r="M4" s="1">
        <v>518.45000000000005</v>
      </c>
      <c r="N4" s="1">
        <v>472.62</v>
      </c>
      <c r="O4" s="1">
        <v>151.38</v>
      </c>
      <c r="P4" s="1">
        <v>618.58000000000004</v>
      </c>
      <c r="Q4" s="1">
        <v>461.07</v>
      </c>
      <c r="R4" s="1">
        <v>157.72999999999999</v>
      </c>
      <c r="S4" s="1">
        <v>115.16</v>
      </c>
      <c r="T4" s="1">
        <v>420.7</v>
      </c>
      <c r="V4" s="71">
        <v>13</v>
      </c>
      <c r="W4" s="71">
        <v>35</v>
      </c>
      <c r="X4" s="71">
        <v>77</v>
      </c>
      <c r="Y4" s="17"/>
    </row>
    <row r="5" spans="1:25" ht="21" customHeight="1" x14ac:dyDescent="0.25">
      <c r="A5" s="8">
        <v>44379</v>
      </c>
      <c r="B5" s="1">
        <v>982.55</v>
      </c>
      <c r="C5" s="1">
        <v>229.79</v>
      </c>
      <c r="D5" s="1">
        <v>7483077.2300000004</v>
      </c>
      <c r="E5" s="1">
        <v>8187637.04</v>
      </c>
      <c r="F5" s="1">
        <v>2.3832</v>
      </c>
      <c r="G5" s="1">
        <v>746.9</v>
      </c>
      <c r="H5" s="1">
        <v>622.69000000000005</v>
      </c>
      <c r="I5" s="1">
        <v>236.36</v>
      </c>
      <c r="J5" s="1">
        <v>316.61</v>
      </c>
      <c r="K5" s="1">
        <v>341.07</v>
      </c>
      <c r="L5" s="1">
        <v>234.09</v>
      </c>
      <c r="M5" s="1">
        <v>519.27</v>
      </c>
      <c r="N5" s="1">
        <v>473.37</v>
      </c>
      <c r="O5" s="1">
        <v>151.61000000000001</v>
      </c>
      <c r="P5" s="1">
        <v>619.73</v>
      </c>
      <c r="Q5" s="1">
        <v>462.35</v>
      </c>
      <c r="R5" s="1">
        <v>158.04</v>
      </c>
      <c r="S5" s="1">
        <v>115.28</v>
      </c>
      <c r="T5" s="1">
        <v>421.21</v>
      </c>
      <c r="V5" s="71">
        <v>13</v>
      </c>
      <c r="W5" s="71">
        <v>35</v>
      </c>
      <c r="X5" s="71">
        <v>96</v>
      </c>
      <c r="Y5" s="17"/>
    </row>
    <row r="6" spans="1:25" ht="21" customHeight="1" x14ac:dyDescent="0.25">
      <c r="A6" s="8">
        <v>44380</v>
      </c>
      <c r="B6" s="1">
        <v>983.87</v>
      </c>
      <c r="C6" s="1">
        <v>230.03</v>
      </c>
      <c r="D6" s="1">
        <v>7485662.1799999997</v>
      </c>
      <c r="E6" s="1">
        <v>8190690.1500000004</v>
      </c>
      <c r="F6" s="1">
        <v>2.3856000000000002</v>
      </c>
      <c r="G6" s="1">
        <v>747.62</v>
      </c>
      <c r="H6" s="1">
        <v>623.16999999999996</v>
      </c>
      <c r="I6" s="1">
        <v>236.68</v>
      </c>
      <c r="J6" s="1">
        <v>316.79000000000002</v>
      </c>
      <c r="K6" s="1">
        <v>341.29</v>
      </c>
      <c r="L6" s="1">
        <v>234.25</v>
      </c>
      <c r="M6" s="1">
        <v>520.1</v>
      </c>
      <c r="N6" s="1">
        <v>474.11</v>
      </c>
      <c r="O6" s="1">
        <v>151.84</v>
      </c>
      <c r="P6" s="1">
        <v>620.89</v>
      </c>
      <c r="Q6" s="1">
        <v>463.01</v>
      </c>
      <c r="R6" s="1">
        <v>158.35</v>
      </c>
      <c r="S6" s="1">
        <v>115.39</v>
      </c>
      <c r="T6" s="1">
        <v>421.48</v>
      </c>
      <c r="V6" s="71">
        <v>13</v>
      </c>
      <c r="W6" s="71">
        <v>35</v>
      </c>
      <c r="X6" s="71">
        <v>93</v>
      </c>
      <c r="Y6" s="17"/>
    </row>
    <row r="7" spans="1:25" ht="21" customHeight="1" x14ac:dyDescent="0.25">
      <c r="A7" s="8">
        <v>44381</v>
      </c>
      <c r="B7" s="1">
        <v>985.21</v>
      </c>
      <c r="C7" s="1">
        <v>230.23</v>
      </c>
      <c r="D7" s="109">
        <v>7488305.2999999998</v>
      </c>
      <c r="E7" s="1">
        <v>8194197.5899999999</v>
      </c>
      <c r="F7" s="1">
        <v>2.3879999999999999</v>
      </c>
      <c r="G7" s="1">
        <v>748.38</v>
      </c>
      <c r="H7" s="1">
        <v>623.65</v>
      </c>
      <c r="I7" s="1">
        <v>237.03</v>
      </c>
      <c r="J7" s="1">
        <v>316.97000000000003</v>
      </c>
      <c r="K7" s="1">
        <v>341.54</v>
      </c>
      <c r="L7" s="1">
        <v>234.45</v>
      </c>
      <c r="M7" s="1">
        <v>520.84</v>
      </c>
      <c r="N7" s="1">
        <v>474.93</v>
      </c>
      <c r="O7" s="1">
        <v>152.07</v>
      </c>
      <c r="P7" s="1">
        <v>622.04999999999995</v>
      </c>
      <c r="Q7" s="1">
        <v>463.7</v>
      </c>
      <c r="R7" s="1">
        <v>158.51</v>
      </c>
      <c r="S7" s="1">
        <v>115.51</v>
      </c>
      <c r="T7" s="1">
        <v>421.94</v>
      </c>
      <c r="V7" s="71">
        <v>13</v>
      </c>
      <c r="W7" s="71">
        <v>33</v>
      </c>
      <c r="X7" s="71">
        <v>80</v>
      </c>
      <c r="Y7" s="17"/>
    </row>
    <row r="8" spans="1:25" ht="21" customHeight="1" x14ac:dyDescent="0.25">
      <c r="A8" s="8">
        <v>44382</v>
      </c>
      <c r="B8" s="1">
        <v>986.51</v>
      </c>
      <c r="C8" s="1">
        <v>230.46</v>
      </c>
      <c r="D8" s="1">
        <v>7490619.0199999996</v>
      </c>
      <c r="E8" s="1">
        <v>8197454.9299999997</v>
      </c>
      <c r="F8" s="1">
        <v>2.3904000000000001</v>
      </c>
      <c r="G8" s="1">
        <v>749.11</v>
      </c>
      <c r="H8" s="1">
        <v>624.15</v>
      </c>
      <c r="I8" s="1">
        <v>237.34</v>
      </c>
      <c r="J8" s="1">
        <v>317.22000000000003</v>
      </c>
      <c r="K8" s="1">
        <v>341.81</v>
      </c>
      <c r="L8" s="1">
        <v>234.63</v>
      </c>
      <c r="M8" s="1">
        <v>521.59</v>
      </c>
      <c r="N8" s="1">
        <v>475.67</v>
      </c>
      <c r="O8" s="1">
        <v>152.26</v>
      </c>
      <c r="P8" s="1">
        <v>623.1</v>
      </c>
      <c r="Q8" s="1">
        <v>464.31</v>
      </c>
      <c r="R8" s="1">
        <v>158.97999999999999</v>
      </c>
      <c r="S8" s="1">
        <v>115.63</v>
      </c>
      <c r="T8" s="1">
        <v>422.39</v>
      </c>
      <c r="V8" s="71">
        <v>15</v>
      </c>
      <c r="W8" s="71">
        <v>43</v>
      </c>
      <c r="X8" s="71">
        <v>117</v>
      </c>
      <c r="Y8" s="17"/>
    </row>
    <row r="9" spans="1:25" ht="21" customHeight="1" x14ac:dyDescent="0.25">
      <c r="A9" s="8">
        <v>44383</v>
      </c>
      <c r="B9" s="111">
        <v>987.81</v>
      </c>
      <c r="C9" s="15">
        <v>230.67</v>
      </c>
      <c r="D9" s="111">
        <v>7493053.2699999996</v>
      </c>
      <c r="E9" s="111">
        <v>8201080.5499999998</v>
      </c>
      <c r="F9" s="15">
        <v>2.3925999999999998</v>
      </c>
      <c r="G9" s="111">
        <v>750.01</v>
      </c>
      <c r="H9" s="111">
        <v>624.63</v>
      </c>
      <c r="I9" s="111">
        <v>237.68</v>
      </c>
      <c r="J9" s="1">
        <v>317.41000000000003</v>
      </c>
      <c r="K9" s="1">
        <v>342.08</v>
      </c>
      <c r="L9" s="1">
        <v>234.82</v>
      </c>
      <c r="M9" s="1">
        <v>522.42999999999995</v>
      </c>
      <c r="N9" s="1">
        <v>476.4</v>
      </c>
      <c r="O9" s="1">
        <v>152.47</v>
      </c>
      <c r="P9" s="1">
        <v>624.27</v>
      </c>
      <c r="Q9" s="1">
        <v>464.96</v>
      </c>
      <c r="R9" s="1">
        <v>159.29</v>
      </c>
      <c r="S9" s="1">
        <v>115.75</v>
      </c>
      <c r="T9" s="1">
        <v>422.87</v>
      </c>
      <c r="V9" s="71">
        <v>10</v>
      </c>
      <c r="W9" s="71">
        <v>31</v>
      </c>
      <c r="X9" s="71">
        <v>97</v>
      </c>
      <c r="Y9" s="17"/>
    </row>
    <row r="10" spans="1:25" ht="21" customHeight="1" x14ac:dyDescent="0.25">
      <c r="A10" s="8">
        <v>44384</v>
      </c>
      <c r="B10" s="1">
        <v>989.16</v>
      </c>
      <c r="C10" s="1">
        <v>230.92</v>
      </c>
      <c r="D10" s="1">
        <v>7495244.46</v>
      </c>
      <c r="E10" s="1">
        <v>8204449.5800000001</v>
      </c>
      <c r="F10" s="1">
        <v>2.395</v>
      </c>
      <c r="G10" s="1">
        <v>750.88</v>
      </c>
      <c r="H10" s="1">
        <v>625.09</v>
      </c>
      <c r="I10" s="1">
        <v>238.01</v>
      </c>
      <c r="J10" s="1">
        <v>317.58999999999997</v>
      </c>
      <c r="K10" s="1">
        <v>342.3</v>
      </c>
      <c r="L10" s="1">
        <v>235</v>
      </c>
      <c r="M10" s="1">
        <v>523.24</v>
      </c>
      <c r="N10" s="1">
        <v>477.12</v>
      </c>
      <c r="O10" s="1">
        <v>152.66</v>
      </c>
      <c r="P10" s="1">
        <v>625.34</v>
      </c>
      <c r="Q10" s="1">
        <v>465.59</v>
      </c>
      <c r="R10" s="1">
        <v>159.61000000000001</v>
      </c>
      <c r="S10" s="1">
        <v>115.87</v>
      </c>
      <c r="T10" s="1">
        <v>423.32</v>
      </c>
      <c r="V10" s="71">
        <v>10</v>
      </c>
      <c r="W10" s="71">
        <v>35</v>
      </c>
      <c r="X10" s="71">
        <v>93</v>
      </c>
      <c r="Y10" s="17"/>
    </row>
    <row r="11" spans="1:25" ht="21" customHeight="1" x14ac:dyDescent="0.25">
      <c r="A11" s="8">
        <v>44385</v>
      </c>
      <c r="B11" s="1">
        <v>990.52</v>
      </c>
      <c r="C11" s="1">
        <v>231.14</v>
      </c>
      <c r="D11" s="1">
        <v>7497622.3600000003</v>
      </c>
      <c r="E11" s="1">
        <v>8208026.9699999997</v>
      </c>
      <c r="F11" s="1">
        <v>2.3973</v>
      </c>
      <c r="G11" s="1">
        <v>751.68</v>
      </c>
      <c r="H11" s="1">
        <v>625.54</v>
      </c>
      <c r="I11" s="1">
        <v>238.37</v>
      </c>
      <c r="J11" s="1">
        <v>317.81</v>
      </c>
      <c r="K11" s="1">
        <v>342.54</v>
      </c>
      <c r="L11" s="1">
        <v>235.19</v>
      </c>
      <c r="M11" s="1">
        <v>524.04999999999995</v>
      </c>
      <c r="N11" s="1">
        <v>477.96</v>
      </c>
      <c r="O11" s="1">
        <v>152.86000000000001</v>
      </c>
      <c r="P11" s="1">
        <v>626.41</v>
      </c>
      <c r="Q11" s="1">
        <v>466.22</v>
      </c>
      <c r="R11" s="1">
        <v>159.94</v>
      </c>
      <c r="S11" s="1">
        <v>115.99</v>
      </c>
      <c r="T11" s="1">
        <v>423.79</v>
      </c>
      <c r="V11" s="71">
        <v>13</v>
      </c>
      <c r="W11" s="71">
        <v>36</v>
      </c>
      <c r="X11" s="71">
        <v>117</v>
      </c>
      <c r="Y11" s="17"/>
    </row>
    <row r="12" spans="1:25" ht="21" customHeight="1" x14ac:dyDescent="0.25">
      <c r="A12" s="8">
        <v>44386</v>
      </c>
      <c r="B12" s="1">
        <v>991.81</v>
      </c>
      <c r="C12" s="1">
        <v>231.27</v>
      </c>
      <c r="D12" s="1">
        <v>7500214.96</v>
      </c>
      <c r="E12" s="1">
        <v>8211331</v>
      </c>
      <c r="F12" s="1">
        <v>2.3996</v>
      </c>
      <c r="G12" s="1">
        <v>752.51</v>
      </c>
      <c r="H12" s="1">
        <v>626</v>
      </c>
      <c r="I12" s="1">
        <v>238.73</v>
      </c>
      <c r="J12" s="1">
        <v>318</v>
      </c>
      <c r="K12" s="1">
        <v>342.77</v>
      </c>
      <c r="L12" s="1">
        <v>235.38</v>
      </c>
      <c r="M12" s="1">
        <v>524.85</v>
      </c>
      <c r="N12" s="1">
        <v>478.76</v>
      </c>
      <c r="O12" s="1">
        <v>153.07</v>
      </c>
      <c r="P12" s="1">
        <v>627.51</v>
      </c>
      <c r="Q12" s="1">
        <v>466.8</v>
      </c>
      <c r="R12" s="1">
        <v>160.24</v>
      </c>
      <c r="S12" s="1">
        <v>116.11</v>
      </c>
      <c r="T12" s="1">
        <v>424.26</v>
      </c>
      <c r="V12" s="71">
        <v>12</v>
      </c>
      <c r="W12" s="71">
        <v>32</v>
      </c>
      <c r="X12" s="71">
        <v>83</v>
      </c>
      <c r="Y12" s="17"/>
    </row>
    <row r="13" spans="1:25" ht="21" customHeight="1" x14ac:dyDescent="0.25">
      <c r="A13" s="8">
        <v>44387</v>
      </c>
      <c r="B13" s="1">
        <v>992.95</v>
      </c>
      <c r="C13" s="1">
        <v>231.62</v>
      </c>
      <c r="D13" s="1">
        <v>7502353.7400000002</v>
      </c>
      <c r="E13" s="1">
        <v>8213764.3600000003</v>
      </c>
      <c r="F13" s="1">
        <v>2.4018999999999999</v>
      </c>
      <c r="G13" s="1">
        <v>753.13</v>
      </c>
      <c r="H13" s="1">
        <v>626.4</v>
      </c>
      <c r="I13" s="1">
        <v>239.02</v>
      </c>
      <c r="J13" s="1">
        <v>318.23</v>
      </c>
      <c r="K13" s="1">
        <v>343.01</v>
      </c>
      <c r="L13" s="1">
        <v>235.59</v>
      </c>
      <c r="M13" s="1">
        <v>525.47</v>
      </c>
      <c r="N13" s="1">
        <v>479.35</v>
      </c>
      <c r="O13" s="1">
        <v>153.29</v>
      </c>
      <c r="P13" s="1">
        <v>628.38</v>
      </c>
      <c r="Q13" s="1">
        <v>467.2</v>
      </c>
      <c r="R13" s="1">
        <v>160.53</v>
      </c>
      <c r="S13" s="1">
        <v>116.22</v>
      </c>
      <c r="T13" s="1">
        <v>424.53</v>
      </c>
      <c r="V13" s="71">
        <v>11</v>
      </c>
      <c r="W13" s="71">
        <v>27</v>
      </c>
      <c r="X13" s="71">
        <v>87</v>
      </c>
      <c r="Y13" s="17"/>
    </row>
    <row r="14" spans="1:25" ht="21" customHeight="1" x14ac:dyDescent="0.25">
      <c r="A14" s="8">
        <v>44388</v>
      </c>
      <c r="B14" s="1">
        <v>994.2</v>
      </c>
      <c r="C14" s="1">
        <v>231.84</v>
      </c>
      <c r="D14" s="1">
        <v>7504440.0499999998</v>
      </c>
      <c r="E14" s="1">
        <v>8216837.4900000002</v>
      </c>
      <c r="F14" s="1">
        <v>2.4041999999999999</v>
      </c>
      <c r="G14" s="1">
        <v>753.96</v>
      </c>
      <c r="H14" s="1">
        <v>626.84</v>
      </c>
      <c r="I14" s="1">
        <v>239.32</v>
      </c>
      <c r="J14" s="1">
        <v>318.43</v>
      </c>
      <c r="K14" s="1">
        <v>343.21</v>
      </c>
      <c r="L14" s="1">
        <v>235.8</v>
      </c>
      <c r="M14" s="1">
        <v>526.19000000000005</v>
      </c>
      <c r="N14" s="1">
        <v>480.03</v>
      </c>
      <c r="O14" s="1">
        <v>153.53</v>
      </c>
      <c r="P14" s="1">
        <v>629.30999999999995</v>
      </c>
      <c r="Q14" s="1">
        <v>467.8</v>
      </c>
      <c r="R14" s="1">
        <v>160.84</v>
      </c>
      <c r="S14" s="1">
        <v>116.34</v>
      </c>
      <c r="T14" s="1">
        <v>424.97</v>
      </c>
      <c r="V14" s="71">
        <v>9</v>
      </c>
      <c r="W14" s="71">
        <v>23</v>
      </c>
      <c r="X14" s="71">
        <v>54</v>
      </c>
      <c r="Y14" s="17"/>
    </row>
    <row r="15" spans="1:25" ht="21" customHeight="1" x14ac:dyDescent="0.25">
      <c r="A15" s="8">
        <v>44389</v>
      </c>
      <c r="B15" s="1">
        <v>995.58</v>
      </c>
      <c r="C15" s="1">
        <v>232.06</v>
      </c>
      <c r="D15" s="1">
        <v>7506979.3600000003</v>
      </c>
      <c r="E15" s="1">
        <v>8220073.29</v>
      </c>
      <c r="F15" s="1">
        <v>2.4066999999999998</v>
      </c>
      <c r="G15" s="1">
        <v>754.82</v>
      </c>
      <c r="H15" s="1">
        <v>627.33000000000004</v>
      </c>
      <c r="I15" s="1">
        <v>239.64</v>
      </c>
      <c r="J15" s="1">
        <v>318.64999999999998</v>
      </c>
      <c r="K15" s="1">
        <v>343.44</v>
      </c>
      <c r="L15" s="1">
        <v>235.99</v>
      </c>
      <c r="M15" s="1">
        <v>527.02</v>
      </c>
      <c r="N15" s="1">
        <v>480.81</v>
      </c>
      <c r="O15" s="1">
        <v>153.76</v>
      </c>
      <c r="P15" s="1">
        <v>630.39</v>
      </c>
      <c r="Q15" s="1">
        <v>468.54</v>
      </c>
      <c r="R15" s="1">
        <v>161.13999999999999</v>
      </c>
      <c r="S15" s="1">
        <v>116.46</v>
      </c>
      <c r="T15" s="1">
        <v>425.43</v>
      </c>
      <c r="V15" s="71">
        <v>14</v>
      </c>
      <c r="W15" s="71">
        <v>31</v>
      </c>
      <c r="X15" s="71">
        <v>83</v>
      </c>
      <c r="Y15" s="17"/>
    </row>
    <row r="16" spans="1:25" ht="21" customHeight="1" x14ac:dyDescent="0.25">
      <c r="A16" s="8">
        <v>44390</v>
      </c>
      <c r="B16" s="1">
        <v>996.99</v>
      </c>
      <c r="C16" s="1">
        <v>232.31</v>
      </c>
      <c r="D16" s="1">
        <v>7509414.8799999999</v>
      </c>
      <c r="E16" s="1">
        <v>8223229.8700000001</v>
      </c>
      <c r="F16" s="1">
        <v>2.4089</v>
      </c>
      <c r="G16" s="1">
        <v>755.69</v>
      </c>
      <c r="H16" s="1">
        <v>627.78</v>
      </c>
      <c r="I16" s="1">
        <v>239.69</v>
      </c>
      <c r="J16" s="1">
        <v>318.82</v>
      </c>
      <c r="K16" s="1">
        <v>343.67</v>
      </c>
      <c r="L16" s="1">
        <v>236.17</v>
      </c>
      <c r="M16" s="1">
        <v>527.89</v>
      </c>
      <c r="N16" s="1">
        <v>481.56</v>
      </c>
      <c r="O16" s="1">
        <v>154.03</v>
      </c>
      <c r="P16" s="1">
        <v>631.46</v>
      </c>
      <c r="Q16" s="1">
        <v>469.33</v>
      </c>
      <c r="R16" s="1">
        <v>161.44999999999999</v>
      </c>
      <c r="S16" s="1">
        <v>116.58</v>
      </c>
      <c r="T16" s="1">
        <v>425.92</v>
      </c>
      <c r="V16" s="71">
        <v>16</v>
      </c>
      <c r="W16" s="71">
        <v>40</v>
      </c>
      <c r="X16" s="71">
        <v>97</v>
      </c>
      <c r="Y16" s="17"/>
    </row>
    <row r="17" spans="1:25" ht="21" customHeight="1" x14ac:dyDescent="0.25">
      <c r="A17" s="8">
        <v>44391</v>
      </c>
      <c r="B17" s="1">
        <v>998.48</v>
      </c>
      <c r="C17" s="1">
        <v>232.56</v>
      </c>
      <c r="D17" s="1">
        <v>7511993.0199999996</v>
      </c>
      <c r="E17" s="1">
        <v>8226617.2999999998</v>
      </c>
      <c r="F17" s="1">
        <v>2.4112</v>
      </c>
      <c r="G17" s="1">
        <v>756.56</v>
      </c>
      <c r="H17" s="1">
        <v>628.25</v>
      </c>
      <c r="I17" s="1">
        <v>240.06</v>
      </c>
      <c r="J17" s="1">
        <v>318.98</v>
      </c>
      <c r="K17" s="1">
        <v>343.89</v>
      </c>
      <c r="L17" s="1">
        <v>236.36</v>
      </c>
      <c r="M17" s="1">
        <v>528.74</v>
      </c>
      <c r="N17" s="1">
        <v>482.31</v>
      </c>
      <c r="O17" s="1">
        <v>154.26</v>
      </c>
      <c r="P17" s="1">
        <v>632.53</v>
      </c>
      <c r="Q17" s="1">
        <v>470.16</v>
      </c>
      <c r="R17" s="1">
        <v>161.76</v>
      </c>
      <c r="S17" s="1">
        <v>116.7</v>
      </c>
      <c r="T17" s="1">
        <v>426.39</v>
      </c>
      <c r="V17" s="71">
        <v>57</v>
      </c>
      <c r="W17" s="71">
        <v>115</v>
      </c>
      <c r="X17" s="71">
        <v>249</v>
      </c>
      <c r="Y17" s="17"/>
    </row>
    <row r="18" spans="1:25" ht="21" customHeight="1" x14ac:dyDescent="0.25">
      <c r="A18" s="8">
        <v>44392</v>
      </c>
      <c r="B18" s="1">
        <v>999.86</v>
      </c>
      <c r="C18" s="1">
        <v>232.76</v>
      </c>
      <c r="D18" s="1">
        <v>7514405.6500000004</v>
      </c>
      <c r="E18" s="1">
        <v>8229770.5</v>
      </c>
      <c r="F18" s="1">
        <v>2.4137</v>
      </c>
      <c r="G18" s="1">
        <v>757.43</v>
      </c>
      <c r="H18" s="1">
        <v>628.64</v>
      </c>
      <c r="I18" s="1">
        <v>240.63</v>
      </c>
      <c r="J18" s="1">
        <v>319.13</v>
      </c>
      <c r="K18" s="1">
        <v>344.08</v>
      </c>
      <c r="L18" s="1">
        <v>236.53</v>
      </c>
      <c r="M18" s="1">
        <v>529.54999999999995</v>
      </c>
      <c r="N18" s="1">
        <v>482.82</v>
      </c>
      <c r="O18" s="1">
        <v>154.47</v>
      </c>
      <c r="P18" s="1">
        <v>633.58000000000004</v>
      </c>
      <c r="Q18" s="1">
        <v>470.93</v>
      </c>
      <c r="R18" s="1">
        <v>162.05000000000001</v>
      </c>
      <c r="S18" s="1">
        <v>116.81</v>
      </c>
      <c r="T18" s="1">
        <v>426.86</v>
      </c>
      <c r="V18" s="71">
        <v>57</v>
      </c>
      <c r="W18" s="71">
        <v>116</v>
      </c>
      <c r="X18" s="71">
        <v>243</v>
      </c>
      <c r="Y18" s="17"/>
    </row>
    <row r="19" spans="1:25" ht="21" customHeight="1" x14ac:dyDescent="0.25">
      <c r="A19" s="8">
        <v>44393</v>
      </c>
      <c r="B19" s="1">
        <v>1000.12</v>
      </c>
      <c r="C19" s="1">
        <v>233.03</v>
      </c>
      <c r="D19" s="1">
        <v>7516877.0199999996</v>
      </c>
      <c r="E19" s="1">
        <v>8232896.0999999996</v>
      </c>
      <c r="F19" s="1">
        <v>2.4163000000000001</v>
      </c>
      <c r="G19" s="1">
        <v>758.38</v>
      </c>
      <c r="H19" s="1">
        <v>629.07000000000005</v>
      </c>
      <c r="I19" s="1">
        <v>241.01</v>
      </c>
      <c r="J19" s="1">
        <v>319.37</v>
      </c>
      <c r="K19" s="1">
        <v>344.38</v>
      </c>
      <c r="L19" s="1">
        <v>236.73</v>
      </c>
      <c r="M19" s="1">
        <v>530.34</v>
      </c>
      <c r="N19" s="1">
        <v>483.77</v>
      </c>
      <c r="O19" s="1">
        <v>154.69</v>
      </c>
      <c r="P19" s="1">
        <v>634.63</v>
      </c>
      <c r="Q19" s="1">
        <v>471.69</v>
      </c>
      <c r="R19" s="1">
        <v>162.30000000000001</v>
      </c>
      <c r="S19" s="1">
        <v>116.94</v>
      </c>
      <c r="T19" s="1">
        <v>427.34</v>
      </c>
      <c r="V19" s="71">
        <v>57</v>
      </c>
      <c r="W19" s="71">
        <v>112</v>
      </c>
      <c r="X19" s="71">
        <v>323</v>
      </c>
      <c r="Y19" s="17"/>
    </row>
    <row r="20" spans="1:25" ht="21" customHeight="1" x14ac:dyDescent="0.25">
      <c r="A20" s="8">
        <v>44394</v>
      </c>
      <c r="B20" s="1">
        <v>1002.7</v>
      </c>
      <c r="C20" s="1">
        <v>233.29</v>
      </c>
      <c r="D20" s="1">
        <v>7519627.3600000003</v>
      </c>
      <c r="E20" s="1">
        <v>8236080.9400000004</v>
      </c>
      <c r="F20" s="1">
        <v>2.4188000000000001</v>
      </c>
      <c r="G20" s="1">
        <v>759.32</v>
      </c>
      <c r="H20" s="1">
        <v>629.52</v>
      </c>
      <c r="I20" s="1">
        <v>241.37</v>
      </c>
      <c r="J20" s="1">
        <v>319.64</v>
      </c>
      <c r="K20" s="1">
        <v>344.69</v>
      </c>
      <c r="L20" s="1">
        <v>236.92</v>
      </c>
      <c r="M20" s="1">
        <v>531.11</v>
      </c>
      <c r="N20" s="1">
        <v>484.55</v>
      </c>
      <c r="O20" s="1">
        <v>154.9</v>
      </c>
      <c r="P20" s="1">
        <v>635.69000000000005</v>
      </c>
      <c r="Q20" s="1">
        <v>472.38</v>
      </c>
      <c r="R20" s="1">
        <v>162.66</v>
      </c>
      <c r="S20" s="1">
        <v>117.07</v>
      </c>
      <c r="T20" s="1">
        <v>427.84</v>
      </c>
      <c r="V20" s="71">
        <v>58</v>
      </c>
      <c r="W20" s="71">
        <v>117</v>
      </c>
      <c r="X20" s="71">
        <v>270</v>
      </c>
      <c r="Y20" s="17"/>
    </row>
    <row r="21" spans="1:25" ht="21" customHeight="1" x14ac:dyDescent="0.25">
      <c r="A21" s="8">
        <v>44395</v>
      </c>
      <c r="B21" s="1">
        <v>1004.2</v>
      </c>
      <c r="C21" s="1">
        <v>233.55</v>
      </c>
      <c r="D21" s="1">
        <v>7522519.2400000002</v>
      </c>
      <c r="E21" s="1">
        <v>8239494.3799999999</v>
      </c>
      <c r="F21" s="1">
        <v>2.4216000000000002</v>
      </c>
      <c r="G21" s="1">
        <v>760.26</v>
      </c>
      <c r="H21" s="1">
        <v>629.98</v>
      </c>
      <c r="I21" s="1">
        <v>241.37</v>
      </c>
      <c r="J21" s="1">
        <v>319.98</v>
      </c>
      <c r="K21" s="1">
        <v>345.13</v>
      </c>
      <c r="L21" s="1">
        <v>237.18</v>
      </c>
      <c r="M21" s="1">
        <v>531.91999999999996</v>
      </c>
      <c r="N21" s="1">
        <v>485.37</v>
      </c>
      <c r="O21" s="1">
        <v>155.16</v>
      </c>
      <c r="P21" s="1">
        <v>636.83000000000004</v>
      </c>
      <c r="Q21" s="1">
        <v>473.11</v>
      </c>
      <c r="R21" s="1">
        <v>162.91</v>
      </c>
      <c r="S21" s="1">
        <v>117.21</v>
      </c>
      <c r="T21" s="1">
        <v>428.32</v>
      </c>
      <c r="V21" s="71">
        <v>58</v>
      </c>
      <c r="W21" s="71">
        <v>119</v>
      </c>
      <c r="X21" s="71">
        <v>272</v>
      </c>
      <c r="Y21" s="17"/>
    </row>
    <row r="22" spans="1:25" ht="21" customHeight="1" x14ac:dyDescent="0.25">
      <c r="A22" s="8">
        <v>44396</v>
      </c>
      <c r="B22" s="1">
        <v>1005.5</v>
      </c>
      <c r="C22" s="1">
        <v>233.8</v>
      </c>
      <c r="D22" s="1">
        <v>7525067.5899999999</v>
      </c>
      <c r="E22" s="1">
        <v>8243074.3799999999</v>
      </c>
      <c r="F22" s="1">
        <v>2.4239999999999999</v>
      </c>
      <c r="G22" s="1">
        <v>761.21</v>
      </c>
      <c r="H22" s="1">
        <v>630.47</v>
      </c>
      <c r="I22" s="1">
        <v>242.05</v>
      </c>
      <c r="J22" s="1">
        <v>320.23</v>
      </c>
      <c r="K22" s="1">
        <v>345.47</v>
      </c>
      <c r="L22" s="1">
        <v>237.36</v>
      </c>
      <c r="M22" s="1">
        <v>532.70000000000005</v>
      </c>
      <c r="N22" s="1">
        <v>486.09</v>
      </c>
      <c r="O22" s="1">
        <v>155.4</v>
      </c>
      <c r="P22" s="1">
        <v>637.98</v>
      </c>
      <c r="Q22" s="1">
        <v>473.87</v>
      </c>
      <c r="R22" s="28">
        <v>163.27000000000001</v>
      </c>
      <c r="S22" s="28">
        <v>117.36</v>
      </c>
      <c r="T22" s="1">
        <v>428.94</v>
      </c>
      <c r="V22" s="71">
        <v>16</v>
      </c>
      <c r="W22" s="71">
        <v>41</v>
      </c>
      <c r="X22" s="71">
        <v>173</v>
      </c>
      <c r="Y22" s="17"/>
    </row>
    <row r="23" spans="1:25" ht="21" customHeight="1" x14ac:dyDescent="0.25">
      <c r="A23" s="8">
        <v>44397</v>
      </c>
      <c r="B23" s="1">
        <v>1006.9</v>
      </c>
      <c r="C23" s="1">
        <v>234.01</v>
      </c>
      <c r="D23" s="1">
        <v>7527629.21</v>
      </c>
      <c r="E23" s="1">
        <v>8246394.9100000001</v>
      </c>
      <c r="F23" s="1">
        <v>2.4262999999999999</v>
      </c>
      <c r="G23" s="1">
        <v>762.18</v>
      </c>
      <c r="H23" s="1">
        <v>630.91999999999996</v>
      </c>
      <c r="I23" s="1">
        <v>242.36</v>
      </c>
      <c r="J23" s="1">
        <v>320.44</v>
      </c>
      <c r="K23" s="1">
        <v>345.72</v>
      </c>
      <c r="L23" s="1">
        <v>237.54</v>
      </c>
      <c r="M23" s="1">
        <v>533.51</v>
      </c>
      <c r="N23" s="1">
        <v>486.8</v>
      </c>
      <c r="O23" s="1">
        <v>155.63</v>
      </c>
      <c r="P23" s="1">
        <v>639.09</v>
      </c>
      <c r="Q23" s="1">
        <v>474.67</v>
      </c>
      <c r="R23" s="1">
        <v>163.54</v>
      </c>
      <c r="S23" s="1">
        <v>117.46</v>
      </c>
      <c r="T23" s="1">
        <v>429.45</v>
      </c>
      <c r="V23" s="71">
        <v>15</v>
      </c>
      <c r="W23" s="71">
        <v>57</v>
      </c>
      <c r="X23" s="71">
        <v>152</v>
      </c>
      <c r="Y23" s="17"/>
    </row>
    <row r="24" spans="1:25" ht="21" customHeight="1" x14ac:dyDescent="0.25">
      <c r="A24" s="8">
        <v>44398</v>
      </c>
      <c r="B24" s="1">
        <v>1008.4</v>
      </c>
      <c r="C24" s="1">
        <v>234.29</v>
      </c>
      <c r="D24" s="1">
        <v>7530276.1600000001</v>
      </c>
      <c r="E24" s="1">
        <v>8250253.0199999996</v>
      </c>
      <c r="F24" s="1">
        <v>2.4289999999999998</v>
      </c>
      <c r="G24" s="1">
        <v>763.22</v>
      </c>
      <c r="H24" s="1">
        <v>631.44000000000005</v>
      </c>
      <c r="I24" s="1">
        <v>242.69</v>
      </c>
      <c r="J24" s="1">
        <v>320.83999999999997</v>
      </c>
      <c r="K24" s="1">
        <v>346.11</v>
      </c>
      <c r="L24" s="1">
        <v>237.79</v>
      </c>
      <c r="M24" s="1">
        <v>534.41999999999996</v>
      </c>
      <c r="N24" s="1">
        <v>487.56</v>
      </c>
      <c r="O24" s="1">
        <v>155.87</v>
      </c>
      <c r="P24" s="1">
        <v>640.26</v>
      </c>
      <c r="Q24" s="1">
        <v>475.49</v>
      </c>
      <c r="R24" s="1">
        <v>163.85</v>
      </c>
      <c r="S24" s="1">
        <v>117.59</v>
      </c>
      <c r="T24" s="1">
        <v>429.89</v>
      </c>
      <c r="V24" s="71"/>
      <c r="W24" s="71"/>
      <c r="X24" s="71"/>
      <c r="Y24" s="17"/>
    </row>
    <row r="25" spans="1:25" ht="21" customHeight="1" x14ac:dyDescent="0.25">
      <c r="A25" s="8">
        <v>44399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44400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44401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44402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44403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44404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44405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44406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44407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44408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44409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480</v>
      </c>
      <c r="W35" s="78">
        <f>SUM(W4:W34)</f>
        <v>1113</v>
      </c>
      <c r="X35" s="78">
        <f>SUM(X4:X34)</f>
        <v>2856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U22" sqref="U22:U23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8" t="s">
        <v>32</v>
      </c>
      <c r="B2" s="120" t="s">
        <v>33</v>
      </c>
      <c r="C2" s="120" t="s">
        <v>34</v>
      </c>
      <c r="D2" s="120" t="s">
        <v>120</v>
      </c>
      <c r="E2" s="118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19"/>
      <c r="B3" s="121"/>
      <c r="C3" s="121"/>
      <c r="D3" s="121"/>
      <c r="E3" s="119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44378</v>
      </c>
      <c r="B4" s="26">
        <v>25520</v>
      </c>
      <c r="C4" s="4">
        <f>('Kwh Reading'!T5-'Kwh Reading'!T4)*1000</f>
        <v>509.99999999999091</v>
      </c>
      <c r="D4" s="2">
        <f>('Kwh Reading'!F5-'Kwh Reading'!F4)*1000000</f>
        <v>2400.0000000001796</v>
      </c>
      <c r="E4" s="2">
        <f>('Kwh Reading'!C5-'Kwh Reading'!C4)*1000</f>
        <v>209.99999999997954</v>
      </c>
      <c r="F4" s="2">
        <f>('Kwh Reading'!J5-'Kwh Reading'!J4)*1000</f>
        <v>150.00000000003411</v>
      </c>
      <c r="G4" s="2">
        <f>('Kwh Reading'!K5-'Kwh Reading'!K4)*1000</f>
        <v>269.99999999998181</v>
      </c>
      <c r="H4" s="2">
        <f>('Kwh Reading'!L5-'Kwh Reading'!L4)*1000</f>
        <v>189.99999999999773</v>
      </c>
      <c r="I4" s="2">
        <f>('Kwh Reading'!R5-'Kwh Reading'!R4)*1000</f>
        <v>310.00000000000227</v>
      </c>
      <c r="J4" s="2">
        <f>('Kwh Reading'!S5-'Kwh Reading'!S4)*1000</f>
        <v>120.00000000000455</v>
      </c>
      <c r="K4" s="2">
        <f>('Kwh Reading'!I5-'Kwh Reading'!I4)*1000</f>
        <v>320.0000000000216</v>
      </c>
      <c r="L4" s="2">
        <f>('Kwh Reading'!B5-'Kwh Reading'!B4)*1000</f>
        <v>1370.0000000000045</v>
      </c>
      <c r="M4" s="2">
        <f>('Kwh Reading'!M5-'Kwh Reading'!M4)*1000</f>
        <v>819.99999999993634</v>
      </c>
      <c r="N4" s="2">
        <f>('Kwh Reading'!H5-'Kwh Reading'!H4)*1000</f>
        <v>540.00000000007731</v>
      </c>
      <c r="O4" s="2">
        <f>('Kwh Reading'!P5-'Kwh Reading'!P4)*1000</f>
        <v>1149.9999999999773</v>
      </c>
      <c r="P4" s="2">
        <f>('Kwh Reading'!G5-'Kwh Reading'!G4)*1000</f>
        <v>730.00000000001819</v>
      </c>
      <c r="Q4" s="2">
        <f>('Kwh Reading'!Q5-'Kwh Reading'!Q4)*1000</f>
        <v>1280.0000000000296</v>
      </c>
      <c r="R4" s="2">
        <f>('Kwh Reading'!N5-'Kwh Reading'!N4)*1000</f>
        <v>750</v>
      </c>
      <c r="S4" s="2">
        <f>'Kwh Reading'!E5-'Kwh Reading'!E4</f>
        <v>2990.1500000003725</v>
      </c>
      <c r="T4" s="2">
        <f>'Kwh Reading'!D5-'Kwh Reading'!D4</f>
        <v>2512.6800000006333</v>
      </c>
      <c r="U4" s="27">
        <f>('Kwh Reading'!O5-'Kwh Reading'!O4)*1000</f>
        <v>230.00000000001819</v>
      </c>
      <c r="V4" s="16">
        <f>B4-(SUM(C4:U4))</f>
        <v>8667.1699999987395</v>
      </c>
    </row>
    <row r="5" spans="1:22" x14ac:dyDescent="0.25">
      <c r="A5" s="3">
        <f>'Kwh Reading'!A5</f>
        <v>44379</v>
      </c>
      <c r="B5" s="26">
        <f>TOTAL!E3</f>
        <v>22910.000000000306</v>
      </c>
      <c r="C5" s="4">
        <f>('Kwh Reading'!T6-'Kwh Reading'!T5)*1000</f>
        <v>270.00000000003865</v>
      </c>
      <c r="D5" s="2">
        <f>('Kwh Reading'!F6-'Kwh Reading'!F5)*1000000</f>
        <v>2400.0000000001796</v>
      </c>
      <c r="E5" s="2">
        <f>('Kwh Reading'!C6-'Kwh Reading'!C5)*1000</f>
        <v>240.00000000000909</v>
      </c>
      <c r="F5" s="2">
        <f>('Kwh Reading'!J6-'Kwh Reading'!J5)*1000</f>
        <v>180.00000000000682</v>
      </c>
      <c r="G5" s="2">
        <f>('Kwh Reading'!K6-'Kwh Reading'!K5)*1000</f>
        <v>220.00000000002728</v>
      </c>
      <c r="H5" s="2">
        <f>('Kwh Reading'!L6-'Kwh Reading'!L5)*1000</f>
        <v>159.99999999999659</v>
      </c>
      <c r="I5" s="2">
        <f>('Kwh Reading'!R6-'Kwh Reading'!R5)*1000</f>
        <v>310.00000000000227</v>
      </c>
      <c r="J5" s="2">
        <f>('Kwh Reading'!S6-'Kwh Reading'!S5)*1000</f>
        <v>109.99999999999943</v>
      </c>
      <c r="K5" s="2">
        <f>('Kwh Reading'!I6-'Kwh Reading'!I5)*1000</f>
        <v>319.99999999999318</v>
      </c>
      <c r="L5" s="2">
        <f>('Kwh Reading'!B6-'Kwh Reading'!B5)*1000</f>
        <v>1320.00000000005</v>
      </c>
      <c r="M5" s="2">
        <f>('Kwh Reading'!M6-'Kwh Reading'!M5)*1000</f>
        <v>830.00000000004093</v>
      </c>
      <c r="N5" s="2">
        <f>('Kwh Reading'!H6-'Kwh Reading'!H5)*1000</f>
        <v>479.9999999999045</v>
      </c>
      <c r="O5" s="2">
        <f>('Kwh Reading'!P6-'Kwh Reading'!P5)*1000</f>
        <v>1159.9999999999682</v>
      </c>
      <c r="P5" s="2">
        <f>('Kwh Reading'!G6-'Kwh Reading'!G5)*1000</f>
        <v>720.00000000002728</v>
      </c>
      <c r="Q5" s="2">
        <f>('Kwh Reading'!Q6-'Kwh Reading'!Q5)*1000</f>
        <v>659.99999999996817</v>
      </c>
      <c r="R5" s="2">
        <f>('Kwh Reading'!N6-'Kwh Reading'!N5)*1000</f>
        <v>740.00000000000909</v>
      </c>
      <c r="S5" s="2">
        <f>'Kwh Reading'!E6-'Kwh Reading'!E5</f>
        <v>3053.1100000003353</v>
      </c>
      <c r="T5" s="2">
        <f>'Kwh Reading'!D6-'Kwh Reading'!D5</f>
        <v>2584.9499999992549</v>
      </c>
      <c r="U5" s="27">
        <f>('Kwh Reading'!O6-'Kwh Reading'!O5)*1000</f>
        <v>229.99999999998977</v>
      </c>
      <c r="V5" s="16">
        <f t="shared" ref="V5:V9" si="0">B5-(SUM(C5:U5))</f>
        <v>6921.9400000005062</v>
      </c>
    </row>
    <row r="6" spans="1:22" x14ac:dyDescent="0.25">
      <c r="A6" s="3">
        <f>'Kwh Reading'!A6</f>
        <v>44380</v>
      </c>
      <c r="B6" s="26">
        <f>TOTAL!E4</f>
        <v>23560.000000001084</v>
      </c>
      <c r="C6" s="4">
        <f>('Kwh Reading'!T7-'Kwh Reading'!T6)*1000</f>
        <v>459.99999999997954</v>
      </c>
      <c r="D6" s="2">
        <f>('Kwh Reading'!F7-'Kwh Reading'!F6)*1000000</f>
        <v>2399.9999999997358</v>
      </c>
      <c r="E6" s="2">
        <f>('Kwh Reading'!C7-'Kwh Reading'!C6)*1000</f>
        <v>199.99999999998863</v>
      </c>
      <c r="F6" s="2">
        <f>('Kwh Reading'!J7-'Kwh Reading'!J6)*1000</f>
        <v>180.00000000000682</v>
      </c>
      <c r="G6" s="2">
        <f>('Kwh Reading'!K7-'Kwh Reading'!K6)*1000</f>
        <v>250</v>
      </c>
      <c r="H6" s="2">
        <f>('Kwh Reading'!L7-'Kwh Reading'!L6)*1000</f>
        <v>199.99999999998863</v>
      </c>
      <c r="I6" s="2">
        <f>('Kwh Reading'!R7-'Kwh Reading'!R6)*1000</f>
        <v>159.99999999999659</v>
      </c>
      <c r="J6" s="2">
        <f>('Kwh Reading'!S7-'Kwh Reading'!S6)*1000</f>
        <v>120.00000000000455</v>
      </c>
      <c r="K6" s="2">
        <f>('Kwh Reading'!I7-'Kwh Reading'!I6)*1000</f>
        <v>349.99999999999432</v>
      </c>
      <c r="L6" s="2">
        <f>('Kwh Reading'!B7-'Kwh Reading'!B6)*1000</f>
        <v>1340.0000000000318</v>
      </c>
      <c r="M6" s="2">
        <f>('Kwh Reading'!M7-'Kwh Reading'!M6)*1000</f>
        <v>740.00000000000909</v>
      </c>
      <c r="N6" s="2">
        <f>('Kwh Reading'!H7-'Kwh Reading'!H6)*1000</f>
        <v>480.00000000001819</v>
      </c>
      <c r="O6" s="2">
        <f>('Kwh Reading'!P7-'Kwh Reading'!P6)*1000</f>
        <v>1159.9999999999682</v>
      </c>
      <c r="P6" s="2">
        <f>('Kwh Reading'!G7-'Kwh Reading'!G6)*1000</f>
        <v>759.99999999999091</v>
      </c>
      <c r="Q6" s="2">
        <f>('Kwh Reading'!Q7-'Kwh Reading'!Q6)*1000</f>
        <v>689.99999999999773</v>
      </c>
      <c r="R6" s="2">
        <f>('Kwh Reading'!N7-'Kwh Reading'!N6)*1000</f>
        <v>819.99999999999318</v>
      </c>
      <c r="S6" s="2">
        <f>'Kwh Reading'!E7-'Kwh Reading'!E6</f>
        <v>3507.4399999994785</v>
      </c>
      <c r="T6" s="2">
        <f>'Kwh Reading'!D7-'Kwh Reading'!D6</f>
        <v>2643.1200000001118</v>
      </c>
      <c r="U6" s="27">
        <f>('Kwh Reading'!O7-'Kwh Reading'!O6)*1000</f>
        <v>229.99999999998977</v>
      </c>
      <c r="V6" s="16">
        <f t="shared" si="0"/>
        <v>6869.4400000018031</v>
      </c>
    </row>
    <row r="7" spans="1:22" x14ac:dyDescent="0.25">
      <c r="A7" s="3">
        <f>'Kwh Reading'!A7</f>
        <v>44381</v>
      </c>
      <c r="B7" s="26">
        <f>TOTAL!E5</f>
        <v>23199.999999998683</v>
      </c>
      <c r="C7" s="4">
        <f>('Kwh Reading'!T8-'Kwh Reading'!T7)*1000</f>
        <v>449.99999999998863</v>
      </c>
      <c r="D7" s="2">
        <f>('Kwh Reading'!F8-'Kwh Reading'!F7)*1000000</f>
        <v>2400.0000000001796</v>
      </c>
      <c r="E7" s="2">
        <f>('Kwh Reading'!C8-'Kwh Reading'!C7)*1000</f>
        <v>230.00000000001819</v>
      </c>
      <c r="F7" s="2">
        <f>('Kwh Reading'!J8-'Kwh Reading'!J7)*1000</f>
        <v>250</v>
      </c>
      <c r="G7" s="2">
        <f>('Kwh Reading'!K8-'Kwh Reading'!K7)*1000</f>
        <v>269.99999999998181</v>
      </c>
      <c r="H7" s="2">
        <f>('Kwh Reading'!L8-'Kwh Reading'!L7)*1000</f>
        <v>180.00000000000682</v>
      </c>
      <c r="I7" s="2">
        <f>('Kwh Reading'!R8-'Kwh Reading'!R7)*1000</f>
        <v>469.99999999999886</v>
      </c>
      <c r="J7" s="2">
        <f>('Kwh Reading'!S8-'Kwh Reading'!S7)*1000</f>
        <v>119.99999999999034</v>
      </c>
      <c r="K7" s="2">
        <f>('Kwh Reading'!I8-'Kwh Reading'!I7)*1000</f>
        <v>310.00000000000227</v>
      </c>
      <c r="L7" s="2">
        <f>('Kwh Reading'!B8-'Kwh Reading'!B7)*1000</f>
        <v>1299.9999999999545</v>
      </c>
      <c r="M7" s="2">
        <f>('Kwh Reading'!M8-'Kwh Reading'!M7)*1000</f>
        <v>750</v>
      </c>
      <c r="N7" s="2">
        <f>('Kwh Reading'!H8-'Kwh Reading'!H7)*1000</f>
        <v>500</v>
      </c>
      <c r="O7" s="2">
        <f>('Kwh Reading'!P8-'Kwh Reading'!P7)*1000</f>
        <v>1050.0000000000682</v>
      </c>
      <c r="P7" s="2">
        <f>('Kwh Reading'!G8-'Kwh Reading'!G7)*1000</f>
        <v>730.00000000001819</v>
      </c>
      <c r="Q7" s="2">
        <f>('Kwh Reading'!Q8-'Kwh Reading'!Q7)*1000</f>
        <v>610.00000000001364</v>
      </c>
      <c r="R7" s="2">
        <f>('Kwh Reading'!N8-'Kwh Reading'!N7)*1000</f>
        <v>740.00000000000909</v>
      </c>
      <c r="S7" s="2">
        <f>'Kwh Reading'!E8-'Kwh Reading'!E7</f>
        <v>3257.339999999851</v>
      </c>
      <c r="T7" s="2">
        <f>'Kwh Reading'!D8-'Kwh Reading'!D7</f>
        <v>2313.7199999997392</v>
      </c>
      <c r="U7" s="27">
        <f>('Kwh Reading'!O8-'Kwh Reading'!O7)*1000</f>
        <v>189.99999999999773</v>
      </c>
      <c r="V7" s="16">
        <f t="shared" si="0"/>
        <v>7078.9399999988636</v>
      </c>
    </row>
    <row r="8" spans="1:22" x14ac:dyDescent="0.25">
      <c r="A8" s="3">
        <f>'Kwh Reading'!A8</f>
        <v>44382</v>
      </c>
      <c r="B8" s="26">
        <f>TOTAL!E6</f>
        <v>22669.999999998934</v>
      </c>
      <c r="C8" s="4">
        <f>('Kwh Reading'!T9-'Kwh Reading'!T8)*1000</f>
        <v>480.00000000001819</v>
      </c>
      <c r="D8" s="2">
        <f>('Kwh Reading'!F9-'Kwh Reading'!F8)*1000000</f>
        <v>2199.9999999997576</v>
      </c>
      <c r="E8" s="2">
        <f>('Kwh Reading'!C9-'Kwh Reading'!C8)*1000</f>
        <v>209.99999999997954</v>
      </c>
      <c r="F8" s="2">
        <f>('Kwh Reading'!J9-'Kwh Reading'!J8)*1000</f>
        <v>189.99999999999773</v>
      </c>
      <c r="G8" s="2">
        <f>('Kwh Reading'!K9-'Kwh Reading'!K8)*1000</f>
        <v>269.99999999998181</v>
      </c>
      <c r="H8" s="2">
        <f>('Kwh Reading'!L9-'Kwh Reading'!L8)*1000</f>
        <v>189.99999999999773</v>
      </c>
      <c r="I8" s="2">
        <f>('Kwh Reading'!R9-'Kwh Reading'!R8)*1000</f>
        <v>310.00000000000227</v>
      </c>
      <c r="J8" s="2">
        <f>('Kwh Reading'!S9-'Kwh Reading'!S8)*1000</f>
        <v>120.00000000000455</v>
      </c>
      <c r="K8" s="2">
        <f>('Kwh Reading'!I9-'Kwh Reading'!I8)*1000</f>
        <v>340.00000000000341</v>
      </c>
      <c r="L8" s="2">
        <f>('Kwh Reading'!B9-'Kwh Reading'!B8)*1000</f>
        <v>1299.9999999999545</v>
      </c>
      <c r="M8" s="2">
        <f>('Kwh Reading'!M9-'Kwh Reading'!M8)*1000</f>
        <v>839.99999999991815</v>
      </c>
      <c r="N8" s="2">
        <f>('Kwh Reading'!H9-'Kwh Reading'!H8)*1000</f>
        <v>480.00000000001819</v>
      </c>
      <c r="O8" s="2">
        <f>('Kwh Reading'!P9-'Kwh Reading'!P8)*1000</f>
        <v>1169.9999999999591</v>
      </c>
      <c r="P8" s="2">
        <f>('Kwh Reading'!G9-'Kwh Reading'!G8)*1000</f>
        <v>899.99999999997726</v>
      </c>
      <c r="Q8" s="2">
        <f>('Kwh Reading'!Q9-'Kwh Reading'!Q8)*1000</f>
        <v>649.99999999997726</v>
      </c>
      <c r="R8" s="2">
        <f>('Kwh Reading'!N9-'Kwh Reading'!N8)*1000</f>
        <v>729.99999999996135</v>
      </c>
      <c r="S8" s="2">
        <f>'Kwh Reading'!E9-'Kwh Reading'!E8</f>
        <v>3625.6200000001118</v>
      </c>
      <c r="T8" s="2">
        <f>'Kwh Reading'!D9-'Kwh Reading'!D8</f>
        <v>2434.25</v>
      </c>
      <c r="U8" s="27">
        <f>('Kwh Reading'!O9-'Kwh Reading'!O8)*1000</f>
        <v>210.00000000000796</v>
      </c>
      <c r="V8" s="16">
        <f t="shared" si="0"/>
        <v>6020.1299999993025</v>
      </c>
    </row>
    <row r="9" spans="1:22" x14ac:dyDescent="0.25">
      <c r="A9" s="3">
        <f>'Kwh Reading'!A9</f>
        <v>44383</v>
      </c>
      <c r="B9" s="26">
        <f>TOTAL!E7</f>
        <v>22710.000000002081</v>
      </c>
      <c r="C9" s="4">
        <f>('Kwh Reading'!T10-'Kwh Reading'!T9)*1000</f>
        <v>449.99999999998863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179.99999999994998</v>
      </c>
      <c r="G9" s="2">
        <f>('Kwh Reading'!K10-'Kwh Reading'!K9)*1000</f>
        <v>220.00000000002728</v>
      </c>
      <c r="H9" s="2">
        <f>('Kwh Reading'!L10-'Kwh Reading'!L9)*1000</f>
        <v>180.00000000000682</v>
      </c>
      <c r="I9" s="2">
        <f>('Kwh Reading'!R10-'Kwh Reading'!R9)*1000</f>
        <v>320.0000000000216</v>
      </c>
      <c r="J9" s="2">
        <f>('Kwh Reading'!S10-'Kwh Reading'!S9)*1000</f>
        <v>120.00000000000455</v>
      </c>
      <c r="K9" s="2">
        <f>('Kwh Reading'!I10-'Kwh Reading'!I9)*1000</f>
        <v>329.99999999998408</v>
      </c>
      <c r="L9" s="2">
        <f>('Kwh Reading'!B10-'Kwh Reading'!B9)*1000</f>
        <v>1350.0000000000227</v>
      </c>
      <c r="M9" s="2">
        <f>('Kwh Reading'!M10-'Kwh Reading'!M9)*1000</f>
        <v>810.00000000005912</v>
      </c>
      <c r="N9" s="2">
        <f>('Kwh Reading'!H10-'Kwh Reading'!H9)*1000</f>
        <v>460.00000000003638</v>
      </c>
      <c r="O9" s="2">
        <f>('Kwh Reading'!P10-'Kwh Reading'!P9)*1000</f>
        <v>1070.00000000005</v>
      </c>
      <c r="P9" s="2">
        <f>('Kwh Reading'!G10-'Kwh Reading'!G9)*1000</f>
        <v>870.00000000000455</v>
      </c>
      <c r="Q9" s="2">
        <f>('Kwh Reading'!Q10-'Kwh Reading'!Q9)*1000</f>
        <v>629.99999999999545</v>
      </c>
      <c r="R9" s="2">
        <f>('Kwh Reading'!N10-'Kwh Reading'!N9)*1000</f>
        <v>720.00000000002728</v>
      </c>
      <c r="S9" s="2">
        <f>'Kwh Reading'!E10-'Kwh Reading'!E9</f>
        <v>3369.0300000002608</v>
      </c>
      <c r="T9" s="2">
        <f>'Kwh Reading'!D10-'Kwh Reading'!D9</f>
        <v>2191.1900000004098</v>
      </c>
      <c r="U9" s="27">
        <f>('Kwh Reading'!O10-'Kwh Reading'!O9)*1000</f>
        <v>189.99999999999773</v>
      </c>
      <c r="V9" s="16">
        <f t="shared" si="0"/>
        <v>6599.7800000010538</v>
      </c>
    </row>
    <row r="10" spans="1:22" x14ac:dyDescent="0.25">
      <c r="A10" s="3">
        <f>'Kwh Reading'!A10</f>
        <v>44384</v>
      </c>
      <c r="B10" s="26">
        <f>TOTAL!E8</f>
        <v>23189.99999999869</v>
      </c>
      <c r="C10" s="4">
        <f>('Kwh Reading'!T11-'Kwh Reading'!T10)*1000</f>
        <v>470.00000000002728</v>
      </c>
      <c r="D10" s="2">
        <f>('Kwh Reading'!F11-'Kwh Reading'!F10)*1000000</f>
        <v>2299.9999999999686</v>
      </c>
      <c r="E10" s="2">
        <f>('Kwh Reading'!C11-'Kwh Reading'!C10)*1000</f>
        <v>219.99999999999886</v>
      </c>
      <c r="F10" s="2">
        <f>('Kwh Reading'!J11-'Kwh Reading'!J10)*1000</f>
        <v>220.00000000002728</v>
      </c>
      <c r="G10" s="2">
        <f>('Kwh Reading'!K11-'Kwh Reading'!K10)*1000</f>
        <v>240.00000000000909</v>
      </c>
      <c r="H10" s="2">
        <f>('Kwh Reading'!L11-'Kwh Reading'!L10)*1000</f>
        <v>189.99999999999773</v>
      </c>
      <c r="I10" s="2">
        <f>('Kwh Reading'!R11-'Kwh Reading'!R10)*1000</f>
        <v>329.99999999998408</v>
      </c>
      <c r="J10" s="2">
        <f>('Kwh Reading'!S11-'Kwh Reading'!S10)*1000</f>
        <v>119.99999999999034</v>
      </c>
      <c r="K10" s="2">
        <f>('Kwh Reading'!I11-'Kwh Reading'!I10)*1000</f>
        <v>360.00000000001364</v>
      </c>
      <c r="L10" s="2">
        <f>('Kwh Reading'!B11-'Kwh Reading'!B10)*1000</f>
        <v>1360.0000000000136</v>
      </c>
      <c r="M10" s="2">
        <f>('Kwh Reading'!M11-'Kwh Reading'!M10)*1000</f>
        <v>809.99999999994543</v>
      </c>
      <c r="N10" s="2">
        <f>('Kwh Reading'!H11-'Kwh Reading'!H10)*1000</f>
        <v>449.99999999993179</v>
      </c>
      <c r="O10" s="2">
        <f>('Kwh Reading'!P11-'Kwh Reading'!P10)*1000</f>
        <v>1069.9999999999363</v>
      </c>
      <c r="P10" s="2">
        <f>('Kwh Reading'!G11-'Kwh Reading'!G10)*1000</f>
        <v>799.99999999995453</v>
      </c>
      <c r="Q10" s="2">
        <f>('Kwh Reading'!Q11-'Kwh Reading'!Q10)*1000</f>
        <v>630.0000000000523</v>
      </c>
      <c r="R10" s="2">
        <f>('Kwh Reading'!N11-'Kwh Reading'!N10)*1000</f>
        <v>839.99999999997499</v>
      </c>
      <c r="S10" s="34">
        <f>'Kwh Reading'!E11-'Kwh Reading'!E10</f>
        <v>3577.3899999996647</v>
      </c>
      <c r="T10" s="34">
        <f>'Kwh Reading'!D11-'Kwh Reading'!D10</f>
        <v>2377.9000000003725</v>
      </c>
      <c r="U10" s="27">
        <f>('Kwh Reading'!O11-'Kwh Reading'!O10)*1000</f>
        <v>200.00000000001705</v>
      </c>
      <c r="V10" s="16">
        <f t="shared" ref="V10:V34" si="1">B10-(SUM(C10:U10))</f>
        <v>6624.7099999988095</v>
      </c>
    </row>
    <row r="11" spans="1:22" x14ac:dyDescent="0.25">
      <c r="A11" s="3">
        <f>'Kwh Reading'!A11</f>
        <v>44385</v>
      </c>
      <c r="B11" s="26">
        <f>TOTAL!E9</f>
        <v>22890.000000000327</v>
      </c>
      <c r="C11" s="4">
        <f>('Kwh Reading'!T12-'Kwh Reading'!T11)*1000</f>
        <v>469.99999999997044</v>
      </c>
      <c r="D11" s="2">
        <f>('Kwh Reading'!F12-'Kwh Reading'!F11)*1000000</f>
        <v>2299.9999999999686</v>
      </c>
      <c r="E11" s="2">
        <f>('Kwh Reading'!C12-'Kwh Reading'!C11)*1000</f>
        <v>130.00000000002387</v>
      </c>
      <c r="F11" s="2">
        <f>('Kwh Reading'!J12-'Kwh Reading'!J11)*1000</f>
        <v>189.99999999999773</v>
      </c>
      <c r="G11" s="2">
        <f>('Kwh Reading'!K12-'Kwh Reading'!K11)*1000</f>
        <v>229.99999999996135</v>
      </c>
      <c r="H11" s="2">
        <f>('Kwh Reading'!L12-'Kwh Reading'!L11)*1000</f>
        <v>189.99999999999773</v>
      </c>
      <c r="I11" s="2">
        <f>('Kwh Reading'!R12-'Kwh Reading'!R11)*1000</f>
        <v>300.00000000001137</v>
      </c>
      <c r="J11" s="2">
        <f>('Kwh Reading'!S12-'Kwh Reading'!S11)*1000</f>
        <v>120.00000000000455</v>
      </c>
      <c r="K11" s="2">
        <f>('Kwh Reading'!I12-'Kwh Reading'!I11)*1000</f>
        <v>359.99999999998522</v>
      </c>
      <c r="L11" s="2">
        <f>('Kwh Reading'!B12-'Kwh Reading'!B11)*1000</f>
        <v>1289.9999999999636</v>
      </c>
      <c r="M11" s="2">
        <f>('Kwh Reading'!M12-'Kwh Reading'!M11)*1000</f>
        <v>800.00000000006821</v>
      </c>
      <c r="N11" s="2">
        <f>('Kwh Reading'!H12-'Kwh Reading'!H11)*1000</f>
        <v>460.00000000003638</v>
      </c>
      <c r="O11" s="2">
        <f>('Kwh Reading'!P12-'Kwh Reading'!P11)*1000</f>
        <v>1100.0000000000227</v>
      </c>
      <c r="P11" s="2">
        <f>('Kwh Reading'!G12-'Kwh Reading'!G11)*1000</f>
        <v>830.00000000004093</v>
      </c>
      <c r="Q11" s="2">
        <f>('Kwh Reading'!Q12-'Kwh Reading'!Q11)*1000</f>
        <v>579.99999999998408</v>
      </c>
      <c r="R11" s="2">
        <f>('Kwh Reading'!N12-'Kwh Reading'!N11)*1000</f>
        <v>800.00000000001137</v>
      </c>
      <c r="S11" s="34">
        <f>'Kwh Reading'!E12-'Kwh Reading'!E11</f>
        <v>3304.0300000002608</v>
      </c>
      <c r="T11" s="34">
        <f>'Kwh Reading'!D12-'Kwh Reading'!D11</f>
        <v>2592.5999999996275</v>
      </c>
      <c r="U11" s="27">
        <f>('Kwh Reading'!O12-'Kwh Reading'!O11)*1000</f>
        <v>209.99999999997954</v>
      </c>
      <c r="V11" s="16">
        <f t="shared" si="1"/>
        <v>6633.3700000004119</v>
      </c>
    </row>
    <row r="12" spans="1:22" x14ac:dyDescent="0.25">
      <c r="A12" s="3">
        <f>'Kwh Reading'!A12</f>
        <v>44386</v>
      </c>
      <c r="B12" s="26">
        <f>TOTAL!E10</f>
        <v>19059.99999999904</v>
      </c>
      <c r="C12" s="4">
        <f>('Kwh Reading'!T13-'Kwh Reading'!T12)*1000</f>
        <v>269.99999999998181</v>
      </c>
      <c r="D12" s="2">
        <f>('Kwh Reading'!F13-'Kwh Reading'!F12)*1000000</f>
        <v>2299.9999999999686</v>
      </c>
      <c r="E12" s="2">
        <f>('Kwh Reading'!C13-'Kwh Reading'!C12)*1000</f>
        <v>349.99999999999432</v>
      </c>
      <c r="F12" s="2">
        <f>('Kwh Reading'!J13-'Kwh Reading'!J12)*1000</f>
        <v>230.00000000001819</v>
      </c>
      <c r="G12" s="2">
        <f>('Kwh Reading'!K13-'Kwh Reading'!K12)*1000</f>
        <v>240.00000000000909</v>
      </c>
      <c r="H12" s="2">
        <f>('Kwh Reading'!L13-'Kwh Reading'!L12)*1000</f>
        <v>210.00000000000796</v>
      </c>
      <c r="I12" s="2">
        <f>('Kwh Reading'!R13-'Kwh Reading'!R12)*1000</f>
        <v>289.99999999999204</v>
      </c>
      <c r="J12" s="2">
        <f>('Kwh Reading'!S13-'Kwh Reading'!S12)*1000</f>
        <v>109.99999999999943</v>
      </c>
      <c r="K12" s="2">
        <f>('Kwh Reading'!I13-'Kwh Reading'!I12)*1000</f>
        <v>290.00000000002046</v>
      </c>
      <c r="L12" s="2">
        <f>('Kwh Reading'!B13-'Kwh Reading'!B12)*1000</f>
        <v>1140.0000000001</v>
      </c>
      <c r="M12" s="2">
        <f>('Kwh Reading'!M13-'Kwh Reading'!M12)*1000</f>
        <v>620.00000000000455</v>
      </c>
      <c r="N12" s="2">
        <f>('Kwh Reading'!H13-'Kwh Reading'!H12)*1000</f>
        <v>399.99999999997726</v>
      </c>
      <c r="O12" s="2">
        <f>('Kwh Reading'!P13-'Kwh Reading'!P12)*1000</f>
        <v>870.00000000000455</v>
      </c>
      <c r="P12" s="2">
        <f>('Kwh Reading'!G13-'Kwh Reading'!G12)*1000</f>
        <v>620.00000000000455</v>
      </c>
      <c r="Q12" s="2">
        <f>('Kwh Reading'!Q13-'Kwh Reading'!Q12)*1000</f>
        <v>399.99999999997726</v>
      </c>
      <c r="R12" s="2">
        <f>('Kwh Reading'!N13-'Kwh Reading'!N12)*1000</f>
        <v>590.00000000003183</v>
      </c>
      <c r="S12" s="34">
        <f>'Kwh Reading'!E13-'Kwh Reading'!E12</f>
        <v>2433.3600000003353</v>
      </c>
      <c r="T12" s="34">
        <f>'Kwh Reading'!D13-'Kwh Reading'!D12</f>
        <v>2138.7800000002608</v>
      </c>
      <c r="U12" s="27">
        <f>('Kwh Reading'!O13-'Kwh Reading'!O12)*1000</f>
        <v>219.99999999999886</v>
      </c>
      <c r="V12" s="16">
        <f t="shared" si="1"/>
        <v>5337.8599999983544</v>
      </c>
    </row>
    <row r="13" spans="1:22" x14ac:dyDescent="0.25">
      <c r="A13" s="3">
        <f>'Kwh Reading'!A13</f>
        <v>44387</v>
      </c>
      <c r="B13" s="26">
        <f>TOTAL!E11</f>
        <v>21280.000000001113</v>
      </c>
      <c r="C13" s="4">
        <f>('Kwh Reading'!T14-'Kwh Reading'!T13)*1000</f>
        <v>440.00000000005457</v>
      </c>
      <c r="D13" s="2">
        <f>('Kwh Reading'!F14-'Kwh Reading'!F13)*1000000</f>
        <v>2299.9999999999686</v>
      </c>
      <c r="E13" s="2">
        <f>('Kwh Reading'!C14-'Kwh Reading'!C13)*1000</f>
        <v>219.99999999999886</v>
      </c>
      <c r="F13" s="2">
        <f>('Kwh Reading'!J14-'Kwh Reading'!J13)*1000</f>
        <v>199.99999999998863</v>
      </c>
      <c r="G13" s="2">
        <f>('Kwh Reading'!K14-'Kwh Reading'!K13)*1000</f>
        <v>199.99999999998863</v>
      </c>
      <c r="H13" s="2">
        <f>('Kwh Reading'!L14-'Kwh Reading'!L13)*1000</f>
        <v>210.00000000000796</v>
      </c>
      <c r="I13" s="2">
        <f>('Kwh Reading'!R14-'Kwh Reading'!R13)*1000</f>
        <v>310.00000000000227</v>
      </c>
      <c r="J13" s="2">
        <f>('Kwh Reading'!S14-'Kwh Reading'!S13)*1000</f>
        <v>120.00000000000455</v>
      </c>
      <c r="K13" s="2">
        <f>('Kwh Reading'!I14-'Kwh Reading'!I13)*1000</f>
        <v>299.99999999998295</v>
      </c>
      <c r="L13" s="2">
        <f>('Kwh Reading'!B14-'Kwh Reading'!B13)*1000</f>
        <v>1250</v>
      </c>
      <c r="M13" s="2">
        <f>('Kwh Reading'!M14-'Kwh Reading'!M13)*1000</f>
        <v>720.00000000002728</v>
      </c>
      <c r="N13" s="2">
        <f>('Kwh Reading'!H14-'Kwh Reading'!H13)*1000</f>
        <v>440.00000000005457</v>
      </c>
      <c r="O13" s="2">
        <f>('Kwh Reading'!P14-'Kwh Reading'!P13)*1000</f>
        <v>929.99999999994998</v>
      </c>
      <c r="P13" s="2">
        <f>('Kwh Reading'!G14-'Kwh Reading'!G13)*1000</f>
        <v>830.00000000004093</v>
      </c>
      <c r="Q13" s="2">
        <f>('Kwh Reading'!Q14-'Kwh Reading'!Q13)*1000</f>
        <v>600.00000000002274</v>
      </c>
      <c r="R13" s="2">
        <f>('Kwh Reading'!N14-'Kwh Reading'!N13)*1000</f>
        <v>679.99999999994998</v>
      </c>
      <c r="S13" s="34">
        <f>'Kwh Reading'!E14-'Kwh Reading'!E13</f>
        <v>3073.1299999998882</v>
      </c>
      <c r="T13" s="34">
        <f>'Kwh Reading'!D14-'Kwh Reading'!D13</f>
        <v>2086.3099999995902</v>
      </c>
      <c r="U13" s="27">
        <f>('Kwh Reading'!O14-'Kwh Reading'!O13)*1000</f>
        <v>240.00000000000909</v>
      </c>
      <c r="V13" s="16">
        <f t="shared" si="1"/>
        <v>6130.5600000015856</v>
      </c>
    </row>
    <row r="14" spans="1:22" x14ac:dyDescent="0.25">
      <c r="A14" s="3">
        <f>'Kwh Reading'!A14</f>
        <v>44388</v>
      </c>
      <c r="B14" s="26">
        <f>TOTAL!E12</f>
        <v>23830.000000000378</v>
      </c>
      <c r="C14" s="4">
        <f>('Kwh Reading'!T15-'Kwh Reading'!T14)*1000</f>
        <v>459.99999999997954</v>
      </c>
      <c r="D14" s="2">
        <f>('Kwh Reading'!F15-'Kwh Reading'!F14)*1000000</f>
        <v>2499.9999999999468</v>
      </c>
      <c r="E14" s="2">
        <f>('Kwh Reading'!C15-'Kwh Reading'!C14)*1000</f>
        <v>219.99999999999886</v>
      </c>
      <c r="F14" s="2">
        <f>('Kwh Reading'!J15-'Kwh Reading'!J14)*1000</f>
        <v>219.99999999997044</v>
      </c>
      <c r="G14" s="2">
        <f>('Kwh Reading'!K15-'Kwh Reading'!K14)*1000</f>
        <v>230.00000000001819</v>
      </c>
      <c r="H14" s="2">
        <f>('Kwh Reading'!L15-'Kwh Reading'!L14)*1000</f>
        <v>189.99999999999773</v>
      </c>
      <c r="I14" s="2">
        <f>('Kwh Reading'!R15-'Kwh Reading'!R14)*1000</f>
        <v>299.99999999998295</v>
      </c>
      <c r="J14" s="2">
        <f>('Kwh Reading'!S15-'Kwh Reading'!S14)*1000</f>
        <v>119.99999999999034</v>
      </c>
      <c r="K14" s="2">
        <f>('Kwh Reading'!I15-'Kwh Reading'!I14)*1000</f>
        <v>319.99999999999318</v>
      </c>
      <c r="L14" s="2">
        <f>('Kwh Reading'!B15-'Kwh Reading'!B14)*1000</f>
        <v>1379.9999999999955</v>
      </c>
      <c r="M14" s="2">
        <f>('Kwh Reading'!M15-'Kwh Reading'!M14)*1000</f>
        <v>829.99999999992724</v>
      </c>
      <c r="N14" s="2">
        <f>('Kwh Reading'!H15-'Kwh Reading'!H14)*1000</f>
        <v>490.00000000000909</v>
      </c>
      <c r="O14" s="2">
        <f>('Kwh Reading'!P15-'Kwh Reading'!P14)*1000</f>
        <v>1080.0000000000409</v>
      </c>
      <c r="P14" s="2">
        <f>('Kwh Reading'!G15-'Kwh Reading'!G14)*1000</f>
        <v>860.00000000001364</v>
      </c>
      <c r="Q14" s="2">
        <f>('Kwh Reading'!Q15-'Kwh Reading'!Q14)*1000</f>
        <v>740.00000000000909</v>
      </c>
      <c r="R14" s="2">
        <f>('Kwh Reading'!N15-'Kwh Reading'!N14)*1000</f>
        <v>780.00000000002956</v>
      </c>
      <c r="S14" s="34">
        <f>'Kwh Reading'!E15-'Kwh Reading'!E14</f>
        <v>3235.7999999998137</v>
      </c>
      <c r="T14" s="34">
        <f>'Kwh Reading'!D15-'Kwh Reading'!D14</f>
        <v>2539.3100000005215</v>
      </c>
      <c r="U14" s="27">
        <f>('Kwh Reading'!O15-'Kwh Reading'!O14)*1000</f>
        <v>229.99999999998977</v>
      </c>
      <c r="V14" s="16">
        <f t="shared" si="1"/>
        <v>7104.8900000001486</v>
      </c>
    </row>
    <row r="15" spans="1:22" x14ac:dyDescent="0.25">
      <c r="A15" s="3">
        <f>'Kwh Reading'!A15</f>
        <v>44389</v>
      </c>
      <c r="B15" s="26">
        <f>TOTAL!E13</f>
        <v>22739.999999998417</v>
      </c>
      <c r="C15" s="4">
        <f>('Kwh Reading'!T16-'Kwh Reading'!T15)*1000</f>
        <v>490.00000000000909</v>
      </c>
      <c r="D15" s="2">
        <f>('Kwh Reading'!F16-'Kwh Reading'!F15)*1000000</f>
        <v>2200.0000000002019</v>
      </c>
      <c r="E15" s="2">
        <f>('Kwh Reading'!C16-'Kwh Reading'!C15)*1000</f>
        <v>250</v>
      </c>
      <c r="F15" s="2">
        <f>('Kwh Reading'!J16-'Kwh Reading'!J15)*1000</f>
        <v>170.00000000001592</v>
      </c>
      <c r="G15" s="2">
        <f>('Kwh Reading'!K16-'Kwh Reading'!K15)*1000</f>
        <v>230.00000000001819</v>
      </c>
      <c r="H15" s="2">
        <f>('Kwh Reading'!L16-'Kwh Reading'!L15)*1000</f>
        <v>179.9999999999784</v>
      </c>
      <c r="I15" s="2">
        <f>('Kwh Reading'!R16-'Kwh Reading'!R15)*1000</f>
        <v>310.00000000000227</v>
      </c>
      <c r="J15" s="2">
        <f>('Kwh Reading'!S16-'Kwh Reading'!S15)*1000</f>
        <v>120.00000000000455</v>
      </c>
      <c r="K15" s="2">
        <f>('Kwh Reading'!I16-'Kwh Reading'!I15)*1000</f>
        <v>50.000000000011369</v>
      </c>
      <c r="L15" s="2">
        <f>('Kwh Reading'!B16-'Kwh Reading'!B15)*1000</f>
        <v>1409.9999999999682</v>
      </c>
      <c r="M15" s="2">
        <f>('Kwh Reading'!M16-'Kwh Reading'!M15)*1000</f>
        <v>870.00000000000455</v>
      </c>
      <c r="N15" s="2">
        <f>('Kwh Reading'!H16-'Kwh Reading'!H15)*1000</f>
        <v>449.99999999993179</v>
      </c>
      <c r="O15" s="2">
        <f>('Kwh Reading'!P16-'Kwh Reading'!P15)*1000</f>
        <v>1070.00000000005</v>
      </c>
      <c r="P15" s="2">
        <f>('Kwh Reading'!G16-'Kwh Reading'!G15)*1000</f>
        <v>870.00000000000455</v>
      </c>
      <c r="Q15" s="2">
        <f>('Kwh Reading'!Q16-'Kwh Reading'!Q15)*1000</f>
        <v>789.99999999996362</v>
      </c>
      <c r="R15" s="2">
        <f>('Kwh Reading'!N16-'Kwh Reading'!N15)*1000</f>
        <v>750</v>
      </c>
      <c r="S15" s="34">
        <f>'Kwh Reading'!E16-'Kwh Reading'!E15</f>
        <v>3156.5800000000745</v>
      </c>
      <c r="T15" s="34">
        <f>'Kwh Reading'!D16-'Kwh Reading'!D15</f>
        <v>2435.519999999553</v>
      </c>
      <c r="U15" s="27">
        <f>('Kwh Reading'!O16-'Kwh Reading'!O15)*1000</f>
        <v>270.00000000001023</v>
      </c>
      <c r="V15" s="16">
        <f t="shared" si="1"/>
        <v>6667.8999999986154</v>
      </c>
    </row>
    <row r="16" spans="1:22" x14ac:dyDescent="0.25">
      <c r="A16" s="3">
        <f>'Kwh Reading'!A16</f>
        <v>44390</v>
      </c>
      <c r="B16" s="26">
        <f>TOTAL!E14</f>
        <v>22780.000000002023</v>
      </c>
      <c r="C16" s="4">
        <f>('Kwh Reading'!T17-'Kwh Reading'!T16)*1000</f>
        <v>469.99999999997044</v>
      </c>
      <c r="D16" s="2">
        <f>('Kwh Reading'!F17-'Kwh Reading'!F16)*1000000</f>
        <v>2299.9999999999686</v>
      </c>
      <c r="E16" s="2">
        <f>('Kwh Reading'!C17-'Kwh Reading'!C16)*1000</f>
        <v>250</v>
      </c>
      <c r="F16" s="2">
        <f>('Kwh Reading'!J17-'Kwh Reading'!J16)*1000</f>
        <v>160.00000000002501</v>
      </c>
      <c r="G16" s="2">
        <f>('Kwh Reading'!K17-'Kwh Reading'!K16)*1000</f>
        <v>219.99999999997044</v>
      </c>
      <c r="H16" s="2">
        <f>('Kwh Reading'!L17-'Kwh Reading'!L16)*1000</f>
        <v>190.00000000002615</v>
      </c>
      <c r="I16" s="2">
        <f>('Kwh Reading'!R17-'Kwh Reading'!R16)*1000</f>
        <v>310.00000000000227</v>
      </c>
      <c r="J16" s="2">
        <f>('Kwh Reading'!S17-'Kwh Reading'!S16)*1000</f>
        <v>120.00000000000455</v>
      </c>
      <c r="K16" s="2">
        <f>('Kwh Reading'!I17-'Kwh Reading'!I16)*1000</f>
        <v>370.00000000000455</v>
      </c>
      <c r="L16" s="2">
        <f>('Kwh Reading'!B17-'Kwh Reading'!B16)*1000</f>
        <v>1490.0000000000091</v>
      </c>
      <c r="M16" s="2">
        <f>('Kwh Reading'!M17-'Kwh Reading'!M16)*1000</f>
        <v>850.00000000002274</v>
      </c>
      <c r="N16" s="2">
        <f>('Kwh Reading'!H17-'Kwh Reading'!H16)*1000</f>
        <v>470.00000000002728</v>
      </c>
      <c r="O16" s="2">
        <f>('Kwh Reading'!P17-'Kwh Reading'!P16)*1000</f>
        <v>1069.9999999999363</v>
      </c>
      <c r="P16" s="2">
        <f>('Kwh Reading'!G17-'Kwh Reading'!G16)*1000</f>
        <v>869.99999999989086</v>
      </c>
      <c r="Q16" s="2">
        <f>('Kwh Reading'!Q17-'Kwh Reading'!Q16)*1000</f>
        <v>830.00000000004093</v>
      </c>
      <c r="R16" s="2">
        <f>('Kwh Reading'!N17-'Kwh Reading'!N16)*1000</f>
        <v>750</v>
      </c>
      <c r="S16" s="34">
        <f>'Kwh Reading'!E17-'Kwh Reading'!E16</f>
        <v>3387.429999999702</v>
      </c>
      <c r="T16" s="34">
        <f>'Kwh Reading'!D17-'Kwh Reading'!D16</f>
        <v>2578.1399999996647</v>
      </c>
      <c r="U16" s="27">
        <f>('Kwh Reading'!O17-'Kwh Reading'!O16)*1000</f>
        <v>229.99999999998977</v>
      </c>
      <c r="V16" s="16">
        <f t="shared" si="1"/>
        <v>5864.4300000027688</v>
      </c>
    </row>
    <row r="17" spans="1:22" x14ac:dyDescent="0.25">
      <c r="A17" s="3">
        <f>'Kwh Reading'!A17</f>
        <v>44391</v>
      </c>
      <c r="B17" s="26">
        <f>TOTAL!E15</f>
        <v>22879.9999999992</v>
      </c>
      <c r="C17" s="4">
        <f>('Kwh Reading'!T18-'Kwh Reading'!T17)*1000</f>
        <v>470.00000000002728</v>
      </c>
      <c r="D17" s="2">
        <f>('Kwh Reading'!F18-'Kwh Reading'!F17)*1000000</f>
        <v>2499.9999999999468</v>
      </c>
      <c r="E17" s="2">
        <f>('Kwh Reading'!C18-'Kwh Reading'!C17)*1000</f>
        <v>199.99999999998863</v>
      </c>
      <c r="F17" s="2">
        <f>('Kwh Reading'!J18-'Kwh Reading'!J17)*1000</f>
        <v>149.99999999997726</v>
      </c>
      <c r="G17" s="2">
        <f>('Kwh Reading'!K18-'Kwh Reading'!K17)*1000</f>
        <v>189.99999999999773</v>
      </c>
      <c r="H17" s="2">
        <f>('Kwh Reading'!L18-'Kwh Reading'!L17)*1000</f>
        <v>169.99999999998749</v>
      </c>
      <c r="I17" s="2">
        <f>('Kwh Reading'!R18-'Kwh Reading'!R17)*1000</f>
        <v>290.00000000002046</v>
      </c>
      <c r="J17" s="2">
        <f>('Kwh Reading'!S18-'Kwh Reading'!S17)*1000</f>
        <v>109.99999999999943</v>
      </c>
      <c r="K17" s="2">
        <f>('Kwh Reading'!I18-'Kwh Reading'!I17)*1000</f>
        <v>569.99999999999318</v>
      </c>
      <c r="L17" s="2">
        <f>('Kwh Reading'!B18-'Kwh Reading'!B17)*1000</f>
        <v>1379.9999999999955</v>
      </c>
      <c r="M17" s="2">
        <f>('Kwh Reading'!M18-'Kwh Reading'!M17)*1000</f>
        <v>809.99999999994543</v>
      </c>
      <c r="N17" s="2">
        <f>('Kwh Reading'!H18-'Kwh Reading'!H17)*1000</f>
        <v>389.99999999998636</v>
      </c>
      <c r="O17" s="2">
        <f>('Kwh Reading'!P18-'Kwh Reading'!P17)*1000</f>
        <v>1050.0000000000682</v>
      </c>
      <c r="P17" s="2">
        <f>('Kwh Reading'!G18-'Kwh Reading'!G17)*1000</f>
        <v>870.00000000000455</v>
      </c>
      <c r="Q17" s="2">
        <f>('Kwh Reading'!Q18-'Kwh Reading'!Q17)*1000</f>
        <v>769.99999999998181</v>
      </c>
      <c r="R17" s="2">
        <f>('Kwh Reading'!N18-'Kwh Reading'!N17)*1000</f>
        <v>509.99999999999091</v>
      </c>
      <c r="S17" s="34">
        <f>'Kwh Reading'!E18-'Kwh Reading'!E17</f>
        <v>3153.2000000001863</v>
      </c>
      <c r="T17" s="34">
        <f>'Kwh Reading'!D18-'Kwh Reading'!D17</f>
        <v>2412.6300000008196</v>
      </c>
      <c r="U17" s="27">
        <f>('Kwh Reading'!O18-'Kwh Reading'!O17)*1000</f>
        <v>210.00000000000796</v>
      </c>
      <c r="V17" s="16">
        <f t="shared" si="1"/>
        <v>6674.1699999982757</v>
      </c>
    </row>
    <row r="18" spans="1:22" x14ac:dyDescent="0.25">
      <c r="A18" s="3">
        <f>'Kwh Reading'!A18</f>
        <v>44392</v>
      </c>
      <c r="B18" s="26">
        <f>TOTAL!E16</f>
        <v>23499.999999999091</v>
      </c>
      <c r="C18" s="4">
        <f>('Kwh Reading'!T19-'Kwh Reading'!T18)*1000</f>
        <v>479.99999999996135</v>
      </c>
      <c r="D18" s="2">
        <f>('Kwh Reading'!F19-'Kwh Reading'!F18)*1000000</f>
        <v>2600.0000000001578</v>
      </c>
      <c r="E18" s="2">
        <f>('Kwh Reading'!C19-'Kwh Reading'!C18)*1000</f>
        <v>270.00000000001023</v>
      </c>
      <c r="F18" s="2">
        <f>('Kwh Reading'!J19-'Kwh Reading'!J18)*1000</f>
        <v>240.00000000000909</v>
      </c>
      <c r="G18" s="2">
        <f>('Kwh Reading'!K19-'Kwh Reading'!K18)*1000</f>
        <v>300.00000000001137</v>
      </c>
      <c r="H18" s="2">
        <f>('Kwh Reading'!L19-'Kwh Reading'!L18)*1000</f>
        <v>199.99999999998863</v>
      </c>
      <c r="I18" s="2">
        <f>('Kwh Reading'!R19-'Kwh Reading'!R18)*1000</f>
        <v>250</v>
      </c>
      <c r="J18" s="2">
        <f>('Kwh Reading'!S19-'Kwh Reading'!S18)*1000</f>
        <v>129.99999999999545</v>
      </c>
      <c r="K18" s="2">
        <f>('Kwh Reading'!I19-'Kwh Reading'!I18)*1000</f>
        <v>379.99999999999545</v>
      </c>
      <c r="L18" s="2">
        <f>('Kwh Reading'!B19-'Kwh Reading'!B18)*1000</f>
        <v>259.99999999999091</v>
      </c>
      <c r="M18" s="2">
        <f>('Kwh Reading'!M19-'Kwh Reading'!M18)*1000</f>
        <v>790.00000000007731</v>
      </c>
      <c r="N18" s="2">
        <f>('Kwh Reading'!H19-'Kwh Reading'!H18)*1000</f>
        <v>430.00000000006366</v>
      </c>
      <c r="O18" s="2">
        <f>('Kwh Reading'!P19-'Kwh Reading'!P18)*1000</f>
        <v>1049.9999999999545</v>
      </c>
      <c r="P18" s="2">
        <f>('Kwh Reading'!G19-'Kwh Reading'!G18)*1000</f>
        <v>950.00000000004547</v>
      </c>
      <c r="Q18" s="2">
        <f>('Kwh Reading'!Q19-'Kwh Reading'!Q18)*1000</f>
        <v>759.99999999999091</v>
      </c>
      <c r="R18" s="2">
        <f>('Kwh Reading'!N19-'Kwh Reading'!N18)*1000</f>
        <v>949.99999999998863</v>
      </c>
      <c r="S18" s="34">
        <f>'Kwh Reading'!E19-'Kwh Reading'!E18</f>
        <v>3125.5999999996275</v>
      </c>
      <c r="T18" s="34">
        <f>'Kwh Reading'!D19-'Kwh Reading'!D18</f>
        <v>2471.3699999991804</v>
      </c>
      <c r="U18" s="27">
        <f>('Kwh Reading'!O19-'Kwh Reading'!O18)*1000</f>
        <v>219.99999999999886</v>
      </c>
      <c r="V18" s="16">
        <f t="shared" si="1"/>
        <v>7643.0300000000425</v>
      </c>
    </row>
    <row r="19" spans="1:22" x14ac:dyDescent="0.25">
      <c r="A19" s="3">
        <f>'Kwh Reading'!A19</f>
        <v>44393</v>
      </c>
      <c r="B19" s="26">
        <f>TOTAL!E17</f>
        <v>23690.000000000284</v>
      </c>
      <c r="C19" s="4">
        <f>('Kwh Reading'!T20-'Kwh Reading'!T19)*1000</f>
        <v>500</v>
      </c>
      <c r="D19" s="2">
        <f>('Kwh Reading'!F20-'Kwh Reading'!F19)*1000000</f>
        <v>2499.9999999999468</v>
      </c>
      <c r="E19" s="2">
        <f>('Kwh Reading'!C20-'Kwh Reading'!C19)*1000</f>
        <v>259.99999999999091</v>
      </c>
      <c r="F19" s="2">
        <f>('Kwh Reading'!J20-'Kwh Reading'!J19)*1000</f>
        <v>269.99999999998181</v>
      </c>
      <c r="G19" s="2">
        <f>('Kwh Reading'!K20-'Kwh Reading'!K19)*1000</f>
        <v>310.00000000000227</v>
      </c>
      <c r="H19" s="2">
        <f>('Kwh Reading'!L20-'Kwh Reading'!L19)*1000</f>
        <v>189.99999999999773</v>
      </c>
      <c r="I19" s="2">
        <f>('Kwh Reading'!R20-'Kwh Reading'!R19)*1000</f>
        <v>359.99999999998522</v>
      </c>
      <c r="J19" s="2">
        <f>('Kwh Reading'!S20-'Kwh Reading'!S19)*1000</f>
        <v>129.99999999999545</v>
      </c>
      <c r="K19" s="2">
        <f>('Kwh Reading'!I20-'Kwh Reading'!I19)*1000</f>
        <v>360.00000000001364</v>
      </c>
      <c r="L19" s="2">
        <f>('Kwh Reading'!B20-'Kwh Reading'!B19)*1000</f>
        <v>2580.0000000000409</v>
      </c>
      <c r="M19" s="2">
        <f>('Kwh Reading'!M20-'Kwh Reading'!M19)*1000</f>
        <v>769.99999999998181</v>
      </c>
      <c r="N19" s="2">
        <f>('Kwh Reading'!H20-'Kwh Reading'!H19)*1000</f>
        <v>449.99999999993179</v>
      </c>
      <c r="O19" s="2">
        <f>('Kwh Reading'!P20-'Kwh Reading'!P19)*1000</f>
        <v>1060.0000000000591</v>
      </c>
      <c r="P19" s="2">
        <f>('Kwh Reading'!G20-'Kwh Reading'!G19)*1000</f>
        <v>940.00000000005457</v>
      </c>
      <c r="Q19" s="2">
        <f>('Kwh Reading'!Q20-'Kwh Reading'!Q19)*1000</f>
        <v>689.99999999999773</v>
      </c>
      <c r="R19" s="2">
        <f>('Kwh Reading'!N20-'Kwh Reading'!N19)*1000</f>
        <v>780.00000000002956</v>
      </c>
      <c r="S19" s="34">
        <f>'Kwh Reading'!E20-'Kwh Reading'!E19</f>
        <v>3184.8400000007823</v>
      </c>
      <c r="T19" s="34">
        <f>'Kwh Reading'!D20-'Kwh Reading'!D19</f>
        <v>2750.3400000007823</v>
      </c>
      <c r="U19" s="27">
        <f>('Kwh Reading'!O20-'Kwh Reading'!O19)*1000</f>
        <v>210.00000000000796</v>
      </c>
      <c r="V19" s="16">
        <f t="shared" si="1"/>
        <v>5394.8199999987046</v>
      </c>
    </row>
    <row r="20" spans="1:22" x14ac:dyDescent="0.25">
      <c r="A20" s="3">
        <f>'Kwh Reading'!A20</f>
        <v>44394</v>
      </c>
      <c r="B20" s="26">
        <f>TOTAL!E18</f>
        <v>24750.000000001364</v>
      </c>
      <c r="C20" s="4">
        <f>('Kwh Reading'!T21-'Kwh Reading'!T20)*1000</f>
        <v>480.00000000001819</v>
      </c>
      <c r="D20" s="2">
        <f>('Kwh Reading'!F21-'Kwh Reading'!F20)*1000000</f>
        <v>2800.0000000001355</v>
      </c>
      <c r="E20" s="2">
        <f>('Kwh Reading'!C21-'Kwh Reading'!C20)*1000</f>
        <v>260.00000000001933</v>
      </c>
      <c r="F20" s="2">
        <f>('Kwh Reading'!J21-'Kwh Reading'!J20)*1000</f>
        <v>340.00000000003183</v>
      </c>
      <c r="G20" s="2">
        <f>('Kwh Reading'!K21-'Kwh Reading'!K20)*1000</f>
        <v>439.99999999999773</v>
      </c>
      <c r="H20" s="2">
        <f>('Kwh Reading'!L21-'Kwh Reading'!L20)*1000</f>
        <v>260.00000000001933</v>
      </c>
      <c r="I20" s="2">
        <f>('Kwh Reading'!R21-'Kwh Reading'!R20)*1000</f>
        <v>250</v>
      </c>
      <c r="J20" s="2">
        <f>('Kwh Reading'!S21-'Kwh Reading'!S20)*1000</f>
        <v>140.00000000000057</v>
      </c>
      <c r="K20" s="2">
        <f>('Kwh Reading'!I21-'Kwh Reading'!I20)*1000</f>
        <v>0</v>
      </c>
      <c r="L20" s="2">
        <f>('Kwh Reading'!B21-'Kwh Reading'!B20)*1000</f>
        <v>1500</v>
      </c>
      <c r="M20" s="2">
        <f>('Kwh Reading'!M21-'Kwh Reading'!M20)*1000</f>
        <v>809.99999999994543</v>
      </c>
      <c r="N20" s="2">
        <f>('Kwh Reading'!H21-'Kwh Reading'!H20)*1000</f>
        <v>460.00000000003638</v>
      </c>
      <c r="O20" s="2">
        <f>('Kwh Reading'!P21-'Kwh Reading'!P20)*1000</f>
        <v>1139.9999999999864</v>
      </c>
      <c r="P20" s="2">
        <f>('Kwh Reading'!G21-'Kwh Reading'!G20)*1000</f>
        <v>939.99999999994088</v>
      </c>
      <c r="Q20" s="2">
        <f>('Kwh Reading'!Q21-'Kwh Reading'!Q20)*1000</f>
        <v>730.00000000001819</v>
      </c>
      <c r="R20" s="2">
        <f>('Kwh Reading'!N21-'Kwh Reading'!N20)*1000</f>
        <v>819.99999999999318</v>
      </c>
      <c r="S20" s="34">
        <f>'Kwh Reading'!E21-'Kwh Reading'!E20</f>
        <v>3413.4399999994785</v>
      </c>
      <c r="T20" s="34">
        <f>'Kwh Reading'!D21-'Kwh Reading'!D20</f>
        <v>2891.8799999998882</v>
      </c>
      <c r="U20" s="27">
        <f>('Kwh Reading'!O21-'Kwh Reading'!O20)*1000</f>
        <v>259.99999999999091</v>
      </c>
      <c r="V20" s="16">
        <f t="shared" si="1"/>
        <v>6814.6800000018666</v>
      </c>
    </row>
    <row r="21" spans="1:22" ht="16.5" customHeight="1" x14ac:dyDescent="0.25">
      <c r="A21" s="3">
        <f>'Kwh Reading'!A21</f>
        <v>44395</v>
      </c>
      <c r="B21" s="26">
        <f>TOTAL!E19</f>
        <v>23820.00000000016</v>
      </c>
      <c r="C21" s="4">
        <f>('Kwh Reading'!T22-'Kwh Reading'!T21)*1000</f>
        <v>620.00000000000455</v>
      </c>
      <c r="D21" s="2">
        <f>('Kwh Reading'!F22-'Kwh Reading'!F21)*1000000</f>
        <v>2399.9999999997358</v>
      </c>
      <c r="E21" s="2">
        <f>('Kwh Reading'!C22-'Kwh Reading'!C21)*1000</f>
        <v>250</v>
      </c>
      <c r="F21" s="2">
        <f>('Kwh Reading'!J22-'Kwh Reading'!J21)*1000</f>
        <v>250</v>
      </c>
      <c r="G21" s="2">
        <f>('Kwh Reading'!K22-'Kwh Reading'!K21)*1000</f>
        <v>340.00000000003183</v>
      </c>
      <c r="H21" s="2">
        <f>('Kwh Reading'!L22-'Kwh Reading'!L21)*1000</f>
        <v>180.00000000000682</v>
      </c>
      <c r="I21" s="2">
        <f>('Kwh Reading'!R22-'Kwh Reading'!R21)*1000</f>
        <v>360.00000000001364</v>
      </c>
      <c r="J21" s="2">
        <f>('Kwh Reading'!S22-'Kwh Reading'!S21)*1000</f>
        <v>150.00000000000568</v>
      </c>
      <c r="K21" s="2">
        <f>('Kwh Reading'!I22-'Kwh Reading'!I21)*1000</f>
        <v>680.00000000000682</v>
      </c>
      <c r="L21" s="2">
        <f>('Kwh Reading'!B22-'Kwh Reading'!B21)*1000</f>
        <v>1299.9999999999545</v>
      </c>
      <c r="M21" s="2">
        <f>('Kwh Reading'!M22-'Kwh Reading'!M21)*1000</f>
        <v>780.0000000000864</v>
      </c>
      <c r="N21" s="2">
        <f>('Kwh Reading'!H22-'Kwh Reading'!H21)*1000</f>
        <v>490.00000000000909</v>
      </c>
      <c r="O21" s="2">
        <f>('Kwh Reading'!P22-'Kwh Reading'!P21)*1000</f>
        <v>1149.9999999999773</v>
      </c>
      <c r="P21" s="2">
        <f>('Kwh Reading'!G22-'Kwh Reading'!G21)*1000</f>
        <v>950.00000000004547</v>
      </c>
      <c r="Q21" s="2">
        <f>('Kwh Reading'!Q22-'Kwh Reading'!Q21)*1000</f>
        <v>759.99999999999091</v>
      </c>
      <c r="R21" s="2">
        <f>('Kwh Reading'!N22-'Kwh Reading'!N21)*1000</f>
        <v>719.99999999997044</v>
      </c>
      <c r="S21" s="34">
        <f>'Kwh Reading'!E22-'Kwh Reading'!E21</f>
        <v>3580</v>
      </c>
      <c r="T21" s="34">
        <f>'Kwh Reading'!D22-'Kwh Reading'!D21</f>
        <v>2548.3499999996275</v>
      </c>
      <c r="U21" s="27">
        <f>('Kwh Reading'!O22-'Kwh Reading'!O21)*1000</f>
        <v>240.00000000000909</v>
      </c>
      <c r="V21" s="16">
        <f t="shared" si="1"/>
        <v>6071.6500000006854</v>
      </c>
    </row>
    <row r="22" spans="1:22" x14ac:dyDescent="0.25">
      <c r="A22" s="3">
        <f>'Kwh Reading'!A22</f>
        <v>44396</v>
      </c>
      <c r="B22" s="26">
        <f>TOTAL!E20</f>
        <v>23509.999999998628</v>
      </c>
      <c r="C22" s="4">
        <f>('Kwh Reading'!T23-'Kwh Reading'!T22)*1000</f>
        <v>509.99999999999091</v>
      </c>
      <c r="D22" s="2">
        <f>('Kwh Reading'!F23-'Kwh Reading'!F22)*1000000</f>
        <v>2299.9999999999686</v>
      </c>
      <c r="E22" s="2">
        <f>('Kwh Reading'!C23-'Kwh Reading'!C22)*1000</f>
        <v>209.99999999997954</v>
      </c>
      <c r="F22" s="2">
        <f>('Kwh Reading'!J23-'Kwh Reading'!J22)*1000</f>
        <v>209.99999999997954</v>
      </c>
      <c r="G22" s="2">
        <f>('Kwh Reading'!K23-'Kwh Reading'!K22)*1000</f>
        <v>250</v>
      </c>
      <c r="H22" s="2">
        <f>('Kwh Reading'!L23-'Kwh Reading'!L22)*1000</f>
        <v>179.9999999999784</v>
      </c>
      <c r="I22" s="2">
        <f>('Kwh Reading'!R23-'Kwh Reading'!R22)*1000</f>
        <v>269.99999999998181</v>
      </c>
      <c r="J22" s="2">
        <f>('Kwh Reading'!S23-'Kwh Reading'!S22)*1000</f>
        <v>99.999999999994316</v>
      </c>
      <c r="K22" s="2">
        <f>('Kwh Reading'!I23-'Kwh Reading'!I22)*1000</f>
        <v>310.00000000000227</v>
      </c>
      <c r="L22" s="2">
        <f>('Kwh Reading'!B23-'Kwh Reading'!B22)*1000</f>
        <v>1399.9999999999773</v>
      </c>
      <c r="M22" s="2">
        <f>('Kwh Reading'!M23-'Kwh Reading'!M22)*1000</f>
        <v>809.99999999994543</v>
      </c>
      <c r="N22" s="2">
        <f>('Kwh Reading'!H23-'Kwh Reading'!H22)*1000</f>
        <v>449.99999999993179</v>
      </c>
      <c r="O22" s="2">
        <f>('Kwh Reading'!P23-'Kwh Reading'!P22)*1000</f>
        <v>1110.0000000000136</v>
      </c>
      <c r="P22" s="2">
        <f>('Kwh Reading'!G23-'Kwh Reading'!G22)*1000</f>
        <v>969.9999999999136</v>
      </c>
      <c r="Q22" s="2">
        <f>('Kwh Reading'!Q23-'Kwh Reading'!Q22)*1000</f>
        <v>800.00000000001137</v>
      </c>
      <c r="R22" s="2">
        <f>('Kwh Reading'!N23-'Kwh Reading'!N22)*1000</f>
        <v>710.00000000003638</v>
      </c>
      <c r="S22" s="34">
        <f>'Kwh Reading'!E23-'Kwh Reading'!E22</f>
        <v>3320.5300000002608</v>
      </c>
      <c r="T22" s="34">
        <f>'Kwh Reading'!D23-'Kwh Reading'!D22</f>
        <v>2561.6200000001118</v>
      </c>
      <c r="U22" s="27">
        <f>('Kwh Reading'!O23-'Kwh Reading'!O22)*1000</f>
        <v>229.99999999998977</v>
      </c>
      <c r="V22" s="16">
        <f t="shared" si="1"/>
        <v>6807.8499999985615</v>
      </c>
    </row>
    <row r="23" spans="1:22" x14ac:dyDescent="0.25">
      <c r="A23" s="3">
        <f>'Kwh Reading'!A23</f>
        <v>44397</v>
      </c>
      <c r="B23" s="26">
        <f>TOTAL!E21</f>
        <v>25200.000000000728</v>
      </c>
      <c r="C23" s="4">
        <f>('Kwh Reading'!T24-'Kwh Reading'!T23)*1000</f>
        <v>439.99999999999773</v>
      </c>
      <c r="D23" s="2">
        <f>('Kwh Reading'!F24-'Kwh Reading'!F23)*1000000</f>
        <v>2699.9999999999245</v>
      </c>
      <c r="E23" s="2">
        <f>('Kwh Reading'!C24-'Kwh Reading'!C23)*1000</f>
        <v>280.00000000000114</v>
      </c>
      <c r="F23" s="2">
        <f>('Kwh Reading'!J24-'Kwh Reading'!J23)*1000</f>
        <v>399.99999999997726</v>
      </c>
      <c r="G23" s="2">
        <f>('Kwh Reading'!K24-'Kwh Reading'!K23)*1000</f>
        <v>389.99999999998636</v>
      </c>
      <c r="H23" s="2">
        <f>('Kwh Reading'!L24-'Kwh Reading'!L23)*1000</f>
        <v>250</v>
      </c>
      <c r="I23" s="2">
        <f>('Kwh Reading'!R24-'Kwh Reading'!R23)*1000</f>
        <v>310.00000000000227</v>
      </c>
      <c r="J23" s="2">
        <f>('Kwh Reading'!S24-'Kwh Reading'!S23)*1000</f>
        <v>130.00000000000966</v>
      </c>
      <c r="K23" s="2">
        <f>('Kwh Reading'!I24-'Kwh Reading'!I23)*1000</f>
        <v>329.99999999998408</v>
      </c>
      <c r="L23" s="2">
        <f>('Kwh Reading'!B24-'Kwh Reading'!B23)*1000</f>
        <v>1500</v>
      </c>
      <c r="M23" s="2">
        <f>('Kwh Reading'!M24-'Kwh Reading'!M23)*1000</f>
        <v>909.99999999996817</v>
      </c>
      <c r="N23" s="2">
        <f>('Kwh Reading'!H24-'Kwh Reading'!H23)*1000</f>
        <v>520.0000000000955</v>
      </c>
      <c r="O23" s="2">
        <f>('Kwh Reading'!P24-'Kwh Reading'!P23)*1000</f>
        <v>1169.9999999999591</v>
      </c>
      <c r="P23" s="2">
        <f>('Kwh Reading'!G24-'Kwh Reading'!G23)*1000</f>
        <v>1040.0000000000773</v>
      </c>
      <c r="Q23" s="2">
        <f>('Kwh Reading'!Q24-'Kwh Reading'!Q23)*1000</f>
        <v>819.99999999999318</v>
      </c>
      <c r="R23" s="2">
        <f>('Kwh Reading'!N24-'Kwh Reading'!N23)*1000</f>
        <v>759.99999999999091</v>
      </c>
      <c r="S23" s="34">
        <f>'Kwh Reading'!E24-'Kwh Reading'!E23</f>
        <v>3858.109999999404</v>
      </c>
      <c r="T23" s="34">
        <f>'Kwh Reading'!D24-'Kwh Reading'!D23</f>
        <v>2646.9500000001863</v>
      </c>
      <c r="U23" s="27">
        <f>('Kwh Reading'!O24-'Kwh Reading'!O23)*1000</f>
        <v>240.00000000000909</v>
      </c>
      <c r="V23" s="16">
        <f t="shared" si="1"/>
        <v>6504.9400000011665</v>
      </c>
    </row>
    <row r="24" spans="1:22" x14ac:dyDescent="0.25">
      <c r="A24" s="3">
        <f>'Kwh Reading'!A24</f>
        <v>44398</v>
      </c>
      <c r="B24" s="26">
        <f>TOTAL!E22</f>
        <v>0</v>
      </c>
      <c r="C24" s="4">
        <f>('Kwh Reading'!T25-'Kwh Reading'!T24)*1000</f>
        <v>-429890</v>
      </c>
      <c r="D24" s="2">
        <f>('Kwh Reading'!F25-'Kwh Reading'!F24)*1000000</f>
        <v>-2429000</v>
      </c>
      <c r="E24" s="2">
        <f>('Kwh Reading'!C25-'Kwh Reading'!C24)*1000</f>
        <v>-234290</v>
      </c>
      <c r="F24" s="2">
        <f>('Kwh Reading'!J25-'Kwh Reading'!J24)*1000</f>
        <v>-320840</v>
      </c>
      <c r="G24" s="2">
        <f>('Kwh Reading'!K25-'Kwh Reading'!K24)*1000</f>
        <v>-346110</v>
      </c>
      <c r="H24" s="2">
        <f>('Kwh Reading'!L25-'Kwh Reading'!L24)*1000</f>
        <v>-237790</v>
      </c>
      <c r="I24" s="2">
        <f>('Kwh Reading'!R25-'Kwh Reading'!R24)*1000</f>
        <v>-163850</v>
      </c>
      <c r="J24" s="2">
        <f>('Kwh Reading'!S25-'Kwh Reading'!S24)*1000</f>
        <v>-117590</v>
      </c>
      <c r="K24" s="2">
        <f>('Kwh Reading'!I25-'Kwh Reading'!I24)*1000</f>
        <v>-242690</v>
      </c>
      <c r="L24" s="2">
        <f>('Kwh Reading'!B25-'Kwh Reading'!B24)*1000</f>
        <v>-1008400</v>
      </c>
      <c r="M24" s="2">
        <f>('Kwh Reading'!M25-'Kwh Reading'!M24)*1000</f>
        <v>-534420</v>
      </c>
      <c r="N24" s="2">
        <f>('Kwh Reading'!H25-'Kwh Reading'!H24)*1000</f>
        <v>-631440</v>
      </c>
      <c r="O24" s="2">
        <f>('Kwh Reading'!P25-'Kwh Reading'!P24)*1000</f>
        <v>-640260</v>
      </c>
      <c r="P24" s="2">
        <f>('Kwh Reading'!G25-'Kwh Reading'!G24)*1000</f>
        <v>-763220</v>
      </c>
      <c r="Q24" s="2">
        <f>('Kwh Reading'!Q25-'Kwh Reading'!Q24)*1000</f>
        <v>-475490</v>
      </c>
      <c r="R24" s="2">
        <f>('Kwh Reading'!N25-'Kwh Reading'!N24)*1000</f>
        <v>-487560</v>
      </c>
      <c r="S24" s="2">
        <f>'Kwh Reading'!E25-'Kwh Reading'!E24</f>
        <v>-8250253.0199999996</v>
      </c>
      <c r="T24" s="2">
        <f>'Kwh Reading'!D25-'Kwh Reading'!D24</f>
        <v>-7530276.1600000001</v>
      </c>
      <c r="U24" s="27">
        <f>('Kwh Reading'!O25-'Kwh Reading'!O24)*1000</f>
        <v>-155870</v>
      </c>
      <c r="V24" s="16">
        <f t="shared" si="1"/>
        <v>24999239.18</v>
      </c>
    </row>
    <row r="25" spans="1:22" x14ac:dyDescent="0.25">
      <c r="A25" s="3">
        <f>'Kwh Reading'!A25</f>
        <v>44399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44400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44401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44402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44403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44404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44405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44406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44407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44408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463690.00000000047</v>
      </c>
      <c r="C35" s="75">
        <f t="shared" ref="C35" si="2">SUM(C4:C34)</f>
        <v>-420700</v>
      </c>
      <c r="D35" s="75">
        <f t="shared" ref="D35" si="3">SUM(D4:D34)</f>
        <v>-2380800</v>
      </c>
      <c r="E35" s="75">
        <f t="shared" ref="E35" si="4">SUM(E4:E34)</f>
        <v>-229580.00000000003</v>
      </c>
      <c r="F35" s="75">
        <f t="shared" ref="F35" si="5">SUM(F4:F34)</f>
        <v>-316460</v>
      </c>
      <c r="G35" s="75">
        <f t="shared" ref="G35:U35" si="6">SUM(G4:G34)</f>
        <v>-340800</v>
      </c>
      <c r="H35" s="75">
        <f t="shared" si="6"/>
        <v>-233900</v>
      </c>
      <c r="I35" s="75">
        <f t="shared" si="6"/>
        <v>-157730</v>
      </c>
      <c r="J35" s="75">
        <f t="shared" si="6"/>
        <v>-115160</v>
      </c>
      <c r="K35" s="75">
        <f t="shared" si="6"/>
        <v>-236040</v>
      </c>
      <c r="L35" s="75">
        <f t="shared" si="6"/>
        <v>-981180</v>
      </c>
      <c r="M35" s="75">
        <f t="shared" si="6"/>
        <v>-518450.00000000012</v>
      </c>
      <c r="N35" s="75">
        <f t="shared" si="6"/>
        <v>-622149.99999999988</v>
      </c>
      <c r="O35" s="75">
        <f t="shared" si="6"/>
        <v>-618580</v>
      </c>
      <c r="P35" s="75">
        <f t="shared" si="6"/>
        <v>-746169.99999999988</v>
      </c>
      <c r="Q35" s="75">
        <f t="shared" si="6"/>
        <v>-461070</v>
      </c>
      <c r="R35" s="75">
        <f t="shared" si="6"/>
        <v>-472620</v>
      </c>
      <c r="S35" s="75">
        <f t="shared" si="6"/>
        <v>-8184646.8899999997</v>
      </c>
      <c r="T35" s="75">
        <f t="shared" si="6"/>
        <v>-7480564.5499999998</v>
      </c>
      <c r="U35" s="75">
        <f t="shared" si="6"/>
        <v>-151380</v>
      </c>
      <c r="V35" s="75">
        <f>SUM(V4:V34)</f>
        <v>25131671.440000001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6" sqref="N2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44378</v>
      </c>
      <c r="B3" s="83">
        <f>TOTAL!E2</f>
        <v>22320.000000000167</v>
      </c>
      <c r="C3" s="1">
        <f>'Kwh Consumption'!C4</f>
        <v>509.99999999999091</v>
      </c>
      <c r="D3" s="1">
        <f>'Kwh Consumption'!D4</f>
        <v>2400.0000000001796</v>
      </c>
      <c r="E3" s="1">
        <f>'Kwh Consumption'!E4</f>
        <v>209.99999999997954</v>
      </c>
      <c r="F3" s="1">
        <f>('Kwh Consumption'!F4+'Kwh Consumption'!G4+'Kwh Consumption'!H4)</f>
        <v>610.00000000001364</v>
      </c>
      <c r="G3" s="16">
        <f>('Kwh Consumption'!I4+'Kwh Consumption'!J4)</f>
        <v>430.00000000000682</v>
      </c>
      <c r="H3" s="1">
        <f>('Kwh Consumption'!K4+'Kwh Consumption'!L4)</f>
        <v>1690.0000000000261</v>
      </c>
      <c r="I3" s="1">
        <f>('Kwh Consumption'!M4+'Kwh Consumption'!N4+'Kwh Consumption'!O4+'Kwh Consumption'!P4+'Kwh Consumption'!Q4+'Kwh Consumption'!R4)</f>
        <v>5270.0000000000382</v>
      </c>
      <c r="J3" s="1">
        <f>('Kwh Consumption'!S4+'Kwh Consumption'!T4)</f>
        <v>5502.8300000010058</v>
      </c>
      <c r="K3" s="1">
        <f>'Kwh Consumption'!U4</f>
        <v>230.00000000001819</v>
      </c>
      <c r="L3" s="32">
        <f t="shared" ref="L3:L33" si="0">B3-C3-D3-E3-F3-G3-H3-I3-J3-K3</f>
        <v>5467.1699999989087</v>
      </c>
    </row>
    <row r="4" spans="1:12" x14ac:dyDescent="0.25">
      <c r="A4" s="14">
        <f>'Kwh Reading'!A5</f>
        <v>44379</v>
      </c>
      <c r="B4" s="83">
        <f>TOTAL!E3</f>
        <v>22910.000000000306</v>
      </c>
      <c r="C4" s="1">
        <f>'Kwh Consumption'!C5</f>
        <v>270.00000000003865</v>
      </c>
      <c r="D4" s="1">
        <f>'Kwh Consumption'!D5</f>
        <v>2400.0000000001796</v>
      </c>
      <c r="E4" s="1">
        <f>'Kwh Consumption'!E5</f>
        <v>240.00000000000909</v>
      </c>
      <c r="F4" s="1">
        <f>('Kwh Consumption'!F5+'Kwh Consumption'!G5+'Kwh Consumption'!H5)</f>
        <v>560.0000000000307</v>
      </c>
      <c r="G4" s="16">
        <f>('Kwh Consumption'!I5+'Kwh Consumption'!J5)</f>
        <v>420.00000000000171</v>
      </c>
      <c r="H4" s="1">
        <f>('Kwh Consumption'!K5+'Kwh Consumption'!L5)</f>
        <v>1640.0000000000432</v>
      </c>
      <c r="I4" s="1">
        <f>('Kwh Consumption'!M5+'Kwh Consumption'!N5+'Kwh Consumption'!O5+'Kwh Consumption'!P5+'Kwh Consumption'!Q5+'Kwh Consumption'!R5)</f>
        <v>4589.9999999999181</v>
      </c>
      <c r="J4" s="1">
        <f>('Kwh Consumption'!S5+'Kwh Consumption'!T5)</f>
        <v>5638.0599999995902</v>
      </c>
      <c r="K4" s="1">
        <f>'Kwh Consumption'!U5</f>
        <v>229.99999999998977</v>
      </c>
      <c r="L4" s="32">
        <f t="shared" si="0"/>
        <v>6921.9400000005089</v>
      </c>
    </row>
    <row r="5" spans="1:12" x14ac:dyDescent="0.25">
      <c r="A5" s="14">
        <f>'Kwh Reading'!A6</f>
        <v>44380</v>
      </c>
      <c r="B5" s="83">
        <f>TOTAL!E4</f>
        <v>23560.000000001084</v>
      </c>
      <c r="C5" s="1">
        <f>'Kwh Consumption'!C6</f>
        <v>459.99999999997954</v>
      </c>
      <c r="D5" s="1">
        <f>'Kwh Consumption'!D6</f>
        <v>2399.9999999997358</v>
      </c>
      <c r="E5" s="1">
        <f>'Kwh Consumption'!E6</f>
        <v>199.99999999998863</v>
      </c>
      <c r="F5" s="1">
        <f>('Kwh Consumption'!F6+'Kwh Consumption'!G6+'Kwh Consumption'!H6)</f>
        <v>629.99999999999545</v>
      </c>
      <c r="G5" s="16">
        <f>('Kwh Consumption'!I6+'Kwh Consumption'!J6)</f>
        <v>280.00000000000114</v>
      </c>
      <c r="H5" s="1">
        <f>('Kwh Consumption'!K6+'Kwh Consumption'!L6)</f>
        <v>1690.0000000000261</v>
      </c>
      <c r="I5" s="1">
        <f>('Kwh Consumption'!M6+'Kwh Consumption'!N6+'Kwh Consumption'!O6+'Kwh Consumption'!P6+'Kwh Consumption'!Q6+'Kwh Consumption'!R6)</f>
        <v>4649.9999999999773</v>
      </c>
      <c r="J5" s="1">
        <f>('Kwh Consumption'!S6+'Kwh Consumption'!T6)</f>
        <v>6150.5599999995902</v>
      </c>
      <c r="K5" s="1">
        <f>'Kwh Consumption'!U6</f>
        <v>229.99999999998977</v>
      </c>
      <c r="L5" s="32">
        <f t="shared" si="0"/>
        <v>6869.4400000018022</v>
      </c>
    </row>
    <row r="6" spans="1:12" x14ac:dyDescent="0.25">
      <c r="A6" s="14">
        <f>'Kwh Reading'!A7</f>
        <v>44381</v>
      </c>
      <c r="B6" s="83">
        <f>TOTAL!E5</f>
        <v>23199.999999998683</v>
      </c>
      <c r="C6" s="1">
        <f>'Kwh Consumption'!C7</f>
        <v>449.99999999998863</v>
      </c>
      <c r="D6" s="1">
        <f>'Kwh Consumption'!D7</f>
        <v>2400.0000000001796</v>
      </c>
      <c r="E6" s="1">
        <f>'Kwh Consumption'!E7</f>
        <v>230.00000000001819</v>
      </c>
      <c r="F6" s="1">
        <f>('Kwh Consumption'!F7+'Kwh Consumption'!G7+'Kwh Consumption'!H7)</f>
        <v>699.99999999998863</v>
      </c>
      <c r="G6" s="16">
        <f>('Kwh Consumption'!I7+'Kwh Consumption'!J7)</f>
        <v>589.9999999999892</v>
      </c>
      <c r="H6" s="1">
        <f>('Kwh Consumption'!K7+'Kwh Consumption'!L7)</f>
        <v>1609.9999999999568</v>
      </c>
      <c r="I6" s="1">
        <f>('Kwh Consumption'!M7+'Kwh Consumption'!N7+'Kwh Consumption'!O7+'Kwh Consumption'!P7+'Kwh Consumption'!Q7+'Kwh Consumption'!R7)</f>
        <v>4380.0000000001091</v>
      </c>
      <c r="J6" s="1">
        <f>('Kwh Consumption'!S7+'Kwh Consumption'!T7)</f>
        <v>5571.0599999995902</v>
      </c>
      <c r="K6" s="1">
        <f>'Kwh Consumption'!U7</f>
        <v>189.99999999999773</v>
      </c>
      <c r="L6" s="32">
        <f t="shared" si="0"/>
        <v>7078.9399999988655</v>
      </c>
    </row>
    <row r="7" spans="1:12" x14ac:dyDescent="0.25">
      <c r="A7" s="14">
        <f>'Kwh Reading'!A8</f>
        <v>44382</v>
      </c>
      <c r="B7" s="83">
        <f>TOTAL!E6</f>
        <v>22669.999999998934</v>
      </c>
      <c r="C7" s="1">
        <f>'Kwh Consumption'!C8</f>
        <v>480.00000000001819</v>
      </c>
      <c r="D7" s="1">
        <f>'Kwh Consumption'!D8</f>
        <v>2199.9999999997576</v>
      </c>
      <c r="E7" s="1">
        <f>'Kwh Consumption'!E8</f>
        <v>209.99999999997954</v>
      </c>
      <c r="F7" s="1">
        <f>('Kwh Consumption'!F8+'Kwh Consumption'!G8+'Kwh Consumption'!H8)</f>
        <v>649.99999999997726</v>
      </c>
      <c r="G7" s="16">
        <f>('Kwh Consumption'!I8+'Kwh Consumption'!J8)</f>
        <v>430.00000000000682</v>
      </c>
      <c r="H7" s="1">
        <f>('Kwh Consumption'!K8+'Kwh Consumption'!L8)</f>
        <v>1639.9999999999579</v>
      </c>
      <c r="I7" s="1">
        <f>('Kwh Consumption'!M8+'Kwh Consumption'!N8+'Kwh Consumption'!O8+'Kwh Consumption'!P8+'Kwh Consumption'!Q8+'Kwh Consumption'!R8)</f>
        <v>4769.9999999998108</v>
      </c>
      <c r="J7" s="1">
        <f>('Kwh Consumption'!S8+'Kwh Consumption'!T8)</f>
        <v>6059.8700000001118</v>
      </c>
      <c r="K7" s="1">
        <f>'Kwh Consumption'!U8</f>
        <v>210.00000000000796</v>
      </c>
      <c r="L7" s="32">
        <f t="shared" si="0"/>
        <v>6020.1299999993089</v>
      </c>
    </row>
    <row r="8" spans="1:12" x14ac:dyDescent="0.25">
      <c r="A8" s="14">
        <f>'Kwh Reading'!A9</f>
        <v>44383</v>
      </c>
      <c r="B8" s="83">
        <f>TOTAL!E7</f>
        <v>22710.000000002081</v>
      </c>
      <c r="C8" s="1">
        <f>'Kwh Consumption'!C9</f>
        <v>449.99999999998863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579.99999999998408</v>
      </c>
      <c r="G8" s="16">
        <f>('Kwh Consumption'!I9+'Kwh Consumption'!J9)</f>
        <v>440.00000000002615</v>
      </c>
      <c r="H8" s="1">
        <f>('Kwh Consumption'!K9+'Kwh Consumption'!L9)</f>
        <v>1680.0000000000068</v>
      </c>
      <c r="I8" s="1">
        <f>('Kwh Consumption'!M9+'Kwh Consumption'!N9+'Kwh Consumption'!O9+'Kwh Consumption'!P9+'Kwh Consumption'!Q9+'Kwh Consumption'!R9)</f>
        <v>4560.0000000001728</v>
      </c>
      <c r="J8" s="1">
        <f>('Kwh Consumption'!S9+'Kwh Consumption'!T9)</f>
        <v>5560.2200000006706</v>
      </c>
      <c r="K8" s="1">
        <f>'Kwh Consumption'!U9</f>
        <v>189.99999999999773</v>
      </c>
      <c r="L8" s="32">
        <f t="shared" si="0"/>
        <v>6599.7800000010538</v>
      </c>
    </row>
    <row r="9" spans="1:12" x14ac:dyDescent="0.25">
      <c r="A9" s="14">
        <f>'Kwh Reading'!A10</f>
        <v>44384</v>
      </c>
      <c r="B9" s="83">
        <f>TOTAL!E8</f>
        <v>23189.99999999869</v>
      </c>
      <c r="C9" s="1">
        <f>'Kwh Consumption'!C10</f>
        <v>470.00000000002728</v>
      </c>
      <c r="D9" s="1">
        <f>'Kwh Consumption'!D10</f>
        <v>2299.9999999999686</v>
      </c>
      <c r="E9" s="1">
        <f>'Kwh Consumption'!E10</f>
        <v>219.99999999999886</v>
      </c>
      <c r="F9" s="1">
        <f>('Kwh Consumption'!F10+'Kwh Consumption'!G10+'Kwh Consumption'!H10)</f>
        <v>650.00000000003411</v>
      </c>
      <c r="G9" s="16">
        <f>('Kwh Consumption'!I10+'Kwh Consumption'!J10)</f>
        <v>449.99999999997442</v>
      </c>
      <c r="H9" s="1">
        <f>('Kwh Consumption'!K10+'Kwh Consumption'!L10)</f>
        <v>1720.0000000000273</v>
      </c>
      <c r="I9" s="1">
        <f>('Kwh Consumption'!M10+'Kwh Consumption'!N10+'Kwh Consumption'!O10+'Kwh Consumption'!P10+'Kwh Consumption'!Q10+'Kwh Consumption'!R10)</f>
        <v>4599.9999999997954</v>
      </c>
      <c r="J9" s="1">
        <f>('Kwh Consumption'!S10+'Kwh Consumption'!T10)</f>
        <v>5955.2900000000373</v>
      </c>
      <c r="K9" s="1">
        <f>'Kwh Consumption'!U10</f>
        <v>200.00000000001705</v>
      </c>
      <c r="L9" s="32">
        <f t="shared" si="0"/>
        <v>6624.7099999988104</v>
      </c>
    </row>
    <row r="10" spans="1:12" x14ac:dyDescent="0.25">
      <c r="A10" s="14">
        <f>'Kwh Reading'!A11</f>
        <v>44385</v>
      </c>
      <c r="B10" s="83">
        <f>TOTAL!E9</f>
        <v>22890.000000000327</v>
      </c>
      <c r="C10" s="1">
        <f>'Kwh Consumption'!C11</f>
        <v>469.99999999997044</v>
      </c>
      <c r="D10" s="1">
        <f>'Kwh Consumption'!D11</f>
        <v>2299.9999999999686</v>
      </c>
      <c r="E10" s="1">
        <f>'Kwh Consumption'!E11</f>
        <v>130.00000000002387</v>
      </c>
      <c r="F10" s="1">
        <f>('Kwh Consumption'!F11+'Kwh Consumption'!G11+'Kwh Consumption'!H11)</f>
        <v>609.9999999999568</v>
      </c>
      <c r="G10" s="16">
        <f>('Kwh Consumption'!I11+'Kwh Consumption'!J11)</f>
        <v>420.00000000001592</v>
      </c>
      <c r="H10" s="1">
        <f>('Kwh Consumption'!K11+'Kwh Consumption'!L11)</f>
        <v>1649.9999999999488</v>
      </c>
      <c r="I10" s="1">
        <f>('Kwh Consumption'!M11+'Kwh Consumption'!N11+'Kwh Consumption'!O11+'Kwh Consumption'!P11+'Kwh Consumption'!Q11+'Kwh Consumption'!R11)</f>
        <v>4570.0000000001637</v>
      </c>
      <c r="J10" s="1">
        <f>('Kwh Consumption'!S11+'Kwh Consumption'!T11)</f>
        <v>5896.6299999998882</v>
      </c>
      <c r="K10" s="1">
        <f>'Kwh Consumption'!U11</f>
        <v>209.99999999997954</v>
      </c>
      <c r="L10" s="32">
        <f t="shared" si="0"/>
        <v>6633.3700000004119</v>
      </c>
    </row>
    <row r="11" spans="1:12" x14ac:dyDescent="0.25">
      <c r="A11" s="14">
        <f>'Kwh Reading'!A12</f>
        <v>44386</v>
      </c>
      <c r="B11" s="83">
        <f>TOTAL!E10</f>
        <v>19059.99999999904</v>
      </c>
      <c r="C11" s="1">
        <f>'Kwh Consumption'!C12</f>
        <v>269.99999999998181</v>
      </c>
      <c r="D11" s="1">
        <f>'Kwh Consumption'!D12</f>
        <v>2299.9999999999686</v>
      </c>
      <c r="E11" s="1">
        <f>'Kwh Consumption'!E12</f>
        <v>349.99999999999432</v>
      </c>
      <c r="F11" s="1">
        <f>('Kwh Consumption'!F12+'Kwh Consumption'!G12+'Kwh Consumption'!H12)</f>
        <v>680.00000000003524</v>
      </c>
      <c r="G11" s="16">
        <f>('Kwh Consumption'!I12+'Kwh Consumption'!J12)</f>
        <v>399.99999999999147</v>
      </c>
      <c r="H11" s="1">
        <f>('Kwh Consumption'!K12+'Kwh Consumption'!L12)</f>
        <v>1430.0000000001205</v>
      </c>
      <c r="I11" s="1">
        <f>('Kwh Consumption'!M12+'Kwh Consumption'!N12+'Kwh Consumption'!O12+'Kwh Consumption'!P12+'Kwh Consumption'!Q12+'Kwh Consumption'!R12)</f>
        <v>3500</v>
      </c>
      <c r="J11" s="1">
        <f>('Kwh Consumption'!S12+'Kwh Consumption'!T12)</f>
        <v>4572.140000000596</v>
      </c>
      <c r="K11" s="1">
        <f>'Kwh Consumption'!U12</f>
        <v>219.99999999999886</v>
      </c>
      <c r="L11" s="32">
        <f t="shared" si="0"/>
        <v>5337.8599999983553</v>
      </c>
    </row>
    <row r="12" spans="1:12" x14ac:dyDescent="0.25">
      <c r="A12" s="14">
        <f>'Kwh Reading'!A13</f>
        <v>44387</v>
      </c>
      <c r="B12" s="83">
        <f>TOTAL!E11</f>
        <v>21280.000000001113</v>
      </c>
      <c r="C12" s="1">
        <f>'Kwh Consumption'!C13</f>
        <v>440.00000000005457</v>
      </c>
      <c r="D12" s="1">
        <f>'Kwh Consumption'!D13</f>
        <v>2299.9999999999686</v>
      </c>
      <c r="E12" s="1">
        <f>'Kwh Consumption'!E13</f>
        <v>219.99999999999886</v>
      </c>
      <c r="F12" s="1">
        <f>('Kwh Consumption'!F13+'Kwh Consumption'!G13+'Kwh Consumption'!H13)</f>
        <v>609.99999999998522</v>
      </c>
      <c r="G12" s="16">
        <f>('Kwh Consumption'!I13+'Kwh Consumption'!J13)</f>
        <v>430.00000000000682</v>
      </c>
      <c r="H12" s="1">
        <f>('Kwh Consumption'!K13+'Kwh Consumption'!L13)</f>
        <v>1549.9999999999829</v>
      </c>
      <c r="I12" s="1">
        <f>('Kwh Consumption'!M13+'Kwh Consumption'!N13+'Kwh Consumption'!O13+'Kwh Consumption'!P13+'Kwh Consumption'!Q13+'Kwh Consumption'!R13)</f>
        <v>4200.0000000000455</v>
      </c>
      <c r="J12" s="1">
        <f>('Kwh Consumption'!S13+'Kwh Consumption'!T13)</f>
        <v>5159.4399999994785</v>
      </c>
      <c r="K12" s="1">
        <f>'Kwh Consumption'!U13</f>
        <v>240.00000000000909</v>
      </c>
      <c r="L12" s="32">
        <f t="shared" si="0"/>
        <v>6130.560000001582</v>
      </c>
    </row>
    <row r="13" spans="1:12" x14ac:dyDescent="0.25">
      <c r="A13" s="14">
        <f>'Kwh Reading'!A14</f>
        <v>44388</v>
      </c>
      <c r="B13" s="83">
        <f>TOTAL!E12</f>
        <v>23830.000000000378</v>
      </c>
      <c r="C13" s="1">
        <f>'Kwh Consumption'!C14</f>
        <v>459.99999999997954</v>
      </c>
      <c r="D13" s="1">
        <f>'Kwh Consumption'!D14</f>
        <v>2499.9999999999468</v>
      </c>
      <c r="E13" s="1">
        <f>'Kwh Consumption'!E14</f>
        <v>219.99999999999886</v>
      </c>
      <c r="F13" s="1">
        <f>('Kwh Consumption'!F14+'Kwh Consumption'!G14+'Kwh Consumption'!H14)</f>
        <v>639.99999999998636</v>
      </c>
      <c r="G13" s="16">
        <f>('Kwh Consumption'!I14+'Kwh Consumption'!J14)</f>
        <v>419.99999999997328</v>
      </c>
      <c r="H13" s="1">
        <f>('Kwh Consumption'!K14+'Kwh Consumption'!L14)</f>
        <v>1699.9999999999886</v>
      </c>
      <c r="I13" s="1">
        <f>('Kwh Consumption'!M14+'Kwh Consumption'!N14+'Kwh Consumption'!O14+'Kwh Consumption'!P14+'Kwh Consumption'!Q14+'Kwh Consumption'!R14)</f>
        <v>4780.0000000000291</v>
      </c>
      <c r="J13" s="1">
        <f>('Kwh Consumption'!S14+'Kwh Consumption'!T14)</f>
        <v>5775.1100000003353</v>
      </c>
      <c r="K13" s="1">
        <f>'Kwh Consumption'!U14</f>
        <v>229.99999999998977</v>
      </c>
      <c r="L13" s="32">
        <f t="shared" si="0"/>
        <v>7104.8900000001513</v>
      </c>
    </row>
    <row r="14" spans="1:12" x14ac:dyDescent="0.25">
      <c r="A14" s="14">
        <f>'Kwh Reading'!A15</f>
        <v>44389</v>
      </c>
      <c r="B14" s="83">
        <f>TOTAL!E13</f>
        <v>22739.999999998417</v>
      </c>
      <c r="C14" s="1">
        <f>'Kwh Consumption'!C15</f>
        <v>490.00000000000909</v>
      </c>
      <c r="D14" s="1">
        <f>'Kwh Consumption'!D15</f>
        <v>2200.0000000002019</v>
      </c>
      <c r="E14" s="1">
        <f>'Kwh Consumption'!E15</f>
        <v>250</v>
      </c>
      <c r="F14" s="1">
        <f>('Kwh Consumption'!F15+'Kwh Consumption'!G15+'Kwh Consumption'!H15)</f>
        <v>580.00000000001251</v>
      </c>
      <c r="G14" s="16">
        <f>('Kwh Consumption'!I15+'Kwh Consumption'!J15)</f>
        <v>430.00000000000682</v>
      </c>
      <c r="H14" s="1">
        <f>('Kwh Consumption'!K15+'Kwh Consumption'!L15)</f>
        <v>1459.9999999999795</v>
      </c>
      <c r="I14" s="1">
        <f>('Kwh Consumption'!M15+'Kwh Consumption'!N15+'Kwh Consumption'!O15+'Kwh Consumption'!P15+'Kwh Consumption'!Q15+'Kwh Consumption'!R15)</f>
        <v>4799.9999999999545</v>
      </c>
      <c r="J14" s="1">
        <f>('Kwh Consumption'!S15+'Kwh Consumption'!T15)</f>
        <v>5592.0999999996275</v>
      </c>
      <c r="K14" s="1">
        <f>'Kwh Consumption'!U15</f>
        <v>270.00000000001023</v>
      </c>
      <c r="L14" s="32">
        <f t="shared" si="0"/>
        <v>6667.8999999986145</v>
      </c>
    </row>
    <row r="15" spans="1:12" x14ac:dyDescent="0.25">
      <c r="A15" s="14">
        <f>'Kwh Reading'!A16</f>
        <v>44390</v>
      </c>
      <c r="B15" s="83">
        <f>TOTAL!E14</f>
        <v>22780.000000002023</v>
      </c>
      <c r="C15" s="1">
        <f>'Kwh Consumption'!C16</f>
        <v>469.99999999997044</v>
      </c>
      <c r="D15" s="1">
        <f>'Kwh Consumption'!D16</f>
        <v>2299.9999999999686</v>
      </c>
      <c r="E15" s="1">
        <f>'Kwh Consumption'!E16</f>
        <v>250</v>
      </c>
      <c r="F15" s="1">
        <f>('Kwh Consumption'!F16+'Kwh Consumption'!G16+'Kwh Consumption'!H16)</f>
        <v>570.0000000000216</v>
      </c>
      <c r="G15" s="16">
        <f>('Kwh Consumption'!I16+'Kwh Consumption'!J16)</f>
        <v>430.00000000000682</v>
      </c>
      <c r="H15" s="1">
        <f>('Kwh Consumption'!K16+'Kwh Consumption'!L16)</f>
        <v>1860.0000000000136</v>
      </c>
      <c r="I15" s="1">
        <f>('Kwh Consumption'!M16+'Kwh Consumption'!N16+'Kwh Consumption'!O16+'Kwh Consumption'!P16+'Kwh Consumption'!Q16+'Kwh Consumption'!R16)</f>
        <v>4839.9999999999181</v>
      </c>
      <c r="J15" s="1">
        <f>('Kwh Consumption'!S16+'Kwh Consumption'!T16)</f>
        <v>5965.5699999993667</v>
      </c>
      <c r="K15" s="1">
        <f>'Kwh Consumption'!U16</f>
        <v>229.99999999998977</v>
      </c>
      <c r="L15" s="32">
        <f t="shared" si="0"/>
        <v>5864.4300000027661</v>
      </c>
    </row>
    <row r="16" spans="1:12" x14ac:dyDescent="0.25">
      <c r="A16" s="14">
        <f>'Kwh Reading'!A17</f>
        <v>44391</v>
      </c>
      <c r="B16" s="83">
        <f>TOTAL!E15</f>
        <v>22879.9999999992</v>
      </c>
      <c r="C16" s="1">
        <f>'Kwh Consumption'!C17</f>
        <v>470.00000000002728</v>
      </c>
      <c r="D16" s="1">
        <f>'Kwh Consumption'!D17</f>
        <v>2499.9999999999468</v>
      </c>
      <c r="E16" s="1">
        <f>'Kwh Consumption'!E17</f>
        <v>199.99999999998863</v>
      </c>
      <c r="F16" s="1">
        <f>('Kwh Consumption'!F17+'Kwh Consumption'!G17+'Kwh Consumption'!H17)</f>
        <v>509.99999999996248</v>
      </c>
      <c r="G16" s="16">
        <f>('Kwh Consumption'!I17+'Kwh Consumption'!J17)</f>
        <v>400.0000000000199</v>
      </c>
      <c r="H16" s="1">
        <f>('Kwh Consumption'!K17+'Kwh Consumption'!L17)</f>
        <v>1949.9999999999886</v>
      </c>
      <c r="I16" s="1">
        <f>('Kwh Consumption'!M17+'Kwh Consumption'!N17+'Kwh Consumption'!O17+'Kwh Consumption'!P17+'Kwh Consumption'!Q17+'Kwh Consumption'!R17)</f>
        <v>4399.9999999999773</v>
      </c>
      <c r="J16" s="1">
        <f>('Kwh Consumption'!S17+'Kwh Consumption'!T17)</f>
        <v>5565.8300000010058</v>
      </c>
      <c r="K16" s="1">
        <f>'Kwh Consumption'!U17</f>
        <v>210.00000000000796</v>
      </c>
      <c r="L16" s="32">
        <f t="shared" si="0"/>
        <v>6674.1699999982729</v>
      </c>
    </row>
    <row r="17" spans="1:12" x14ac:dyDescent="0.25">
      <c r="A17" s="14">
        <f>'Kwh Reading'!A18</f>
        <v>44392</v>
      </c>
      <c r="B17" s="83">
        <f>TOTAL!E16</f>
        <v>23499.999999999091</v>
      </c>
      <c r="C17" s="1">
        <f>'Kwh Consumption'!C18</f>
        <v>479.99999999996135</v>
      </c>
      <c r="D17" s="1">
        <f>'Kwh Consumption'!D18</f>
        <v>2600.0000000001578</v>
      </c>
      <c r="E17" s="1">
        <f>'Kwh Consumption'!E18</f>
        <v>270.00000000001023</v>
      </c>
      <c r="F17" s="1">
        <f>('Kwh Consumption'!F18+'Kwh Consumption'!G18+'Kwh Consumption'!H18)</f>
        <v>740.00000000000909</v>
      </c>
      <c r="G17" s="16">
        <f>('Kwh Consumption'!I18+'Kwh Consumption'!J18)</f>
        <v>379.99999999999545</v>
      </c>
      <c r="H17" s="1">
        <f>('Kwh Consumption'!K18+'Kwh Consumption'!L18)</f>
        <v>639.99999999998636</v>
      </c>
      <c r="I17" s="1">
        <f>('Kwh Consumption'!M18+'Kwh Consumption'!N18+'Kwh Consumption'!O18+'Kwh Consumption'!P18+'Kwh Consumption'!Q18+'Kwh Consumption'!R18)</f>
        <v>4930.0000000001201</v>
      </c>
      <c r="J17" s="1">
        <f>('Kwh Consumption'!S18+'Kwh Consumption'!T18)</f>
        <v>5596.9699999988079</v>
      </c>
      <c r="K17" s="31">
        <f>'Kwh Consumption'!U18</f>
        <v>219.99999999999886</v>
      </c>
      <c r="L17" s="32">
        <f t="shared" si="0"/>
        <v>7643.0300000000434</v>
      </c>
    </row>
    <row r="18" spans="1:12" x14ac:dyDescent="0.25">
      <c r="A18" s="14">
        <f>'Kwh Reading'!A19</f>
        <v>44393</v>
      </c>
      <c r="B18" s="83">
        <f>TOTAL!E17</f>
        <v>23690.000000000284</v>
      </c>
      <c r="C18" s="1">
        <f>'Kwh Consumption'!C19</f>
        <v>500</v>
      </c>
      <c r="D18" s="1">
        <f>'Kwh Consumption'!D19</f>
        <v>2499.9999999999468</v>
      </c>
      <c r="E18" s="1">
        <f>'Kwh Consumption'!E19</f>
        <v>259.99999999999091</v>
      </c>
      <c r="F18" s="1">
        <f>('Kwh Consumption'!F19+'Kwh Consumption'!G19+'Kwh Consumption'!H19)</f>
        <v>769.99999999998181</v>
      </c>
      <c r="G18" s="16">
        <f>('Kwh Consumption'!I19+'Kwh Consumption'!J19)</f>
        <v>489.99999999998067</v>
      </c>
      <c r="H18" s="1">
        <f>('Kwh Consumption'!K19+'Kwh Consumption'!L19)</f>
        <v>2940.0000000000546</v>
      </c>
      <c r="I18" s="1">
        <f>('Kwh Consumption'!M19+'Kwh Consumption'!N19+'Kwh Consumption'!O19+'Kwh Consumption'!P19+'Kwh Consumption'!Q19+'Kwh Consumption'!R19)</f>
        <v>4690.0000000000546</v>
      </c>
      <c r="J18" s="1">
        <f>('Kwh Consumption'!S19+'Kwh Consumption'!T19)</f>
        <v>5935.1800000015646</v>
      </c>
      <c r="K18" s="31">
        <f>'Kwh Consumption'!U19</f>
        <v>210.00000000000796</v>
      </c>
      <c r="L18" s="32">
        <f t="shared" si="0"/>
        <v>5394.8199999987037</v>
      </c>
    </row>
    <row r="19" spans="1:12" x14ac:dyDescent="0.25">
      <c r="A19" s="14">
        <f>'Kwh Reading'!A20</f>
        <v>44394</v>
      </c>
      <c r="B19" s="83">
        <f>TOTAL!E18</f>
        <v>24750.000000001364</v>
      </c>
      <c r="C19" s="1">
        <f>'Kwh Consumption'!C20</f>
        <v>480.00000000001819</v>
      </c>
      <c r="D19" s="1">
        <f>'Kwh Consumption'!D20</f>
        <v>2800.0000000001355</v>
      </c>
      <c r="E19" s="1">
        <f>'Kwh Consumption'!E20</f>
        <v>260.00000000001933</v>
      </c>
      <c r="F19" s="1">
        <f>('Kwh Consumption'!F20+'Kwh Consumption'!G20+'Kwh Consumption'!H20)</f>
        <v>1040.0000000000489</v>
      </c>
      <c r="G19" s="16">
        <f>('Kwh Consumption'!I20+'Kwh Consumption'!J20)</f>
        <v>390.00000000000057</v>
      </c>
      <c r="H19" s="1">
        <f>('Kwh Consumption'!K20+'Kwh Consumption'!L20)</f>
        <v>1500</v>
      </c>
      <c r="I19" s="1">
        <f>('Kwh Consumption'!M20+'Kwh Consumption'!N20+'Kwh Consumption'!O20+'Kwh Consumption'!P20+'Kwh Consumption'!Q20+'Kwh Consumption'!R20)</f>
        <v>4899.99999999992</v>
      </c>
      <c r="J19" s="1">
        <f>('Kwh Consumption'!S20+'Kwh Consumption'!T20)</f>
        <v>6305.3199999993667</v>
      </c>
      <c r="K19" s="1">
        <f>'Kwh Consumption'!U20</f>
        <v>259.99999999999091</v>
      </c>
      <c r="L19" s="32">
        <f t="shared" si="0"/>
        <v>6814.6800000018684</v>
      </c>
    </row>
    <row r="20" spans="1:12" x14ac:dyDescent="0.25">
      <c r="A20" s="14">
        <f>'Kwh Reading'!A21</f>
        <v>44395</v>
      </c>
      <c r="B20" s="83">
        <f>TOTAL!E19</f>
        <v>23820.00000000016</v>
      </c>
      <c r="C20" s="1">
        <f>'Kwh Consumption'!C21</f>
        <v>620.00000000000455</v>
      </c>
      <c r="D20" s="1">
        <f>'Kwh Consumption'!D21</f>
        <v>2399.9999999997358</v>
      </c>
      <c r="E20" s="1">
        <f>'Kwh Consumption'!E21</f>
        <v>250</v>
      </c>
      <c r="F20" s="1">
        <f>('Kwh Consumption'!F21+'Kwh Consumption'!G21+'Kwh Consumption'!H21)</f>
        <v>770.00000000003865</v>
      </c>
      <c r="G20" s="16">
        <f>('Kwh Consumption'!I21+'Kwh Consumption'!J21)</f>
        <v>510.00000000001933</v>
      </c>
      <c r="H20" s="1">
        <f>('Kwh Consumption'!K21+'Kwh Consumption'!L21)</f>
        <v>1979.9999999999613</v>
      </c>
      <c r="I20" s="1">
        <f>('Kwh Consumption'!M21+'Kwh Consumption'!N21+'Kwh Consumption'!O21+'Kwh Consumption'!P21+'Kwh Consumption'!Q21+'Kwh Consumption'!R21)</f>
        <v>4850.00000000008</v>
      </c>
      <c r="J20" s="1">
        <f>('Kwh Consumption'!S21+'Kwh Consumption'!T21)</f>
        <v>6128.3499999996275</v>
      </c>
      <c r="K20" s="1">
        <f>'Kwh Consumption'!U21</f>
        <v>240.00000000000909</v>
      </c>
      <c r="L20" s="32">
        <f t="shared" si="0"/>
        <v>6071.6500000006872</v>
      </c>
    </row>
    <row r="21" spans="1:12" x14ac:dyDescent="0.25">
      <c r="A21" s="14">
        <f>'Kwh Reading'!A22</f>
        <v>44396</v>
      </c>
      <c r="B21" s="83">
        <f>TOTAL!E20</f>
        <v>23509.999999998628</v>
      </c>
      <c r="C21" s="1">
        <f>'Kwh Consumption'!C22</f>
        <v>509.99999999999091</v>
      </c>
      <c r="D21" s="1">
        <f>'Kwh Consumption'!D22</f>
        <v>2299.9999999999686</v>
      </c>
      <c r="E21" s="1">
        <f>'Kwh Consumption'!E22</f>
        <v>209.99999999997954</v>
      </c>
      <c r="F21" s="1">
        <f>('Kwh Consumption'!F22+'Kwh Consumption'!G22+'Kwh Consumption'!H22)</f>
        <v>639.99999999995794</v>
      </c>
      <c r="G21" s="16">
        <f>('Kwh Consumption'!I22+'Kwh Consumption'!J22)</f>
        <v>369.99999999997613</v>
      </c>
      <c r="H21" s="1">
        <f>('Kwh Consumption'!K22+'Kwh Consumption'!L22)</f>
        <v>1709.9999999999795</v>
      </c>
      <c r="I21" s="1">
        <f>('Kwh Consumption'!M22+'Kwh Consumption'!N22+'Kwh Consumption'!O22+'Kwh Consumption'!P22+'Kwh Consumption'!Q22+'Kwh Consumption'!R22)</f>
        <v>4849.9999999998527</v>
      </c>
      <c r="J21" s="1">
        <f>('Kwh Consumption'!S22+'Kwh Consumption'!T22)</f>
        <v>5882.1500000003725</v>
      </c>
      <c r="K21" s="1">
        <f>'Kwh Consumption'!U22</f>
        <v>229.99999999998977</v>
      </c>
      <c r="L21" s="32">
        <f t="shared" si="0"/>
        <v>6807.8499999985697</v>
      </c>
    </row>
    <row r="22" spans="1:12" x14ac:dyDescent="0.25">
      <c r="A22" s="14">
        <f>'Kwh Reading'!A23</f>
        <v>44397</v>
      </c>
      <c r="B22" s="83">
        <f>TOTAL!E21</f>
        <v>25200.000000000728</v>
      </c>
      <c r="C22" s="1">
        <f>'Kwh Consumption'!C23</f>
        <v>439.99999999999773</v>
      </c>
      <c r="D22" s="1">
        <f>'Kwh Consumption'!D23</f>
        <v>2699.9999999999245</v>
      </c>
      <c r="E22" s="1">
        <f>'Kwh Consumption'!E23</f>
        <v>280.00000000000114</v>
      </c>
      <c r="F22" s="1">
        <f>('Kwh Consumption'!F23+'Kwh Consumption'!G23+'Kwh Consumption'!H23)</f>
        <v>1039.9999999999636</v>
      </c>
      <c r="G22" s="16">
        <f>('Kwh Consumption'!I23+'Kwh Consumption'!J23)</f>
        <v>440.00000000001194</v>
      </c>
      <c r="H22" s="1">
        <f>('Kwh Consumption'!K23+'Kwh Consumption'!L23)</f>
        <v>1829.9999999999841</v>
      </c>
      <c r="I22" s="1">
        <f>('Kwh Consumption'!M23+'Kwh Consumption'!N23+'Kwh Consumption'!O23+'Kwh Consumption'!P23+'Kwh Consumption'!Q23+'Kwh Consumption'!R23)</f>
        <v>5220.0000000000837</v>
      </c>
      <c r="J22" s="1">
        <f>('Kwh Consumption'!S23+'Kwh Consumption'!T23)</f>
        <v>6505.0599999995902</v>
      </c>
      <c r="K22" s="1">
        <f>'Kwh Consumption'!U23</f>
        <v>240.00000000000909</v>
      </c>
      <c r="L22" s="32">
        <f t="shared" si="0"/>
        <v>6504.9400000011647</v>
      </c>
    </row>
    <row r="23" spans="1:12" x14ac:dyDescent="0.25">
      <c r="A23" s="14">
        <f>'Kwh Reading'!A24</f>
        <v>44398</v>
      </c>
      <c r="B23" s="83">
        <f>TOTAL!E22</f>
        <v>0</v>
      </c>
      <c r="C23" s="1">
        <f>'Kwh Consumption'!C24</f>
        <v>-429890</v>
      </c>
      <c r="D23" s="1">
        <f>'Kwh Consumption'!D24</f>
        <v>-2429000</v>
      </c>
      <c r="E23" s="1">
        <f>'Kwh Consumption'!E24</f>
        <v>-234290</v>
      </c>
      <c r="F23" s="1">
        <f>('Kwh Consumption'!F24+'Kwh Consumption'!G24+'Kwh Consumption'!H24)</f>
        <v>-904740</v>
      </c>
      <c r="G23" s="16">
        <f>('Kwh Consumption'!I24+'Kwh Consumption'!J24)</f>
        <v>-281440</v>
      </c>
      <c r="H23" s="1">
        <f>('Kwh Consumption'!K24+'Kwh Consumption'!L24)</f>
        <v>-1251090</v>
      </c>
      <c r="I23" s="1">
        <f>('Kwh Consumption'!M24+'Kwh Consumption'!N24+'Kwh Consumption'!O24+'Kwh Consumption'!P24+'Kwh Consumption'!Q24+'Kwh Consumption'!R24)</f>
        <v>-3532390</v>
      </c>
      <c r="J23" s="1">
        <f>('Kwh Consumption'!S24+'Kwh Consumption'!T24)</f>
        <v>-15780529.18</v>
      </c>
      <c r="K23" s="1">
        <f>'Kwh Consumption'!U24</f>
        <v>-155870</v>
      </c>
      <c r="L23" s="32">
        <f t="shared" si="0"/>
        <v>24999239.18</v>
      </c>
    </row>
    <row r="24" spans="1:12" x14ac:dyDescent="0.25">
      <c r="A24" s="14">
        <f>'Kwh Reading'!A25</f>
        <v>44399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44400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44401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44402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44403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44404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44405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44406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44407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44408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460490.00000000058</v>
      </c>
      <c r="C34" s="75">
        <f>SUM(C3:C33)</f>
        <v>-420700</v>
      </c>
      <c r="D34" s="75">
        <f t="shared" ref="D34:L34" si="1">SUM(D3:D33)</f>
        <v>-2380800</v>
      </c>
      <c r="E34" s="75">
        <f t="shared" si="1"/>
        <v>-229580.00000000003</v>
      </c>
      <c r="F34" s="75">
        <f t="shared" si="1"/>
        <v>-891160</v>
      </c>
      <c r="G34" s="75">
        <f t="shared" si="1"/>
        <v>-272890</v>
      </c>
      <c r="H34" s="75">
        <f t="shared" si="1"/>
        <v>-1217220</v>
      </c>
      <c r="I34" s="75">
        <f t="shared" si="1"/>
        <v>-3439040</v>
      </c>
      <c r="J34" s="75">
        <f t="shared" si="1"/>
        <v>-15665211.439999999</v>
      </c>
      <c r="K34" s="75">
        <f t="shared" si="1"/>
        <v>-151380</v>
      </c>
      <c r="L34" s="75">
        <f t="shared" si="1"/>
        <v>25128471.440000001</v>
      </c>
      <c r="M34" s="84">
        <f>C34+D34+E34+F34+G34+H34+I34+J34+K34+L34</f>
        <v>460490.00000000373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-58898.000000000007</v>
      </c>
      <c r="D36" s="75">
        <f>D34*B36</f>
        <v>-333312.00000000006</v>
      </c>
      <c r="E36" s="75">
        <f>E34*B36</f>
        <v>-32141.200000000008</v>
      </c>
      <c r="F36" s="75">
        <f>F34*B36</f>
        <v>-124762.40000000001</v>
      </c>
      <c r="G36" s="75">
        <f>G34*B36</f>
        <v>-38204.600000000006</v>
      </c>
      <c r="H36" s="75">
        <f>H34*B36</f>
        <v>-170410.80000000002</v>
      </c>
      <c r="I36" s="75">
        <f>I34*B36</f>
        <v>-481465.60000000003</v>
      </c>
      <c r="J36" s="75">
        <f>J34*B36</f>
        <v>-2193129.6016000002</v>
      </c>
      <c r="K36" s="75">
        <f>K34*B36</f>
        <v>-21193.200000000001</v>
      </c>
      <c r="L36" s="75">
        <f>L34*B36</f>
        <v>3517986.0016000005</v>
      </c>
      <c r="M36" s="84">
        <f>C36+D36+E36+F36+G36+H36+I36+J36+K36+L36</f>
        <v>64468.600000000093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44378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71.399999999998727</v>
      </c>
      <c r="E3" s="1">
        <f>'Kwh Consumption'!D4*' Kwh area wise $ '!B3</f>
        <v>336.00000000002518</v>
      </c>
      <c r="F3" s="1">
        <f>'Kwh Consumption'!E4*' Kwh area wise $ '!B3</f>
        <v>29.399999999997139</v>
      </c>
      <c r="G3" s="1">
        <f>('Kwh Consumption'!F4+'Kwh Consumption'!G4+'Kwh Consumption'!H4)*' Kwh area wise $ '!B3</f>
        <v>85.400000000001924</v>
      </c>
      <c r="H3" s="16">
        <f>('Kwh Consumption'!I4+'Kwh Consumption'!J4)*' Kwh area wise $ '!B3</f>
        <v>60.200000000000962</v>
      </c>
      <c r="I3" s="1">
        <f>('Kwh Consumption'!K4+'Kwh Consumption'!L4)*' Kwh area wise $ '!B3</f>
        <v>236.60000000000369</v>
      </c>
      <c r="J3" s="1">
        <f>('Kwh Consumption'!M4+'Kwh Consumption'!N4+'Kwh Consumption'!O4+'Kwh Consumption'!P4+'Kwh Consumption'!Q4+'Kwh Consumption'!R4)*' Kwh area wise $ '!B3</f>
        <v>737.80000000000541</v>
      </c>
      <c r="K3" s="1">
        <f>('Kwh Consumption'!S4+'Kwh Consumption'!T4)*' Kwh area wise $ '!B3</f>
        <v>770.39620000014088</v>
      </c>
      <c r="L3" s="1">
        <f>'Kwh Consumption'!U4*' Kwh area wise $ '!B3</f>
        <v>32.200000000002547</v>
      </c>
      <c r="M3" s="1">
        <f>'Kwh Consumption'!V4*' Kwh area wise $ '!B3</f>
        <v>1213.4037999998236</v>
      </c>
    </row>
    <row r="4" spans="1:13" x14ac:dyDescent="0.25">
      <c r="A4" s="14">
        <f>'Kwh Reading'!A5</f>
        <v>44379</v>
      </c>
      <c r="B4" s="11">
        <f>TOTAL!F3</f>
        <v>0.14000000000000001</v>
      </c>
      <c r="C4" s="11">
        <f>'Kwh Consumption'!B5*' Kwh area wise $ '!B4</f>
        <v>3207.4000000000433</v>
      </c>
      <c r="D4" s="1">
        <f>'Kwh Consumption'!C5*' Kwh area wise $ '!B4</f>
        <v>37.800000000005419</v>
      </c>
      <c r="E4" s="1">
        <f>'Kwh Consumption'!D5*' Kwh area wise $ '!B4</f>
        <v>336.00000000002518</v>
      </c>
      <c r="F4" s="1">
        <f>'Kwh Consumption'!E5*' Kwh area wise $ '!B4</f>
        <v>33.600000000001273</v>
      </c>
      <c r="G4" s="1">
        <f>('Kwh Consumption'!F5+'Kwh Consumption'!G5+'Kwh Consumption'!H5)*' Kwh area wise $ '!B4</f>
        <v>78.400000000004312</v>
      </c>
      <c r="H4" s="16">
        <f>('Kwh Consumption'!I5+'Kwh Consumption'!J5)*' Kwh area wise $ '!B4</f>
        <v>58.800000000000246</v>
      </c>
      <c r="I4" s="1">
        <f>('Kwh Consumption'!K5+'Kwh Consumption'!L5)*' Kwh area wise $ '!B4</f>
        <v>229.60000000000608</v>
      </c>
      <c r="J4" s="1">
        <f>('Kwh Consumption'!M5+'Kwh Consumption'!N5+'Kwh Consumption'!O5+'Kwh Consumption'!P5+'Kwh Consumption'!Q5+'Kwh Consumption'!R5)*' Kwh area wise $ '!B4</f>
        <v>642.59999999998865</v>
      </c>
      <c r="K4" s="1">
        <f>('Kwh Consumption'!S5+'Kwh Consumption'!T5)*' Kwh area wise $ '!B4</f>
        <v>789.32839999994269</v>
      </c>
      <c r="L4" s="1">
        <f>'Kwh Consumption'!U5*' Kwh area wise $ '!B4</f>
        <v>32.199999999998568</v>
      </c>
      <c r="M4" s="1">
        <f>'Kwh Consumption'!V5*' Kwh area wise $ '!B4</f>
        <v>969.07160000007093</v>
      </c>
    </row>
    <row r="5" spans="1:13" x14ac:dyDescent="0.25">
      <c r="A5" s="14">
        <f>'Kwh Reading'!A6</f>
        <v>44380</v>
      </c>
      <c r="B5" s="11">
        <f>TOTAL!F4</f>
        <v>0.14000000000000001</v>
      </c>
      <c r="C5" s="11">
        <f>'Kwh Consumption'!B6*' Kwh area wise $ '!B5</f>
        <v>3298.400000000152</v>
      </c>
      <c r="D5" s="1">
        <f>'Kwh Consumption'!C6*' Kwh area wise $ '!B5</f>
        <v>64.399999999997135</v>
      </c>
      <c r="E5" s="1">
        <f>'Kwh Consumption'!D6*' Kwh area wise $ '!B5</f>
        <v>335.99999999996305</v>
      </c>
      <c r="F5" s="1">
        <f>'Kwh Consumption'!E6*' Kwh area wise $ '!B5</f>
        <v>27.999999999998412</v>
      </c>
      <c r="G5" s="1">
        <f>('Kwh Consumption'!F6+'Kwh Consumption'!G6+'Kwh Consumption'!H6)*' Kwh area wise $ '!B5</f>
        <v>88.199999999999378</v>
      </c>
      <c r="H5" s="16">
        <f>('Kwh Consumption'!I6+'Kwh Consumption'!J6)*' Kwh area wise $ '!B5</f>
        <v>39.200000000000166</v>
      </c>
      <c r="I5" s="1">
        <f>('Kwh Consumption'!K6+'Kwh Consumption'!L6)*' Kwh area wise $ '!B5</f>
        <v>236.60000000000369</v>
      </c>
      <c r="J5" s="1">
        <f>('Kwh Consumption'!M6+'Kwh Consumption'!N6+'Kwh Consumption'!O6+'Kwh Consumption'!P6+'Kwh Consumption'!Q6+'Kwh Consumption'!R6)*' Kwh area wise $ '!B5</f>
        <v>650.99999999999693</v>
      </c>
      <c r="K5" s="1">
        <f>('Kwh Consumption'!S6+'Kwh Consumption'!T6)*' Kwh area wise $ '!B5</f>
        <v>861.07839999994269</v>
      </c>
      <c r="L5" s="1">
        <f>'Kwh Consumption'!U6*' Kwh area wise $ '!B5</f>
        <v>32.199999999998568</v>
      </c>
      <c r="M5" s="1">
        <f>'Kwh Consumption'!V6*' Kwh area wise $ '!B5</f>
        <v>961.72160000025258</v>
      </c>
    </row>
    <row r="6" spans="1:13" x14ac:dyDescent="0.25">
      <c r="A6" s="14">
        <f>'Kwh Reading'!A7</f>
        <v>44381</v>
      </c>
      <c r="B6" s="11">
        <f>TOTAL!F5</f>
        <v>0.14000000000000001</v>
      </c>
      <c r="C6" s="11">
        <f>'Kwh Consumption'!B7*' Kwh area wise $ '!B6</f>
        <v>3247.9999999998158</v>
      </c>
      <c r="D6" s="1">
        <f>'Kwh Consumption'!C7*' Kwh area wise $ '!B6</f>
        <v>62.999999999998415</v>
      </c>
      <c r="E6" s="1">
        <f>'Kwh Consumption'!D7*' Kwh area wise $ '!B6</f>
        <v>336.00000000002518</v>
      </c>
      <c r="F6" s="1">
        <f>'Kwh Consumption'!E7*' Kwh area wise $ '!B6</f>
        <v>32.200000000002547</v>
      </c>
      <c r="G6" s="1">
        <f>('Kwh Consumption'!F7+'Kwh Consumption'!G7+'Kwh Consumption'!H7)*' Kwh area wise $ '!B6</f>
        <v>97.999999999998423</v>
      </c>
      <c r="H6" s="16">
        <f>('Kwh Consumption'!I7+'Kwh Consumption'!J7)*' Kwh area wise $ '!B6</f>
        <v>82.599999999998502</v>
      </c>
      <c r="I6" s="1">
        <f>('Kwh Consumption'!K7+'Kwh Consumption'!L7)*' Kwh area wise $ '!B6</f>
        <v>225.39999999999398</v>
      </c>
      <c r="J6" s="1">
        <f>('Kwh Consumption'!M7+'Kwh Consumption'!N7+'Kwh Consumption'!O7+'Kwh Consumption'!P7+'Kwh Consumption'!Q7+'Kwh Consumption'!R7)*' Kwh area wise $ '!B6</f>
        <v>613.20000000001539</v>
      </c>
      <c r="K6" s="1">
        <f>('Kwh Consumption'!S7+'Kwh Consumption'!T7)*' Kwh area wise $ '!B6</f>
        <v>779.94839999994269</v>
      </c>
      <c r="L6" s="1">
        <f>'Kwh Consumption'!U7*' Kwh area wise $ '!B6</f>
        <v>26.599999999999685</v>
      </c>
      <c r="M6" s="1">
        <f>'Kwh Consumption'!V7*' Kwh area wise $ '!B6</f>
        <v>991.05159999984096</v>
      </c>
    </row>
    <row r="7" spans="1:13" x14ac:dyDescent="0.25">
      <c r="A7" s="14">
        <f>'Kwh Reading'!A8</f>
        <v>44382</v>
      </c>
      <c r="B7" s="11">
        <f>TOTAL!F6</f>
        <v>0.14000000000000001</v>
      </c>
      <c r="C7" s="11">
        <f>'Kwh Consumption'!B8*' Kwh area wise $ '!B7</f>
        <v>3173.799999999851</v>
      </c>
      <c r="D7" s="1">
        <f>'Kwh Consumption'!C8*' Kwh area wise $ '!B7</f>
        <v>67.200000000002547</v>
      </c>
      <c r="E7" s="1">
        <f>'Kwh Consumption'!D8*' Kwh area wise $ '!B7</f>
        <v>307.99999999996612</v>
      </c>
      <c r="F7" s="1">
        <f>'Kwh Consumption'!E8*' Kwh area wise $ '!B7</f>
        <v>29.399999999997139</v>
      </c>
      <c r="G7" s="1">
        <f>('Kwh Consumption'!F8+'Kwh Consumption'!G8+'Kwh Consumption'!H8)*' Kwh area wise $ '!B7</f>
        <v>90.999999999996831</v>
      </c>
      <c r="H7" s="16">
        <f>('Kwh Consumption'!I8+'Kwh Consumption'!J8)*' Kwh area wise $ '!B7</f>
        <v>60.200000000000962</v>
      </c>
      <c r="I7" s="1">
        <f>('Kwh Consumption'!K8+'Kwh Consumption'!L8)*' Kwh area wise $ '!B7</f>
        <v>229.59999999999414</v>
      </c>
      <c r="J7" s="1">
        <f>('Kwh Consumption'!M8+'Kwh Consumption'!N8+'Kwh Consumption'!O8+'Kwh Consumption'!P8+'Kwh Consumption'!Q8+'Kwh Consumption'!R8)*' Kwh area wise $ '!B7</f>
        <v>667.79999999997358</v>
      </c>
      <c r="K7" s="1">
        <f>('Kwh Consumption'!S8+'Kwh Consumption'!T8)*' Kwh area wise $ '!B7</f>
        <v>848.38180000001569</v>
      </c>
      <c r="L7" s="1">
        <f>'Kwh Consumption'!U8*' Kwh area wise $ '!B7</f>
        <v>29.400000000001118</v>
      </c>
      <c r="M7" s="1">
        <f>'Kwh Consumption'!V8*' Kwh area wise $ '!B7</f>
        <v>842.81819999990239</v>
      </c>
    </row>
    <row r="8" spans="1:13" x14ac:dyDescent="0.25">
      <c r="A8" s="14">
        <f>'Kwh Reading'!A9</f>
        <v>44383</v>
      </c>
      <c r="B8" s="11">
        <f>TOTAL!F7</f>
        <v>0.14000000000000001</v>
      </c>
      <c r="C8" s="11">
        <f>'Kwh Consumption'!B9*' Kwh area wise $ '!B8</f>
        <v>3179.4000000002916</v>
      </c>
      <c r="D8" s="1">
        <f>'Kwh Consumption'!C9*' Kwh area wise $ '!B8</f>
        <v>62.999999999998415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81.199999999997786</v>
      </c>
      <c r="H8" s="16">
        <f>('Kwh Consumption'!I9+'Kwh Consumption'!J9)*' Kwh area wise $ '!B8</f>
        <v>61.600000000003668</v>
      </c>
      <c r="I8" s="1">
        <f>('Kwh Consumption'!K9+'Kwh Consumption'!L9)*' Kwh area wise $ '!B8</f>
        <v>235.20000000000098</v>
      </c>
      <c r="J8" s="1">
        <f>('Kwh Consumption'!M9+'Kwh Consumption'!N9+'Kwh Consumption'!O9+'Kwh Consumption'!P9+'Kwh Consumption'!Q9+'Kwh Consumption'!R9)*' Kwh area wise $ '!B8</f>
        <v>638.40000000002431</v>
      </c>
      <c r="K8" s="1">
        <f>('Kwh Consumption'!S9+'Kwh Consumption'!T9)*' Kwh area wise $ '!B8</f>
        <v>778.430800000094</v>
      </c>
      <c r="L8" s="1">
        <f>'Kwh Consumption'!U9*' Kwh area wise $ '!B8</f>
        <v>26.599999999999685</v>
      </c>
      <c r="M8" s="1">
        <f>'Kwh Consumption'!V9*' Kwh area wise $ '!B8</f>
        <v>923.96920000014768</v>
      </c>
    </row>
    <row r="9" spans="1:13" x14ac:dyDescent="0.25">
      <c r="A9" s="14">
        <f>'Kwh Reading'!A10</f>
        <v>44384</v>
      </c>
      <c r="B9" s="11">
        <f>TOTAL!F8</f>
        <v>0.14000000000000001</v>
      </c>
      <c r="C9" s="11">
        <f>'Kwh Consumption'!B10*' Kwh area wise $ '!B9</f>
        <v>3246.5999999998171</v>
      </c>
      <c r="D9" s="1">
        <f>'Kwh Consumption'!C10*' Kwh area wise $ '!B9</f>
        <v>65.80000000000382</v>
      </c>
      <c r="E9" s="1">
        <f>'Kwh Consumption'!D10*' Kwh area wise $ '!B9</f>
        <v>321.99999999999562</v>
      </c>
      <c r="F9" s="1">
        <f>'Kwh Consumption'!E10*' Kwh area wise $ '!B9</f>
        <v>30.799999999999844</v>
      </c>
      <c r="G9" s="1">
        <f>('Kwh Consumption'!F10+'Kwh Consumption'!G10+'Kwh Consumption'!H10)*' Kwh area wise $ '!B9</f>
        <v>91.000000000004789</v>
      </c>
      <c r="H9" s="16">
        <f>('Kwh Consumption'!I10+'Kwh Consumption'!J10)*' Kwh area wise $ '!B9</f>
        <v>62.999999999996426</v>
      </c>
      <c r="I9" s="1">
        <f>('Kwh Consumption'!K10+'Kwh Consumption'!L10)*' Kwh area wise $ '!B9</f>
        <v>240.80000000000385</v>
      </c>
      <c r="J9" s="1">
        <f>('Kwh Consumption'!M10+'Kwh Consumption'!N10+'Kwh Consumption'!O10+'Kwh Consumption'!P10+'Kwh Consumption'!Q10+'Kwh Consumption'!R10)*' Kwh area wise $ '!B9</f>
        <v>643.99999999997146</v>
      </c>
      <c r="K9" s="1">
        <f>('Kwh Consumption'!S10+'Kwh Consumption'!T10)*' Kwh area wise $ '!B9</f>
        <v>833.74060000000532</v>
      </c>
      <c r="L9" s="1">
        <f>'Kwh Consumption'!U10*' Kwh area wise $ '!B9</f>
        <v>28.000000000002391</v>
      </c>
      <c r="M9" s="1">
        <f>'Kwh Consumption'!V10*' Kwh area wise $ '!B9</f>
        <v>927.45939999983341</v>
      </c>
    </row>
    <row r="10" spans="1:13" x14ac:dyDescent="0.25">
      <c r="A10" s="14">
        <f>'Kwh Reading'!A11</f>
        <v>44385</v>
      </c>
      <c r="B10" s="11">
        <f>TOTAL!F9</f>
        <v>0.14000000000000001</v>
      </c>
      <c r="C10" s="11">
        <f>'Kwh Consumption'!B11*' Kwh area wise $ '!B10</f>
        <v>3204.6000000000463</v>
      </c>
      <c r="D10" s="1">
        <f>'Kwh Consumption'!C11*' Kwh area wise $ '!B10</f>
        <v>65.799999999995862</v>
      </c>
      <c r="E10" s="1">
        <f>'Kwh Consumption'!D11*' Kwh area wise $ '!B10</f>
        <v>321.99999999999562</v>
      </c>
      <c r="F10" s="1">
        <f>'Kwh Consumption'!E11*' Kwh area wise $ '!B10</f>
        <v>18.200000000003342</v>
      </c>
      <c r="G10" s="1">
        <f>('Kwh Consumption'!F11+'Kwh Consumption'!G11+'Kwh Consumption'!H11)*' Kwh area wise $ '!B10</f>
        <v>85.399999999993966</v>
      </c>
      <c r="H10" s="16">
        <f>('Kwh Consumption'!I11+'Kwh Consumption'!J11)*' Kwh area wise $ '!B10</f>
        <v>58.800000000002235</v>
      </c>
      <c r="I10" s="1">
        <f>('Kwh Consumption'!K11+'Kwh Consumption'!L11)*' Kwh area wise $ '!B10</f>
        <v>230.99999999999287</v>
      </c>
      <c r="J10" s="1">
        <f>('Kwh Consumption'!M11+'Kwh Consumption'!N11+'Kwh Consumption'!O11+'Kwh Consumption'!P11+'Kwh Consumption'!Q11+'Kwh Consumption'!R11)*' Kwh area wise $ '!B10</f>
        <v>639.80000000002303</v>
      </c>
      <c r="K10" s="1">
        <f>('Kwh Consumption'!S11+'Kwh Consumption'!T11)*' Kwh area wise $ '!B10</f>
        <v>825.52819999998439</v>
      </c>
      <c r="L10" s="1">
        <f>'Kwh Consumption'!U11*' Kwh area wise $ '!B10</f>
        <v>29.399999999997139</v>
      </c>
      <c r="M10" s="1">
        <f>'Kwh Consumption'!V11*' Kwh area wise $ '!B10</f>
        <v>928.67180000005771</v>
      </c>
    </row>
    <row r="11" spans="1:13" x14ac:dyDescent="0.25">
      <c r="A11" s="14">
        <f>'Kwh Reading'!A12</f>
        <v>44386</v>
      </c>
      <c r="B11" s="11">
        <f>TOTAL!F10</f>
        <v>0.14000000000000001</v>
      </c>
      <c r="C11" s="11">
        <f>'Kwh Consumption'!B12*' Kwh area wise $ '!B11</f>
        <v>2668.3999999998659</v>
      </c>
      <c r="D11" s="1">
        <f>'Kwh Consumption'!C12*' Kwh area wise $ '!B11</f>
        <v>37.799999999997461</v>
      </c>
      <c r="E11" s="1">
        <f>'Kwh Consumption'!D12*' Kwh area wise $ '!B11</f>
        <v>321.99999999999562</v>
      </c>
      <c r="F11" s="1">
        <f>'Kwh Consumption'!E12*' Kwh area wise $ '!B11</f>
        <v>48.999999999999211</v>
      </c>
      <c r="G11" s="1">
        <f>('Kwh Consumption'!F12+'Kwh Consumption'!G12+'Kwh Consumption'!H12)*' Kwh area wise $ '!B11</f>
        <v>95.200000000004948</v>
      </c>
      <c r="H11" s="16">
        <f>('Kwh Consumption'!I12+'Kwh Consumption'!J12)*' Kwh area wise $ '!B11</f>
        <v>55.999999999998813</v>
      </c>
      <c r="I11" s="1">
        <f>('Kwh Consumption'!K12+'Kwh Consumption'!L12)*' Kwh area wise $ '!B11</f>
        <v>200.2000000000169</v>
      </c>
      <c r="J11" s="1">
        <f>('Kwh Consumption'!M12+'Kwh Consumption'!N12+'Kwh Consumption'!O12+'Kwh Consumption'!P12+'Kwh Consumption'!Q12+'Kwh Consumption'!R12)*' Kwh area wise $ '!B11</f>
        <v>490.00000000000006</v>
      </c>
      <c r="K11" s="1">
        <f>('Kwh Consumption'!S12+'Kwh Consumption'!T12)*' Kwh area wise $ '!B11</f>
        <v>640.09960000008346</v>
      </c>
      <c r="L11" s="1">
        <f>'Kwh Consumption'!U12*' Kwh area wise $ '!B11</f>
        <v>30.799999999999844</v>
      </c>
      <c r="M11" s="1">
        <f>'Kwh Consumption'!V12*' Kwh area wise $ '!B11</f>
        <v>747.30039999976964</v>
      </c>
    </row>
    <row r="12" spans="1:13" x14ac:dyDescent="0.25">
      <c r="A12" s="14">
        <f>'Kwh Reading'!A13</f>
        <v>44387</v>
      </c>
      <c r="B12" s="11">
        <f>TOTAL!F11</f>
        <v>0.14000000000000001</v>
      </c>
      <c r="C12" s="11">
        <f>'Kwh Consumption'!B13*' Kwh area wise $ '!B12</f>
        <v>2979.2000000001563</v>
      </c>
      <c r="D12" s="1">
        <f>'Kwh Consumption'!C13*' Kwh area wise $ '!B12</f>
        <v>61.600000000007647</v>
      </c>
      <c r="E12" s="1">
        <f>'Kwh Consumption'!D13*' Kwh area wise $ '!B12</f>
        <v>321.99999999999562</v>
      </c>
      <c r="F12" s="1">
        <f>'Kwh Consumption'!E13*' Kwh area wise $ '!B12</f>
        <v>30.799999999999844</v>
      </c>
      <c r="G12" s="1">
        <f>('Kwh Consumption'!F13+'Kwh Consumption'!G13+'Kwh Consumption'!H13)*' Kwh area wise $ '!B12</f>
        <v>85.399999999997945</v>
      </c>
      <c r="H12" s="16">
        <f>('Kwh Consumption'!I13+'Kwh Consumption'!J13)*' Kwh area wise $ '!B12</f>
        <v>60.200000000000962</v>
      </c>
      <c r="I12" s="1">
        <f>('Kwh Consumption'!K13+'Kwh Consumption'!L13)*' Kwh area wise $ '!B12</f>
        <v>216.99999999999764</v>
      </c>
      <c r="J12" s="1">
        <f>('Kwh Consumption'!M13+'Kwh Consumption'!N13+'Kwh Consumption'!O13+'Kwh Consumption'!P13+'Kwh Consumption'!Q13+'Kwh Consumption'!R13)*' Kwh area wise $ '!B12</f>
        <v>588.00000000000637</v>
      </c>
      <c r="K12" s="1">
        <f>('Kwh Consumption'!S13+'Kwh Consumption'!T13)*' Kwh area wise $ '!B12</f>
        <v>722.321599999927</v>
      </c>
      <c r="L12" s="1">
        <f>'Kwh Consumption'!U13*' Kwh area wise $ '!B12</f>
        <v>33.600000000001273</v>
      </c>
      <c r="M12" s="1">
        <f>'Kwh Consumption'!V13*' Kwh area wise $ '!B12</f>
        <v>858.27840000022206</v>
      </c>
    </row>
    <row r="13" spans="1:13" x14ac:dyDescent="0.25">
      <c r="A13" s="14">
        <f>'Kwh Reading'!A14</f>
        <v>44388</v>
      </c>
      <c r="B13" s="11">
        <f>TOTAL!F12</f>
        <v>0.14000000000000001</v>
      </c>
      <c r="C13" s="11">
        <f>'Kwh Consumption'!B14*' Kwh area wise $ '!B13</f>
        <v>3336.2000000000535</v>
      </c>
      <c r="D13" s="1">
        <f>'Kwh Consumption'!C14*' Kwh area wise $ '!B13</f>
        <v>64.399999999997135</v>
      </c>
      <c r="E13" s="1">
        <f>'Kwh Consumption'!D14*' Kwh area wise $ '!B13</f>
        <v>349.99999999999261</v>
      </c>
      <c r="F13" s="1">
        <f>'Kwh Consumption'!E14*' Kwh area wise $ '!B13</f>
        <v>30.799999999999844</v>
      </c>
      <c r="G13" s="1">
        <f>('Kwh Consumption'!F14+'Kwh Consumption'!G14+'Kwh Consumption'!H14)*' Kwh area wise $ '!B13</f>
        <v>89.599999999998104</v>
      </c>
      <c r="H13" s="16">
        <f>('Kwh Consumption'!I14+'Kwh Consumption'!J14)*' Kwh area wise $ '!B13</f>
        <v>58.799999999996267</v>
      </c>
      <c r="I13" s="1">
        <f>('Kwh Consumption'!K14+'Kwh Consumption'!L14)*' Kwh area wise $ '!B13</f>
        <v>237.99999999999844</v>
      </c>
      <c r="J13" s="1">
        <f>('Kwh Consumption'!M14+'Kwh Consumption'!N14+'Kwh Consumption'!O14+'Kwh Consumption'!P14+'Kwh Consumption'!Q14+'Kwh Consumption'!R14)*' Kwh area wise $ '!B13</f>
        <v>669.20000000000414</v>
      </c>
      <c r="K13" s="1">
        <f>('Kwh Consumption'!S14+'Kwh Consumption'!T14)*' Kwh area wise $ '!B13</f>
        <v>808.51540000004707</v>
      </c>
      <c r="L13" s="1">
        <f>'Kwh Consumption'!U14*' Kwh area wise $ '!B13</f>
        <v>32.199999999998568</v>
      </c>
      <c r="M13" s="1">
        <f>'Kwh Consumption'!V14*' Kwh area wise $ '!B13</f>
        <v>994.68460000002085</v>
      </c>
    </row>
    <row r="14" spans="1:13" x14ac:dyDescent="0.25">
      <c r="A14" s="14">
        <f>'Kwh Reading'!A15</f>
        <v>44389</v>
      </c>
      <c r="B14" s="11">
        <f>TOTAL!F13</f>
        <v>0.14000000000000001</v>
      </c>
      <c r="C14" s="11">
        <f>'Kwh Consumption'!B15*' Kwh area wise $ '!B14</f>
        <v>3183.5999999997789</v>
      </c>
      <c r="D14" s="1">
        <f>'Kwh Consumption'!C15*' Kwh area wise $ '!B14</f>
        <v>68.600000000001273</v>
      </c>
      <c r="E14" s="1">
        <f>'Kwh Consumption'!D15*' Kwh area wise $ '!B14</f>
        <v>308.00000000002831</v>
      </c>
      <c r="F14" s="1">
        <f>'Kwh Consumption'!E15*' Kwh area wise $ '!B14</f>
        <v>35</v>
      </c>
      <c r="G14" s="1">
        <f>('Kwh Consumption'!F15+'Kwh Consumption'!G15+'Kwh Consumption'!H15)*' Kwh area wise $ '!B14</f>
        <v>81.200000000001765</v>
      </c>
      <c r="H14" s="16">
        <f>('Kwh Consumption'!I15+'Kwh Consumption'!J15)*' Kwh area wise $ '!B14</f>
        <v>60.200000000000962</v>
      </c>
      <c r="I14" s="1">
        <f>('Kwh Consumption'!K15+'Kwh Consumption'!L15)*' Kwh area wise $ '!B14</f>
        <v>204.39999999999716</v>
      </c>
      <c r="J14" s="1">
        <f>('Kwh Consumption'!M15+'Kwh Consumption'!N15+'Kwh Consumption'!O15+'Kwh Consumption'!P15+'Kwh Consumption'!Q15+'Kwh Consumption'!R15)*' Kwh area wise $ '!B14</f>
        <v>671.99999999999375</v>
      </c>
      <c r="K14" s="1">
        <f>('Kwh Consumption'!S15+'Kwh Consumption'!T15)*' Kwh area wise $ '!B14</f>
        <v>782.89399999994794</v>
      </c>
      <c r="L14" s="1">
        <f>'Kwh Consumption'!U15*' Kwh area wise $ '!B14</f>
        <v>37.80000000000144</v>
      </c>
      <c r="M14" s="1">
        <f>'Kwh Consumption'!V15*' Kwh area wise $ '!B14</f>
        <v>933.50599999980625</v>
      </c>
    </row>
    <row r="15" spans="1:13" x14ac:dyDescent="0.25">
      <c r="A15" s="14">
        <f>'Kwh Reading'!A16</f>
        <v>44390</v>
      </c>
      <c r="B15" s="11">
        <f>TOTAL!F14</f>
        <v>0.14000000000000001</v>
      </c>
      <c r="C15" s="11">
        <f>'Kwh Consumption'!B16*' Kwh area wise $ '!B15</f>
        <v>3189.2000000002836</v>
      </c>
      <c r="D15" s="1">
        <f>'Kwh Consumption'!C16*' Kwh area wise $ '!B15</f>
        <v>65.799999999995862</v>
      </c>
      <c r="E15" s="1">
        <f>'Kwh Consumption'!D16*' Kwh area wise $ '!B15</f>
        <v>321.99999999999562</v>
      </c>
      <c r="F15" s="1">
        <f>'Kwh Consumption'!E16*' Kwh area wise $ '!B15</f>
        <v>35</v>
      </c>
      <c r="G15" s="1">
        <f>('Kwh Consumption'!F16+'Kwh Consumption'!G16+'Kwh Consumption'!H16)*' Kwh area wise $ '!B15</f>
        <v>79.800000000003038</v>
      </c>
      <c r="H15" s="16">
        <f>('Kwh Consumption'!I16+'Kwh Consumption'!J16)*' Kwh area wise $ '!B15</f>
        <v>60.200000000000962</v>
      </c>
      <c r="I15" s="1">
        <f>('Kwh Consumption'!K16+'Kwh Consumption'!L16)*' Kwh area wise $ '!B15</f>
        <v>260.40000000000191</v>
      </c>
      <c r="J15" s="1">
        <f>('Kwh Consumption'!M16+'Kwh Consumption'!N16+'Kwh Consumption'!O16+'Kwh Consumption'!P16+'Kwh Consumption'!Q16+'Kwh Consumption'!R16)*' Kwh area wise $ '!B15</f>
        <v>677.59999999998865</v>
      </c>
      <c r="K15" s="1">
        <f>('Kwh Consumption'!S16+'Kwh Consumption'!T16)*' Kwh area wise $ '!B15</f>
        <v>835.17979999991144</v>
      </c>
      <c r="L15" s="1">
        <f>'Kwh Consumption'!U16*' Kwh area wise $ '!B15</f>
        <v>32.199999999998568</v>
      </c>
      <c r="M15" s="1">
        <f>'Kwh Consumption'!V16*' Kwh area wise $ '!B15</f>
        <v>821.02020000038772</v>
      </c>
    </row>
    <row r="16" spans="1:13" x14ac:dyDescent="0.25">
      <c r="A16" s="14">
        <f>'Kwh Reading'!A17</f>
        <v>44391</v>
      </c>
      <c r="B16" s="11">
        <f>TOTAL!F15</f>
        <v>0.14000000000000001</v>
      </c>
      <c r="C16" s="11">
        <f>'Kwh Consumption'!B17*' Kwh area wise $ '!B16</f>
        <v>3203.1999999998884</v>
      </c>
      <c r="D16" s="1">
        <f>'Kwh Consumption'!C17*' Kwh area wise $ '!B16</f>
        <v>65.80000000000382</v>
      </c>
      <c r="E16" s="1">
        <f>'Kwh Consumption'!D17*' Kwh area wise $ '!B16</f>
        <v>349.99999999999261</v>
      </c>
      <c r="F16" s="1">
        <f>'Kwh Consumption'!E17*' Kwh area wise $ '!B16</f>
        <v>27.999999999998412</v>
      </c>
      <c r="G16" s="1">
        <f>('Kwh Consumption'!F17+'Kwh Consumption'!G17+'Kwh Consumption'!H17)*' Kwh area wise $ '!B16</f>
        <v>71.399999999994748</v>
      </c>
      <c r="H16" s="16">
        <f>('Kwh Consumption'!I17+'Kwh Consumption'!J17)*' Kwh area wise $ '!B16</f>
        <v>56.000000000002792</v>
      </c>
      <c r="I16" s="1">
        <f>('Kwh Consumption'!K17+'Kwh Consumption'!L17)*' Kwh area wise $ '!B16</f>
        <v>272.99999999999841</v>
      </c>
      <c r="J16" s="1">
        <f>('Kwh Consumption'!M17+'Kwh Consumption'!N17+'Kwh Consumption'!O17+'Kwh Consumption'!P17+'Kwh Consumption'!Q17+'Kwh Consumption'!R17)*' Kwh area wise $ '!B16</f>
        <v>615.99999999999693</v>
      </c>
      <c r="K16" s="1">
        <f>('Kwh Consumption'!S17+'Kwh Consumption'!T17)*' Kwh area wise $ '!B16</f>
        <v>779.21620000014093</v>
      </c>
      <c r="L16" s="1">
        <f>'Kwh Consumption'!U17*' Kwh area wise $ '!B16</f>
        <v>29.400000000001118</v>
      </c>
      <c r="M16" s="1">
        <f>'Kwh Consumption'!V17*' Kwh area wise $ '!B16</f>
        <v>934.38379999975871</v>
      </c>
    </row>
    <row r="17" spans="1:13" x14ac:dyDescent="0.25">
      <c r="A17" s="14">
        <f>'Kwh Reading'!A18</f>
        <v>44392</v>
      </c>
      <c r="B17" s="11">
        <f>TOTAL!F16</f>
        <v>0.14000000000000001</v>
      </c>
      <c r="C17" s="11">
        <f>'Kwh Consumption'!B18*' Kwh area wise $ '!B17</f>
        <v>3289.9999999998731</v>
      </c>
      <c r="D17" s="1">
        <f>'Kwh Consumption'!C18*' Kwh area wise $ '!B17</f>
        <v>67.199999999994589</v>
      </c>
      <c r="E17" s="1">
        <f>'Kwh Consumption'!D18*' Kwh area wise $ '!B17</f>
        <v>364.00000000002211</v>
      </c>
      <c r="F17" s="1">
        <f>'Kwh Consumption'!E18*' Kwh area wise $ '!B17</f>
        <v>37.80000000000144</v>
      </c>
      <c r="G17" s="1">
        <f>('Kwh Consumption'!F18+'Kwh Consumption'!G18+'Kwh Consumption'!H18)*' Kwh area wise $ '!B17</f>
        <v>103.60000000000129</v>
      </c>
      <c r="H17" s="16">
        <f>('Kwh Consumption'!I18+'Kwh Consumption'!J18)*' Kwh area wise $ '!B17</f>
        <v>53.19999999999937</v>
      </c>
      <c r="I17" s="1">
        <f>('Kwh Consumption'!K18+'Kwh Consumption'!L18)*' Kwh area wise $ '!B17</f>
        <v>89.599999999998104</v>
      </c>
      <c r="J17" s="1">
        <f>('Kwh Consumption'!M18+'Kwh Consumption'!N18+'Kwh Consumption'!O18+'Kwh Consumption'!P18+'Kwh Consumption'!Q18+'Kwh Consumption'!R18)*' Kwh area wise $ '!B17</f>
        <v>690.20000000001687</v>
      </c>
      <c r="K17" s="1">
        <f>('Kwh Consumption'!S18+'Kwh Consumption'!T18)*' Kwh area wise $ '!B17</f>
        <v>783.57579999983318</v>
      </c>
      <c r="L17" s="1">
        <f>'Kwh Consumption'!U18*' Kwh area wise $ '!B17</f>
        <v>30.799999999999844</v>
      </c>
      <c r="M17" s="1">
        <f>'Kwh Consumption'!V18*' Kwh area wise $ '!B17</f>
        <v>1070.024200000006</v>
      </c>
    </row>
    <row r="18" spans="1:13" x14ac:dyDescent="0.25">
      <c r="A18" s="14">
        <f>'Kwh Reading'!A19</f>
        <v>44393</v>
      </c>
      <c r="B18" s="11">
        <f>TOTAL!F17</f>
        <v>0.14000000000000001</v>
      </c>
      <c r="C18" s="11">
        <f>'Kwh Consumption'!B19*' Kwh area wise $ '!B18</f>
        <v>3316.6000000000399</v>
      </c>
      <c r="D18" s="1">
        <f>'Kwh Consumption'!C19*' Kwh area wise $ '!B18</f>
        <v>70</v>
      </c>
      <c r="E18" s="1">
        <f>'Kwh Consumption'!D19*' Kwh area wise $ '!B18</f>
        <v>349.99999999999261</v>
      </c>
      <c r="F18" s="1">
        <f>'Kwh Consumption'!E19*' Kwh area wise $ '!B18</f>
        <v>36.399999999998727</v>
      </c>
      <c r="G18" s="1">
        <f>('Kwh Consumption'!F19+'Kwh Consumption'!G19+'Kwh Consumption'!H19)*' Kwh area wise $ '!B18</f>
        <v>107.79999999999747</v>
      </c>
      <c r="H18" s="16">
        <f>('Kwh Consumption'!I19+'Kwh Consumption'!J19)*' Kwh area wise $ '!B18</f>
        <v>68.599999999997294</v>
      </c>
      <c r="I18" s="1">
        <f>('Kwh Consumption'!K19+'Kwh Consumption'!L19)*' Kwh area wise $ '!B18</f>
        <v>411.6000000000077</v>
      </c>
      <c r="J18" s="1">
        <f>('Kwh Consumption'!M19+'Kwh Consumption'!N19+'Kwh Consumption'!O19+'Kwh Consumption'!P19+'Kwh Consumption'!Q19+'Kwh Consumption'!R19)*' Kwh area wise $ '!B18</f>
        <v>656.60000000000775</v>
      </c>
      <c r="K18" s="1">
        <f>('Kwh Consumption'!S19+'Kwh Consumption'!T19)*' Kwh area wise $ '!B18</f>
        <v>830.92520000021909</v>
      </c>
      <c r="L18" s="1">
        <f>'Kwh Consumption'!U19*' Kwh area wise $ '!B18</f>
        <v>29.400000000001118</v>
      </c>
      <c r="M18" s="1">
        <f>'Kwh Consumption'!V19*' Kwh area wise $ '!B18</f>
        <v>755.2747999998187</v>
      </c>
    </row>
    <row r="19" spans="1:13" x14ac:dyDescent="0.25">
      <c r="A19" s="14">
        <f>'Kwh Reading'!A20</f>
        <v>44394</v>
      </c>
      <c r="B19" s="11">
        <f>TOTAL!F18</f>
        <v>0.14000000000000001</v>
      </c>
      <c r="C19" s="11">
        <f>'Kwh Consumption'!B20*' Kwh area wise $ '!B19</f>
        <v>3465.0000000001914</v>
      </c>
      <c r="D19" s="1">
        <f>'Kwh Consumption'!C20*' Kwh area wise $ '!B19</f>
        <v>67.200000000002547</v>
      </c>
      <c r="E19" s="1">
        <f>'Kwh Consumption'!D20*' Kwh area wise $ '!B19</f>
        <v>392.00000000001899</v>
      </c>
      <c r="F19" s="1">
        <f>'Kwh Consumption'!E20*' Kwh area wise $ '!B19</f>
        <v>36.400000000002706</v>
      </c>
      <c r="G19" s="1">
        <f>('Kwh Consumption'!F20+'Kwh Consumption'!G20+'Kwh Consumption'!H20)*' Kwh area wise $ '!B19</f>
        <v>145.60000000000684</v>
      </c>
      <c r="H19" s="16">
        <f>('Kwh Consumption'!I20+'Kwh Consumption'!J20)*' Kwh area wise $ '!B19</f>
        <v>54.600000000000087</v>
      </c>
      <c r="I19" s="1">
        <f>('Kwh Consumption'!K20+'Kwh Consumption'!L20)*' Kwh area wise $ '!B19</f>
        <v>210.00000000000003</v>
      </c>
      <c r="J19" s="1">
        <f>('Kwh Consumption'!M20+'Kwh Consumption'!N20+'Kwh Consumption'!O20+'Kwh Consumption'!P20+'Kwh Consumption'!Q20+'Kwh Consumption'!R20)*' Kwh area wise $ '!B19</f>
        <v>685.99999999998886</v>
      </c>
      <c r="K19" s="1">
        <f>('Kwh Consumption'!S20+'Kwh Consumption'!T20)*' Kwh area wise $ '!B19</f>
        <v>882.74479999991138</v>
      </c>
      <c r="L19" s="1">
        <f>'Kwh Consumption'!U20*' Kwh area wise $ '!B19</f>
        <v>36.399999999998727</v>
      </c>
      <c r="M19" s="1">
        <f>'Kwh Consumption'!V20*' Kwh area wise $ '!B19</f>
        <v>954.05520000026138</v>
      </c>
    </row>
    <row r="20" spans="1:13" x14ac:dyDescent="0.25">
      <c r="A20" s="14">
        <f>'Kwh Reading'!A21</f>
        <v>44395</v>
      </c>
      <c r="B20" s="11">
        <f>TOTAL!F19</f>
        <v>0.14000000000000001</v>
      </c>
      <c r="C20" s="11">
        <f>'Kwh Consumption'!B21*' Kwh area wise $ '!B20</f>
        <v>3334.8000000000229</v>
      </c>
      <c r="D20" s="1">
        <f>'Kwh Consumption'!C21*' Kwh area wise $ '!B20</f>
        <v>86.800000000000651</v>
      </c>
      <c r="E20" s="1">
        <f>'Kwh Consumption'!D21*' Kwh area wise $ '!B20</f>
        <v>335.99999999996305</v>
      </c>
      <c r="F20" s="1">
        <f>'Kwh Consumption'!E21*' Kwh area wise $ '!B20</f>
        <v>35</v>
      </c>
      <c r="G20" s="1">
        <f>('Kwh Consumption'!F21+'Kwh Consumption'!G21+'Kwh Consumption'!H21)*' Kwh area wise $ '!B20</f>
        <v>107.80000000000543</v>
      </c>
      <c r="H20" s="16">
        <f>('Kwh Consumption'!I21+'Kwh Consumption'!J21)*' Kwh area wise $ '!B20</f>
        <v>71.400000000002706</v>
      </c>
      <c r="I20" s="1">
        <f>('Kwh Consumption'!K21+'Kwh Consumption'!L21)*' Kwh area wise $ '!B20</f>
        <v>277.19999999999459</v>
      </c>
      <c r="J20" s="1">
        <f>('Kwh Consumption'!M21+'Kwh Consumption'!N21+'Kwh Consumption'!O21+'Kwh Consumption'!P21+'Kwh Consumption'!Q21+'Kwh Consumption'!R21)*' Kwh area wise $ '!B20</f>
        <v>679.00000000001125</v>
      </c>
      <c r="K20" s="1">
        <f>('Kwh Consumption'!S21+'Kwh Consumption'!T21)*' Kwh area wise $ '!B20</f>
        <v>857.96899999994798</v>
      </c>
      <c r="L20" s="1">
        <f>'Kwh Consumption'!U21*' Kwh area wise $ '!B20</f>
        <v>33.600000000001273</v>
      </c>
      <c r="M20" s="1">
        <f>'Kwh Consumption'!V21*' Kwh area wise $ '!B20</f>
        <v>850.03100000009601</v>
      </c>
    </row>
    <row r="21" spans="1:13" x14ac:dyDescent="0.25">
      <c r="A21" s="14">
        <f>'Kwh Reading'!A22</f>
        <v>44396</v>
      </c>
      <c r="B21" s="11">
        <f>TOTAL!F20</f>
        <v>0.14000000000000001</v>
      </c>
      <c r="C21" s="11">
        <f>'Kwh Consumption'!B22*' Kwh area wise $ '!B21</f>
        <v>3291.3999999998082</v>
      </c>
      <c r="D21" s="1">
        <f>'Kwh Consumption'!C22*' Kwh area wise $ '!B21</f>
        <v>71.399999999998727</v>
      </c>
      <c r="E21" s="1">
        <f>'Kwh Consumption'!D22*' Kwh area wise $ '!B21</f>
        <v>321.99999999999562</v>
      </c>
      <c r="F21" s="1">
        <f>'Kwh Consumption'!E22*' Kwh area wise $ '!B21</f>
        <v>29.399999999997139</v>
      </c>
      <c r="G21" s="1">
        <f>('Kwh Consumption'!F22+'Kwh Consumption'!G22+'Kwh Consumption'!H22)*' Kwh area wise $ '!B21</f>
        <v>89.599999999994125</v>
      </c>
      <c r="H21" s="16">
        <f>('Kwh Consumption'!I22+'Kwh Consumption'!J22)*' Kwh area wise $ '!B21</f>
        <v>51.799999999996665</v>
      </c>
      <c r="I21" s="1">
        <f>('Kwh Consumption'!K22+'Kwh Consumption'!L22)*' Kwh area wise $ '!B21</f>
        <v>239.39999999999716</v>
      </c>
      <c r="J21" s="1">
        <f>('Kwh Consumption'!M22+'Kwh Consumption'!N22+'Kwh Consumption'!O22+'Kwh Consumption'!P22+'Kwh Consumption'!Q22+'Kwh Consumption'!R22)*' Kwh area wise $ '!B21</f>
        <v>678.99999999997942</v>
      </c>
      <c r="K21" s="1">
        <f>('Kwh Consumption'!S22+'Kwh Consumption'!T22)*' Kwh area wise $ '!B21</f>
        <v>823.50100000005227</v>
      </c>
      <c r="L21" s="1">
        <f>'Kwh Consumption'!U22*' Kwh area wise $ '!B21</f>
        <v>32.199999999998568</v>
      </c>
      <c r="M21" s="1">
        <f>'Kwh Consumption'!V22*' Kwh area wise $ '!B21</f>
        <v>953.09899999979871</v>
      </c>
    </row>
    <row r="22" spans="1:13" x14ac:dyDescent="0.25">
      <c r="A22" s="14">
        <f>'Kwh Reading'!A23</f>
        <v>44397</v>
      </c>
      <c r="B22" s="11">
        <f>TOTAL!F21</f>
        <v>0.14000000000000001</v>
      </c>
      <c r="C22" s="11">
        <f>'Kwh Consumption'!B23*' Kwh area wise $ '!B22</f>
        <v>3528.0000000001023</v>
      </c>
      <c r="D22" s="1">
        <f>'Kwh Consumption'!C23*' Kwh area wise $ '!B22</f>
        <v>61.599999999999689</v>
      </c>
      <c r="E22" s="1">
        <f>'Kwh Consumption'!D23*' Kwh area wise $ '!B22</f>
        <v>377.99999999998948</v>
      </c>
      <c r="F22" s="1">
        <f>'Kwh Consumption'!E23*' Kwh area wise $ '!B22</f>
        <v>39.200000000000166</v>
      </c>
      <c r="G22" s="1">
        <f>('Kwh Consumption'!F23+'Kwh Consumption'!G23+'Kwh Consumption'!H23)*' Kwh area wise $ '!B22</f>
        <v>145.59999999999491</v>
      </c>
      <c r="H22" s="16">
        <f>('Kwh Consumption'!I23+'Kwh Consumption'!J23)*' Kwh area wise $ '!B22</f>
        <v>61.600000000001678</v>
      </c>
      <c r="I22" s="1">
        <f>('Kwh Consumption'!K23+'Kwh Consumption'!L23)*' Kwh area wise $ '!B22</f>
        <v>256.19999999999777</v>
      </c>
      <c r="J22" s="1">
        <f>('Kwh Consumption'!M23+'Kwh Consumption'!N23+'Kwh Consumption'!O23+'Kwh Consumption'!P23+'Kwh Consumption'!Q23+'Kwh Consumption'!R23)*' Kwh area wise $ '!B22</f>
        <v>730.80000000001178</v>
      </c>
      <c r="K22" s="1">
        <f>('Kwh Consumption'!S23+'Kwh Consumption'!T23)*' Kwh area wise $ '!B22</f>
        <v>910.70839999994269</v>
      </c>
      <c r="L22" s="1">
        <f>'Kwh Consumption'!U23*' Kwh area wise $ '!B22</f>
        <v>33.600000000001273</v>
      </c>
      <c r="M22" s="1">
        <f>'Kwh Consumption'!V23*' Kwh area wise $ '!B22</f>
        <v>910.69160000016336</v>
      </c>
    </row>
    <row r="23" spans="1:13" x14ac:dyDescent="0.25">
      <c r="A23" s="14">
        <f>'Kwh Reading'!A24</f>
        <v>44398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-60184.600000000006</v>
      </c>
      <c r="E23" s="1">
        <f>'Kwh Consumption'!D24*' Kwh area wise $ '!B23</f>
        <v>-340060.00000000006</v>
      </c>
      <c r="F23" s="1">
        <f>'Kwh Consumption'!E24*' Kwh area wise $ '!B23</f>
        <v>-32800.600000000006</v>
      </c>
      <c r="G23" s="1">
        <f>('Kwh Consumption'!F24+'Kwh Consumption'!G24+'Kwh Consumption'!H24)*' Kwh area wise $ '!B23</f>
        <v>-126663.6</v>
      </c>
      <c r="H23" s="16">
        <f>('Kwh Consumption'!I24+'Kwh Consumption'!J24)*' Kwh area wise $ '!B23</f>
        <v>-39401.600000000006</v>
      </c>
      <c r="I23" s="1">
        <f>('Kwh Consumption'!K24+'Kwh Consumption'!L24)*' Kwh area wise $ '!B23</f>
        <v>-175152.6</v>
      </c>
      <c r="J23" s="1">
        <f>('Kwh Consumption'!M24+'Kwh Consumption'!N24+'Kwh Consumption'!O24+'Kwh Consumption'!P24+'Kwh Consumption'!Q24+'Kwh Consumption'!R24)*' Kwh area wise $ '!B23</f>
        <v>-494534.60000000003</v>
      </c>
      <c r="K23" s="1">
        <f>('Kwh Consumption'!S24+'Kwh Consumption'!T24)*' Kwh area wise $ '!B23</f>
        <v>-2209274.0852000001</v>
      </c>
      <c r="L23" s="1">
        <f>'Kwh Consumption'!U24*' Kwh area wise $ '!B23</f>
        <v>-21821.800000000003</v>
      </c>
      <c r="M23" s="1">
        <f>'Kwh Consumption'!V24*' Kwh area wise $ '!B23</f>
        <v>3499893.4852000005</v>
      </c>
    </row>
    <row r="24" spans="1:13" x14ac:dyDescent="0.25">
      <c r="A24" s="14">
        <f>'Kwh Reading'!A25</f>
        <v>44399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44400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44401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44402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44403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44404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44405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44406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44407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44408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64916.600000000086</v>
      </c>
      <c r="D34" s="75">
        <f t="shared" si="0"/>
        <v>-58898.000000000007</v>
      </c>
      <c r="E34" s="75">
        <f t="shared" si="0"/>
        <v>-333312.00000000006</v>
      </c>
      <c r="F34" s="75">
        <f t="shared" si="0"/>
        <v>-32141.200000000008</v>
      </c>
      <c r="G34" s="75">
        <f t="shared" si="0"/>
        <v>-124762.40000000001</v>
      </c>
      <c r="H34" s="75">
        <f t="shared" si="0"/>
        <v>-38204.600000000006</v>
      </c>
      <c r="I34" s="75">
        <f t="shared" si="0"/>
        <v>-170410.8</v>
      </c>
      <c r="J34" s="75">
        <f t="shared" si="0"/>
        <v>-481465.60000000003</v>
      </c>
      <c r="K34" s="75">
        <f t="shared" si="0"/>
        <v>-2193129.6016000002</v>
      </c>
      <c r="L34" s="75">
        <f t="shared" si="0"/>
        <v>-21193.200000000001</v>
      </c>
      <c r="M34" s="75">
        <f>SUM(M3:M33)</f>
        <v>3518434.0016000005</v>
      </c>
      <c r="N34" s="84">
        <f>D34+E34+F34+G34+H34+I34+J34+K34+L34+M34</f>
        <v>64916.600000000093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C24" sqref="C24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44378</v>
      </c>
      <c r="B3" s="33">
        <v>169330</v>
      </c>
      <c r="C3" s="56">
        <v>128135</v>
      </c>
      <c r="D3" s="33">
        <v>209296</v>
      </c>
      <c r="E3" s="33">
        <v>247852</v>
      </c>
      <c r="F3" s="33">
        <v>66928</v>
      </c>
      <c r="G3" s="33">
        <v>111641</v>
      </c>
      <c r="H3" s="33">
        <v>52942</v>
      </c>
      <c r="I3" s="33">
        <v>63628</v>
      </c>
      <c r="J3" s="33">
        <v>20282</v>
      </c>
      <c r="K3" s="33">
        <v>1024</v>
      </c>
      <c r="L3" s="33">
        <v>17229</v>
      </c>
      <c r="M3" s="33">
        <v>24158</v>
      </c>
      <c r="N3" s="33">
        <v>7292</v>
      </c>
      <c r="O3" s="33">
        <v>1670</v>
      </c>
      <c r="P3" s="33">
        <v>27014</v>
      </c>
      <c r="Q3" s="33">
        <v>641.5</v>
      </c>
      <c r="R3" s="33">
        <v>6229</v>
      </c>
    </row>
    <row r="4" spans="1:21" x14ac:dyDescent="0.25">
      <c r="A4" s="54">
        <v>44379</v>
      </c>
      <c r="B4" s="56">
        <v>169882</v>
      </c>
      <c r="C4" s="56">
        <v>128197</v>
      </c>
      <c r="D4" s="55">
        <v>209425</v>
      </c>
      <c r="E4" s="55">
        <v>247907</v>
      </c>
      <c r="F4" s="55">
        <v>66929</v>
      </c>
      <c r="G4" s="55">
        <v>111656</v>
      </c>
      <c r="H4" s="33">
        <v>52967</v>
      </c>
      <c r="I4" s="55">
        <v>63657</v>
      </c>
      <c r="J4" s="55">
        <v>20302</v>
      </c>
      <c r="K4" s="55">
        <v>1024</v>
      </c>
      <c r="L4" s="55">
        <v>17236</v>
      </c>
      <c r="M4" s="55">
        <v>24174</v>
      </c>
      <c r="N4" s="55">
        <v>7298</v>
      </c>
      <c r="O4" s="55">
        <v>1671</v>
      </c>
      <c r="P4" s="55">
        <v>27027</v>
      </c>
      <c r="Q4" s="33">
        <v>649.29999999999995</v>
      </c>
      <c r="R4" s="55">
        <v>6233</v>
      </c>
    </row>
    <row r="5" spans="1:21" x14ac:dyDescent="0.25">
      <c r="A5" s="54">
        <v>44380</v>
      </c>
      <c r="B5" s="55">
        <v>170086</v>
      </c>
      <c r="C5" s="33">
        <v>128487</v>
      </c>
      <c r="D5" s="55">
        <v>209595</v>
      </c>
      <c r="E5" s="55">
        <v>247966</v>
      </c>
      <c r="F5" s="55">
        <v>66931</v>
      </c>
      <c r="G5" s="55">
        <v>111672</v>
      </c>
      <c r="H5" s="33">
        <v>53006</v>
      </c>
      <c r="I5" s="55">
        <v>63668</v>
      </c>
      <c r="J5" s="55">
        <v>20322</v>
      </c>
      <c r="K5" s="55">
        <v>1024</v>
      </c>
      <c r="L5" s="55">
        <v>17244</v>
      </c>
      <c r="M5" s="55">
        <v>24188</v>
      </c>
      <c r="N5" s="55">
        <v>7304</v>
      </c>
      <c r="O5" s="55">
        <v>1672</v>
      </c>
      <c r="P5" s="55">
        <v>27027</v>
      </c>
      <c r="Q5" s="33">
        <v>652</v>
      </c>
      <c r="R5" s="55">
        <v>6234</v>
      </c>
    </row>
    <row r="6" spans="1:21" x14ac:dyDescent="0.25">
      <c r="A6" s="54">
        <v>44381</v>
      </c>
      <c r="B6" s="56">
        <v>170694</v>
      </c>
      <c r="C6" s="56">
        <v>128594</v>
      </c>
      <c r="D6" s="55">
        <v>209781</v>
      </c>
      <c r="E6" s="55">
        <v>248016</v>
      </c>
      <c r="F6" s="55">
        <v>66932</v>
      </c>
      <c r="G6" s="55">
        <v>111683</v>
      </c>
      <c r="H6" s="33">
        <v>53031</v>
      </c>
      <c r="I6" s="55">
        <v>63693</v>
      </c>
      <c r="J6" s="55">
        <v>20341</v>
      </c>
      <c r="K6" s="55">
        <v>1024</v>
      </c>
      <c r="L6" s="55">
        <v>17250</v>
      </c>
      <c r="M6" s="55">
        <v>24204</v>
      </c>
      <c r="N6" s="55">
        <v>7309</v>
      </c>
      <c r="O6" s="55">
        <v>1673</v>
      </c>
      <c r="P6" s="55">
        <v>27040</v>
      </c>
      <c r="Q6" s="33">
        <v>657</v>
      </c>
      <c r="R6" s="55">
        <v>6238</v>
      </c>
    </row>
    <row r="7" spans="1:21" x14ac:dyDescent="0.25">
      <c r="A7" s="54">
        <v>44382</v>
      </c>
      <c r="B7" s="56">
        <v>171066</v>
      </c>
      <c r="C7" s="33">
        <v>128664</v>
      </c>
      <c r="D7" s="55">
        <v>209876</v>
      </c>
      <c r="E7" s="55">
        <v>248084</v>
      </c>
      <c r="F7" s="55">
        <v>66933</v>
      </c>
      <c r="G7" s="55">
        <v>111699</v>
      </c>
      <c r="H7" s="33">
        <v>53072</v>
      </c>
      <c r="I7" s="55">
        <v>63718</v>
      </c>
      <c r="J7" s="55">
        <v>20357</v>
      </c>
      <c r="K7" s="55">
        <v>1024</v>
      </c>
      <c r="L7" s="55">
        <v>17257</v>
      </c>
      <c r="M7" s="55">
        <v>24218</v>
      </c>
      <c r="N7" s="55">
        <v>7315</v>
      </c>
      <c r="O7" s="55">
        <v>1674</v>
      </c>
      <c r="P7" s="55">
        <v>27049</v>
      </c>
      <c r="Q7" s="33">
        <v>662</v>
      </c>
      <c r="R7" s="55">
        <v>6242</v>
      </c>
    </row>
    <row r="8" spans="1:21" x14ac:dyDescent="0.25">
      <c r="A8" s="54">
        <v>44383</v>
      </c>
      <c r="B8" s="33">
        <v>171066</v>
      </c>
      <c r="C8" s="56">
        <v>129174</v>
      </c>
      <c r="D8" s="55">
        <v>209994</v>
      </c>
      <c r="E8" s="55">
        <v>248146</v>
      </c>
      <c r="F8" s="55">
        <v>66933</v>
      </c>
      <c r="G8" s="55">
        <v>111715</v>
      </c>
      <c r="H8" s="33">
        <v>53105</v>
      </c>
      <c r="I8" s="55">
        <v>63743</v>
      </c>
      <c r="J8" s="55">
        <v>20368</v>
      </c>
      <c r="K8" s="55">
        <v>1024</v>
      </c>
      <c r="L8" s="55">
        <v>17264</v>
      </c>
      <c r="M8" s="55">
        <v>24236</v>
      </c>
      <c r="N8" s="55">
        <v>7320</v>
      </c>
      <c r="O8" s="55">
        <v>1675</v>
      </c>
      <c r="P8" s="55">
        <v>27061</v>
      </c>
      <c r="Q8" s="33">
        <v>672</v>
      </c>
      <c r="R8" s="55">
        <v>6245</v>
      </c>
    </row>
    <row r="9" spans="1:21" x14ac:dyDescent="0.25">
      <c r="A9" s="54">
        <v>44384</v>
      </c>
      <c r="B9" s="56">
        <v>171066</v>
      </c>
      <c r="C9" s="33">
        <v>129174</v>
      </c>
      <c r="D9" s="55">
        <v>210091</v>
      </c>
      <c r="E9" s="55">
        <v>248213</v>
      </c>
      <c r="F9" s="55">
        <v>66936</v>
      </c>
      <c r="G9" s="55">
        <v>111728</v>
      </c>
      <c r="H9" s="33">
        <v>53144</v>
      </c>
      <c r="I9" s="55">
        <v>63773</v>
      </c>
      <c r="J9" s="55">
        <v>20379</v>
      </c>
      <c r="K9" s="55">
        <v>1024</v>
      </c>
      <c r="L9" s="55">
        <v>17271</v>
      </c>
      <c r="M9" s="55">
        <v>24248</v>
      </c>
      <c r="N9" s="55">
        <v>7333</v>
      </c>
      <c r="O9" s="55">
        <v>1675</v>
      </c>
      <c r="P9" s="55">
        <v>27075</v>
      </c>
      <c r="Q9" s="33">
        <v>677</v>
      </c>
      <c r="R9" s="55">
        <v>6249</v>
      </c>
    </row>
    <row r="10" spans="1:21" x14ac:dyDescent="0.25">
      <c r="A10" s="54">
        <v>44385</v>
      </c>
      <c r="B10" s="33">
        <v>171066</v>
      </c>
      <c r="C10" s="56">
        <v>129442</v>
      </c>
      <c r="D10" s="55">
        <v>210185</v>
      </c>
      <c r="E10" s="55">
        <v>248276</v>
      </c>
      <c r="F10" s="55">
        <v>66937</v>
      </c>
      <c r="G10" s="55">
        <v>111743</v>
      </c>
      <c r="H10" s="33">
        <v>53170</v>
      </c>
      <c r="I10" s="55">
        <v>63784</v>
      </c>
      <c r="J10" s="55">
        <v>20391</v>
      </c>
      <c r="K10" s="55">
        <v>1024</v>
      </c>
      <c r="L10" s="55">
        <v>17278</v>
      </c>
      <c r="M10" s="55">
        <v>24264</v>
      </c>
      <c r="N10" s="55">
        <v>7341</v>
      </c>
      <c r="O10" s="55">
        <v>1676</v>
      </c>
      <c r="P10" s="55">
        <v>27075</v>
      </c>
      <c r="Q10" s="33">
        <v>689</v>
      </c>
      <c r="R10" s="55">
        <v>6253</v>
      </c>
    </row>
    <row r="11" spans="1:21" x14ac:dyDescent="0.25">
      <c r="A11" s="54">
        <v>44386</v>
      </c>
      <c r="B11" s="56">
        <v>171066</v>
      </c>
      <c r="C11" s="33">
        <v>129507</v>
      </c>
      <c r="D11" s="55">
        <v>210285</v>
      </c>
      <c r="E11" s="55">
        <v>248332</v>
      </c>
      <c r="F11" s="55">
        <v>66939</v>
      </c>
      <c r="G11" s="55">
        <v>111759</v>
      </c>
      <c r="H11" s="33">
        <v>53197</v>
      </c>
      <c r="I11" s="55">
        <v>63803</v>
      </c>
      <c r="J11" s="55">
        <v>20402</v>
      </c>
      <c r="K11" s="55">
        <v>1024</v>
      </c>
      <c r="L11" s="55">
        <v>17286</v>
      </c>
      <c r="M11" s="55">
        <v>24279</v>
      </c>
      <c r="N11" s="55">
        <v>7342</v>
      </c>
      <c r="O11" s="55">
        <v>1678</v>
      </c>
      <c r="P11" s="55">
        <v>27092</v>
      </c>
      <c r="Q11" s="33">
        <v>695</v>
      </c>
      <c r="R11" s="55">
        <v>6258</v>
      </c>
    </row>
    <row r="12" spans="1:21" x14ac:dyDescent="0.25">
      <c r="A12" s="54">
        <v>44387</v>
      </c>
      <c r="B12" s="33">
        <v>171066</v>
      </c>
      <c r="C12" s="56">
        <v>130185</v>
      </c>
      <c r="D12" s="55">
        <v>210387</v>
      </c>
      <c r="E12" s="55">
        <v>248395</v>
      </c>
      <c r="F12" s="55">
        <v>66940</v>
      </c>
      <c r="G12" s="55">
        <v>111777</v>
      </c>
      <c r="H12" s="33">
        <v>53228</v>
      </c>
      <c r="I12" s="55">
        <v>63823</v>
      </c>
      <c r="J12" s="55">
        <v>20413</v>
      </c>
      <c r="K12" s="55">
        <v>1024</v>
      </c>
      <c r="L12" s="55">
        <v>17295</v>
      </c>
      <c r="M12" s="55">
        <v>24297</v>
      </c>
      <c r="N12" s="55">
        <v>7347</v>
      </c>
      <c r="O12" s="55">
        <v>1679</v>
      </c>
      <c r="P12" s="55">
        <v>27095</v>
      </c>
      <c r="Q12" s="33">
        <v>697</v>
      </c>
      <c r="R12" s="55">
        <v>6259</v>
      </c>
    </row>
    <row r="13" spans="1:21" x14ac:dyDescent="0.25">
      <c r="A13" s="54">
        <v>44388</v>
      </c>
      <c r="B13" s="56">
        <v>171066</v>
      </c>
      <c r="C13" s="33">
        <v>130360</v>
      </c>
      <c r="D13" s="55">
        <v>210583</v>
      </c>
      <c r="E13" s="55">
        <v>248453</v>
      </c>
      <c r="F13" s="55">
        <v>66940</v>
      </c>
      <c r="G13" s="55">
        <v>111791</v>
      </c>
      <c r="H13" s="33">
        <v>53264</v>
      </c>
      <c r="I13" s="55">
        <v>63847</v>
      </c>
      <c r="J13" s="55">
        <v>20424</v>
      </c>
      <c r="K13" s="55">
        <v>1024</v>
      </c>
      <c r="L13" s="55">
        <v>17304</v>
      </c>
      <c r="M13" s="55">
        <v>24314</v>
      </c>
      <c r="N13" s="55">
        <v>7351</v>
      </c>
      <c r="O13" s="55">
        <v>1680</v>
      </c>
      <c r="P13" s="55">
        <v>27097</v>
      </c>
      <c r="Q13" s="33">
        <v>702</v>
      </c>
      <c r="R13" s="55">
        <v>6265</v>
      </c>
    </row>
    <row r="14" spans="1:21" x14ac:dyDescent="0.25">
      <c r="A14" s="54">
        <v>44389</v>
      </c>
      <c r="B14" s="33">
        <v>171066</v>
      </c>
      <c r="C14" s="56">
        <v>130404</v>
      </c>
      <c r="D14" s="55">
        <v>210733</v>
      </c>
      <c r="E14" s="55">
        <v>248513</v>
      </c>
      <c r="F14" s="55">
        <v>66941</v>
      </c>
      <c r="G14" s="55">
        <v>111808</v>
      </c>
      <c r="H14" s="33">
        <v>53334</v>
      </c>
      <c r="I14" s="55">
        <v>63875</v>
      </c>
      <c r="J14" s="55">
        <v>20435</v>
      </c>
      <c r="K14" s="55">
        <v>1024</v>
      </c>
      <c r="L14" s="55">
        <v>17311</v>
      </c>
      <c r="M14" s="55">
        <v>24329</v>
      </c>
      <c r="N14" s="55">
        <v>7358</v>
      </c>
      <c r="O14" s="55">
        <v>1680</v>
      </c>
      <c r="P14" s="55">
        <v>27110</v>
      </c>
      <c r="Q14" s="33">
        <v>708</v>
      </c>
      <c r="R14" s="55">
        <v>6280</v>
      </c>
    </row>
    <row r="15" spans="1:21" x14ac:dyDescent="0.25">
      <c r="A15" s="54">
        <v>44390</v>
      </c>
      <c r="B15" s="33">
        <v>171066</v>
      </c>
      <c r="C15" s="33">
        <v>131440</v>
      </c>
      <c r="D15" s="55">
        <v>210858</v>
      </c>
      <c r="E15" s="55">
        <v>248573</v>
      </c>
      <c r="F15" s="55">
        <v>66941</v>
      </c>
      <c r="G15" s="55">
        <v>111821</v>
      </c>
      <c r="H15" s="33">
        <v>53428</v>
      </c>
      <c r="I15" s="55">
        <v>63899</v>
      </c>
      <c r="J15" s="55">
        <v>20447</v>
      </c>
      <c r="K15" s="55">
        <v>1024</v>
      </c>
      <c r="L15" s="55">
        <v>17319</v>
      </c>
      <c r="M15" s="55">
        <v>24346</v>
      </c>
      <c r="N15" s="55">
        <v>7363</v>
      </c>
      <c r="O15" s="55">
        <v>1681</v>
      </c>
      <c r="P15" s="55">
        <v>27119</v>
      </c>
      <c r="Q15" s="33">
        <v>712</v>
      </c>
      <c r="R15" s="55">
        <v>6286</v>
      </c>
      <c r="T15" s="110"/>
      <c r="U15" s="110"/>
    </row>
    <row r="16" spans="1:21" x14ac:dyDescent="0.25">
      <c r="A16" s="54">
        <v>44391</v>
      </c>
      <c r="B16" s="33">
        <v>171066</v>
      </c>
      <c r="C16" s="56">
        <v>131454</v>
      </c>
      <c r="D16" s="55">
        <v>210969</v>
      </c>
      <c r="E16" s="55">
        <v>248639</v>
      </c>
      <c r="F16" s="55">
        <v>66942</v>
      </c>
      <c r="G16" s="55">
        <v>111839</v>
      </c>
      <c r="H16" s="33">
        <v>53495</v>
      </c>
      <c r="I16" s="55">
        <v>63927</v>
      </c>
      <c r="J16" s="55">
        <v>20459</v>
      </c>
      <c r="K16" s="55">
        <v>1024</v>
      </c>
      <c r="L16" s="55">
        <v>17331</v>
      </c>
      <c r="M16" s="55">
        <v>24365</v>
      </c>
      <c r="N16" s="55">
        <v>7366</v>
      </c>
      <c r="O16" s="55">
        <v>1682</v>
      </c>
      <c r="P16" s="55">
        <v>27130</v>
      </c>
      <c r="Q16" s="33">
        <v>714</v>
      </c>
      <c r="R16" s="55">
        <v>6292</v>
      </c>
    </row>
    <row r="17" spans="1:22" x14ac:dyDescent="0.25">
      <c r="A17" s="54">
        <v>44392</v>
      </c>
      <c r="B17" s="33">
        <v>171066</v>
      </c>
      <c r="C17" s="33">
        <v>131547</v>
      </c>
      <c r="D17" s="55">
        <v>211077</v>
      </c>
      <c r="E17" s="55">
        <v>248694</v>
      </c>
      <c r="F17" s="55">
        <v>66943</v>
      </c>
      <c r="G17" s="55">
        <v>111849</v>
      </c>
      <c r="H17" s="33">
        <v>53555</v>
      </c>
      <c r="I17" s="55">
        <v>63951</v>
      </c>
      <c r="J17" s="55">
        <v>20470</v>
      </c>
      <c r="K17" s="55">
        <v>1024</v>
      </c>
      <c r="L17" s="55">
        <v>17339</v>
      </c>
      <c r="M17" s="55">
        <v>24379</v>
      </c>
      <c r="N17" s="55">
        <v>7368</v>
      </c>
      <c r="O17" s="55">
        <v>1683</v>
      </c>
      <c r="P17" s="55">
        <v>27142</v>
      </c>
      <c r="Q17" s="33">
        <v>715.2</v>
      </c>
      <c r="R17" s="55">
        <v>6298</v>
      </c>
    </row>
    <row r="18" spans="1:22" x14ac:dyDescent="0.25">
      <c r="A18" s="54">
        <v>44393</v>
      </c>
      <c r="B18" s="33">
        <v>171066</v>
      </c>
      <c r="C18" s="56">
        <v>131562</v>
      </c>
      <c r="D18" s="55">
        <v>211190</v>
      </c>
      <c r="E18" s="55">
        <v>248754</v>
      </c>
      <c r="F18" s="55">
        <v>66944</v>
      </c>
      <c r="G18" s="55">
        <v>111869</v>
      </c>
      <c r="H18" s="33">
        <v>53627</v>
      </c>
      <c r="I18" s="55">
        <v>63997</v>
      </c>
      <c r="J18" s="33">
        <v>20482</v>
      </c>
      <c r="K18" s="55">
        <v>1024</v>
      </c>
      <c r="L18" s="55">
        <v>17347</v>
      </c>
      <c r="M18" s="55">
        <v>24395</v>
      </c>
      <c r="N18" s="55">
        <v>7371</v>
      </c>
      <c r="O18" s="55">
        <v>1684</v>
      </c>
      <c r="P18" s="55">
        <v>27154</v>
      </c>
      <c r="Q18" s="33">
        <v>721</v>
      </c>
      <c r="R18" s="55">
        <v>6303</v>
      </c>
      <c r="U18" s="110"/>
    </row>
    <row r="19" spans="1:22" x14ac:dyDescent="0.25">
      <c r="A19" s="54">
        <v>44394</v>
      </c>
      <c r="B19" s="33">
        <v>171066</v>
      </c>
      <c r="C19" s="33">
        <v>132114</v>
      </c>
      <c r="D19" s="55">
        <v>211339</v>
      </c>
      <c r="E19" s="55">
        <v>248822</v>
      </c>
      <c r="F19" s="55">
        <v>66945</v>
      </c>
      <c r="G19" s="55">
        <v>111892</v>
      </c>
      <c r="H19" s="33">
        <v>53704</v>
      </c>
      <c r="I19" s="55">
        <v>64017</v>
      </c>
      <c r="J19" s="55">
        <v>20495</v>
      </c>
      <c r="K19" s="55">
        <v>1024</v>
      </c>
      <c r="L19" s="55">
        <v>17355</v>
      </c>
      <c r="M19" s="55">
        <v>24412</v>
      </c>
      <c r="N19" s="55">
        <v>7374</v>
      </c>
      <c r="O19" s="55">
        <v>1686</v>
      </c>
      <c r="P19" s="55">
        <v>27154</v>
      </c>
      <c r="Q19" s="33">
        <v>724</v>
      </c>
      <c r="R19" s="55">
        <v>6309</v>
      </c>
    </row>
    <row r="20" spans="1:22" x14ac:dyDescent="0.25">
      <c r="A20" s="54">
        <v>44395</v>
      </c>
      <c r="B20" s="33">
        <v>171066</v>
      </c>
      <c r="C20" s="56">
        <v>132437</v>
      </c>
      <c r="D20" s="10">
        <v>211485</v>
      </c>
      <c r="E20" s="55">
        <v>248883</v>
      </c>
      <c r="F20" s="55">
        <v>66946</v>
      </c>
      <c r="G20" s="55">
        <v>111911</v>
      </c>
      <c r="H20" s="33">
        <v>53753</v>
      </c>
      <c r="I20" s="55">
        <v>64052</v>
      </c>
      <c r="J20" s="55">
        <v>20506</v>
      </c>
      <c r="K20" s="55">
        <v>1024</v>
      </c>
      <c r="L20" s="55">
        <v>17363</v>
      </c>
      <c r="M20" s="55">
        <v>24427</v>
      </c>
      <c r="N20" s="55">
        <v>7380</v>
      </c>
      <c r="O20" s="55">
        <v>1686</v>
      </c>
      <c r="P20" s="55">
        <v>27168</v>
      </c>
      <c r="Q20" s="33">
        <v>728</v>
      </c>
      <c r="R20" s="55">
        <v>6315</v>
      </c>
    </row>
    <row r="21" spans="1:22" x14ac:dyDescent="0.25">
      <c r="A21" s="54">
        <v>44396</v>
      </c>
      <c r="B21" s="33">
        <v>171066</v>
      </c>
      <c r="C21" s="33">
        <v>132468</v>
      </c>
      <c r="D21" s="55">
        <v>211649</v>
      </c>
      <c r="E21" s="55">
        <v>248937</v>
      </c>
      <c r="F21" s="55">
        <v>66947</v>
      </c>
      <c r="G21" s="55">
        <v>111932</v>
      </c>
      <c r="H21" s="33">
        <v>53795</v>
      </c>
      <c r="I21" s="55">
        <v>64085</v>
      </c>
      <c r="J21" s="55">
        <v>20519</v>
      </c>
      <c r="K21" s="55">
        <v>1024</v>
      </c>
      <c r="L21" s="55">
        <v>17371</v>
      </c>
      <c r="M21" s="55">
        <v>24439</v>
      </c>
      <c r="N21" s="55">
        <v>7382</v>
      </c>
      <c r="O21" s="55">
        <v>1687</v>
      </c>
      <c r="P21" s="55">
        <v>27180</v>
      </c>
      <c r="Q21" s="33">
        <v>732</v>
      </c>
      <c r="R21" s="55">
        <v>6325</v>
      </c>
    </row>
    <row r="22" spans="1:22" x14ac:dyDescent="0.25">
      <c r="A22" s="54">
        <v>44397</v>
      </c>
      <c r="B22" s="33">
        <v>171066</v>
      </c>
      <c r="C22" s="56">
        <v>132485</v>
      </c>
      <c r="D22" s="55">
        <v>211813</v>
      </c>
      <c r="E22" s="55">
        <v>248993</v>
      </c>
      <c r="F22" s="55">
        <v>66947</v>
      </c>
      <c r="G22" s="55">
        <v>111947</v>
      </c>
      <c r="H22" s="33">
        <v>53830</v>
      </c>
      <c r="I22" s="55">
        <v>64111</v>
      </c>
      <c r="J22" s="55">
        <v>20529</v>
      </c>
      <c r="K22" s="55">
        <v>1024</v>
      </c>
      <c r="L22" s="55">
        <v>17379</v>
      </c>
      <c r="M22" s="55">
        <v>24455</v>
      </c>
      <c r="N22" s="55">
        <v>7386</v>
      </c>
      <c r="O22" s="55">
        <v>1687</v>
      </c>
      <c r="P22" s="55">
        <v>27186</v>
      </c>
      <c r="Q22" s="33">
        <v>737</v>
      </c>
      <c r="R22" s="55">
        <v>6331</v>
      </c>
    </row>
    <row r="23" spans="1:22" x14ac:dyDescent="0.25">
      <c r="A23" s="54">
        <v>44398</v>
      </c>
      <c r="B23" s="33">
        <v>171066</v>
      </c>
      <c r="C23" s="33">
        <v>132519</v>
      </c>
      <c r="D23" s="55">
        <v>211967</v>
      </c>
      <c r="E23" s="55">
        <v>249055</v>
      </c>
      <c r="F23" s="55">
        <v>66948</v>
      </c>
      <c r="G23" s="55">
        <v>111970</v>
      </c>
      <c r="H23" s="33">
        <v>53869</v>
      </c>
      <c r="I23" s="55">
        <v>64151</v>
      </c>
      <c r="J23" s="55">
        <v>20541</v>
      </c>
      <c r="K23" s="55">
        <v>1024</v>
      </c>
      <c r="L23" s="55">
        <v>17387</v>
      </c>
      <c r="M23" s="55">
        <v>24471</v>
      </c>
      <c r="N23" s="55">
        <v>7388</v>
      </c>
      <c r="O23" s="55">
        <v>1689</v>
      </c>
      <c r="P23" s="55">
        <v>27201</v>
      </c>
      <c r="Q23" s="33">
        <v>739</v>
      </c>
      <c r="R23" s="55">
        <v>6335</v>
      </c>
    </row>
    <row r="24" spans="1:22" x14ac:dyDescent="0.25">
      <c r="A24" s="54">
        <v>44399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44400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44401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44402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44403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44404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44405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44406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44407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44408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44409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C28" sqref="C28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5" t="s">
        <v>32</v>
      </c>
      <c r="B2" s="136" t="s">
        <v>109</v>
      </c>
      <c r="C2" s="136" t="s">
        <v>110</v>
      </c>
      <c r="D2" s="136"/>
      <c r="E2" s="137" t="s">
        <v>98</v>
      </c>
      <c r="F2" s="138"/>
      <c r="G2" s="139" t="s">
        <v>113</v>
      </c>
      <c r="H2" s="138"/>
      <c r="I2" s="139" t="s">
        <v>111</v>
      </c>
      <c r="J2" s="138"/>
      <c r="K2" s="139" t="s">
        <v>112</v>
      </c>
      <c r="L2" s="138"/>
      <c r="M2" s="139" t="s">
        <v>108</v>
      </c>
      <c r="N2" s="138"/>
      <c r="O2" s="139" t="s">
        <v>107</v>
      </c>
      <c r="P2" s="138"/>
      <c r="Q2" s="139" t="s">
        <v>114</v>
      </c>
      <c r="R2" s="138"/>
      <c r="S2" s="139" t="s">
        <v>115</v>
      </c>
      <c r="T2" s="138"/>
      <c r="U2" s="139" t="s">
        <v>116</v>
      </c>
      <c r="V2" s="138"/>
      <c r="W2" s="139" t="s">
        <v>100</v>
      </c>
      <c r="X2" s="140"/>
      <c r="Y2" s="141" t="s">
        <v>53</v>
      </c>
      <c r="Z2" s="141"/>
    </row>
    <row r="3" spans="1:26" ht="30" x14ac:dyDescent="0.35">
      <c r="A3" s="135"/>
      <c r="B3" s="136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44378</v>
      </c>
      <c r="B4" s="65">
        <v>469</v>
      </c>
      <c r="C4" s="66">
        <f>('Water Reading'!B4-'Water Reading'!B3)+('Water Reading'!C4-'Water Reading'!C3)</f>
        <v>614</v>
      </c>
      <c r="D4" s="67">
        <f>C4/B4</f>
        <v>1.3091684434968016</v>
      </c>
      <c r="E4" s="88">
        <f>'Water Reading'!H4-'Water Reading'!H3</f>
        <v>25</v>
      </c>
      <c r="F4" s="89">
        <f>E4/C4</f>
        <v>4.071661237785016E-2</v>
      </c>
      <c r="G4" s="93">
        <f>('Water Reading'!D4-'Water Reading'!D3)-('Water Reading'!R4-'Water Reading'!R3)-('Water Reading'!Q4-'Water Reading'!Q3)</f>
        <v>117.20000000000005</v>
      </c>
      <c r="H4" s="89">
        <f>G4/C4</f>
        <v>0.19087947882736164</v>
      </c>
      <c r="I4" s="90">
        <f>'Water Reading'!P4-'Water Reading'!P3</f>
        <v>13</v>
      </c>
      <c r="J4" s="68">
        <f>I4/C4</f>
        <v>2.1172638436482084E-2</v>
      </c>
      <c r="K4" s="91">
        <f>('Water Reading'!I4-'Water Reading'!I3)-('Water Reading'!P4-'Water Reading'!P3)</f>
        <v>16</v>
      </c>
      <c r="L4" s="68">
        <f>K4/C4</f>
        <v>2.6058631921824105E-2</v>
      </c>
      <c r="M4" s="90">
        <f>'Water Reading'!R4-'Water Reading'!R3</f>
        <v>4</v>
      </c>
      <c r="N4" s="92">
        <f>M4/C4</f>
        <v>6.5146579804560263E-3</v>
      </c>
      <c r="O4" s="90">
        <f>'Water Reading'!Q4-'Water Reading'!Q3</f>
        <v>7.7999999999999545</v>
      </c>
      <c r="P4" s="99">
        <f>O4/C4</f>
        <v>1.2703583061889177E-2</v>
      </c>
      <c r="Q4" s="91">
        <f>'Water Reading'!F4-'Water Reading'!F3</f>
        <v>1</v>
      </c>
      <c r="R4" s="100">
        <f>Q4/C4</f>
        <v>1.6286644951140066E-3</v>
      </c>
      <c r="S4" s="90">
        <f>'Water Reading'!E4-'Water Reading'!E3</f>
        <v>55</v>
      </c>
      <c r="T4" s="100">
        <f>S4/C4</f>
        <v>8.9576547231270356E-2</v>
      </c>
      <c r="U4" s="90">
        <f>'Water Reading'!G4-'Water Reading'!G3</f>
        <v>15</v>
      </c>
      <c r="V4" s="100">
        <f>U4/C4</f>
        <v>2.4429967426710098E-2</v>
      </c>
      <c r="W4" s="90">
        <f>'Water Reading'!J4-'Water Reading'!J3</f>
        <v>20</v>
      </c>
      <c r="X4" s="100">
        <f>W4/C4</f>
        <v>3.2573289902280131E-2</v>
      </c>
      <c r="Y4" s="66">
        <f t="shared" ref="Y4:Y34" si="0">E4+I4+K4+M4+O4+G4+Q4+S4+U4+W4</f>
        <v>274</v>
      </c>
      <c r="Z4" s="67">
        <f t="shared" ref="Z4:Z35" si="1">Y4/B4</f>
        <v>0.58422174840085284</v>
      </c>
    </row>
    <row r="5" spans="1:26" x14ac:dyDescent="0.25">
      <c r="A5" s="8">
        <f>'Water Reading'!A4</f>
        <v>44379</v>
      </c>
      <c r="B5" s="65">
        <f>TOTAL!I3</f>
        <v>247</v>
      </c>
      <c r="C5" s="66">
        <f>('Water Reading'!B5-'Water Reading'!B4)+('Water Reading'!C5-'Water Reading'!C4)</f>
        <v>494</v>
      </c>
      <c r="D5" s="67">
        <f t="shared" ref="D5:D34" si="2">C5/B5</f>
        <v>2</v>
      </c>
      <c r="E5" s="88">
        <f>'Water Reading'!H5-'Water Reading'!H4</f>
        <v>39</v>
      </c>
      <c r="F5" s="89">
        <f t="shared" ref="F5:F34" si="3">E5/C5</f>
        <v>7.8947368421052627E-2</v>
      </c>
      <c r="G5" s="93">
        <f>('Water Reading'!D5-'Water Reading'!D4)-('Water Reading'!R5-'Water Reading'!R4)-('Water Reading'!Q5-'Water Reading'!Q4)</f>
        <v>166.29999999999995</v>
      </c>
      <c r="H5" s="89">
        <f t="shared" ref="H5:H34" si="4">G5/C5</f>
        <v>0.33663967611336021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Reading'!I4)-('Water Reading'!P5-'Water Reading'!P4)</f>
        <v>11</v>
      </c>
      <c r="L5" s="68">
        <f t="shared" ref="L5:L34" si="6">K5/C5</f>
        <v>2.2267206477732792E-2</v>
      </c>
      <c r="M5" s="90">
        <f>'Water Reading'!R5-'Water Reading'!R4</f>
        <v>1</v>
      </c>
      <c r="N5" s="92">
        <f t="shared" ref="N5:N34" si="7">M5/C5</f>
        <v>2.0242914979757085E-3</v>
      </c>
      <c r="O5" s="90">
        <f>'Water Reading'!Q5-'Water Reading'!Q4</f>
        <v>2.7000000000000455</v>
      </c>
      <c r="P5" s="99">
        <f t="shared" ref="P5:P34" si="8">O5/C5</f>
        <v>5.4655870445345046E-3</v>
      </c>
      <c r="Q5" s="91">
        <f>'Water Reading'!F5-'Water Reading'!F4</f>
        <v>2</v>
      </c>
      <c r="R5" s="100">
        <f t="shared" ref="R5:R34" si="9">Q5/C5</f>
        <v>4.048582995951417E-3</v>
      </c>
      <c r="S5" s="90">
        <f>'Water Reading'!E5-'Water Reading'!E4</f>
        <v>59</v>
      </c>
      <c r="T5" s="100">
        <f t="shared" ref="T5:T34" si="10">S5/C5</f>
        <v>0.1194331983805668</v>
      </c>
      <c r="U5" s="90">
        <f>'Water Reading'!G5-'Water Reading'!G4</f>
        <v>16</v>
      </c>
      <c r="V5" s="100">
        <f t="shared" ref="V5:V34" si="11">U5/C5</f>
        <v>3.2388663967611336E-2</v>
      </c>
      <c r="W5" s="90">
        <f>'Water Reading'!J5-'Water Reading'!J4</f>
        <v>20</v>
      </c>
      <c r="X5" s="100">
        <f t="shared" ref="X5:X34" si="12">W5/C5</f>
        <v>4.048582995951417E-2</v>
      </c>
      <c r="Y5" s="66">
        <f t="shared" si="0"/>
        <v>317</v>
      </c>
      <c r="Z5" s="67">
        <f t="shared" si="1"/>
        <v>1.2834008097165992</v>
      </c>
    </row>
    <row r="6" spans="1:26" x14ac:dyDescent="0.25">
      <c r="A6" s="8">
        <f>'Water Reading'!A5</f>
        <v>44380</v>
      </c>
      <c r="B6" s="65">
        <f>TOTAL!I4</f>
        <v>242</v>
      </c>
      <c r="C6" s="66">
        <f>('Water Reading'!B6-'Water Reading'!B5)+('Water Reading'!C6-'Water Reading'!C5)</f>
        <v>715</v>
      </c>
      <c r="D6" s="67">
        <f t="shared" si="2"/>
        <v>2.9545454545454546</v>
      </c>
      <c r="E6" s="88">
        <f>'Water Reading'!H6-'Water Reading'!H5</f>
        <v>25</v>
      </c>
      <c r="F6" s="89">
        <f t="shared" si="3"/>
        <v>3.4965034965034968E-2</v>
      </c>
      <c r="G6" s="93">
        <f>('Water Reading'!D6-'Water Reading'!D5)-('Water Reading'!R6-'Water Reading'!R5)-('Water Reading'!Q6-'Water Reading'!Q5)</f>
        <v>177</v>
      </c>
      <c r="H6" s="89">
        <f t="shared" si="4"/>
        <v>0.24755244755244754</v>
      </c>
      <c r="I6" s="90">
        <f>'Water Reading'!P6-'Water Reading'!P5</f>
        <v>13</v>
      </c>
      <c r="J6" s="68">
        <f t="shared" si="5"/>
        <v>1.8181818181818181E-2</v>
      </c>
      <c r="K6" s="91">
        <f>('Water Reading'!I6-'Water Reading'!I5)-('Water Reading'!P6-'Water Reading'!P5)</f>
        <v>12</v>
      </c>
      <c r="L6" s="68">
        <f t="shared" si="6"/>
        <v>1.6783216783216783E-2</v>
      </c>
      <c r="M6" s="90">
        <f>'Water Reading'!R6-'Water Reading'!R5</f>
        <v>4</v>
      </c>
      <c r="N6" s="92">
        <f t="shared" si="7"/>
        <v>5.5944055944055944E-3</v>
      </c>
      <c r="O6" s="90">
        <f>'Water Reading'!Q6-'Water Reading'!Q5</f>
        <v>5</v>
      </c>
      <c r="P6" s="99">
        <f t="shared" si="8"/>
        <v>6.993006993006993E-3</v>
      </c>
      <c r="Q6" s="91">
        <f>'Water Reading'!F6-'Water Reading'!F5</f>
        <v>1</v>
      </c>
      <c r="R6" s="100">
        <f t="shared" si="9"/>
        <v>1.3986013986013986E-3</v>
      </c>
      <c r="S6" s="90">
        <f>'Water Reading'!E6-'Water Reading'!E5</f>
        <v>50</v>
      </c>
      <c r="T6" s="100">
        <f t="shared" si="10"/>
        <v>6.9930069930069935E-2</v>
      </c>
      <c r="U6" s="90">
        <f>'Water Reading'!G6-'Water Reading'!G5</f>
        <v>11</v>
      </c>
      <c r="V6" s="100">
        <f t="shared" si="11"/>
        <v>1.5384615384615385E-2</v>
      </c>
      <c r="W6" s="90">
        <f>'Water Reading'!J6-'Water Reading'!J5</f>
        <v>19</v>
      </c>
      <c r="X6" s="100">
        <f t="shared" si="12"/>
        <v>2.6573426573426574E-2</v>
      </c>
      <c r="Y6" s="66">
        <f t="shared" si="0"/>
        <v>317</v>
      </c>
      <c r="Z6" s="67">
        <f t="shared" si="1"/>
        <v>1.3099173553719008</v>
      </c>
    </row>
    <row r="7" spans="1:26" x14ac:dyDescent="0.25">
      <c r="A7" s="8">
        <f>'Water Reading'!A6</f>
        <v>44381</v>
      </c>
      <c r="B7" s="65">
        <f>TOTAL!I5</f>
        <v>246</v>
      </c>
      <c r="C7" s="66">
        <f>('Water Reading'!B7-'Water Reading'!B6)+('Water Reading'!C7-'Water Reading'!C6)</f>
        <v>442</v>
      </c>
      <c r="D7" s="67">
        <f t="shared" si="2"/>
        <v>1.7967479674796747</v>
      </c>
      <c r="E7" s="88">
        <f>'Water Reading'!H7-'Water Reading'!H6</f>
        <v>41</v>
      </c>
      <c r="F7" s="89">
        <f t="shared" si="3"/>
        <v>9.2760180995475117E-2</v>
      </c>
      <c r="G7" s="93">
        <f>('Water Reading'!D7-'Water Reading'!D6)-('Water Reading'!R7-'Water Reading'!R6)-('Water Reading'!Q7-'Water Reading'!Q6)</f>
        <v>86</v>
      </c>
      <c r="H7" s="89">
        <f t="shared" si="4"/>
        <v>0.19457013574660634</v>
      </c>
      <c r="I7" s="90">
        <f>'Water Reading'!P7-'Water Reading'!P6</f>
        <v>9</v>
      </c>
      <c r="J7" s="68">
        <f t="shared" si="5"/>
        <v>2.0361990950226245E-2</v>
      </c>
      <c r="K7" s="91">
        <f>('Water Reading'!I7-'Water Reading'!I6)-('Water Reading'!P7-'Water Reading'!P6)</f>
        <v>16</v>
      </c>
      <c r="L7" s="68">
        <f t="shared" si="6"/>
        <v>3.6199095022624438E-2</v>
      </c>
      <c r="M7" s="90">
        <f>'Water Reading'!R7-'Water Reading'!R6</f>
        <v>4</v>
      </c>
      <c r="N7" s="92">
        <f t="shared" si="7"/>
        <v>9.0497737556561094E-3</v>
      </c>
      <c r="O7" s="90">
        <f>'Water Reading'!Q7-'Water Reading'!Q6</f>
        <v>5</v>
      </c>
      <c r="P7" s="99">
        <f t="shared" si="8"/>
        <v>1.1312217194570135E-2</v>
      </c>
      <c r="Q7" s="91">
        <f>'Water Reading'!F7-'Water Reading'!F6</f>
        <v>1</v>
      </c>
      <c r="R7" s="100">
        <f t="shared" si="9"/>
        <v>2.2624434389140274E-3</v>
      </c>
      <c r="S7" s="90">
        <f>'Water Reading'!E7-'Water Reading'!E6</f>
        <v>68</v>
      </c>
      <c r="T7" s="100">
        <f t="shared" si="10"/>
        <v>0.15384615384615385</v>
      </c>
      <c r="U7" s="90">
        <f>'Water Reading'!G7-'Water Reading'!G6</f>
        <v>16</v>
      </c>
      <c r="V7" s="100">
        <f t="shared" si="11"/>
        <v>3.6199095022624438E-2</v>
      </c>
      <c r="W7" s="90">
        <f>'Water Reading'!J7-'Water Reading'!J6</f>
        <v>16</v>
      </c>
      <c r="X7" s="100">
        <f t="shared" si="12"/>
        <v>3.6199095022624438E-2</v>
      </c>
      <c r="Y7" s="66">
        <f t="shared" si="0"/>
        <v>262</v>
      </c>
      <c r="Z7" s="67">
        <f t="shared" si="1"/>
        <v>1.065040650406504</v>
      </c>
    </row>
    <row r="8" spans="1:26" x14ac:dyDescent="0.25">
      <c r="A8" s="8">
        <f>'Water Reading'!A7</f>
        <v>44382</v>
      </c>
      <c r="B8" s="65">
        <f>TOTAL!I6</f>
        <v>245</v>
      </c>
      <c r="C8" s="66">
        <f>('Water Reading'!B8-'Water Reading'!B7)+('Water Reading'!C8-'Water Reading'!C7)</f>
        <v>510</v>
      </c>
      <c r="D8" s="67">
        <f t="shared" si="2"/>
        <v>2.0816326530612246</v>
      </c>
      <c r="E8" s="88">
        <f>'Water Reading'!H8-'Water Reading'!H7</f>
        <v>33</v>
      </c>
      <c r="F8" s="89">
        <f t="shared" si="3"/>
        <v>6.4705882352941183E-2</v>
      </c>
      <c r="G8" s="93">
        <f>('Water Reading'!D8-'Water Reading'!D7)-('Water Reading'!R8-'Water Reading'!R7)-('Water Reading'!Q8-'Water Reading'!Q7)</f>
        <v>105</v>
      </c>
      <c r="H8" s="89">
        <f t="shared" si="4"/>
        <v>0.20588235294117646</v>
      </c>
      <c r="I8" s="90">
        <f>'Water Reading'!P8-'Water Reading'!P7</f>
        <v>12</v>
      </c>
      <c r="J8" s="68">
        <f t="shared" si="5"/>
        <v>2.3529411764705882E-2</v>
      </c>
      <c r="K8" s="91">
        <f>('Water Reading'!I8-'Water Reading'!I7)-('Water Reading'!P8-'Water Reading'!P7)</f>
        <v>13</v>
      </c>
      <c r="L8" s="68">
        <f t="shared" si="6"/>
        <v>2.5490196078431372E-2</v>
      </c>
      <c r="M8" s="90">
        <f>'Water Reading'!R8-'Water Reading'!R7</f>
        <v>3</v>
      </c>
      <c r="N8" s="92">
        <f t="shared" si="7"/>
        <v>5.8823529411764705E-3</v>
      </c>
      <c r="O8" s="90">
        <f>'Water Reading'!Q8-'Water Reading'!Q7</f>
        <v>10</v>
      </c>
      <c r="P8" s="99">
        <f t="shared" si="8"/>
        <v>1.9607843137254902E-2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62</v>
      </c>
      <c r="T8" s="100">
        <f t="shared" si="10"/>
        <v>0.12156862745098039</v>
      </c>
      <c r="U8" s="90">
        <f>'Water Reading'!G8-'Water Reading'!G7</f>
        <v>16</v>
      </c>
      <c r="V8" s="100">
        <f t="shared" si="11"/>
        <v>3.1372549019607843E-2</v>
      </c>
      <c r="W8" s="90">
        <f>'Water Reading'!J8-'Water Reading'!J7</f>
        <v>11</v>
      </c>
      <c r="X8" s="100">
        <f t="shared" si="12"/>
        <v>2.1568627450980392E-2</v>
      </c>
      <c r="Y8" s="66">
        <f t="shared" si="0"/>
        <v>265</v>
      </c>
      <c r="Z8" s="67">
        <f t="shared" si="1"/>
        <v>1.0816326530612246</v>
      </c>
    </row>
    <row r="9" spans="1:26" x14ac:dyDescent="0.25">
      <c r="A9" s="8">
        <f>'Water Reading'!A8</f>
        <v>44383</v>
      </c>
      <c r="B9" s="65">
        <f>TOTAL!I7</f>
        <v>240</v>
      </c>
      <c r="C9" s="66">
        <f>('Water Reading'!B9-'Water Reading'!B8)+('Water Reading'!C9-'Water Reading'!C8)</f>
        <v>0</v>
      </c>
      <c r="D9" s="67">
        <f t="shared" si="2"/>
        <v>0</v>
      </c>
      <c r="E9" s="88">
        <f>'Water Reading'!H9-'Water Reading'!H8</f>
        <v>39</v>
      </c>
      <c r="F9" s="89" t="e">
        <f t="shared" si="3"/>
        <v>#DIV/0!</v>
      </c>
      <c r="G9" s="93">
        <f>('Water Reading'!D9-'Water Reading'!D8)-('Water Reading'!R9-'Water Reading'!R8)-('Water Reading'!Q9-'Water Reading'!Q8)</f>
        <v>88</v>
      </c>
      <c r="H9" s="89" t="e">
        <f t="shared" si="4"/>
        <v>#DIV/0!</v>
      </c>
      <c r="I9" s="90">
        <f>'Water Reading'!P9-'Water Reading'!P8</f>
        <v>14</v>
      </c>
      <c r="J9" s="68" t="e">
        <f t="shared" si="5"/>
        <v>#DIV/0!</v>
      </c>
      <c r="K9" s="91">
        <f>('Water Reading'!I9-'Water Reading'!I8)-('Water Reading'!P9-'Water Reading'!P8)</f>
        <v>16</v>
      </c>
      <c r="L9" s="68" t="e">
        <f t="shared" si="6"/>
        <v>#DIV/0!</v>
      </c>
      <c r="M9" s="90">
        <f>'Water Reading'!R9-'Water Reading'!R8</f>
        <v>4</v>
      </c>
      <c r="N9" s="92" t="e">
        <f t="shared" si="7"/>
        <v>#DIV/0!</v>
      </c>
      <c r="O9" s="90">
        <f>'Water Reading'!Q9-'Water Reading'!Q8</f>
        <v>5</v>
      </c>
      <c r="P9" s="99" t="e">
        <f t="shared" si="8"/>
        <v>#DIV/0!</v>
      </c>
      <c r="Q9" s="91">
        <f>'Water Reading'!F9-'Water Reading'!F8</f>
        <v>3</v>
      </c>
      <c r="R9" s="100" t="e">
        <f t="shared" si="9"/>
        <v>#DIV/0!</v>
      </c>
      <c r="S9" s="90">
        <f>'Water Reading'!E9-'Water Reading'!E8</f>
        <v>67</v>
      </c>
      <c r="T9" s="100" t="e">
        <f t="shared" si="10"/>
        <v>#DIV/0!</v>
      </c>
      <c r="U9" s="90">
        <f>'Water Reading'!G9-'Water Reading'!G8</f>
        <v>13</v>
      </c>
      <c r="V9" s="100" t="e">
        <f t="shared" si="11"/>
        <v>#DIV/0!</v>
      </c>
      <c r="W9" s="90">
        <f>'Water Reading'!J9-'Water Reading'!J8</f>
        <v>11</v>
      </c>
      <c r="X9" s="100" t="e">
        <f t="shared" si="12"/>
        <v>#DIV/0!</v>
      </c>
      <c r="Y9" s="66">
        <f t="shared" si="0"/>
        <v>260</v>
      </c>
      <c r="Z9" s="67">
        <f t="shared" si="1"/>
        <v>1.0833333333333333</v>
      </c>
    </row>
    <row r="10" spans="1:26" x14ac:dyDescent="0.25">
      <c r="A10" s="8">
        <f>'Water Reading'!A9</f>
        <v>44384</v>
      </c>
      <c r="B10" s="65">
        <f>TOTAL!I8</f>
        <v>226</v>
      </c>
      <c r="C10" s="66">
        <f>('Water Reading'!B10-'Water Reading'!B9)+('Water Reading'!C10-'Water Reading'!C9)</f>
        <v>268</v>
      </c>
      <c r="D10" s="67">
        <f t="shared" si="2"/>
        <v>1.1858407079646018</v>
      </c>
      <c r="E10" s="88">
        <f>'Water Reading'!H10-'Water Reading'!H9</f>
        <v>26</v>
      </c>
      <c r="F10" s="89">
        <f t="shared" si="3"/>
        <v>9.7014925373134331E-2</v>
      </c>
      <c r="G10" s="93">
        <f>('Water Reading'!D10-'Water Reading'!D9)-('Water Reading'!R10-'Water Reading'!R9)-('Water Reading'!Q10-'Water Reading'!Q9)</f>
        <v>78</v>
      </c>
      <c r="H10" s="89">
        <f t="shared" si="4"/>
        <v>0.29104477611940299</v>
      </c>
      <c r="I10" s="90">
        <f>'Water Reading'!P10-'Water Reading'!P9</f>
        <v>0</v>
      </c>
      <c r="J10" s="68">
        <f t="shared" si="5"/>
        <v>0</v>
      </c>
      <c r="K10" s="91">
        <f>('Water Reading'!I10-'Water Reading'!I9)-('Water Reading'!P10-'Water Reading'!P9)</f>
        <v>11</v>
      </c>
      <c r="L10" s="68">
        <f t="shared" si="6"/>
        <v>4.1044776119402986E-2</v>
      </c>
      <c r="M10" s="90">
        <f>'Water Reading'!R10-'Water Reading'!R9</f>
        <v>4</v>
      </c>
      <c r="N10" s="92">
        <f t="shared" si="7"/>
        <v>1.4925373134328358E-2</v>
      </c>
      <c r="O10" s="90">
        <f>'Water Reading'!Q10-'Water Reading'!Q9</f>
        <v>12</v>
      </c>
      <c r="P10" s="99">
        <f t="shared" si="8"/>
        <v>4.4776119402985072E-2</v>
      </c>
      <c r="Q10" s="91">
        <f>'Water Reading'!F10-'Water Reading'!F9</f>
        <v>1</v>
      </c>
      <c r="R10" s="100">
        <f t="shared" si="9"/>
        <v>3.7313432835820895E-3</v>
      </c>
      <c r="S10" s="90">
        <f>'Water Reading'!E10-'Water Reading'!E9</f>
        <v>63</v>
      </c>
      <c r="T10" s="100">
        <f t="shared" si="10"/>
        <v>0.23507462686567165</v>
      </c>
      <c r="U10" s="90">
        <f>'Water Reading'!G10-'Water Reading'!G9</f>
        <v>15</v>
      </c>
      <c r="V10" s="100">
        <f t="shared" si="11"/>
        <v>5.5970149253731345E-2</v>
      </c>
      <c r="W10" s="90">
        <f>'Water Reading'!J10-'Water Reading'!J9</f>
        <v>12</v>
      </c>
      <c r="X10" s="100">
        <f t="shared" si="12"/>
        <v>4.4776119402985072E-2</v>
      </c>
      <c r="Y10" s="66">
        <f t="shared" si="0"/>
        <v>222</v>
      </c>
      <c r="Z10" s="67">
        <f t="shared" si="1"/>
        <v>0.98230088495575218</v>
      </c>
    </row>
    <row r="11" spans="1:26" x14ac:dyDescent="0.25">
      <c r="A11" s="8">
        <f>'Water Reading'!A10</f>
        <v>44385</v>
      </c>
      <c r="B11" s="65">
        <f>TOTAL!I9</f>
        <v>235</v>
      </c>
      <c r="C11" s="66">
        <f>('Water Reading'!B11-'Water Reading'!B10)+('Water Reading'!C11-'Water Reading'!C10)</f>
        <v>65</v>
      </c>
      <c r="D11" s="67">
        <f t="shared" si="2"/>
        <v>0.27659574468085107</v>
      </c>
      <c r="E11" s="88">
        <f>'Water Reading'!H11-'Water Reading'!H10</f>
        <v>27</v>
      </c>
      <c r="F11" s="89">
        <f t="shared" si="3"/>
        <v>0.41538461538461541</v>
      </c>
      <c r="G11" s="93">
        <f>('Water Reading'!D11-'Water Reading'!D10)-('Water Reading'!R11-'Water Reading'!R10)-('Water Reading'!Q11-'Water Reading'!Q10)</f>
        <v>89</v>
      </c>
      <c r="H11" s="89">
        <f t="shared" si="4"/>
        <v>1.3692307692307693</v>
      </c>
      <c r="I11" s="90">
        <f>'Water Reading'!P11-'Water Reading'!P10</f>
        <v>17</v>
      </c>
      <c r="J11" s="68">
        <f t="shared" si="5"/>
        <v>0.26153846153846155</v>
      </c>
      <c r="K11" s="91">
        <f>('Water Reading'!I11-'Water Reading'!I10)-('Water Reading'!P11-'Water Reading'!P10)</f>
        <v>2</v>
      </c>
      <c r="L11" s="68">
        <f t="shared" si="6"/>
        <v>3.0769230769230771E-2</v>
      </c>
      <c r="M11" s="90">
        <f>'Water Reading'!R11-'Water Reading'!R10</f>
        <v>5</v>
      </c>
      <c r="N11" s="92">
        <f t="shared" si="7"/>
        <v>7.6923076923076927E-2</v>
      </c>
      <c r="O11" s="98">
        <f>'Water Reading'!Q11-'Water Reading'!Q10</f>
        <v>6</v>
      </c>
      <c r="P11" s="99">
        <f t="shared" si="8"/>
        <v>9.2307692307692313E-2</v>
      </c>
      <c r="Q11" s="91">
        <f>'Water Reading'!F11-'Water Reading'!F10</f>
        <v>2</v>
      </c>
      <c r="R11" s="100">
        <f t="shared" si="9"/>
        <v>3.0769230769230771E-2</v>
      </c>
      <c r="S11" s="90">
        <f>'Water Reading'!E11-'Water Reading'!E10</f>
        <v>56</v>
      </c>
      <c r="T11" s="100">
        <f t="shared" si="10"/>
        <v>0.86153846153846159</v>
      </c>
      <c r="U11" s="90">
        <f>'Water Reading'!G11-'Water Reading'!G10</f>
        <v>16</v>
      </c>
      <c r="V11" s="100">
        <f t="shared" si="11"/>
        <v>0.24615384615384617</v>
      </c>
      <c r="W11" s="90">
        <f>'Water Reading'!J11-'Water Reading'!J10</f>
        <v>11</v>
      </c>
      <c r="X11" s="100">
        <f t="shared" si="12"/>
        <v>0.16923076923076924</v>
      </c>
      <c r="Y11" s="66">
        <f t="shared" si="0"/>
        <v>231</v>
      </c>
      <c r="Z11" s="67">
        <f t="shared" si="1"/>
        <v>0.98297872340425529</v>
      </c>
    </row>
    <row r="12" spans="1:26" x14ac:dyDescent="0.25">
      <c r="A12" s="8">
        <f>'Water Reading'!A11</f>
        <v>44386</v>
      </c>
      <c r="B12" s="65">
        <f>TOTAL!I10</f>
        <v>325</v>
      </c>
      <c r="C12" s="66">
        <f>('Water Reading'!B12-'Water Reading'!B11)+('Water Reading'!C12-'Water Reading'!C11)</f>
        <v>678</v>
      </c>
      <c r="D12" s="67">
        <f t="shared" si="2"/>
        <v>2.086153846153846</v>
      </c>
      <c r="E12" s="88">
        <f>'Water Reading'!H12-'Water Reading'!H11</f>
        <v>31</v>
      </c>
      <c r="F12" s="89">
        <f t="shared" si="3"/>
        <v>4.5722713864306784E-2</v>
      </c>
      <c r="G12" s="93">
        <f>('Water Reading'!D12-'Water Reading'!D11)-('Water Reading'!R12-'Water Reading'!R11)-('Water Reading'!Q12-'Water Reading'!Q11)</f>
        <v>99</v>
      </c>
      <c r="H12" s="89">
        <f t="shared" si="4"/>
        <v>0.14601769911504425</v>
      </c>
      <c r="I12" s="90">
        <f>'Water Reading'!P12-'Water Reading'!P11</f>
        <v>3</v>
      </c>
      <c r="J12" s="68">
        <f t="shared" si="5"/>
        <v>4.4247787610619468E-3</v>
      </c>
      <c r="K12" s="91">
        <f>('Water Reading'!I12-'Water Reading'!I11)-('Water Reading'!P12-'Water Reading'!P11)</f>
        <v>17</v>
      </c>
      <c r="L12" s="68">
        <f t="shared" si="6"/>
        <v>2.5073746312684365E-2</v>
      </c>
      <c r="M12" s="90">
        <f>'Water Reading'!R12-'Water Reading'!R11</f>
        <v>1</v>
      </c>
      <c r="N12" s="92">
        <f t="shared" si="7"/>
        <v>1.4749262536873156E-3</v>
      </c>
      <c r="O12" s="98">
        <f>'Water Reading'!Q12-'Water Reading'!Q11</f>
        <v>2</v>
      </c>
      <c r="P12" s="99">
        <f t="shared" si="8"/>
        <v>2.9498525073746312E-3</v>
      </c>
      <c r="Q12" s="91">
        <f>'Water Reading'!F12-'Water Reading'!F11</f>
        <v>1</v>
      </c>
      <c r="R12" s="100">
        <f t="shared" si="9"/>
        <v>1.4749262536873156E-3</v>
      </c>
      <c r="S12" s="90">
        <f>'Water Reading'!E12-'Water Reading'!E11</f>
        <v>63</v>
      </c>
      <c r="T12" s="100">
        <f t="shared" si="10"/>
        <v>9.2920353982300891E-2</v>
      </c>
      <c r="U12" s="90">
        <f>'Water Reading'!G12-'Water Reading'!G11</f>
        <v>18</v>
      </c>
      <c r="V12" s="100">
        <f t="shared" si="11"/>
        <v>2.6548672566371681E-2</v>
      </c>
      <c r="W12" s="90">
        <f>'Water Reading'!J12-'Water Reading'!J11</f>
        <v>11</v>
      </c>
      <c r="X12" s="100">
        <f t="shared" si="12"/>
        <v>1.6224188790560472E-2</v>
      </c>
      <c r="Y12" s="66">
        <f t="shared" si="0"/>
        <v>246</v>
      </c>
      <c r="Z12" s="67">
        <f t="shared" si="1"/>
        <v>0.75692307692307692</v>
      </c>
    </row>
    <row r="13" spans="1:26" x14ac:dyDescent="0.25">
      <c r="A13" s="8">
        <f>'Water Reading'!A12</f>
        <v>44387</v>
      </c>
      <c r="B13" s="65">
        <f>TOTAL!I11</f>
        <v>239</v>
      </c>
      <c r="C13" s="66">
        <f>('Water Reading'!B13-'Water Reading'!B12)+('Water Reading'!C13-'Water Reading'!C12)</f>
        <v>175</v>
      </c>
      <c r="D13" s="67">
        <f t="shared" si="2"/>
        <v>0.73221757322175729</v>
      </c>
      <c r="E13" s="87">
        <f>'Water Reading'!H13-'Water Reading'!H12</f>
        <v>36</v>
      </c>
      <c r="F13" s="89">
        <f t="shared" si="3"/>
        <v>0.20571428571428571</v>
      </c>
      <c r="G13" s="93">
        <f>('Water Reading'!D13-'Water Reading'!D12)-('Water Reading'!R13-'Water Reading'!R12)-('Water Reading'!Q13-'Water Reading'!Q12)</f>
        <v>185</v>
      </c>
      <c r="H13" s="89">
        <f t="shared" si="4"/>
        <v>1.0571428571428572</v>
      </c>
      <c r="I13" s="90">
        <f>'Water Reading'!P13-'Water Reading'!P12</f>
        <v>2</v>
      </c>
      <c r="J13" s="68">
        <f t="shared" si="5"/>
        <v>1.1428571428571429E-2</v>
      </c>
      <c r="K13" s="91">
        <f>('Water Reading'!I13-'Water Reading'!I12)-('Water Reading'!P13-'Water Reading'!P12)</f>
        <v>22</v>
      </c>
      <c r="L13" s="68">
        <f t="shared" si="6"/>
        <v>0.12571428571428572</v>
      </c>
      <c r="M13" s="90">
        <f>'Water Reading'!R13-'Water Reading'!R12</f>
        <v>6</v>
      </c>
      <c r="N13" s="92">
        <f t="shared" si="7"/>
        <v>3.4285714285714287E-2</v>
      </c>
      <c r="O13" s="90">
        <f>'Water Reading'!Q13-'Water Reading'!Q12</f>
        <v>5</v>
      </c>
      <c r="P13" s="99">
        <f t="shared" si="8"/>
        <v>2.8571428571428571E-2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58</v>
      </c>
      <c r="T13" s="100">
        <f t="shared" si="10"/>
        <v>0.33142857142857141</v>
      </c>
      <c r="U13" s="90">
        <f>'Water Reading'!G13-'Water Reading'!G12</f>
        <v>14</v>
      </c>
      <c r="V13" s="100">
        <f t="shared" si="11"/>
        <v>0.08</v>
      </c>
      <c r="W13" s="90">
        <f>'Water Reading'!J13-'Water Reading'!J12</f>
        <v>11</v>
      </c>
      <c r="X13" s="100">
        <f t="shared" si="12"/>
        <v>6.2857142857142861E-2</v>
      </c>
      <c r="Y13" s="66">
        <f t="shared" si="0"/>
        <v>339</v>
      </c>
      <c r="Z13" s="67">
        <f t="shared" si="1"/>
        <v>1.4184100418410042</v>
      </c>
    </row>
    <row r="14" spans="1:26" x14ac:dyDescent="0.25">
      <c r="A14" s="8">
        <f>'Water Reading'!A13</f>
        <v>44388</v>
      </c>
      <c r="B14" s="65">
        <f>TOTAL!I12</f>
        <v>376</v>
      </c>
      <c r="C14" s="66">
        <f>('Water Reading'!B14-'Water Reading'!B13)+('Water Reading'!C14-'Water Reading'!C13)</f>
        <v>44</v>
      </c>
      <c r="D14" s="67">
        <f t="shared" si="2"/>
        <v>0.11702127659574468</v>
      </c>
      <c r="E14" s="88">
        <f>'Water Reading'!H14-'Water Reading'!H13</f>
        <v>70</v>
      </c>
      <c r="F14" s="89">
        <f t="shared" si="3"/>
        <v>1.5909090909090908</v>
      </c>
      <c r="G14" s="93">
        <f>('Water Reading'!D14-'Water Reading'!D13)-('Water Reading'!R14-'Water Reading'!R13)-('Water Reading'!Q14-'Water Reading'!Q13)</f>
        <v>129</v>
      </c>
      <c r="H14" s="89">
        <f t="shared" si="4"/>
        <v>2.9318181818181817</v>
      </c>
      <c r="I14" s="90">
        <f>'Water Reading'!P14-'Water Reading'!P13</f>
        <v>13</v>
      </c>
      <c r="J14" s="68">
        <f t="shared" si="5"/>
        <v>0.29545454545454547</v>
      </c>
      <c r="K14" s="91">
        <f>('Water Reading'!I14-'Water Reading'!I13)-('Water Reading'!P14-'Water Reading'!P13)</f>
        <v>15</v>
      </c>
      <c r="L14" s="68">
        <f t="shared" si="6"/>
        <v>0.34090909090909088</v>
      </c>
      <c r="M14" s="90">
        <f>'Water Reading'!R14-'Water Reading'!R13</f>
        <v>15</v>
      </c>
      <c r="N14" s="92">
        <f t="shared" si="7"/>
        <v>0.34090909090909088</v>
      </c>
      <c r="O14" s="90">
        <f>'Water Reading'!Q14-'Water Reading'!Q13</f>
        <v>6</v>
      </c>
      <c r="P14" s="99">
        <f t="shared" si="8"/>
        <v>0.13636363636363635</v>
      </c>
      <c r="Q14" s="91">
        <f>'Water Reading'!F14-'Water Reading'!F13</f>
        <v>1</v>
      </c>
      <c r="R14" s="100">
        <f t="shared" si="9"/>
        <v>2.2727272727272728E-2</v>
      </c>
      <c r="S14" s="94">
        <f>'Water Reading'!E14-'Water Reading'!E13</f>
        <v>60</v>
      </c>
      <c r="T14" s="100">
        <f t="shared" si="10"/>
        <v>1.3636363636363635</v>
      </c>
      <c r="U14" s="90">
        <f>'Water Reading'!G14-'Water Reading'!G13</f>
        <v>17</v>
      </c>
      <c r="V14" s="100">
        <f t="shared" si="11"/>
        <v>0.38636363636363635</v>
      </c>
      <c r="W14" s="90">
        <f>'Water Reading'!J14-'Water Reading'!J13</f>
        <v>11</v>
      </c>
      <c r="X14" s="100">
        <f t="shared" si="12"/>
        <v>0.25</v>
      </c>
      <c r="Y14" s="66">
        <f t="shared" si="0"/>
        <v>337</v>
      </c>
      <c r="Z14" s="67">
        <f t="shared" si="1"/>
        <v>0.89627659574468088</v>
      </c>
    </row>
    <row r="15" spans="1:26" x14ac:dyDescent="0.25">
      <c r="A15" s="8">
        <f>'Water Reading'!A14</f>
        <v>44389</v>
      </c>
      <c r="B15" s="65">
        <f>TOTAL!I13</f>
        <v>387</v>
      </c>
      <c r="C15" s="66">
        <f>('Water Reading'!B15-'Water Reading'!B14)+('Water Reading'!C15-'Water Reading'!C14)</f>
        <v>1036</v>
      </c>
      <c r="D15" s="67">
        <f t="shared" si="2"/>
        <v>2.6770025839793283</v>
      </c>
      <c r="E15" s="87">
        <f>'Water Reading'!H15-'Water Reading'!H14</f>
        <v>94</v>
      </c>
      <c r="F15" s="89">
        <f t="shared" si="3"/>
        <v>9.0733590733590733E-2</v>
      </c>
      <c r="G15" s="93">
        <f>('Water Reading'!D15-'Water Reading'!D14)-('Water Reading'!R15-'Water Reading'!R14)-('Water Reading'!Q15-'Water Reading'!Q14)</f>
        <v>115</v>
      </c>
      <c r="H15" s="89">
        <f t="shared" si="4"/>
        <v>0.111003861003861</v>
      </c>
      <c r="I15" s="90">
        <f>'Water Reading'!P15-'Water Reading'!P14</f>
        <v>9</v>
      </c>
      <c r="J15" s="68">
        <f t="shared" si="5"/>
        <v>8.6872586872586872E-3</v>
      </c>
      <c r="K15" s="91">
        <f>('Water Reading'!I15-'Water Reading'!I14)-('Water Reading'!P15-'Water Reading'!P14)</f>
        <v>15</v>
      </c>
      <c r="L15" s="68">
        <f t="shared" si="6"/>
        <v>1.4478764478764479E-2</v>
      </c>
      <c r="M15" s="90">
        <f>'Water Reading'!R15-'Water Reading'!R14</f>
        <v>6</v>
      </c>
      <c r="N15" s="92">
        <f t="shared" si="7"/>
        <v>5.7915057915057912E-3</v>
      </c>
      <c r="O15" s="90">
        <f>'Water Reading'!Q15-'Water Reading'!Q14</f>
        <v>4</v>
      </c>
      <c r="P15" s="99">
        <f t="shared" si="8"/>
        <v>3.8610038610038611E-3</v>
      </c>
      <c r="Q15" s="91">
        <f>'Water Reading'!F15-'Water Reading'!F14</f>
        <v>0</v>
      </c>
      <c r="R15" s="100">
        <f t="shared" si="9"/>
        <v>0</v>
      </c>
      <c r="S15" s="94">
        <f>'Water Reading'!E15-'Water Reading'!E14</f>
        <v>60</v>
      </c>
      <c r="T15" s="100">
        <f t="shared" si="10"/>
        <v>5.7915057915057917E-2</v>
      </c>
      <c r="U15" s="90">
        <f>'Water Reading'!G15-'Water Reading'!G14</f>
        <v>13</v>
      </c>
      <c r="V15" s="100">
        <f t="shared" si="11"/>
        <v>1.2548262548262547E-2</v>
      </c>
      <c r="W15" s="90">
        <f>'Water Reading'!J15-'Water Reading'!J14</f>
        <v>12</v>
      </c>
      <c r="X15" s="100">
        <f t="shared" si="12"/>
        <v>1.1583011583011582E-2</v>
      </c>
      <c r="Y15" s="66">
        <f t="shared" si="0"/>
        <v>328</v>
      </c>
      <c r="Z15" s="67">
        <f t="shared" si="1"/>
        <v>0.84754521963824292</v>
      </c>
    </row>
    <row r="16" spans="1:26" x14ac:dyDescent="0.25">
      <c r="A16" s="8">
        <f>'Water Reading'!A15</f>
        <v>44390</v>
      </c>
      <c r="B16" s="65">
        <f>TOTAL!I14</f>
        <v>253</v>
      </c>
      <c r="C16" s="66">
        <f>('Water Reading'!B16-'Water Reading'!B15)+('Water Reading'!C16-'Water Reading'!C15)</f>
        <v>14</v>
      </c>
      <c r="D16" s="67">
        <f t="shared" si="2"/>
        <v>5.533596837944664E-2</v>
      </c>
      <c r="E16" s="87">
        <f>'Water Reading'!H16-'Water Reading'!H15</f>
        <v>67</v>
      </c>
      <c r="F16" s="89">
        <f t="shared" si="3"/>
        <v>4.7857142857142856</v>
      </c>
      <c r="G16" s="93">
        <f>('Water Reading'!D16-'Water Reading'!D15)-('Water Reading'!R16-'Water Reading'!R15)-('Water Reading'!Q16-'Water Reading'!Q15)</f>
        <v>103</v>
      </c>
      <c r="H16" s="89">
        <f t="shared" si="4"/>
        <v>7.3571428571428568</v>
      </c>
      <c r="I16" s="90">
        <f>'Water Reading'!P16-'Water Reading'!P15</f>
        <v>11</v>
      </c>
      <c r="J16" s="68">
        <f t="shared" si="5"/>
        <v>0.7857142857142857</v>
      </c>
      <c r="K16" s="91">
        <f>('Water Reading'!I16-'Water Reading'!I15)-('Water Reading'!P16-'Water Reading'!P15)</f>
        <v>17</v>
      </c>
      <c r="L16" s="68">
        <f t="shared" si="6"/>
        <v>1.2142857142857142</v>
      </c>
      <c r="M16" s="90">
        <f>'Water Reading'!R16-'Water Reading'!R15</f>
        <v>6</v>
      </c>
      <c r="N16" s="92">
        <f t="shared" si="7"/>
        <v>0.42857142857142855</v>
      </c>
      <c r="O16" s="90">
        <f>'Water Reading'!Q16-'Water Reading'!Q15</f>
        <v>2</v>
      </c>
      <c r="P16" s="99">
        <f t="shared" si="8"/>
        <v>0.14285714285714285</v>
      </c>
      <c r="Q16" s="91">
        <f>'Water Reading'!F16-'Water Reading'!F15</f>
        <v>1</v>
      </c>
      <c r="R16" s="100">
        <f t="shared" si="9"/>
        <v>7.1428571428571425E-2</v>
      </c>
      <c r="S16" s="94">
        <f>'Water Reading'!E16-'Water Reading'!E15</f>
        <v>66</v>
      </c>
      <c r="T16" s="100">
        <f t="shared" si="10"/>
        <v>4.7142857142857144</v>
      </c>
      <c r="U16" s="90">
        <f>'Water Reading'!G16-'Water Reading'!G15</f>
        <v>18</v>
      </c>
      <c r="V16" s="100">
        <f t="shared" si="11"/>
        <v>1.2857142857142858</v>
      </c>
      <c r="W16" s="90">
        <f>'Water Reading'!J16-'Water Reading'!J15</f>
        <v>12</v>
      </c>
      <c r="X16" s="100">
        <f t="shared" si="12"/>
        <v>0.8571428571428571</v>
      </c>
      <c r="Y16" s="66">
        <f t="shared" si="0"/>
        <v>303</v>
      </c>
      <c r="Z16" s="67">
        <f t="shared" si="1"/>
        <v>1.1976284584980237</v>
      </c>
    </row>
    <row r="17" spans="1:26" x14ac:dyDescent="0.25">
      <c r="A17" s="8">
        <f>'Water Reading'!A16</f>
        <v>44391</v>
      </c>
      <c r="B17" s="65">
        <f>TOTAL!I15</f>
        <v>263</v>
      </c>
      <c r="C17" s="66">
        <f>('Water Reading'!B17-'Water Reading'!B16)+('Water Reading'!C17-'Water Reading'!C16)</f>
        <v>93</v>
      </c>
      <c r="D17" s="67">
        <f t="shared" si="2"/>
        <v>0.35361216730038025</v>
      </c>
      <c r="E17" s="87">
        <f>'Water Reading'!H17-'Water Reading'!H16</f>
        <v>60</v>
      </c>
      <c r="F17" s="89">
        <f t="shared" si="3"/>
        <v>0.64516129032258063</v>
      </c>
      <c r="G17" s="93">
        <f>('Water Reading'!D17-'Water Reading'!D16)-('Water Reading'!R17-'Water Reading'!R16)-('Water Reading'!Q17-'Water Reading'!Q16)</f>
        <v>100.79999999999995</v>
      </c>
      <c r="H17" s="89">
        <f t="shared" si="4"/>
        <v>1.0838709677419349</v>
      </c>
      <c r="I17" s="90">
        <f>'Water Reading'!P17-'Water Reading'!P16</f>
        <v>12</v>
      </c>
      <c r="J17" s="68">
        <f t="shared" si="5"/>
        <v>0.12903225806451613</v>
      </c>
      <c r="K17" s="91">
        <f>('Water Reading'!I17-'Water Reading'!I16)-('Water Reading'!P17-'Water Reading'!P16)</f>
        <v>12</v>
      </c>
      <c r="L17" s="68">
        <f t="shared" si="6"/>
        <v>0.12903225806451613</v>
      </c>
      <c r="M17" s="90">
        <f>'Water Reading'!R17-'Water Reading'!R16</f>
        <v>6</v>
      </c>
      <c r="N17" s="92">
        <f t="shared" si="7"/>
        <v>6.4516129032258063E-2</v>
      </c>
      <c r="O17" s="90">
        <f>'Water Reading'!Q17-'Water Reading'!Q16</f>
        <v>1.2000000000000455</v>
      </c>
      <c r="P17" s="99">
        <f t="shared" si="8"/>
        <v>1.2903225806452102E-2</v>
      </c>
      <c r="Q17" s="91">
        <f>'Water Reading'!F17-'Water Reading'!F16</f>
        <v>1</v>
      </c>
      <c r="R17" s="100">
        <f t="shared" si="9"/>
        <v>1.0752688172043012E-2</v>
      </c>
      <c r="S17" s="94">
        <f>'Water Reading'!E17-'Water Reading'!E16</f>
        <v>55</v>
      </c>
      <c r="T17" s="100">
        <f t="shared" si="10"/>
        <v>0.59139784946236562</v>
      </c>
      <c r="U17" s="90">
        <f>'Water Reading'!G17-'Water Reading'!G16</f>
        <v>10</v>
      </c>
      <c r="V17" s="100">
        <f t="shared" si="11"/>
        <v>0.10752688172043011</v>
      </c>
      <c r="W17" s="90">
        <f>'Water Reading'!J17-'Water Reading'!J16</f>
        <v>11</v>
      </c>
      <c r="X17" s="100">
        <f t="shared" si="12"/>
        <v>0.11827956989247312</v>
      </c>
      <c r="Y17" s="66">
        <f t="shared" si="0"/>
        <v>269</v>
      </c>
      <c r="Z17" s="67">
        <f t="shared" si="1"/>
        <v>1.0228136882129277</v>
      </c>
    </row>
    <row r="18" spans="1:26" x14ac:dyDescent="0.25">
      <c r="A18" s="8">
        <f>'Water Reading'!A17</f>
        <v>44392</v>
      </c>
      <c r="B18" s="65">
        <f>TOTAL!I16</f>
        <v>289</v>
      </c>
      <c r="C18" s="66">
        <f>('Water Reading'!B18-'Water Reading'!B17)+('Water Reading'!C18-'Water Reading'!C17)</f>
        <v>15</v>
      </c>
      <c r="D18" s="67">
        <f t="shared" si="2"/>
        <v>5.1903114186851208E-2</v>
      </c>
      <c r="E18" s="87">
        <f>'Water Reading'!H18-'Water Reading'!H17</f>
        <v>72</v>
      </c>
      <c r="F18" s="89">
        <f t="shared" si="3"/>
        <v>4.8</v>
      </c>
      <c r="G18" s="93">
        <f>('Water Reading'!D18-'Water Reading'!D17)-('Water Reading'!R18-'Water Reading'!R17)-('Water Reading'!Q18-'Water Reading'!Q17)</f>
        <v>102.20000000000005</v>
      </c>
      <c r="H18" s="89">
        <f t="shared" si="4"/>
        <v>6.8133333333333361</v>
      </c>
      <c r="I18" s="90">
        <f>'Water Reading'!P18-'Water Reading'!P17</f>
        <v>12</v>
      </c>
      <c r="J18" s="68">
        <f t="shared" si="5"/>
        <v>0.8</v>
      </c>
      <c r="K18" s="91">
        <f>('Water Reading'!I18-'Water Reading'!I17)-('Water Reading'!P18-'Water Reading'!P17)</f>
        <v>34</v>
      </c>
      <c r="L18" s="68">
        <f t="shared" si="6"/>
        <v>2.2666666666666666</v>
      </c>
      <c r="M18" s="90">
        <f>'Water Reading'!R18-'Water Reading'!R17</f>
        <v>5</v>
      </c>
      <c r="N18" s="92">
        <f t="shared" si="7"/>
        <v>0.33333333333333331</v>
      </c>
      <c r="O18" s="90">
        <f>'Water Reading'!Q18-'Water Reading'!Q17</f>
        <v>5.7999999999999545</v>
      </c>
      <c r="P18" s="99">
        <f t="shared" si="8"/>
        <v>0.38666666666666366</v>
      </c>
      <c r="Q18" s="91">
        <f>'Water Reading'!F18-'Water Reading'!F17</f>
        <v>1</v>
      </c>
      <c r="R18" s="100">
        <f t="shared" si="9"/>
        <v>6.6666666666666666E-2</v>
      </c>
      <c r="S18" s="94">
        <f>'Water Reading'!E18-'Water Reading'!E17</f>
        <v>60</v>
      </c>
      <c r="T18" s="100">
        <f t="shared" si="10"/>
        <v>4</v>
      </c>
      <c r="U18" s="90">
        <f>'Water Reading'!G18-'Water Reading'!G17</f>
        <v>20</v>
      </c>
      <c r="V18" s="100">
        <f t="shared" si="11"/>
        <v>1.3333333333333333</v>
      </c>
      <c r="W18" s="90">
        <f>'Water Reading'!J18-'Water Reading'!J17</f>
        <v>12</v>
      </c>
      <c r="X18" s="100">
        <f t="shared" si="12"/>
        <v>0.8</v>
      </c>
      <c r="Y18" s="66">
        <f t="shared" si="0"/>
        <v>324</v>
      </c>
      <c r="Z18" s="67">
        <f t="shared" si="1"/>
        <v>1.1211072664359862</v>
      </c>
    </row>
    <row r="19" spans="1:26" x14ac:dyDescent="0.25">
      <c r="A19" s="8">
        <f>'Water Reading'!A18</f>
        <v>44393</v>
      </c>
      <c r="B19" s="65">
        <f>TOTAL!I17</f>
        <v>324</v>
      </c>
      <c r="C19" s="66">
        <f>('Water Reading'!B19-'Water Reading'!B18)+('Water Reading'!C19-'Water Reading'!C18)</f>
        <v>552</v>
      </c>
      <c r="D19" s="67">
        <f t="shared" si="2"/>
        <v>1.7037037037037037</v>
      </c>
      <c r="E19" s="87">
        <f>'Water Reading'!H19-'Water Reading'!H18</f>
        <v>77</v>
      </c>
      <c r="F19" s="89">
        <f t="shared" si="3"/>
        <v>0.13949275362318841</v>
      </c>
      <c r="G19" s="93">
        <f>('Water Reading'!D19-'Water Reading'!D18)-('Water Reading'!R19-'Water Reading'!R18)-('Water Reading'!Q19-'Water Reading'!Q18)</f>
        <v>140</v>
      </c>
      <c r="H19" s="89">
        <f t="shared" si="4"/>
        <v>0.25362318840579712</v>
      </c>
      <c r="I19" s="90">
        <f>'Water Reading'!P19-'Water Reading'!P18</f>
        <v>0</v>
      </c>
      <c r="J19" s="68">
        <f t="shared" si="5"/>
        <v>0</v>
      </c>
      <c r="K19" s="91">
        <f>('Water Reading'!I19-'Water Reading'!I18)-('Water Reading'!P19-'Water Reading'!P18)</f>
        <v>20</v>
      </c>
      <c r="L19" s="68">
        <f t="shared" si="6"/>
        <v>3.6231884057971016E-2</v>
      </c>
      <c r="M19" s="90">
        <f>'Water Reading'!R19-'Water Reading'!R18</f>
        <v>6</v>
      </c>
      <c r="N19" s="92">
        <f t="shared" si="7"/>
        <v>1.0869565217391304E-2</v>
      </c>
      <c r="O19" s="90">
        <f>'Water Reading'!Q19-'Water Reading'!Q18</f>
        <v>3</v>
      </c>
      <c r="P19" s="99">
        <f t="shared" si="8"/>
        <v>5.434782608695652E-3</v>
      </c>
      <c r="Q19" s="91">
        <f>'Water Reading'!F19-'Water Reading'!F18</f>
        <v>1</v>
      </c>
      <c r="R19" s="100">
        <f t="shared" si="9"/>
        <v>1.8115942028985507E-3</v>
      </c>
      <c r="S19" s="94">
        <f>'Water Reading'!E19-'Water Reading'!E18</f>
        <v>68</v>
      </c>
      <c r="T19" s="100">
        <f t="shared" si="10"/>
        <v>0.12318840579710146</v>
      </c>
      <c r="U19" s="90">
        <f>'Water Reading'!G19-'Water Reading'!G18</f>
        <v>23</v>
      </c>
      <c r="V19" s="100">
        <f t="shared" si="11"/>
        <v>4.1666666666666664E-2</v>
      </c>
      <c r="W19" s="90">
        <f>'Water Reading'!J19-'Water Reading'!J18</f>
        <v>13</v>
      </c>
      <c r="X19" s="100">
        <f t="shared" si="12"/>
        <v>2.355072463768116E-2</v>
      </c>
      <c r="Y19" s="66">
        <f t="shared" si="0"/>
        <v>351</v>
      </c>
      <c r="Z19" s="67">
        <f t="shared" si="1"/>
        <v>1.0833333333333333</v>
      </c>
    </row>
    <row r="20" spans="1:26" x14ac:dyDescent="0.25">
      <c r="A20" s="8">
        <f>'Water Reading'!A19</f>
        <v>44394</v>
      </c>
      <c r="B20" s="65">
        <f>TOTAL!I18</f>
        <v>244</v>
      </c>
      <c r="C20" s="66">
        <f>('Water Reading'!B20-'Water Reading'!B19)+('Water Reading'!C20-'Water Reading'!C19)</f>
        <v>323</v>
      </c>
      <c r="D20" s="67">
        <f t="shared" si="2"/>
        <v>1.3237704918032787</v>
      </c>
      <c r="E20" s="87">
        <f>'Water Reading'!H20-'Water Reading'!H19</f>
        <v>49</v>
      </c>
      <c r="F20" s="89">
        <f t="shared" si="3"/>
        <v>0.15170278637770898</v>
      </c>
      <c r="G20" s="93">
        <f>('Water Reading'!D20-'Water Reading'!D19)-('Water Reading'!R20-'Water Reading'!R19)-('Water Reading'!Q20-'Water Reading'!Q19)</f>
        <v>136</v>
      </c>
      <c r="H20" s="89">
        <f t="shared" si="4"/>
        <v>0.42105263157894735</v>
      </c>
      <c r="I20" s="90">
        <f>'Water Reading'!P20-'Water Reading'!P19</f>
        <v>14</v>
      </c>
      <c r="J20" s="68">
        <f t="shared" si="5"/>
        <v>4.3343653250773995E-2</v>
      </c>
      <c r="K20" s="91">
        <f>('Water Reading'!I20-'Water Reading'!I19)-('Water Reading'!P20-'Water Reading'!P19)</f>
        <v>21</v>
      </c>
      <c r="L20" s="68">
        <f t="shared" si="6"/>
        <v>6.5015479876160992E-2</v>
      </c>
      <c r="M20" s="90">
        <f>'Water Reading'!R20-'Water Reading'!R19</f>
        <v>6</v>
      </c>
      <c r="N20" s="92">
        <f t="shared" si="7"/>
        <v>1.8575851393188854E-2</v>
      </c>
      <c r="O20" s="90">
        <f>'Water Reading'!Q20-'Water Reading'!Q19</f>
        <v>4</v>
      </c>
      <c r="P20" s="99">
        <f t="shared" si="8"/>
        <v>1.238390092879257E-2</v>
      </c>
      <c r="Q20" s="91">
        <f>'Water Reading'!F20-'Water Reading'!F19</f>
        <v>1</v>
      </c>
      <c r="R20" s="100">
        <f t="shared" si="9"/>
        <v>3.0959752321981426E-3</v>
      </c>
      <c r="S20" s="94">
        <f>'Water Reading'!E20-'Water Reading'!E19</f>
        <v>61</v>
      </c>
      <c r="T20" s="100">
        <f t="shared" si="10"/>
        <v>0.18885448916408668</v>
      </c>
      <c r="U20" s="90">
        <f>'Water Reading'!G20-'Water Reading'!G19</f>
        <v>19</v>
      </c>
      <c r="V20" s="100">
        <f t="shared" si="11"/>
        <v>5.8823529411764705E-2</v>
      </c>
      <c r="W20" s="90">
        <f>'Water Reading'!J20-'Water Reading'!J19</f>
        <v>11</v>
      </c>
      <c r="X20" s="100">
        <f t="shared" si="12"/>
        <v>3.4055727554179564E-2</v>
      </c>
      <c r="Y20" s="66">
        <f t="shared" si="0"/>
        <v>322</v>
      </c>
      <c r="Z20" s="67">
        <f t="shared" si="1"/>
        <v>1.319672131147541</v>
      </c>
    </row>
    <row r="21" spans="1:26" x14ac:dyDescent="0.25">
      <c r="A21" s="8">
        <f>'Water Reading'!A20</f>
        <v>44395</v>
      </c>
      <c r="B21" s="65">
        <f>TOTAL!I19</f>
        <v>244</v>
      </c>
      <c r="C21" s="66">
        <f>('Water Reading'!B21-'Water Reading'!B20)+('Water Reading'!C21-'Water Reading'!C20)</f>
        <v>31</v>
      </c>
      <c r="D21" s="67">
        <f t="shared" si="2"/>
        <v>0.12704918032786885</v>
      </c>
      <c r="E21" s="87">
        <f>'Water Reading'!H21-'Water Reading'!H20</f>
        <v>42</v>
      </c>
      <c r="F21" s="89">
        <f t="shared" si="3"/>
        <v>1.3548387096774193</v>
      </c>
      <c r="G21" s="93">
        <f>('Water Reading'!D21-'Water Reading'!D20)-('Water Reading'!R21-'Water Reading'!R20)-('Water Reading'!Q21-'Water Reading'!Q20)</f>
        <v>150</v>
      </c>
      <c r="H21" s="89">
        <f t="shared" si="4"/>
        <v>4.838709677419355</v>
      </c>
      <c r="I21" s="90">
        <f>'Water Reading'!P21-'Water Reading'!P20</f>
        <v>12</v>
      </c>
      <c r="J21" s="68">
        <f t="shared" si="5"/>
        <v>0.38709677419354838</v>
      </c>
      <c r="K21" s="91">
        <f>('Water Reading'!I21-'Water Reading'!I20)-('Water Reading'!P21-'Water Reading'!P20)</f>
        <v>21</v>
      </c>
      <c r="L21" s="68">
        <f t="shared" si="6"/>
        <v>0.67741935483870963</v>
      </c>
      <c r="M21" s="90">
        <f>'Water Reading'!R21-'Water Reading'!R20</f>
        <v>10</v>
      </c>
      <c r="N21" s="92">
        <f t="shared" si="7"/>
        <v>0.32258064516129031</v>
      </c>
      <c r="O21" s="90">
        <f>'Water Reading'!Q21-'Water Reading'!Q20</f>
        <v>4</v>
      </c>
      <c r="P21" s="99">
        <f t="shared" si="8"/>
        <v>0.12903225806451613</v>
      </c>
      <c r="Q21" s="91">
        <f>'Water Reading'!F21-'Water Reading'!F20</f>
        <v>1</v>
      </c>
      <c r="R21" s="100">
        <f t="shared" si="9"/>
        <v>3.2258064516129031E-2</v>
      </c>
      <c r="S21" s="94">
        <f>'Water Reading'!E21-'Water Reading'!E20</f>
        <v>54</v>
      </c>
      <c r="T21" s="100">
        <f t="shared" si="10"/>
        <v>1.7419354838709677</v>
      </c>
      <c r="U21" s="90">
        <f>'Water Reading'!G21-'Water Reading'!G20</f>
        <v>21</v>
      </c>
      <c r="V21" s="100">
        <f t="shared" si="11"/>
        <v>0.67741935483870963</v>
      </c>
      <c r="W21" s="90">
        <f>'Water Reading'!J21-'Water Reading'!J20</f>
        <v>13</v>
      </c>
      <c r="X21" s="100">
        <f t="shared" si="12"/>
        <v>0.41935483870967744</v>
      </c>
      <c r="Y21" s="66">
        <f t="shared" si="0"/>
        <v>328</v>
      </c>
      <c r="Z21" s="67">
        <f t="shared" si="1"/>
        <v>1.3442622950819672</v>
      </c>
    </row>
    <row r="22" spans="1:26" x14ac:dyDescent="0.25">
      <c r="A22" s="8">
        <f>'Water Reading'!A21</f>
        <v>44396</v>
      </c>
      <c r="B22" s="65">
        <f>TOTAL!I20</f>
        <v>306</v>
      </c>
      <c r="C22" s="66">
        <f>('Water Reading'!B22-'Water Reading'!B21)+('Water Reading'!C22-'Water Reading'!C21)</f>
        <v>17</v>
      </c>
      <c r="D22" s="67">
        <f t="shared" si="2"/>
        <v>5.5555555555555552E-2</v>
      </c>
      <c r="E22" s="87">
        <f>'Water Reading'!H22-'Water Reading'!H21</f>
        <v>35</v>
      </c>
      <c r="F22" s="89">
        <f t="shared" si="3"/>
        <v>2.0588235294117645</v>
      </c>
      <c r="G22" s="93">
        <f>('Water Reading'!D22-'Water Reading'!D21)-('Water Reading'!R22-'Water Reading'!R21)-('Water Reading'!Q22-'Water Reading'!Q21)</f>
        <v>153</v>
      </c>
      <c r="H22" s="89">
        <f t="shared" si="4"/>
        <v>9</v>
      </c>
      <c r="I22" s="90">
        <f>'Water Reading'!P22-'Water Reading'!P21</f>
        <v>6</v>
      </c>
      <c r="J22" s="68">
        <f t="shared" si="5"/>
        <v>0.35294117647058826</v>
      </c>
      <c r="K22" s="91">
        <f>('Water Reading'!I22-'Water Reading'!I21)-('Water Reading'!P22-'Water Reading'!P21)</f>
        <v>20</v>
      </c>
      <c r="L22" s="68">
        <f t="shared" si="6"/>
        <v>1.1764705882352942</v>
      </c>
      <c r="M22" s="90">
        <f>'Water Reading'!R22-'Water Reading'!R21</f>
        <v>6</v>
      </c>
      <c r="N22" s="92">
        <f t="shared" si="7"/>
        <v>0.35294117647058826</v>
      </c>
      <c r="O22" s="90">
        <f>'Water Reading'!Q22-'Water Reading'!Q21</f>
        <v>5</v>
      </c>
      <c r="P22" s="99">
        <f t="shared" si="8"/>
        <v>0.29411764705882354</v>
      </c>
      <c r="Q22" s="91">
        <f>'Water Reading'!F22-'Water Reading'!F21</f>
        <v>0</v>
      </c>
      <c r="R22" s="100">
        <f t="shared" si="9"/>
        <v>0</v>
      </c>
      <c r="S22" s="94">
        <f>'Water Reading'!E22-'Water Reading'!E21</f>
        <v>56</v>
      </c>
      <c r="T22" s="100">
        <f t="shared" si="10"/>
        <v>3.2941176470588234</v>
      </c>
      <c r="U22" s="90">
        <f>'Water Reading'!G22-'Water Reading'!G21</f>
        <v>15</v>
      </c>
      <c r="V22" s="100">
        <f t="shared" si="11"/>
        <v>0.88235294117647056</v>
      </c>
      <c r="W22" s="90">
        <f>'Water Reading'!J22-'Water Reading'!J21</f>
        <v>10</v>
      </c>
      <c r="X22" s="100">
        <f t="shared" si="12"/>
        <v>0.58823529411764708</v>
      </c>
      <c r="Y22" s="66">
        <f t="shared" si="0"/>
        <v>306</v>
      </c>
      <c r="Z22" s="67">
        <f t="shared" si="1"/>
        <v>1</v>
      </c>
    </row>
    <row r="23" spans="1:26" x14ac:dyDescent="0.25">
      <c r="A23" s="8">
        <f>'Water Reading'!A22</f>
        <v>44397</v>
      </c>
      <c r="B23" s="65">
        <f>TOTAL!I21</f>
        <v>270</v>
      </c>
      <c r="C23" s="66">
        <f>('Water Reading'!B23-'Water Reading'!B22)+('Water Reading'!C23-'Water Reading'!C22)</f>
        <v>34</v>
      </c>
      <c r="D23" s="67">
        <f t="shared" si="2"/>
        <v>0.12592592592592591</v>
      </c>
      <c r="E23" s="87">
        <f>'Water Reading'!H23-'Water Reading'!H22</f>
        <v>39</v>
      </c>
      <c r="F23" s="89">
        <f t="shared" si="3"/>
        <v>1.1470588235294117</v>
      </c>
      <c r="G23" s="93">
        <f>('Water Reading'!D23-'Water Reading'!D22)-('Water Reading'!R23-'Water Reading'!R22)-('Water Reading'!Q23-'Water Reading'!Q22)</f>
        <v>148</v>
      </c>
      <c r="H23" s="89">
        <f t="shared" si="4"/>
        <v>4.3529411764705879</v>
      </c>
      <c r="I23" s="90">
        <f>'Water Reading'!P23-'Water Reading'!P22</f>
        <v>15</v>
      </c>
      <c r="J23" s="68">
        <f t="shared" si="5"/>
        <v>0.44117647058823528</v>
      </c>
      <c r="K23" s="91">
        <f>('Water Reading'!I23-'Water Reading'!I22)-('Water Reading'!P23-'Water Reading'!P22)</f>
        <v>25</v>
      </c>
      <c r="L23" s="68">
        <f t="shared" si="6"/>
        <v>0.73529411764705888</v>
      </c>
      <c r="M23" s="90">
        <f>'Water Reading'!R23-'Water Reading'!R22</f>
        <v>4</v>
      </c>
      <c r="N23" s="92">
        <f t="shared" si="7"/>
        <v>0.11764705882352941</v>
      </c>
      <c r="O23" s="90">
        <f>'Water Reading'!Q23-'Water Reading'!Q22</f>
        <v>2</v>
      </c>
      <c r="P23" s="99">
        <f t="shared" si="8"/>
        <v>5.8823529411764705E-2</v>
      </c>
      <c r="Q23" s="91">
        <f>'Water Reading'!F23-'Water Reading'!F22</f>
        <v>1</v>
      </c>
      <c r="R23" s="100">
        <f t="shared" si="9"/>
        <v>2.9411764705882353E-2</v>
      </c>
      <c r="S23" s="94">
        <f>'Water Reading'!E23-'Water Reading'!E22</f>
        <v>62</v>
      </c>
      <c r="T23" s="100">
        <f t="shared" si="10"/>
        <v>1.8235294117647058</v>
      </c>
      <c r="U23" s="90">
        <f>'Water Reading'!G23-'Water Reading'!G22</f>
        <v>23</v>
      </c>
      <c r="V23" s="100">
        <f t="shared" si="11"/>
        <v>0.67647058823529416</v>
      </c>
      <c r="W23" s="90">
        <f>'Water Reading'!J23-'Water Reading'!J22</f>
        <v>12</v>
      </c>
      <c r="X23" s="100">
        <f t="shared" si="12"/>
        <v>0.35294117647058826</v>
      </c>
      <c r="Y23" s="66">
        <f t="shared" si="0"/>
        <v>331</v>
      </c>
      <c r="Z23" s="67">
        <f t="shared" si="1"/>
        <v>1.2259259259259259</v>
      </c>
    </row>
    <row r="24" spans="1:26" x14ac:dyDescent="0.25">
      <c r="A24" s="8">
        <f>'Water Reading'!A23</f>
        <v>44398</v>
      </c>
      <c r="B24" s="65">
        <f>TOTAL!I22</f>
        <v>0</v>
      </c>
      <c r="C24" s="66">
        <f>('Water Reading'!B24-'Water Reading'!B23)+('Water Reading'!C24-'Water Reading'!C23)</f>
        <v>-303585</v>
      </c>
      <c r="D24" s="67" t="e">
        <f t="shared" si="2"/>
        <v>#DIV/0!</v>
      </c>
      <c r="E24" s="87">
        <f>'Water Reading'!H24-'Water Reading'!H23</f>
        <v>-53869</v>
      </c>
      <c r="F24" s="89">
        <f t="shared" si="3"/>
        <v>0.1774428907884118</v>
      </c>
      <c r="G24" s="93">
        <f>('Water Reading'!D24-'Water Reading'!D23)-('Water Reading'!R24-'Water Reading'!R23)-('Water Reading'!Q24-'Water Reading'!Q23)</f>
        <v>-204893</v>
      </c>
      <c r="H24" s="89">
        <f t="shared" si="4"/>
        <v>0.67491147454584388</v>
      </c>
      <c r="I24" s="90">
        <f>'Water Reading'!P24-'Water Reading'!P23</f>
        <v>-27201</v>
      </c>
      <c r="J24" s="68">
        <f t="shared" si="5"/>
        <v>8.959928850239636E-2</v>
      </c>
      <c r="K24" s="91">
        <f>('Water Reading'!I24-'Water Reading'!I23)-('Water Reading'!P24-'Water Reading'!P23)</f>
        <v>-36950</v>
      </c>
      <c r="L24" s="68">
        <f t="shared" si="6"/>
        <v>0.1217122058072698</v>
      </c>
      <c r="M24" s="90">
        <f>'Water Reading'!R24-'Water Reading'!R23</f>
        <v>-6335</v>
      </c>
      <c r="N24" s="92">
        <f t="shared" si="7"/>
        <v>2.0867302402951399E-2</v>
      </c>
      <c r="O24" s="90">
        <f>'Water Reading'!Q24-'Water Reading'!Q23</f>
        <v>-739</v>
      </c>
      <c r="P24" s="99">
        <f t="shared" si="8"/>
        <v>2.4342441161453957E-3</v>
      </c>
      <c r="Q24" s="91">
        <f>'Water Reading'!F24-'Water Reading'!F23</f>
        <v>-66948</v>
      </c>
      <c r="R24" s="100">
        <f t="shared" si="9"/>
        <v>0.22052472948268195</v>
      </c>
      <c r="S24" s="94">
        <f>'Water Reading'!E24-'Water Reading'!E23</f>
        <v>-249055</v>
      </c>
      <c r="T24" s="100">
        <f t="shared" si="10"/>
        <v>0.82037979478564482</v>
      </c>
      <c r="U24" s="90">
        <f>'Water Reading'!G24-'Water Reading'!G23</f>
        <v>-111970</v>
      </c>
      <c r="V24" s="100">
        <f t="shared" si="11"/>
        <v>0.36882586425548036</v>
      </c>
      <c r="W24" s="90">
        <f>'Water Reading'!J24-'Water Reading'!J23</f>
        <v>-20541</v>
      </c>
      <c r="X24" s="100">
        <f t="shared" si="12"/>
        <v>6.7661445723602942E-2</v>
      </c>
      <c r="Y24" s="66">
        <f t="shared" si="0"/>
        <v>-778501</v>
      </c>
      <c r="Z24" s="67" t="e">
        <f t="shared" si="1"/>
        <v>#DIV/0!</v>
      </c>
    </row>
    <row r="25" spans="1:26" x14ac:dyDescent="0.25">
      <c r="A25" s="8">
        <f>'Water Reading'!A24</f>
        <v>44399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44400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44401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44402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44403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44404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44405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44406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44407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44408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5670</v>
      </c>
      <c r="C35" s="75">
        <f>SUM(C4:C34)</f>
        <v>-297465</v>
      </c>
      <c r="D35" s="96">
        <f>C35/B35</f>
        <v>-52.462962962962962</v>
      </c>
      <c r="E35" s="7">
        <f>SUM(E4:E34)</f>
        <v>-52942</v>
      </c>
      <c r="F35" s="95">
        <f>E35/C35</f>
        <v>0.17797724101995194</v>
      </c>
      <c r="G35" s="75">
        <f>SUM(G4:G34)</f>
        <v>-202425.5</v>
      </c>
      <c r="H35" s="95">
        <f>G35/C35</f>
        <v>0.68050190778747077</v>
      </c>
      <c r="I35" s="7">
        <f>SUM(I4:I34)</f>
        <v>-27014</v>
      </c>
      <c r="J35" s="95">
        <f>I35/C35</f>
        <v>9.0814045349873099E-2</v>
      </c>
      <c r="K35" s="7">
        <f>SUM(K4:K34)</f>
        <v>-36614</v>
      </c>
      <c r="L35" s="95">
        <f>K35/C35</f>
        <v>0.12308674970164557</v>
      </c>
      <c r="M35" s="7">
        <f>SUM(M4:M34)</f>
        <v>-6229</v>
      </c>
      <c r="N35" s="95">
        <f>M35/C35</f>
        <v>2.0940278688249037E-2</v>
      </c>
      <c r="O35" s="7">
        <f>SUM(O4:O34)</f>
        <v>-641.5</v>
      </c>
      <c r="P35" s="95">
        <f>O35/C35</f>
        <v>2.1565562335064629E-3</v>
      </c>
      <c r="Q35" s="7">
        <f>SUM(Q4:Q34)</f>
        <v>-66928</v>
      </c>
      <c r="R35" s="95">
        <f>Q35/C35</f>
        <v>0.22499453717244045</v>
      </c>
      <c r="S35" s="75">
        <f>SUM(S4:S34)</f>
        <v>-247852</v>
      </c>
      <c r="T35" s="95">
        <f>S35/C35</f>
        <v>0.83321399156203246</v>
      </c>
      <c r="U35" s="7">
        <f>SUM(U4:U34)</f>
        <v>-111641</v>
      </c>
      <c r="V35" s="95">
        <f>U35/C35</f>
        <v>0.3753080194308574</v>
      </c>
      <c r="W35" s="7">
        <f>SUM(W4:W34)</f>
        <v>-20282</v>
      </c>
      <c r="X35" s="95">
        <f>W35/C35</f>
        <v>6.8182811423192644E-2</v>
      </c>
      <c r="Y35" s="75">
        <f>SUM(Y4:Y34)</f>
        <v>-772569</v>
      </c>
      <c r="Z35" s="95">
        <f t="shared" si="1"/>
        <v>-136.25555555555556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2021-07-21T06:07:13Z</dcterms:modified>
  <cp:category/>
  <cp:contentStatus/>
</cp:coreProperties>
</file>