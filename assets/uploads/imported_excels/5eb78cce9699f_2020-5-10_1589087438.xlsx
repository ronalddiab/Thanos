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10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3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S35" i="18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T28" i="1"/>
  <c r="S21" i="18" s="1"/>
  <c r="T24" i="1"/>
  <c r="S17" i="18" s="1"/>
  <c r="T29" i="1"/>
  <c r="S22" i="18" s="1"/>
  <c r="T30" i="1"/>
  <c r="S23" i="18" s="1"/>
  <c r="T31" i="1"/>
  <c r="S24" i="18" s="1"/>
  <c r="T32" i="1"/>
  <c r="S25" i="18" s="1"/>
  <c r="T33" i="1"/>
  <c r="S26" i="18" s="1"/>
  <c r="T34" i="1"/>
  <c r="S27" i="18" s="1"/>
  <c r="T35" i="1"/>
  <c r="S28" i="18" s="1"/>
  <c r="T36" i="1"/>
  <c r="S29" i="18" s="1"/>
  <c r="T37" i="1"/>
  <c r="S30" i="18" s="1"/>
  <c r="T38" i="1"/>
  <c r="S31" i="18" s="1"/>
  <c r="T39" i="1"/>
  <c r="S32" i="18" s="1"/>
  <c r="T40" i="1"/>
  <c r="S33" i="18" s="1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S34" i="18" s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I9" s="1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J28"/>
  <c r="L28" s="1"/>
  <c r="J7"/>
  <c r="L7" s="1"/>
  <c r="J9"/>
  <c r="L9" s="1"/>
  <c r="J12"/>
  <c r="L12" s="1"/>
  <c r="J15"/>
  <c r="L15" s="1"/>
  <c r="J18"/>
  <c r="L18" s="1"/>
  <c r="L17"/>
  <c r="J21"/>
  <c r="L21" s="1"/>
  <c r="L20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G8" i="23"/>
  <c r="AN9" i="3"/>
  <c r="W5" i="25" s="1"/>
  <c r="AN8" i="3"/>
  <c r="G7" i="23" s="1"/>
  <c r="W2" i="25"/>
  <c r="AN6" i="3"/>
  <c r="G5" i="23"/>
  <c r="AN10" i="3"/>
  <c r="W6" i="25" s="1"/>
  <c r="AN19" i="3"/>
  <c r="W15" i="25" s="1"/>
  <c r="G15" i="23"/>
  <c r="AN16" i="3"/>
  <c r="W12" i="25"/>
  <c r="G19" i="23"/>
  <c r="AN20" i="3"/>
  <c r="W16" i="25" s="1"/>
  <c r="G16" i="23"/>
  <c r="AN17" i="3"/>
  <c r="W13" i="25" s="1"/>
  <c r="AN12" i="3"/>
  <c r="G11" i="23" s="1"/>
  <c r="G17"/>
  <c r="AN18" i="3"/>
  <c r="W14" i="25"/>
  <c r="AN11" i="3"/>
  <c r="W7" i="25" s="1"/>
  <c r="AN15" i="3"/>
  <c r="W11" i="25" s="1"/>
  <c r="U38" i="3"/>
  <c r="AN38" s="1"/>
  <c r="G14" i="23" l="1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<sst xmlns="http://schemas.openxmlformats.org/spreadsheetml/2006/main" count="532" uniqueCount="320">
  <si>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</si>
  <si>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</si>
  <si>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</si>
  <si>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</si>
  <si>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</si>
  <si>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</si>
  <si>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</si>
  <si>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</si>
  <si>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</si>
  <si>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</si>
  <si>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</si>
  <si>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</si>
  <si>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</si>
  <si>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</si>
  <si>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</si>
  <si>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</si>
  <si>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</si>
  <si>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</si>
  <si>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</si>
  <si>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</si>
  <si>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</si>
  <si>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</si>
  <si>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</si>
  <si>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</si>
  <si>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</si>
  <si>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</si>
  <si>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</si>
  <si>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</si>
  <si>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</si>
  <si>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</si>
  <si>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</si>
  <si>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</si>
  <si>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</si>
  <si>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</si>
  <si>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</si>
  <si>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</si>
  <si>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</si>
  <si>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</si>
  <si>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</si>
  <si>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</si>
  <si>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</si>
  <si>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</si>
  <si>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</si>
  <si>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</si>
  <si>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</si>
  <si>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</si>
  <si>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</si>
  <si>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</si>
  <si>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</si>
  <si>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</si>
  <si>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</si>
  <si>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</si>
  <si>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</si>
  <si>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</si>
  <si>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</si>
  <si>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</si>
  <si>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</si>
  <si>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</si>
  <si>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</si>
  <si>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</si>
  <si>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</si>
  <si>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</si>
  <si>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</si>
  <si>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</si>
  <si>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</si>
  <si>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</si>
  <si>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</si>
  <si>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</si>
  <si>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</si>
  <si>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</si>
  <si>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</si>
  <si>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</si>
  <si>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</si>
  <si>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</si>
  <si>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</si>
  <si>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</si>
  <si>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</si>
  <si>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</si>
  <si>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</si>
  <si>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</si>
  <si>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</si>
  <si>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</si>
  <si>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</si>
  <si>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</si>
  <si>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</si>
  <si>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</si>
  <si>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</si>
  <si>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</si>
  <si>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</si>
  <si>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</si>
  <si>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</si>
  <si>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</si>
  <si>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</si>
  <si>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</si>
  <si>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</si>
  <si>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</si>
  <si>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</si>
  <si>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</si>
  <si>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</si>
  <si>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</si>
  <si>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</si>
  <si>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</si>
  <si>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</si>
  <si>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</si>
  <si>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</si>
  <si>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</si>
  <si>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</si>
  <si>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</si>
  <si>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</si>
  <si>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</si>
  <si>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</si>
  <si>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</si>
  <si>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</si>
  <si>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</si>
  <si>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</si>
  <si>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</si>
  <si>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</si>
  <si>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</si>
  <si>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</si>
  <si>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</si>
  <si>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</si>
  <si>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</si>
  <si>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</si>
  <si>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</si>
  <si>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</si>
  <si>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</si>
  <si>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</si>
  <si>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</si>
  <si>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</si>
  <si>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</si>
  <si>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</si>
  <si>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</si>
  <si>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</si>
  <si>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</si>
  <si>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</si>
  <si>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</si>
  <si>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</si>
  <si>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</si>
  <si>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</si>
  <si>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</si>
  <si>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</si>
  <si>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</si>
  <si>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</si>
  <si>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</si>
  <si>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</si>
  <si>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</si>
  <si>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</si>
  <si>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</si>
  <si>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</si>
  <si>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</si>
  <si>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</si>
  <si>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</si>
  <si>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</si>
  <si>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</si>
  <si>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</si>
  <si>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</si>
  <si>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</si>
  <si>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</si>
  <si>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</si>
  <si>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</si>
  <si>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</si>
  <si>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</si>
  <si>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</si>
  <si>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</si>
  <si>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</si>
  <si>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</si>
  <si>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</si>
  <si>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</si>
  <si>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</si>
  <si>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</si>
  <si>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</si>
  <si>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</si>
  <si>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</si>
  <si>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</si>
  <si>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</si>
  <si>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</si>
  <si>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</si>
  <si>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</si>
  <si>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</si>
  <si>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</si>
  <si>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</si>
  <si>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</si>
  <si>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</si>
  <si>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</si>
  <si>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</si>
  <si>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</si>
  <si>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</si>
  <si>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</si>
  <si>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</si>
  <si>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</si>
  <si>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</si>
  <si>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</si>
  <si>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</si>
  <si>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</si>
  <si>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</si>
  <si>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</si>
  <si>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</si>
  <si>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</si>
  <si>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</si>
  <si>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</si>
  <si>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</si>
  <si>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</si>
  <si>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</si>
  <si>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</si>
  <si>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</si>
  <si>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</si>
  <si>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</si>
  <si>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</si>
  <si>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</si>
  <si>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</si>
  <si>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</si>
  <si>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</si>
  <si>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</si>
  <si>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</si>
  <si>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</si>
  <si>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</si>
  <si>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</si>
  <si>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</si>
  <si>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</si>
  <si>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</si>
  <si>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</si>
  <si>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</si>
  <si>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</si>
  <si>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</si>
  <si>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</si>
  <si>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</si>
  <si>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</si>
  <si>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</si>
  <si>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</si>
  <si>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</si>
  <si>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</si>
  <si>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</si>
  <si>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</si>
  <si>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</si>
  <si>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</si>
  <si>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</si>
  <si>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</si>
  <si>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</si>
  <si>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</si>
  <si>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</si>
  <si>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</si>
  <si>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</si>
  <si>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</si>
  <si>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</si>
  <si>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</si>
  <si>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</si>
  <si>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</si>
  <si>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</si>
  <si>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</si>
  <si>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</si>
  <si>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</si>
  <si>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</si>
  <si>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</si>
  <si>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</si>
  <si>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</si>
  <si>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</si>
  <si>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</si>
  <si>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</si>
  <si>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</si>
  <si>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</si>
  <si>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</si>
  <si>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</si>
  <si>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</si>
  <si>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</si>
  <si>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</si>
  <si>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</si>
  <si>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</si>
  <si>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</si>
  <si>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</si>
  <si>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</si>
  <si>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</si>
  <si>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</si>
  <si>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</si>
  <si>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</si>
  <si>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</si>
  <si>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</si>
  <si>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</si>
  <si>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</si>
  <si>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</si>
  <si>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</si>
  <si>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</si>
  <si>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</si>
  <si>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</si>
  <si>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</si>
  <si>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</si>
  <si>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</si>
  <si>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</si>
  <si>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</si>
  <si>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</si>
  <si>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</si>
  <si>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</si>
  <si>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</si>
  <si>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</si>
  <si>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</si>
  <si>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</si>
  <si>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</si>
  <si>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</si>
  <si>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</si>
  <si>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</si>
  <si>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</si>
  <si>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</si>
  <si>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</si>
  <si>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</si>
  <si>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</si>
  <si>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</si>
  <si>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</si>
  <si>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</si>
  <si>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</si>
  <si>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</si>
  <si>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</si>
  <si>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</si>
  <si>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</si>
  <si>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</si>
  <si>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</si>
  <si>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</si>
  <si>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</si>
  <si>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</si>
  <si>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</si>
  <si>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 xml:space="preserve">RAHA </t>
  </si>
  <si>
    <t>DAILY UTILITY REPORT MAY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</si>
</sst>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6" fontId="16" fillId="9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420608"/>
        <c:axId val="1204224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423936"/>
        <c:axId val="120425472"/>
      </c:lineChart>
      <c:catAx>
        <c:axId val="12042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22400"/>
        <c:crosses val="autoZero"/>
        <c:auto val="1"/>
        <c:lblAlgn val="ctr"/>
        <c:lblOffset val="100"/>
      </c:catAx>
      <c:valAx>
        <c:axId val="1204224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20608"/>
        <c:crosses val="autoZero"/>
        <c:crossBetween val="between"/>
        <c:majorUnit val="200"/>
      </c:valAx>
      <c:catAx>
        <c:axId val="120423936"/>
        <c:scaling>
          <c:orientation val="minMax"/>
        </c:scaling>
        <c:delete val="1"/>
        <c:axPos val="b"/>
        <c:tickLblPos val="none"/>
        <c:crossAx val="120425472"/>
        <c:crosses val="autoZero"/>
        <c:auto val="1"/>
        <c:lblAlgn val="ctr"/>
        <c:lblOffset val="100"/>
      </c:catAx>
      <c:valAx>
        <c:axId val="120425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23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866944"/>
        <c:axId val="1248684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870016"/>
        <c:axId val="124871808"/>
      </c:lineChart>
      <c:catAx>
        <c:axId val="12486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68480"/>
        <c:crosses val="autoZero"/>
        <c:auto val="1"/>
        <c:lblAlgn val="ctr"/>
        <c:lblOffset val="100"/>
      </c:catAx>
      <c:valAx>
        <c:axId val="12486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66944"/>
        <c:crosses val="autoZero"/>
        <c:crossBetween val="between"/>
        <c:majorUnit val="200"/>
      </c:valAx>
      <c:catAx>
        <c:axId val="124870016"/>
        <c:scaling>
          <c:orientation val="minMax"/>
        </c:scaling>
        <c:delete val="1"/>
        <c:axPos val="b"/>
        <c:tickLblPos val="none"/>
        <c:crossAx val="124871808"/>
        <c:crosses val="autoZero"/>
        <c:auto val="1"/>
        <c:lblAlgn val="ctr"/>
        <c:lblOffset val="100"/>
      </c:catAx>
      <c:valAx>
        <c:axId val="1248718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70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5138432"/>
        <c:axId val="125139968"/>
      </c:lineChart>
      <c:catAx>
        <c:axId val="12513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39968"/>
        <c:crosses val="autoZero"/>
        <c:auto val="1"/>
        <c:lblAlgn val="ctr"/>
        <c:lblOffset val="200"/>
        <c:tickLblSkip val="1"/>
      </c:catAx>
      <c:valAx>
        <c:axId val="125139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3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5160448"/>
        <c:axId val="125719296"/>
      </c:lineChart>
      <c:catAx>
        <c:axId val="1251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19296"/>
        <c:crosses val="autoZero"/>
        <c:auto val="1"/>
        <c:lblAlgn val="ctr"/>
        <c:lblOffset val="100"/>
      </c:catAx>
      <c:valAx>
        <c:axId val="1257192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5756160"/>
        <c:axId val="125758080"/>
      </c:lineChart>
      <c:catAx>
        <c:axId val="12575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58080"/>
        <c:crosses val="autoZero"/>
        <c:auto val="1"/>
        <c:lblAlgn val="ctr"/>
        <c:lblOffset val="100"/>
      </c:catAx>
      <c:valAx>
        <c:axId val="125758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56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963840"/>
        <c:axId val="124974208"/>
      </c:lineChart>
      <c:catAx>
        <c:axId val="124963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auto val="1"/>
        <c:lblAlgn val="ctr"/>
        <c:lblOffset val="100"/>
      </c:catAx>
      <c:valAx>
        <c:axId val="1249742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63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-313372.40000000002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6297600"/>
        <c:axId val="126299136"/>
      </c:lineChart>
      <c:catAx>
        <c:axId val="12629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99136"/>
        <c:crosses val="autoZero"/>
        <c:auto val="1"/>
        <c:lblAlgn val="ctr"/>
        <c:lblOffset val="100"/>
      </c:catAx>
      <c:valAx>
        <c:axId val="126299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9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26345216"/>
        <c:axId val="126346752"/>
      </c:lineChart>
      <c:catAx>
        <c:axId val="12634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46752"/>
        <c:crosses val="autoZero"/>
        <c:auto val="1"/>
        <c:lblAlgn val="ctr"/>
        <c:lblOffset val="100"/>
      </c:catAx>
      <c:valAx>
        <c:axId val="12634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4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26776448"/>
        <c:axId val="126777984"/>
      </c:lineChart>
      <c:catAx>
        <c:axId val="12677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77984"/>
        <c:crosses val="autoZero"/>
        <c:auto val="1"/>
        <c:lblAlgn val="ctr"/>
        <c:lblOffset val="100"/>
      </c:catAx>
      <c:valAx>
        <c:axId val="12677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7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398"/>
          <c:y val="7.47132470511074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79039104"/>
        <c:axId val="79053184"/>
      </c:lineChart>
      <c:catAx>
        <c:axId val="7903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53184"/>
        <c:crosses val="autoZero"/>
        <c:auto val="1"/>
        <c:lblAlgn val="ctr"/>
        <c:lblOffset val="200"/>
        <c:tickLblSkip val="1"/>
      </c:catAx>
      <c:valAx>
        <c:axId val="790531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3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79082240"/>
        <c:axId val="79083776"/>
      </c:lineChart>
      <c:catAx>
        <c:axId val="790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83776"/>
        <c:crosses val="autoZero"/>
        <c:auto val="1"/>
        <c:lblAlgn val="ctr"/>
        <c:lblOffset val="100"/>
      </c:catAx>
      <c:valAx>
        <c:axId val="7908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8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26953728"/>
        <c:axId val="126992768"/>
      </c:lineChart>
      <c:catAx>
        <c:axId val="126953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92768"/>
        <c:crosses val="autoZero"/>
        <c:auto val="1"/>
        <c:lblAlgn val="ctr"/>
        <c:lblOffset val="100"/>
      </c:catAx>
      <c:valAx>
        <c:axId val="1269927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53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20218368"/>
        <c:axId val="120220288"/>
      </c:lineChart>
      <c:catAx>
        <c:axId val="120218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20288"/>
        <c:crosses val="autoZero"/>
        <c:auto val="1"/>
        <c:lblAlgn val="ctr"/>
        <c:lblOffset val="100"/>
      </c:catAx>
      <c:valAx>
        <c:axId val="120220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18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79576064"/>
        <c:axId val="79577856"/>
      </c:lineChart>
      <c:catAx>
        <c:axId val="7957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77856"/>
        <c:crosses val="autoZero"/>
        <c:auto val="1"/>
        <c:lblAlgn val="ctr"/>
        <c:lblOffset val="100"/>
      </c:catAx>
      <c:valAx>
        <c:axId val="7957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7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79615488"/>
        <c:axId val="79617024"/>
      </c:lineChart>
      <c:catAx>
        <c:axId val="796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17024"/>
        <c:crosses val="autoZero"/>
        <c:auto val="1"/>
        <c:lblAlgn val="ctr"/>
        <c:lblOffset val="100"/>
      </c:catAx>
      <c:valAx>
        <c:axId val="7961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79776384"/>
        <c:axId val="79782272"/>
      </c:lineChart>
      <c:catAx>
        <c:axId val="7977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82272"/>
        <c:crosses val="autoZero"/>
        <c:auto val="1"/>
        <c:lblAlgn val="ctr"/>
        <c:lblOffset val="100"/>
      </c:catAx>
      <c:valAx>
        <c:axId val="7978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7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698"/>
          <c:y val="7.47132470511078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0599296"/>
        <c:axId val="1206008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0610816"/>
        <c:axId val="120612352"/>
      </c:lineChart>
      <c:catAx>
        <c:axId val="1205992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00832"/>
        <c:crosses val="autoZero"/>
        <c:lblAlgn val="ctr"/>
        <c:lblOffset val="100"/>
        <c:tickMarkSkip val="1"/>
      </c:catAx>
      <c:valAx>
        <c:axId val="120600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99296"/>
        <c:crosses val="autoZero"/>
        <c:crossBetween val="between"/>
      </c:valAx>
      <c:catAx>
        <c:axId val="120610816"/>
        <c:scaling>
          <c:orientation val="minMax"/>
        </c:scaling>
        <c:delete val="1"/>
        <c:axPos val="b"/>
        <c:numFmt formatCode="[$-409]d\-mmm\-yy;@" sourceLinked="1"/>
        <c:tickLblPos val="none"/>
        <c:crossAx val="120612352"/>
        <c:crosses val="autoZero"/>
        <c:lblAlgn val="ctr"/>
        <c:lblOffset val="100"/>
      </c:catAx>
      <c:valAx>
        <c:axId val="1206123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10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0287232"/>
        <c:axId val="80288768"/>
      </c:lineChart>
      <c:catAx>
        <c:axId val="8028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88768"/>
        <c:crosses val="autoZero"/>
        <c:auto val="1"/>
        <c:lblAlgn val="ctr"/>
        <c:lblOffset val="100"/>
      </c:catAx>
      <c:valAx>
        <c:axId val="802887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8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4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0313344"/>
        <c:axId val="80323328"/>
      </c:lineChart>
      <c:catAx>
        <c:axId val="803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23328"/>
        <c:crosses val="autoZero"/>
        <c:auto val="1"/>
        <c:lblAlgn val="ctr"/>
        <c:lblOffset val="100"/>
      </c:catAx>
      <c:valAx>
        <c:axId val="803233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1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2099200"/>
        <c:axId val="82105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2106624"/>
        <c:axId val="82513920"/>
      </c:lineChart>
      <c:catAx>
        <c:axId val="82099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05088"/>
        <c:crosses val="autoZero"/>
        <c:lblAlgn val="ctr"/>
        <c:lblOffset val="100"/>
        <c:tickMarkSkip val="1"/>
      </c:catAx>
      <c:valAx>
        <c:axId val="8210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99200"/>
        <c:crosses val="autoZero"/>
        <c:crossBetween val="between"/>
      </c:valAx>
      <c:catAx>
        <c:axId val="82106624"/>
        <c:scaling>
          <c:orientation val="minMax"/>
        </c:scaling>
        <c:delete val="1"/>
        <c:axPos val="b"/>
        <c:numFmt formatCode="General" sourceLinked="1"/>
        <c:tickLblPos val="none"/>
        <c:crossAx val="82513920"/>
        <c:crosses val="autoZero"/>
        <c:lblAlgn val="ctr"/>
        <c:lblOffset val="100"/>
      </c:catAx>
      <c:valAx>
        <c:axId val="825139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06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2550144"/>
        <c:axId val="82551936"/>
      </c:lineChart>
      <c:catAx>
        <c:axId val="8255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51936"/>
        <c:crosses val="autoZero"/>
        <c:auto val="1"/>
        <c:lblAlgn val="ctr"/>
        <c:lblOffset val="100"/>
      </c:catAx>
      <c:valAx>
        <c:axId val="8255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5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8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2715776"/>
        <c:axId val="82717312"/>
      </c:lineChart>
      <c:catAx>
        <c:axId val="8271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7312"/>
        <c:crosses val="autoZero"/>
        <c:auto val="1"/>
        <c:lblAlgn val="ctr"/>
        <c:lblOffset val="100"/>
      </c:catAx>
      <c:valAx>
        <c:axId val="8271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3175296"/>
        <c:axId val="8317683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3182720"/>
        <c:axId val="83184256"/>
      </c:lineChart>
      <c:catAx>
        <c:axId val="831752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76832"/>
        <c:crosses val="autoZero"/>
        <c:lblAlgn val="ctr"/>
        <c:lblOffset val="100"/>
        <c:tickMarkSkip val="1"/>
      </c:catAx>
      <c:valAx>
        <c:axId val="83176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75296"/>
        <c:crosses val="autoZero"/>
        <c:crossBetween val="between"/>
      </c:valAx>
      <c:catAx>
        <c:axId val="83182720"/>
        <c:scaling>
          <c:orientation val="minMax"/>
        </c:scaling>
        <c:delete val="1"/>
        <c:axPos val="b"/>
        <c:numFmt formatCode="[$-409]d\-mmm\-yy;@" sourceLinked="1"/>
        <c:tickLblPos val="none"/>
        <c:crossAx val="83184256"/>
        <c:crosses val="autoZero"/>
        <c:lblAlgn val="ctr"/>
        <c:lblOffset val="100"/>
      </c:catAx>
      <c:valAx>
        <c:axId val="831842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827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4414848"/>
        <c:axId val="844163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4417920"/>
        <c:axId val="84432000"/>
      </c:lineChart>
      <c:catAx>
        <c:axId val="844148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6384"/>
        <c:crosses val="autoZero"/>
        <c:lblAlgn val="ctr"/>
        <c:lblOffset val="100"/>
        <c:tickMarkSkip val="1"/>
      </c:catAx>
      <c:valAx>
        <c:axId val="8441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4848"/>
        <c:crosses val="autoZero"/>
        <c:crossBetween val="between"/>
      </c:valAx>
      <c:catAx>
        <c:axId val="84417920"/>
        <c:scaling>
          <c:orientation val="minMax"/>
        </c:scaling>
        <c:delete val="1"/>
        <c:axPos val="b"/>
        <c:numFmt formatCode="General" sourceLinked="1"/>
        <c:tickLblPos val="none"/>
        <c:crossAx val="84432000"/>
        <c:crosses val="autoZero"/>
        <c:lblAlgn val="ctr"/>
        <c:lblOffset val="100"/>
      </c:catAx>
      <c:valAx>
        <c:axId val="84432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7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4700544"/>
        <c:axId val="847064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4707968"/>
        <c:axId val="84709760"/>
      </c:lineChart>
      <c:catAx>
        <c:axId val="84700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06432"/>
        <c:crosses val="autoZero"/>
        <c:lblAlgn val="ctr"/>
        <c:lblOffset val="100"/>
        <c:tickMarkSkip val="1"/>
      </c:catAx>
      <c:valAx>
        <c:axId val="84706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00544"/>
        <c:crosses val="autoZero"/>
        <c:crossBetween val="between"/>
      </c:valAx>
      <c:catAx>
        <c:axId val="84707968"/>
        <c:scaling>
          <c:orientation val="minMax"/>
        </c:scaling>
        <c:delete val="1"/>
        <c:axPos val="b"/>
        <c:numFmt formatCode="[$-409]d\-mmm\-yy;@" sourceLinked="1"/>
        <c:tickLblPos val="none"/>
        <c:crossAx val="84709760"/>
        <c:crosses val="autoZero"/>
        <c:lblAlgn val="ctr"/>
        <c:lblOffset val="100"/>
      </c:catAx>
      <c:valAx>
        <c:axId val="847097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07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5874560"/>
        <c:axId val="858760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5881984"/>
        <c:axId val="85883520"/>
      </c:lineChart>
      <c:catAx>
        <c:axId val="858745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76096"/>
        <c:crosses val="autoZero"/>
        <c:lblAlgn val="ctr"/>
        <c:lblOffset val="100"/>
        <c:tickMarkSkip val="1"/>
      </c:catAx>
      <c:valAx>
        <c:axId val="8587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74560"/>
        <c:crosses val="autoZero"/>
        <c:crossBetween val="between"/>
      </c:valAx>
      <c:catAx>
        <c:axId val="85881984"/>
        <c:scaling>
          <c:orientation val="minMax"/>
        </c:scaling>
        <c:delete val="1"/>
        <c:axPos val="b"/>
        <c:numFmt formatCode="General" sourceLinked="1"/>
        <c:tickLblPos val="none"/>
        <c:crossAx val="85883520"/>
        <c:crosses val="autoZero"/>
        <c:lblAlgn val="ctr"/>
        <c:lblOffset val="100"/>
      </c:catAx>
      <c:valAx>
        <c:axId val="858835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81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4638720"/>
        <c:axId val="84649088"/>
      </c:lineChart>
      <c:catAx>
        <c:axId val="84638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49088"/>
        <c:crosses val="autoZero"/>
        <c:auto val="1"/>
        <c:lblAlgn val="ctr"/>
        <c:lblOffset val="100"/>
      </c:catAx>
      <c:valAx>
        <c:axId val="84649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38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4669952"/>
        <c:axId val="84671872"/>
      </c:lineChart>
      <c:catAx>
        <c:axId val="84669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71872"/>
        <c:crosses val="autoZero"/>
        <c:auto val="1"/>
        <c:lblAlgn val="ctr"/>
        <c:lblOffset val="100"/>
      </c:catAx>
      <c:valAx>
        <c:axId val="84671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699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6433792"/>
        <c:axId val="86435328"/>
      </c:lineChart>
      <c:catAx>
        <c:axId val="8643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35328"/>
        <c:crosses val="autoZero"/>
        <c:auto val="1"/>
        <c:lblAlgn val="ctr"/>
        <c:lblOffset val="200"/>
        <c:tickLblSkip val="1"/>
      </c:catAx>
      <c:valAx>
        <c:axId val="86435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3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6210048"/>
        <c:axId val="86211584"/>
      </c:lineChart>
      <c:catAx>
        <c:axId val="8621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11584"/>
        <c:crosses val="autoZero"/>
        <c:auto val="1"/>
        <c:lblAlgn val="ctr"/>
        <c:lblOffset val="100"/>
      </c:catAx>
      <c:valAx>
        <c:axId val="86211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1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6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-313372.40000000002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6232064"/>
        <c:axId val="86377216"/>
      </c:lineChart>
      <c:catAx>
        <c:axId val="8623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77216"/>
        <c:crosses val="autoZero"/>
        <c:auto val="1"/>
        <c:lblAlgn val="ctr"/>
        <c:lblOffset val="100"/>
      </c:catAx>
      <c:valAx>
        <c:axId val="8637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7028480"/>
        <c:axId val="87030400"/>
      </c:lineChart>
      <c:catAx>
        <c:axId val="87028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0400"/>
        <c:crosses val="autoZero"/>
        <c:auto val="1"/>
        <c:lblAlgn val="ctr"/>
        <c:lblOffset val="100"/>
      </c:catAx>
      <c:valAx>
        <c:axId val="87030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28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23759616"/>
        <c:axId val="123782272"/>
      </c:lineChart>
      <c:catAx>
        <c:axId val="123759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82272"/>
        <c:crosses val="autoZero"/>
        <c:auto val="1"/>
        <c:lblAlgn val="ctr"/>
        <c:lblOffset val="100"/>
      </c:catAx>
      <c:valAx>
        <c:axId val="123782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59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376320"/>
        <c:axId val="160377856"/>
      </c:lineChart>
      <c:catAx>
        <c:axId val="16037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77856"/>
        <c:crosses val="autoZero"/>
        <c:auto val="1"/>
        <c:lblAlgn val="ctr"/>
        <c:lblOffset val="200"/>
        <c:tickLblSkip val="1"/>
      </c:catAx>
      <c:valAx>
        <c:axId val="160377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7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418816"/>
        <c:axId val="160420608"/>
      </c:lineChart>
      <c:catAx>
        <c:axId val="16041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20608"/>
        <c:crosses val="autoZero"/>
        <c:auto val="1"/>
        <c:lblAlgn val="ctr"/>
        <c:lblOffset val="100"/>
      </c:catAx>
      <c:valAx>
        <c:axId val="1604206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6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-313372.40000000002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929088"/>
        <c:axId val="159930624"/>
      </c:lineChart>
      <c:catAx>
        <c:axId val="15992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30624"/>
        <c:crosses val="autoZero"/>
        <c:auto val="1"/>
        <c:lblAlgn val="ctr"/>
        <c:lblOffset val="100"/>
      </c:catAx>
      <c:valAx>
        <c:axId val="15993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2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1495296"/>
        <c:axId val="161505664"/>
      </c:lineChart>
      <c:catAx>
        <c:axId val="16149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05664"/>
        <c:crosses val="autoZero"/>
        <c:auto val="1"/>
        <c:lblAlgn val="ctr"/>
        <c:lblOffset val="100"/>
      </c:catAx>
      <c:valAx>
        <c:axId val="161505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95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022720"/>
        <c:axId val="161024640"/>
      </c:lineChart>
      <c:catAx>
        <c:axId val="161022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4640"/>
        <c:crosses val="autoZero"/>
        <c:auto val="1"/>
        <c:lblAlgn val="ctr"/>
        <c:lblOffset val="100"/>
      </c:catAx>
      <c:valAx>
        <c:axId val="161024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065984"/>
        <c:axId val="161075968"/>
      </c:lineChart>
      <c:catAx>
        <c:axId val="16106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75968"/>
        <c:crosses val="autoZero"/>
        <c:auto val="1"/>
        <c:lblAlgn val="ctr"/>
        <c:lblOffset val="200"/>
        <c:tickLblSkip val="1"/>
      </c:catAx>
      <c:valAx>
        <c:axId val="161075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6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1813248"/>
        <c:axId val="161814784"/>
      </c:lineChart>
      <c:catAx>
        <c:axId val="1618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4784"/>
        <c:crosses val="autoZero"/>
        <c:auto val="1"/>
        <c:lblAlgn val="ctr"/>
        <c:lblOffset val="100"/>
      </c:catAx>
      <c:valAx>
        <c:axId val="16181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1827072"/>
        <c:axId val="161865728"/>
      </c:lineChart>
      <c:catAx>
        <c:axId val="16182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65728"/>
        <c:crosses val="autoZero"/>
        <c:auto val="1"/>
        <c:lblAlgn val="ctr"/>
        <c:lblOffset val="100"/>
      </c:catAx>
      <c:valAx>
        <c:axId val="16186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2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168832"/>
        <c:axId val="162170752"/>
      </c:lineChart>
      <c:catAx>
        <c:axId val="162168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0752"/>
        <c:crosses val="autoZero"/>
        <c:auto val="1"/>
        <c:lblAlgn val="ctr"/>
        <c:lblOffset val="100"/>
      </c:catAx>
      <c:valAx>
        <c:axId val="1621707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68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539776"/>
        <c:axId val="162554240"/>
      </c:lineChart>
      <c:catAx>
        <c:axId val="162539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54240"/>
        <c:crosses val="autoZero"/>
        <c:auto val="1"/>
        <c:lblAlgn val="ctr"/>
        <c:lblOffset val="100"/>
      </c:catAx>
      <c:valAx>
        <c:axId val="1625542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9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587392"/>
        <c:axId val="162588928"/>
      </c:lineChart>
      <c:catAx>
        <c:axId val="1625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8928"/>
        <c:crosses val="autoZero"/>
        <c:auto val="1"/>
        <c:lblAlgn val="ctr"/>
        <c:lblOffset val="200"/>
        <c:tickLblSkip val="1"/>
      </c:catAx>
      <c:valAx>
        <c:axId val="162588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363648"/>
        <c:axId val="162373632"/>
      </c:lineChart>
      <c:catAx>
        <c:axId val="16236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73632"/>
        <c:crosses val="autoZero"/>
        <c:auto val="1"/>
        <c:lblAlgn val="ctr"/>
        <c:lblOffset val="100"/>
      </c:catAx>
      <c:valAx>
        <c:axId val="16237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2865152"/>
        <c:axId val="162866688"/>
      </c:lineChart>
      <c:catAx>
        <c:axId val="1628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6688"/>
        <c:crosses val="autoZero"/>
        <c:auto val="1"/>
        <c:lblAlgn val="ctr"/>
        <c:lblOffset val="100"/>
      </c:catAx>
      <c:valAx>
        <c:axId val="1628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0</v>
      </c>
      <c r="F11" s="490" t="e">
        <f>('UTILITY REPORT 1'!E12*'UTILITY REPORT 1'!D12)/'UTILITY REPORT 1'!F12</f>
        <v>#DIV/0!</v>
      </c>
      <c r="G11" s="490" t="str">
        <f>IF('Utility summery'!M15&lt;0,"0",'Utility summery'!M15)</f>
        <v>0</v>
      </c>
      <c r="H11" s="499">
        <v>0</v>
      </c>
      <c r="I11" s="490" t="str">
        <f>IF('UTILITY REPORT 1'!G12&lt;0,"0",'UTILITY REPORT 1'!G12)</f>
        <v>0</v>
      </c>
      <c r="J11" s="499">
        <v>0</v>
      </c>
      <c r="K11" s="489">
        <f>'UTILITY REPORT 1'!C12</f>
        <v>0</v>
      </c>
      <c r="L11" s="491" t="e">
        <f>E11*F11+G11*H11+#REF!*#REF!+I11*J11</f>
        <v>#DIV/0!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0</v>
      </c>
      <c r="F12" s="490" t="e">
        <f>('UTILITY REPORT 1'!E13*'UTILITY REPORT 1'!D13)/'UTILITY REPORT 1'!F13</f>
        <v>#DIV/0!</v>
      </c>
      <c r="G12" s="490">
        <f>IF('Utility summery'!M16&lt;0,"0",'Utility summery'!M16)</f>
        <v>0</v>
      </c>
      <c r="H12" s="499">
        <v>0</v>
      </c>
      <c r="I12" s="490">
        <f>IF('UTILITY REPORT 1'!G13&lt;0,"0",'UTILITY REPORT 1'!G13)</f>
        <v>0</v>
      </c>
      <c r="J12" s="499">
        <v>0</v>
      </c>
      <c r="K12" s="489">
        <f>'UTILITY REPORT 1'!C13</f>
        <v>0</v>
      </c>
      <c r="L12" s="491" t="e">
        <f>E12*F12+G12*H12+#REF!*#REF!+I12*J12</f>
        <v>#DIV/0!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0</v>
      </c>
      <c r="F13" s="490" t="e">
        <f>('UTILITY REPORT 1'!E14*'UTILITY REPORT 1'!D14)/'UTILITY REPORT 1'!F14</f>
        <v>#DIV/0!</v>
      </c>
      <c r="G13" s="490">
        <f>IF('Utility summery'!M17&lt;0,"0",'Utility summery'!M17)</f>
        <v>0</v>
      </c>
      <c r="H13" s="499">
        <v>0</v>
      </c>
      <c r="I13" s="490">
        <f>IF('UTILITY REPORT 1'!G14&lt;0,"0",'UTILITY REPORT 1'!G14)</f>
        <v>0</v>
      </c>
      <c r="J13" s="499">
        <v>0</v>
      </c>
      <c r="K13" s="489">
        <f>'UTILITY REPORT 1'!C14</f>
        <v>0</v>
      </c>
      <c r="L13" s="491" t="e">
        <f>E13*F13+G13*H13+#REF!*#REF!+I13*J13</f>
        <v>#DIV/0!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0</v>
      </c>
      <c r="F14" s="490" t="e">
        <f>('UTILITY REPORT 1'!E15*'UTILITY REPORT 1'!D15)/'UTILITY REPORT 1'!F15</f>
        <v>#DIV/0!</v>
      </c>
      <c r="G14" s="490">
        <f>IF('Utility summery'!M18&lt;0,"0",'Utility summery'!M18)</f>
        <v>0</v>
      </c>
      <c r="H14" s="499">
        <v>0</v>
      </c>
      <c r="I14" s="490">
        <f>IF('UTILITY REPORT 1'!G15&lt;0,"0",'UTILITY REPORT 1'!G15)</f>
        <v>0</v>
      </c>
      <c r="J14" s="499">
        <v>0</v>
      </c>
      <c r="K14" s="489">
        <f>'UTILITY REPORT 1'!C15</f>
        <v>0</v>
      </c>
      <c r="L14" s="491" t="e">
        <f>E14*F14+G14*H14+#REF!*#REF!+I14*J14</f>
        <v>#DIV/0!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>
        <f>IF('Utility summery'!M19&lt;0,"0",'Utility summery'!M19)</f>
        <v>0</v>
      </c>
      <c r="H15" s="499">
        <v>0</v>
      </c>
      <c r="I15" s="490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 t="str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0</v>
      </c>
      <c r="G11" s="549">
        <f>'UTILITY REPORT 1'!F12</f>
        <v>0</v>
      </c>
      <c r="H11" s="548" t="str">
        <f>IF('Kit report'!F13&lt;0,"0",'Kit report'!F13)</f>
        <v>0</v>
      </c>
      <c r="I11" s="548" t="str">
        <f>IF('Kit report'!X13&lt;0,"0",'Kit report'!X13)</f>
        <v>0</v>
      </c>
      <c r="J11" s="548" t="str">
        <f>IF('Utility summery'!H15&lt;0,"0",'Utility summery'!H15)</f>
        <v>0</v>
      </c>
      <c r="K11" s="549" t="str">
        <f>IF('UTILITY REPORT 1'!H12&lt;0,"0",'UTILITY REPORT 1'!H12)</f>
        <v>0</v>
      </c>
      <c r="L11" s="548" t="str">
        <f>'Water-Meter'!K15</f>
        <v>0</v>
      </c>
      <c r="M11" s="549" t="str">
        <f>'Water-Meter'!H15</f>
        <v>0</v>
      </c>
      <c r="N11" s="549" t="str">
        <f>'Water-Meter'!Q15</f>
        <v>0</v>
      </c>
      <c r="O11" s="548" t="e">
        <f>K11*E11+H11*I11+#REF!*#REF!+J11*L11</f>
        <v>#REF!</v>
      </c>
      <c r="P11" s="555" t="str">
        <f>'Water-Meter'!E15</f>
        <v>0</v>
      </c>
      <c r="Q11" s="291" t="str">
        <f>IF('Water-Meter'!U15&lt;0,"0",'Water-Meter'!U15)</f>
        <v>0</v>
      </c>
      <c r="R11" s="291" t="str">
        <f>IF('Water-Meter'!X15&lt;0,"0",'Water-Meter'!X15)</f>
        <v>0</v>
      </c>
      <c r="S11" s="291" t="str">
        <f>IF('Water-Meter'!AA15&lt;0,"0",'Water-Meter'!AA15)</f>
        <v>0</v>
      </c>
      <c r="T11" s="291" t="str">
        <f>IF('Water-Meter'!AD15&lt;0,"0",'Water-Meter'!AD15)</f>
        <v>0</v>
      </c>
      <c r="U11" s="291" t="str">
        <f>IF('Water-Meter'!AG15&lt;0,"0",'Water-Meter'!AG15)</f>
        <v>0</v>
      </c>
      <c r="V11" s="291" t="str">
        <f>IF('Water-Meter'!AJ15&lt;0,"0",'Water-Meter'!AJ15)</f>
        <v>0</v>
      </c>
      <c r="W11" s="31">
        <f>'Water-Meter'!AN15</f>
        <v>0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0</v>
      </c>
      <c r="G12" s="549">
        <f>'UTILITY REPORT 1'!F13</f>
        <v>0</v>
      </c>
      <c r="H12" s="548">
        <f>IF('Kit report'!F14&lt;0,"0",'Kit report'!F14)</f>
        <v>0</v>
      </c>
      <c r="I12" s="548">
        <f>IF('Kit report'!X14&lt;0,"0",'Kit report'!X14)</f>
        <v>0</v>
      </c>
      <c r="J12" s="548">
        <f>IF('Utility summery'!H16&lt;0,"0",'Utility summery'!H16)</f>
        <v>0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0</v>
      </c>
      <c r="F13" s="548">
        <f>'UTILITY REPORT 1'!E14</f>
        <v>0</v>
      </c>
      <c r="G13" s="549">
        <f>'UTILITY REPORT 1'!F14</f>
        <v>0</v>
      </c>
      <c r="H13" s="548">
        <f>IF('Kit report'!F15&lt;0,"0",'Kit report'!F15)</f>
        <v>0</v>
      </c>
      <c r="I13" s="548">
        <f>IF('Kit report'!X15&lt;0,"0",'Kit report'!X15)</f>
        <v>0</v>
      </c>
      <c r="J13" s="548">
        <f>IF('Utility summery'!H17&lt;0,"0",'Utility summery'!H17)</f>
        <v>0</v>
      </c>
      <c r="K13" s="549">
        <f>IF('UTILITY REPORT 1'!H14&lt;0,"0",'UTILITY REPORT 1'!H14)</f>
        <v>0</v>
      </c>
      <c r="L13" s="548">
        <f>'Water-Meter'!K17</f>
        <v>0</v>
      </c>
      <c r="M13" s="549">
        <f>'Water-Meter'!H17</f>
        <v>0</v>
      </c>
      <c r="N13" s="549">
        <f>'Water-Meter'!Q17</f>
        <v>0</v>
      </c>
      <c r="O13" s="548" t="e">
        <f>K13*E13+H13*I13+#REF!*#REF!+J13*L13</f>
        <v>#REF!</v>
      </c>
      <c r="P13" s="555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0</v>
      </c>
      <c r="G14" s="549">
        <f>'UTILITY REPORT 1'!F15</f>
        <v>0</v>
      </c>
      <c r="H14" s="548">
        <f>IF('Kit report'!F16&lt;0,"0",'Kit report'!F16)</f>
        <v>0</v>
      </c>
      <c r="I14" s="548">
        <f>IF('Kit report'!X16&lt;0,"0",'Kit report'!X16)</f>
        <v>0</v>
      </c>
      <c r="J14" s="548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0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>
        <f>IF('Kit report'!F17&lt;0,"0",'Kit report'!F17)</f>
        <v>0</v>
      </c>
      <c r="I15" s="548">
        <f>IF('Kit report'!X17&lt;0,"0",'Kit report'!X17)</f>
        <v>0</v>
      </c>
      <c r="J15" s="548">
        <f>IF('Utility summery'!H19&lt;0,"0",'Utility summery'!H19)</f>
        <v>0</v>
      </c>
      <c r="K15" s="549">
        <f>IF('UTILITY REPORT 1'!H16&lt;0,"0",'UTILITY REPORT 1'!H16)</f>
        <v>0</v>
      </c>
      <c r="L15" s="548">
        <f>'Water-Meter'!K19</f>
        <v>0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89" t="s">
        <v>305</v>
      </c>
      <c r="B1" s="789"/>
      <c r="C1" s="789"/>
      <c r="D1" s="789"/>
      <c r="E1" s="789"/>
      <c r="F1" s="789"/>
      <c r="G1" s="789"/>
      <c r="H1" s="789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0</v>
      </c>
      <c r="F12" s="477">
        <f>Gen!U20</f>
        <v>0</v>
      </c>
      <c r="G12" s="477" t="str">
        <f>'Water-Meter'!E15</f>
        <v>0</v>
      </c>
      <c r="H12" s="477">
        <f>'Utility report '!AC15</f>
        <v>-31947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0</v>
      </c>
      <c r="F13" s="477">
        <f>Gen!U21</f>
        <v>0</v>
      </c>
      <c r="G13" s="477">
        <f>'Water-Meter'!E16</f>
        <v>0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0</v>
      </c>
      <c r="F14" s="477">
        <f>Gen!U22</f>
        <v>0</v>
      </c>
      <c r="G14" s="477">
        <f>'Water-Meter'!E17</f>
        <v>0</v>
      </c>
      <c r="H14" s="477">
        <f>'Utility report '!AC17</f>
        <v>0</v>
      </c>
      <c r="I14" s="477">
        <f>Gen!AK22</f>
        <v>0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0</v>
      </c>
      <c r="F15" s="477">
        <f>Gen!U23</f>
        <v>0</v>
      </c>
      <c r="G15" s="477">
        <f>'Water-Meter'!E18</f>
        <v>0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>
        <f>'Water-Meter'!E19</f>
        <v>0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0" t="s">
        <v>135</v>
      </c>
      <c r="E4" s="790"/>
      <c r="F4" s="790"/>
      <c r="G4" s="791" t="s">
        <v>20</v>
      </c>
      <c r="H4" s="791"/>
      <c r="I4" s="791"/>
      <c r="J4" s="792" t="s">
        <v>54</v>
      </c>
      <c r="K4" s="792"/>
      <c r="L4" s="792"/>
      <c r="M4" s="792"/>
      <c r="N4" s="793" t="s">
        <v>143</v>
      </c>
      <c r="O4" s="793"/>
      <c r="P4" s="793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-31947</v>
      </c>
      <c r="H15" s="182">
        <f>'Utility report '!AE15</f>
        <v>-201163</v>
      </c>
      <c r="I15" s="352" t="str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6">
        <f>'Lpg (2)'!G19</f>
        <v>-313372.40000000002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2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6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2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536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2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536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2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10589</v>
      </c>
      <c r="D39" s="545">
        <f>SUM(D7:D35)</f>
        <v>5219.4500000000007</v>
      </c>
      <c r="E39" s="545">
        <f t="shared" ref="E39:S39" si="3">SUM(E7:E35)</f>
        <v>136.51</v>
      </c>
      <c r="F39" s="545">
        <f t="shared" si="3"/>
        <v>5355.96</v>
      </c>
      <c r="G39" s="545">
        <f t="shared" si="3"/>
        <v>-31574</v>
      </c>
      <c r="H39" s="545">
        <f t="shared" si="3"/>
        <v>-200803</v>
      </c>
      <c r="I39" s="545">
        <f t="shared" si="3"/>
        <v>301</v>
      </c>
      <c r="J39" s="545">
        <f t="shared" si="3"/>
        <v>680</v>
      </c>
      <c r="K39" s="545">
        <f t="shared" si="3"/>
        <v>664</v>
      </c>
      <c r="L39" s="545">
        <f t="shared" si="3"/>
        <v>271</v>
      </c>
      <c r="M39" s="545">
        <f t="shared" si="3"/>
        <v>-313165.51199999999</v>
      </c>
      <c r="N39" s="545">
        <f t="shared" si="3"/>
        <v>7307.2299999999987</v>
      </c>
      <c r="O39" s="545">
        <f t="shared" si="3"/>
        <v>191.11399999999998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4" zoomScale="85" zoomScalePageLayoutView="85" workbookViewId="0">
      <selection activeCell="AD20" sqref="AD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2" t="s">
        <v>319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4"/>
    </row>
    <row r="2" spans="1:37" ht="61.5" customHeight="1" thickBot="1">
      <c r="A2" s="150" t="s">
        <v>98</v>
      </c>
      <c r="B2" s="805" t="s">
        <v>99</v>
      </c>
      <c r="C2" s="806"/>
      <c r="D2" s="807"/>
      <c r="E2" s="151"/>
      <c r="F2" s="151"/>
      <c r="G2" s="151"/>
      <c r="H2" s="148" t="s">
        <v>124</v>
      </c>
      <c r="I2" s="338" t="s">
        <v>100</v>
      </c>
      <c r="J2" s="810" t="s">
        <v>122</v>
      </c>
      <c r="K2" s="493"/>
      <c r="L2" s="812" t="s">
        <v>123</v>
      </c>
      <c r="M2" s="492" t="s">
        <v>101</v>
      </c>
      <c r="N2" s="810" t="s">
        <v>102</v>
      </c>
      <c r="O2" s="794" t="s">
        <v>103</v>
      </c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339" t="s">
        <v>104</v>
      </c>
      <c r="AB2" s="805" t="s">
        <v>164</v>
      </c>
      <c r="AC2" s="807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8">
        <f>SUM(D3/B3)</f>
        <v>1.3262195121951219</v>
      </c>
      <c r="G3" s="809"/>
      <c r="H3" s="131">
        <f>Gen!D11</f>
        <v>43367.69</v>
      </c>
      <c r="I3" s="141"/>
      <c r="J3" s="810"/>
      <c r="K3" s="493" t="s">
        <v>165</v>
      </c>
      <c r="L3" s="812"/>
      <c r="M3" s="340" t="s">
        <v>111</v>
      </c>
      <c r="N3" s="810"/>
      <c r="O3" s="794" t="s">
        <v>112</v>
      </c>
      <c r="P3" s="795"/>
      <c r="Q3" s="795"/>
      <c r="R3" s="795"/>
      <c r="S3" s="796" t="s">
        <v>113</v>
      </c>
      <c r="T3" s="797"/>
      <c r="U3" s="797"/>
      <c r="V3" s="798"/>
      <c r="W3" s="799" t="s">
        <v>114</v>
      </c>
      <c r="X3" s="800"/>
      <c r="Y3" s="800"/>
      <c r="Z3" s="801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0"/>
      <c r="K4" s="493"/>
      <c r="L4" s="812"/>
      <c r="M4" s="143"/>
      <c r="N4" s="811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452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452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452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452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41</v>
      </c>
      <c r="O12" s="214"/>
      <c r="P12" s="452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452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452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452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452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452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37333.660000000003</v>
      </c>
      <c r="I15" s="505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5">
        <f>'Water-Meter'!K55</f>
        <v>451.94849247329876</v>
      </c>
      <c r="N15" s="203" t="str">
        <f>'Water-Meter'!E15</f>
        <v>0</v>
      </c>
      <c r="O15" s="214"/>
      <c r="P15" s="452">
        <v>19030</v>
      </c>
      <c r="Q15" s="506">
        <f t="shared" si="2"/>
        <v>0</v>
      </c>
      <c r="R15" s="507">
        <f t="shared" si="5"/>
        <v>0</v>
      </c>
      <c r="S15" s="452"/>
      <c r="T15" s="575"/>
      <c r="U15" s="506">
        <f t="shared" si="6"/>
        <v>-24499</v>
      </c>
      <c r="V15" s="508">
        <f t="shared" si="16"/>
        <v>0</v>
      </c>
      <c r="W15" s="452"/>
      <c r="X15" s="573"/>
      <c r="Y15" s="506">
        <f t="shared" si="8"/>
        <v>-16219</v>
      </c>
      <c r="Z15" s="508">
        <f t="shared" si="9"/>
        <v>0</v>
      </c>
      <c r="AA15" s="508">
        <f t="shared" si="10"/>
        <v>0</v>
      </c>
      <c r="AB15" s="574"/>
      <c r="AC15" s="138">
        <f t="shared" si="11"/>
        <v>-31947</v>
      </c>
      <c r="AD15" s="452"/>
      <c r="AE15" s="221">
        <f>AD15-AD14</f>
        <v>-201163</v>
      </c>
      <c r="AF15" s="317">
        <f>'Lpg (2)'!B19*2000/85</f>
        <v>0</v>
      </c>
      <c r="AG15" s="318">
        <f>'Lpg (2)'!C19*1000/85</f>
        <v>0</v>
      </c>
      <c r="AH15" s="319">
        <f>'Lpg (2)'!D19*1000/85</f>
        <v>0</v>
      </c>
      <c r="AI15" s="511">
        <f t="shared" ref="AI15:AI35" si="17">SUM(AF15*2000)+(AG15*1000)+(AH15*1000)</f>
        <v>0</v>
      </c>
      <c r="AJ15" s="510">
        <f t="shared" si="4"/>
        <v>5305882.3529411769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37333.660000000003</v>
      </c>
      <c r="I16" s="505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5">
        <f>'Water-Meter'!K56</f>
        <v>0</v>
      </c>
      <c r="N16" s="203">
        <f>'Water-Meter'!E16</f>
        <v>0</v>
      </c>
      <c r="O16" s="214"/>
      <c r="P16" s="452"/>
      <c r="Q16" s="506">
        <f t="shared" si="2"/>
        <v>-19030</v>
      </c>
      <c r="R16" s="507">
        <f t="shared" si="5"/>
        <v>0</v>
      </c>
      <c r="S16" s="452"/>
      <c r="T16" s="575"/>
      <c r="U16" s="506">
        <f t="shared" si="6"/>
        <v>0</v>
      </c>
      <c r="V16" s="508">
        <f t="shared" si="16"/>
        <v>0</v>
      </c>
      <c r="W16" s="452"/>
      <c r="X16" s="573"/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/>
      <c r="AC16" s="138">
        <f t="shared" si="11"/>
        <v>0</v>
      </c>
      <c r="AD16" s="452"/>
      <c r="AE16" s="221">
        <f t="shared" si="15"/>
        <v>0</v>
      </c>
      <c r="AF16" s="317">
        <f>'Lpg (2)'!B20*2000/85</f>
        <v>0</v>
      </c>
      <c r="AG16" s="318">
        <f>'Lpg (2)'!C20*1000/85</f>
        <v>0</v>
      </c>
      <c r="AH16" s="319">
        <f>'Lpg (2)'!D20*1000/85</f>
        <v>0</v>
      </c>
      <c r="AI16" s="511">
        <f t="shared" si="17"/>
        <v>0</v>
      </c>
      <c r="AJ16" s="510">
        <f t="shared" si="4"/>
        <v>0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37333.660000000003</v>
      </c>
      <c r="I17" s="505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5">
        <f>'Water-Meter'!K57</f>
        <v>0</v>
      </c>
      <c r="N17" s="203">
        <f>'Water-Meter'!E17</f>
        <v>0</v>
      </c>
      <c r="O17" s="214"/>
      <c r="P17" s="452"/>
      <c r="Q17" s="506">
        <f>SUM(P18-P16)</f>
        <v>0</v>
      </c>
      <c r="R17" s="507">
        <f t="shared" si="5"/>
        <v>0</v>
      </c>
      <c r="S17" s="452"/>
      <c r="T17" s="575"/>
      <c r="U17" s="506">
        <f t="shared" si="6"/>
        <v>0</v>
      </c>
      <c r="V17" s="508">
        <f t="shared" ref="V17:V36" si="18">SUM(U17*S17)</f>
        <v>0</v>
      </c>
      <c r="W17" s="452"/>
      <c r="X17" s="573"/>
      <c r="Y17" s="506">
        <f t="shared" si="8"/>
        <v>0</v>
      </c>
      <c r="Z17" s="508">
        <f t="shared" si="9"/>
        <v>0</v>
      </c>
      <c r="AA17" s="508">
        <f t="shared" si="10"/>
        <v>0</v>
      </c>
      <c r="AB17" s="574"/>
      <c r="AC17" s="138">
        <f t="shared" si="11"/>
        <v>0</v>
      </c>
      <c r="AD17" s="452"/>
      <c r="AE17" s="221">
        <f t="shared" si="15"/>
        <v>0</v>
      </c>
      <c r="AF17" s="317">
        <f>'Lpg (2)'!B21*2000/85</f>
        <v>0</v>
      </c>
      <c r="AG17" s="318">
        <f>'Lpg (2)'!C21*1000/85</f>
        <v>0</v>
      </c>
      <c r="AH17" s="319">
        <f>'Lpg (2)'!D21*1000/85</f>
        <v>0</v>
      </c>
      <c r="AI17" s="511">
        <f t="shared" si="17"/>
        <v>0</v>
      </c>
      <c r="AJ17" s="510">
        <f t="shared" si="4"/>
        <v>0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37333.660000000003</v>
      </c>
      <c r="I18" s="505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5">
        <f>'Water-Meter'!K58</f>
        <v>0</v>
      </c>
      <c r="N18" s="203">
        <f>'Water-Meter'!E18</f>
        <v>0</v>
      </c>
      <c r="O18" s="214"/>
      <c r="P18" s="452"/>
      <c r="Q18" s="506"/>
      <c r="R18" s="507">
        <f t="shared" si="5"/>
        <v>0</v>
      </c>
      <c r="S18" s="452"/>
      <c r="T18" s="575"/>
      <c r="U18" s="506">
        <f t="shared" si="6"/>
        <v>0</v>
      </c>
      <c r="V18" s="508">
        <f t="shared" si="18"/>
        <v>0</v>
      </c>
      <c r="W18" s="452"/>
      <c r="X18" s="573"/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/>
      <c r="AC18" s="138">
        <f t="shared" si="11"/>
        <v>0</v>
      </c>
      <c r="AD18" s="452"/>
      <c r="AE18" s="221">
        <f t="shared" si="15"/>
        <v>0</v>
      </c>
      <c r="AF18" s="317">
        <f>'Lpg (2)'!B22*2000/85</f>
        <v>0</v>
      </c>
      <c r="AG18" s="318">
        <f>'Lpg (2)'!C22*1000/85</f>
        <v>0</v>
      </c>
      <c r="AH18" s="319">
        <f>'Lpg (2)'!D22*1000/85</f>
        <v>0</v>
      </c>
      <c r="AI18" s="511">
        <f t="shared" si="17"/>
        <v>0</v>
      </c>
      <c r="AJ18" s="510">
        <f t="shared" si="4"/>
        <v>0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37333.660000000003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0</v>
      </c>
      <c r="N19" s="203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0</v>
      </c>
      <c r="V19" s="508">
        <f t="shared" si="18"/>
        <v>0</v>
      </c>
      <c r="W19" s="452"/>
      <c r="X19" s="573"/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0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>
        <f t="shared" si="4"/>
        <v>0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37333.660000000003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37333.660000000003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37333.660000000003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37333.660000000003</v>
      </c>
      <c r="I23" s="505">
        <f>Gen!F28</f>
        <v>15000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37333.660000000003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37333.660000000003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37333.660000000003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37333.660000000003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37333.660000000003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37333.660000000003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37333.660000000003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37333.660000000003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37333.660000000003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37333.660000000003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37333.660000000003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37333.660000000003</v>
      </c>
      <c r="I35" s="505">
        <f>Gen!F40</f>
        <v>10000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37333.660000000003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5897.52</v>
      </c>
      <c r="K37" s="165"/>
      <c r="L37" s="142">
        <f t="shared" si="1"/>
        <v>5897.52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F16" sqref="F1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3" t="s">
        <v>150</v>
      </c>
      <c r="C1" s="814"/>
      <c r="D1" s="814"/>
      <c r="E1" s="814"/>
      <c r="F1" s="815"/>
      <c r="G1" s="189"/>
      <c r="H1" s="813" t="s">
        <v>151</v>
      </c>
      <c r="I1" s="814"/>
      <c r="J1" s="814"/>
      <c r="K1" s="814"/>
      <c r="L1" s="815"/>
      <c r="M1" s="813" t="s">
        <v>170</v>
      </c>
      <c r="N1" s="814"/>
      <c r="O1" s="814"/>
      <c r="P1" s="814"/>
      <c r="Q1" s="815"/>
      <c r="R1" s="189"/>
      <c r="T1" s="813" t="s">
        <v>166</v>
      </c>
      <c r="U1" s="814"/>
      <c r="V1" s="814"/>
      <c r="W1" s="814"/>
      <c r="X1" s="815"/>
      <c r="Y1" s="813" t="s">
        <v>169</v>
      </c>
      <c r="Z1" s="814"/>
      <c r="AA1" s="814"/>
      <c r="AB1" s="814"/>
      <c r="AC1" s="815"/>
    </row>
    <row r="2" spans="1:29" ht="45.75" thickBot="1">
      <c r="A2" s="734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9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5">
        <v>43770</v>
      </c>
      <c r="B3" s="816" t="s">
        <v>156</v>
      </c>
      <c r="C3" s="817"/>
      <c r="D3" s="198"/>
      <c r="E3" s="736">
        <v>8666.6</v>
      </c>
      <c r="F3" s="737" t="s">
        <v>157</v>
      </c>
      <c r="G3" s="738"/>
      <c r="H3" s="816" t="s">
        <v>156</v>
      </c>
      <c r="I3" s="817"/>
      <c r="J3" s="290"/>
      <c r="K3" s="739">
        <f>'Water-Meter'!G5</f>
        <v>38000</v>
      </c>
      <c r="L3" s="290"/>
      <c r="M3" s="816" t="s">
        <v>156</v>
      </c>
      <c r="N3" s="817"/>
      <c r="O3" s="198"/>
      <c r="P3" s="740">
        <f>'Water-Meter'!J5</f>
        <v>7903</v>
      </c>
      <c r="Q3" s="197"/>
      <c r="R3" s="725"/>
      <c r="S3" s="726"/>
      <c r="T3" s="816" t="s">
        <v>156</v>
      </c>
      <c r="U3" s="817"/>
      <c r="V3" s="198"/>
      <c r="W3" s="741">
        <v>7804.5</v>
      </c>
      <c r="X3" s="742">
        <f t="shared" ref="X3:X35" si="0">(W3-V3)*200</f>
        <v>1560900</v>
      </c>
      <c r="Y3" s="816" t="s">
        <v>156</v>
      </c>
      <c r="Z3" s="817"/>
      <c r="AA3" s="198"/>
      <c r="AB3" s="201">
        <f>'Water-Meter'!P5</f>
        <v>20131</v>
      </c>
      <c r="AC3" s="202"/>
    </row>
    <row r="4" spans="1:29" ht="18.75">
      <c r="A4" s="743">
        <f>Gen!C11</f>
        <v>0</v>
      </c>
      <c r="B4" s="747">
        <f>Gen!B11</f>
        <v>43952</v>
      </c>
      <c r="C4" s="748"/>
      <c r="D4" s="749">
        <f t="shared" ref="D4:D23" si="1">E3</f>
        <v>8666.6</v>
      </c>
      <c r="E4" s="750">
        <v>8667.5</v>
      </c>
      <c r="F4" s="749">
        <f t="shared" ref="F4:F15" si="2">SUM(E4-D4)*120</f>
        <v>107.99999999995634</v>
      </c>
      <c r="G4" s="748"/>
      <c r="H4" s="751">
        <f>B4</f>
        <v>43952</v>
      </c>
      <c r="I4" s="776"/>
      <c r="J4" s="748">
        <f t="shared" ref="J4:J30" si="3">SUM(K3)</f>
        <v>38000</v>
      </c>
      <c r="K4" s="777">
        <f>'Water-Meter'!G6</f>
        <v>38000</v>
      </c>
      <c r="L4" s="778">
        <f t="shared" ref="L4:L34" si="4">SUM(K4-J4)</f>
        <v>0</v>
      </c>
      <c r="M4" s="760">
        <f>H4</f>
        <v>43952</v>
      </c>
      <c r="N4" s="748"/>
      <c r="O4" s="748">
        <f t="shared" ref="O4:O33" si="5">SUM(P3)</f>
        <v>7903</v>
      </c>
      <c r="P4" s="761">
        <f>'Water-Meter'!J6</f>
        <v>7904</v>
      </c>
      <c r="Q4" s="778">
        <f t="shared" ref="Q4:Q34" si="6">SUM(P4-O4)</f>
        <v>1</v>
      </c>
      <c r="R4" s="783">
        <f t="shared" ref="R4:R20" si="7">SUM(Q4/1615)</f>
        <v>6.1919504643962852E-4</v>
      </c>
      <c r="S4" s="784">
        <f>Gen!T11</f>
        <v>678.06999999999994</v>
      </c>
      <c r="T4" s="781">
        <f>M4</f>
        <v>43952</v>
      </c>
      <c r="U4" s="748"/>
      <c r="V4" s="749">
        <f t="shared" ref="V4:V33" si="8">W3</f>
        <v>7804.5</v>
      </c>
      <c r="W4" s="771">
        <v>7804.5</v>
      </c>
      <c r="X4" s="772">
        <f t="shared" si="0"/>
        <v>0</v>
      </c>
      <c r="Y4" s="760">
        <f>T4</f>
        <v>43952</v>
      </c>
      <c r="Z4" s="748"/>
      <c r="AA4" s="748">
        <v>3397.9</v>
      </c>
      <c r="AB4" s="761">
        <f>'Water-Meter'!P6</f>
        <v>20132</v>
      </c>
      <c r="AC4" s="762">
        <f t="shared" ref="AC4:AC34" si="9">SUM(AB4-AA4)</f>
        <v>16734.099999999999</v>
      </c>
    </row>
    <row r="5" spans="1:29" ht="18.75">
      <c r="A5" s="744">
        <f>Gen!C12</f>
        <v>0</v>
      </c>
      <c r="B5" s="752">
        <f>Gen!B12</f>
        <v>43953</v>
      </c>
      <c r="C5" s="727"/>
      <c r="D5" s="733">
        <f t="shared" si="1"/>
        <v>8667.5</v>
      </c>
      <c r="E5" s="728">
        <v>8668.4</v>
      </c>
      <c r="F5" s="733">
        <f t="shared" si="2"/>
        <v>107.99999999995634</v>
      </c>
      <c r="G5" s="727"/>
      <c r="H5" s="753">
        <f t="shared" ref="H5:H35" si="10">B5</f>
        <v>43953</v>
      </c>
      <c r="I5" s="745"/>
      <c r="J5" s="727">
        <f t="shared" si="3"/>
        <v>38000</v>
      </c>
      <c r="K5" s="732">
        <f>'Water-Meter'!G7</f>
        <v>38000</v>
      </c>
      <c r="L5" s="759">
        <f t="shared" si="4"/>
        <v>0</v>
      </c>
      <c r="M5" s="763">
        <f t="shared" ref="M5:M35" si="11">H5</f>
        <v>43953</v>
      </c>
      <c r="N5" s="727"/>
      <c r="O5" s="727">
        <f t="shared" si="5"/>
        <v>7904</v>
      </c>
      <c r="P5" s="731">
        <f>'Water-Meter'!J7</f>
        <v>7904</v>
      </c>
      <c r="Q5" s="759">
        <f t="shared" si="6"/>
        <v>0</v>
      </c>
      <c r="R5" s="785">
        <f t="shared" si="7"/>
        <v>0</v>
      </c>
      <c r="S5" s="786">
        <f>Gen!T12</f>
        <v>659.66</v>
      </c>
      <c r="T5" s="770">
        <f t="shared" ref="T5:T30" si="12">M5</f>
        <v>43953</v>
      </c>
      <c r="U5" s="727"/>
      <c r="V5" s="733">
        <f t="shared" si="8"/>
        <v>7804.5</v>
      </c>
      <c r="W5" s="729">
        <v>7804.6</v>
      </c>
      <c r="X5" s="773">
        <f t="shared" si="0"/>
        <v>20.00000000007276</v>
      </c>
      <c r="Y5" s="763">
        <f t="shared" ref="Y5:Y30" si="13">T5</f>
        <v>43953</v>
      </c>
      <c r="Z5" s="727"/>
      <c r="AA5" s="727">
        <f t="shared" ref="AA5:AA35" si="14">SUM(AB4)</f>
        <v>20132</v>
      </c>
      <c r="AB5" s="731">
        <f>'Water-Meter'!P7</f>
        <v>20133</v>
      </c>
      <c r="AC5" s="764">
        <f t="shared" si="9"/>
        <v>1</v>
      </c>
    </row>
    <row r="6" spans="1:29" ht="18.75">
      <c r="A6" s="744">
        <f>Gen!C13</f>
        <v>0</v>
      </c>
      <c r="B6" s="752">
        <f>Gen!B13</f>
        <v>43954</v>
      </c>
      <c r="C6" s="727"/>
      <c r="D6" s="733">
        <f t="shared" si="1"/>
        <v>8668.4</v>
      </c>
      <c r="E6" s="728">
        <v>8669.2000000000007</v>
      </c>
      <c r="F6" s="733">
        <f t="shared" si="2"/>
        <v>96.000000000130967</v>
      </c>
      <c r="G6" s="727"/>
      <c r="H6" s="753">
        <f t="shared" si="10"/>
        <v>43954</v>
      </c>
      <c r="I6" s="745"/>
      <c r="J6" s="727">
        <f t="shared" si="3"/>
        <v>38000</v>
      </c>
      <c r="K6" s="732">
        <f>'Water-Meter'!G8</f>
        <v>38000</v>
      </c>
      <c r="L6" s="759">
        <f t="shared" si="4"/>
        <v>0</v>
      </c>
      <c r="M6" s="763">
        <f t="shared" si="11"/>
        <v>43954</v>
      </c>
      <c r="N6" s="727"/>
      <c r="O6" s="727">
        <f t="shared" si="5"/>
        <v>7904</v>
      </c>
      <c r="P6" s="731">
        <f>'Water-Meter'!J8</f>
        <v>7905</v>
      </c>
      <c r="Q6" s="759">
        <f t="shared" si="6"/>
        <v>1</v>
      </c>
      <c r="R6" s="785">
        <f t="shared" si="7"/>
        <v>6.1919504643962852E-4</v>
      </c>
      <c r="S6" s="786">
        <f>Gen!T13</f>
        <v>659.29</v>
      </c>
      <c r="T6" s="770">
        <f t="shared" si="12"/>
        <v>43954</v>
      </c>
      <c r="U6" s="727"/>
      <c r="V6" s="733">
        <f t="shared" si="8"/>
        <v>7804.6</v>
      </c>
      <c r="W6" s="729">
        <v>7804.6</v>
      </c>
      <c r="X6" s="773">
        <f t="shared" si="0"/>
        <v>0</v>
      </c>
      <c r="Y6" s="763">
        <f t="shared" si="13"/>
        <v>43954</v>
      </c>
      <c r="Z6" s="727"/>
      <c r="AA6" s="727">
        <f t="shared" si="14"/>
        <v>20133</v>
      </c>
      <c r="AB6" s="731">
        <f>'Water-Meter'!P8</f>
        <v>20133</v>
      </c>
      <c r="AC6" s="764">
        <f t="shared" si="9"/>
        <v>0</v>
      </c>
    </row>
    <row r="7" spans="1:29" ht="18.75">
      <c r="A7" s="744">
        <f>Gen!C14</f>
        <v>0</v>
      </c>
      <c r="B7" s="752">
        <f>Gen!B14</f>
        <v>43955</v>
      </c>
      <c r="C7" s="727"/>
      <c r="D7" s="733">
        <f t="shared" si="1"/>
        <v>8669.2000000000007</v>
      </c>
      <c r="E7" s="728">
        <v>8670.1</v>
      </c>
      <c r="F7" s="733">
        <f t="shared" si="2"/>
        <v>107.99999999995634</v>
      </c>
      <c r="G7" s="727"/>
      <c r="H7" s="753">
        <f t="shared" si="10"/>
        <v>43955</v>
      </c>
      <c r="I7" s="745"/>
      <c r="J7" s="727">
        <f t="shared" si="3"/>
        <v>38000</v>
      </c>
      <c r="K7" s="732">
        <f>'Water-Meter'!G9</f>
        <v>38000</v>
      </c>
      <c r="L7" s="759">
        <f t="shared" si="4"/>
        <v>0</v>
      </c>
      <c r="M7" s="763">
        <f t="shared" si="11"/>
        <v>43955</v>
      </c>
      <c r="N7" s="727"/>
      <c r="O7" s="727">
        <f t="shared" si="5"/>
        <v>7905</v>
      </c>
      <c r="P7" s="731">
        <f>'Water-Meter'!J9</f>
        <v>7905</v>
      </c>
      <c r="Q7" s="759">
        <f t="shared" si="6"/>
        <v>0</v>
      </c>
      <c r="R7" s="785">
        <f t="shared" si="7"/>
        <v>0</v>
      </c>
      <c r="S7" s="786">
        <f>Gen!T14</f>
        <v>633.92999999999995</v>
      </c>
      <c r="T7" s="770">
        <f t="shared" si="12"/>
        <v>43955</v>
      </c>
      <c r="U7" s="727"/>
      <c r="V7" s="733">
        <f t="shared" si="8"/>
        <v>7804.6</v>
      </c>
      <c r="W7" s="729">
        <v>7804.7</v>
      </c>
      <c r="X7" s="773">
        <f t="shared" si="0"/>
        <v>19.999999999890861</v>
      </c>
      <c r="Y7" s="763">
        <f t="shared" si="13"/>
        <v>43955</v>
      </c>
      <c r="Z7" s="727"/>
      <c r="AA7" s="727">
        <f t="shared" si="14"/>
        <v>20133</v>
      </c>
      <c r="AB7" s="731">
        <f>'Water-Meter'!P9</f>
        <v>20134</v>
      </c>
      <c r="AC7" s="764">
        <f t="shared" si="9"/>
        <v>1</v>
      </c>
    </row>
    <row r="8" spans="1:29" ht="18.75">
      <c r="A8" s="744">
        <f>Gen!C15</f>
        <v>0</v>
      </c>
      <c r="B8" s="752">
        <f>Gen!B15</f>
        <v>43956</v>
      </c>
      <c r="C8" s="727"/>
      <c r="D8" s="733">
        <f t="shared" si="1"/>
        <v>8670.1</v>
      </c>
      <c r="E8" s="728">
        <v>8670.9</v>
      </c>
      <c r="F8" s="733">
        <f t="shared" si="2"/>
        <v>95.999999999912689</v>
      </c>
      <c r="G8" s="727"/>
      <c r="H8" s="753">
        <f t="shared" si="10"/>
        <v>43956</v>
      </c>
      <c r="I8" s="745"/>
      <c r="J8" s="727">
        <f t="shared" si="3"/>
        <v>38000</v>
      </c>
      <c r="K8" s="732">
        <f>'Water-Meter'!G10</f>
        <v>38000</v>
      </c>
      <c r="L8" s="759">
        <f t="shared" si="4"/>
        <v>0</v>
      </c>
      <c r="M8" s="763">
        <f t="shared" si="11"/>
        <v>43956</v>
      </c>
      <c r="N8" s="727"/>
      <c r="O8" s="727">
        <f t="shared" si="5"/>
        <v>7905</v>
      </c>
      <c r="P8" s="731">
        <f>'Water-Meter'!J10</f>
        <v>7906</v>
      </c>
      <c r="Q8" s="759">
        <f t="shared" si="6"/>
        <v>1</v>
      </c>
      <c r="R8" s="785">
        <f t="shared" si="7"/>
        <v>6.1919504643962852E-4</v>
      </c>
      <c r="S8" s="786">
        <f>Gen!T15</f>
        <v>646.24</v>
      </c>
      <c r="T8" s="770">
        <f t="shared" si="12"/>
        <v>43956</v>
      </c>
      <c r="U8" s="727"/>
      <c r="V8" s="733">
        <f t="shared" si="8"/>
        <v>7804.7</v>
      </c>
      <c r="W8" s="729">
        <v>7804.7</v>
      </c>
      <c r="X8" s="773">
        <f t="shared" si="0"/>
        <v>0</v>
      </c>
      <c r="Y8" s="763">
        <f t="shared" si="13"/>
        <v>43956</v>
      </c>
      <c r="Z8" s="727"/>
      <c r="AA8" s="727">
        <f t="shared" si="14"/>
        <v>20134</v>
      </c>
      <c r="AB8" s="731">
        <f>'Water-Meter'!P10</f>
        <v>20134</v>
      </c>
      <c r="AC8" s="764">
        <f t="shared" si="9"/>
        <v>0</v>
      </c>
    </row>
    <row r="9" spans="1:29" ht="18.75">
      <c r="A9" s="744">
        <f>Gen!C16</f>
        <v>0</v>
      </c>
      <c r="B9" s="752">
        <f>Gen!B16</f>
        <v>43957</v>
      </c>
      <c r="C9" s="727"/>
      <c r="D9" s="733">
        <f t="shared" si="1"/>
        <v>8670.9</v>
      </c>
      <c r="E9" s="728">
        <v>8671.6</v>
      </c>
      <c r="F9" s="733">
        <f t="shared" si="2"/>
        <v>84.000000000087311</v>
      </c>
      <c r="G9" s="727"/>
      <c r="H9" s="753">
        <f t="shared" si="10"/>
        <v>43957</v>
      </c>
      <c r="I9" s="745"/>
      <c r="J9" s="727">
        <f t="shared" si="3"/>
        <v>38000</v>
      </c>
      <c r="K9" s="732">
        <f>'Water-Meter'!G11</f>
        <v>38000</v>
      </c>
      <c r="L9" s="759">
        <f t="shared" si="4"/>
        <v>0</v>
      </c>
      <c r="M9" s="763">
        <f t="shared" si="11"/>
        <v>43957</v>
      </c>
      <c r="N9" s="727"/>
      <c r="O9" s="727">
        <f t="shared" si="5"/>
        <v>7906</v>
      </c>
      <c r="P9" s="731">
        <f>'Water-Meter'!J11</f>
        <v>7906</v>
      </c>
      <c r="Q9" s="759">
        <f t="shared" si="6"/>
        <v>0</v>
      </c>
      <c r="R9" s="785">
        <f t="shared" si="7"/>
        <v>0</v>
      </c>
      <c r="S9" s="786">
        <f>Gen!T16</f>
        <v>627.88</v>
      </c>
      <c r="T9" s="770">
        <f t="shared" si="12"/>
        <v>43957</v>
      </c>
      <c r="U9" s="727"/>
      <c r="V9" s="733">
        <f t="shared" si="8"/>
        <v>7804.7</v>
      </c>
      <c r="W9" s="729">
        <v>7804.8</v>
      </c>
      <c r="X9" s="773">
        <f t="shared" si="0"/>
        <v>20.00000000007276</v>
      </c>
      <c r="Y9" s="763">
        <f t="shared" si="13"/>
        <v>43957</v>
      </c>
      <c r="Z9" s="727"/>
      <c r="AA9" s="727">
        <f t="shared" si="14"/>
        <v>20134</v>
      </c>
      <c r="AB9" s="731">
        <f>'Water-Meter'!P11</f>
        <v>20135</v>
      </c>
      <c r="AC9" s="764">
        <f t="shared" si="9"/>
        <v>1</v>
      </c>
    </row>
    <row r="10" spans="1:29" ht="18.75">
      <c r="A10" s="744">
        <f>Gen!C17</f>
        <v>0</v>
      </c>
      <c r="B10" s="752">
        <f>Gen!B17</f>
        <v>43958</v>
      </c>
      <c r="C10" s="727"/>
      <c r="D10" s="733">
        <f t="shared" si="1"/>
        <v>8671.6</v>
      </c>
      <c r="E10" s="728">
        <v>8672.4</v>
      </c>
      <c r="F10" s="733">
        <f t="shared" si="2"/>
        <v>95.999999999912689</v>
      </c>
      <c r="G10" s="727"/>
      <c r="H10" s="753">
        <f t="shared" si="10"/>
        <v>43958</v>
      </c>
      <c r="I10" s="745"/>
      <c r="J10" s="727">
        <f t="shared" si="3"/>
        <v>38000</v>
      </c>
      <c r="K10" s="732">
        <f>'Water-Meter'!G12</f>
        <v>38000</v>
      </c>
      <c r="L10" s="759">
        <f t="shared" si="4"/>
        <v>0</v>
      </c>
      <c r="M10" s="763">
        <f t="shared" si="11"/>
        <v>43958</v>
      </c>
      <c r="N10" s="727"/>
      <c r="O10" s="727">
        <f t="shared" si="5"/>
        <v>7906</v>
      </c>
      <c r="P10" s="731">
        <f>'Water-Meter'!J12</f>
        <v>7906</v>
      </c>
      <c r="Q10" s="759">
        <f t="shared" si="6"/>
        <v>0</v>
      </c>
      <c r="R10" s="785">
        <f t="shared" si="7"/>
        <v>0</v>
      </c>
      <c r="S10" s="786">
        <f>Gen!T17</f>
        <v>637.52</v>
      </c>
      <c r="T10" s="770">
        <f t="shared" si="12"/>
        <v>43958</v>
      </c>
      <c r="U10" s="727"/>
      <c r="V10" s="733">
        <f t="shared" si="8"/>
        <v>7804.8</v>
      </c>
      <c r="W10" s="729">
        <v>7804.9</v>
      </c>
      <c r="X10" s="773">
        <f t="shared" si="0"/>
        <v>19.999999999890861</v>
      </c>
      <c r="Y10" s="763">
        <f t="shared" si="13"/>
        <v>43958</v>
      </c>
      <c r="Z10" s="727"/>
      <c r="AA10" s="727">
        <f t="shared" si="14"/>
        <v>20135</v>
      </c>
      <c r="AB10" s="731">
        <f>'Water-Meter'!P12</f>
        <v>20135</v>
      </c>
      <c r="AC10" s="764">
        <f t="shared" si="9"/>
        <v>0</v>
      </c>
    </row>
    <row r="11" spans="1:29" ht="18.75">
      <c r="A11" s="744">
        <f>Gen!C18</f>
        <v>0</v>
      </c>
      <c r="B11" s="752">
        <f>Gen!B18</f>
        <v>43959</v>
      </c>
      <c r="C11" s="727"/>
      <c r="D11" s="733">
        <f t="shared" si="1"/>
        <v>8672.4</v>
      </c>
      <c r="E11" s="728">
        <v>8673.2999999999993</v>
      </c>
      <c r="F11" s="733">
        <f t="shared" si="2"/>
        <v>107.99999999995634</v>
      </c>
      <c r="G11" s="727"/>
      <c r="H11" s="753">
        <f t="shared" si="10"/>
        <v>43959</v>
      </c>
      <c r="I11" s="745"/>
      <c r="J11" s="727">
        <f t="shared" si="3"/>
        <v>38000</v>
      </c>
      <c r="K11" s="732">
        <f>'Water-Meter'!G13</f>
        <v>38000</v>
      </c>
      <c r="L11" s="759">
        <f t="shared" si="4"/>
        <v>0</v>
      </c>
      <c r="M11" s="763">
        <f t="shared" si="11"/>
        <v>43959</v>
      </c>
      <c r="N11" s="727"/>
      <c r="O11" s="727">
        <f t="shared" si="5"/>
        <v>7906</v>
      </c>
      <c r="P11" s="731">
        <f>'Water-Meter'!J13</f>
        <v>7907</v>
      </c>
      <c r="Q11" s="759">
        <f t="shared" si="6"/>
        <v>1</v>
      </c>
      <c r="R11" s="785">
        <f t="shared" si="7"/>
        <v>6.1919504643962852E-4</v>
      </c>
      <c r="S11" s="786">
        <f>Gen!T18</f>
        <v>692.82999999999993</v>
      </c>
      <c r="T11" s="770">
        <f t="shared" si="12"/>
        <v>43959</v>
      </c>
      <c r="U11" s="727"/>
      <c r="V11" s="733">
        <f t="shared" si="8"/>
        <v>7804.9</v>
      </c>
      <c r="W11" s="729">
        <v>7805.1</v>
      </c>
      <c r="X11" s="773">
        <f t="shared" si="0"/>
        <v>40.000000000145519</v>
      </c>
      <c r="Y11" s="763">
        <f t="shared" si="13"/>
        <v>43959</v>
      </c>
      <c r="Z11" s="727"/>
      <c r="AA11" s="727">
        <f t="shared" si="14"/>
        <v>20135</v>
      </c>
      <c r="AB11" s="731">
        <f>'Water-Meter'!P13</f>
        <v>20136</v>
      </c>
      <c r="AC11" s="764">
        <f t="shared" si="9"/>
        <v>1</v>
      </c>
    </row>
    <row r="12" spans="1:29" ht="18.75">
      <c r="A12" s="744">
        <f>Gen!C19</f>
        <v>0</v>
      </c>
      <c r="B12" s="752">
        <f>Gen!B19</f>
        <v>43960</v>
      </c>
      <c r="C12" s="727"/>
      <c r="D12" s="733">
        <f t="shared" si="1"/>
        <v>8673.2999999999993</v>
      </c>
      <c r="E12" s="728">
        <v>8674.1</v>
      </c>
      <c r="F12" s="733">
        <f t="shared" si="2"/>
        <v>96.000000000130967</v>
      </c>
      <c r="G12" s="727"/>
      <c r="H12" s="753">
        <f t="shared" si="10"/>
        <v>43960</v>
      </c>
      <c r="I12" s="745"/>
      <c r="J12" s="727">
        <f t="shared" si="3"/>
        <v>38000</v>
      </c>
      <c r="K12" s="732">
        <f>'Water-Meter'!G14</f>
        <v>38000</v>
      </c>
      <c r="L12" s="759">
        <f t="shared" si="4"/>
        <v>0</v>
      </c>
      <c r="M12" s="763">
        <f t="shared" si="11"/>
        <v>43960</v>
      </c>
      <c r="N12" s="727"/>
      <c r="O12" s="727">
        <f t="shared" si="5"/>
        <v>7907</v>
      </c>
      <c r="P12" s="731">
        <f>'Water-Meter'!J14</f>
        <v>7907</v>
      </c>
      <c r="Q12" s="759">
        <f t="shared" si="6"/>
        <v>0</v>
      </c>
      <c r="R12" s="785">
        <f t="shared" si="7"/>
        <v>0</v>
      </c>
      <c r="S12" s="786">
        <f>Gen!T19</f>
        <v>662.1</v>
      </c>
      <c r="T12" s="770">
        <f t="shared" si="12"/>
        <v>43960</v>
      </c>
      <c r="U12" s="727"/>
      <c r="V12" s="733">
        <f t="shared" si="8"/>
        <v>7805.1</v>
      </c>
      <c r="W12" s="729">
        <v>7805.1</v>
      </c>
      <c r="X12" s="773">
        <f t="shared" si="0"/>
        <v>0</v>
      </c>
      <c r="Y12" s="763">
        <f t="shared" si="13"/>
        <v>43960</v>
      </c>
      <c r="Z12" s="727"/>
      <c r="AA12" s="727">
        <f t="shared" si="14"/>
        <v>20136</v>
      </c>
      <c r="AB12" s="731">
        <f>'Water-Meter'!P14</f>
        <v>20137</v>
      </c>
      <c r="AC12" s="764">
        <f t="shared" si="9"/>
        <v>1</v>
      </c>
    </row>
    <row r="13" spans="1:29" ht="18.75">
      <c r="A13" s="744">
        <f>Gen!C20</f>
        <v>0</v>
      </c>
      <c r="B13" s="752">
        <f>Gen!B20</f>
        <v>43961</v>
      </c>
      <c r="C13" s="727"/>
      <c r="D13" s="733">
        <f t="shared" si="1"/>
        <v>8674.1</v>
      </c>
      <c r="E13" s="728"/>
      <c r="F13" s="733">
        <f t="shared" si="2"/>
        <v>-1040892</v>
      </c>
      <c r="G13" s="727"/>
      <c r="H13" s="753">
        <f t="shared" si="10"/>
        <v>43961</v>
      </c>
      <c r="I13" s="745"/>
      <c r="J13" s="727">
        <f t="shared" si="3"/>
        <v>38000</v>
      </c>
      <c r="K13" s="732">
        <f>'Water-Meter'!G15</f>
        <v>0</v>
      </c>
      <c r="L13" s="759">
        <f t="shared" si="4"/>
        <v>-38000</v>
      </c>
      <c r="M13" s="763">
        <f t="shared" si="11"/>
        <v>43961</v>
      </c>
      <c r="N13" s="727"/>
      <c r="O13" s="727">
        <f t="shared" si="5"/>
        <v>7907</v>
      </c>
      <c r="P13" s="731">
        <f>'Water-Meter'!J15</f>
        <v>0</v>
      </c>
      <c r="Q13" s="759">
        <f t="shared" si="6"/>
        <v>-7907</v>
      </c>
      <c r="R13" s="785">
        <f t="shared" si="7"/>
        <v>-4.8959752321981425</v>
      </c>
      <c r="S13" s="786">
        <f>Gen!T20</f>
        <v>0</v>
      </c>
      <c r="T13" s="770">
        <f t="shared" si="12"/>
        <v>43961</v>
      </c>
      <c r="U13" s="727"/>
      <c r="V13" s="733">
        <f t="shared" si="8"/>
        <v>7805.1</v>
      </c>
      <c r="W13" s="729"/>
      <c r="X13" s="773">
        <f t="shared" si="0"/>
        <v>-1561020</v>
      </c>
      <c r="Y13" s="763">
        <f t="shared" si="13"/>
        <v>43961</v>
      </c>
      <c r="Z13" s="727"/>
      <c r="AA13" s="727">
        <f t="shared" si="14"/>
        <v>20137</v>
      </c>
      <c r="AB13" s="731">
        <f>'Water-Meter'!P15</f>
        <v>0</v>
      </c>
      <c r="AC13" s="764">
        <f t="shared" si="9"/>
        <v>-20137</v>
      </c>
    </row>
    <row r="14" spans="1:29" ht="18.75">
      <c r="A14" s="744">
        <f>Gen!C21</f>
        <v>0</v>
      </c>
      <c r="B14" s="752">
        <f>Gen!B21</f>
        <v>43962</v>
      </c>
      <c r="C14" s="727"/>
      <c r="D14" s="733">
        <f t="shared" si="1"/>
        <v>0</v>
      </c>
      <c r="E14" s="728"/>
      <c r="F14" s="733">
        <f t="shared" si="2"/>
        <v>0</v>
      </c>
      <c r="G14" s="727"/>
      <c r="H14" s="753">
        <f t="shared" si="10"/>
        <v>43962</v>
      </c>
      <c r="I14" s="745"/>
      <c r="J14" s="727">
        <f t="shared" si="3"/>
        <v>0</v>
      </c>
      <c r="K14" s="732">
        <f>'Water-Meter'!G16</f>
        <v>0</v>
      </c>
      <c r="L14" s="759">
        <f t="shared" si="4"/>
        <v>0</v>
      </c>
      <c r="M14" s="763">
        <f t="shared" si="11"/>
        <v>43962</v>
      </c>
      <c r="N14" s="727"/>
      <c r="O14" s="727">
        <f t="shared" si="5"/>
        <v>0</v>
      </c>
      <c r="P14" s="731">
        <f>'Water-Meter'!J16</f>
        <v>0</v>
      </c>
      <c r="Q14" s="759">
        <f t="shared" si="6"/>
        <v>0</v>
      </c>
      <c r="R14" s="785">
        <f t="shared" si="7"/>
        <v>0</v>
      </c>
      <c r="S14" s="786">
        <f>Gen!T21</f>
        <v>0</v>
      </c>
      <c r="T14" s="770">
        <f t="shared" si="12"/>
        <v>43962</v>
      </c>
      <c r="U14" s="727"/>
      <c r="V14" s="733">
        <f t="shared" si="8"/>
        <v>0</v>
      </c>
      <c r="W14" s="729"/>
      <c r="X14" s="773">
        <f t="shared" si="0"/>
        <v>0</v>
      </c>
      <c r="Y14" s="763">
        <f t="shared" si="13"/>
        <v>43962</v>
      </c>
      <c r="Z14" s="727"/>
      <c r="AA14" s="727">
        <f t="shared" si="14"/>
        <v>0</v>
      </c>
      <c r="AB14" s="731">
        <f>'Water-Meter'!P16</f>
        <v>0</v>
      </c>
      <c r="AC14" s="764">
        <f t="shared" si="9"/>
        <v>0</v>
      </c>
    </row>
    <row r="15" spans="1:29" ht="18.75">
      <c r="A15" s="744">
        <f>Gen!C22</f>
        <v>0</v>
      </c>
      <c r="B15" s="752">
        <f>Gen!B22</f>
        <v>43963</v>
      </c>
      <c r="C15" s="727"/>
      <c r="D15" s="733">
        <f t="shared" si="1"/>
        <v>0</v>
      </c>
      <c r="E15" s="728"/>
      <c r="F15" s="733">
        <f t="shared" si="2"/>
        <v>0</v>
      </c>
      <c r="G15" s="727"/>
      <c r="H15" s="753">
        <f t="shared" si="10"/>
        <v>43963</v>
      </c>
      <c r="I15" s="745"/>
      <c r="J15" s="727">
        <f t="shared" si="3"/>
        <v>0</v>
      </c>
      <c r="K15" s="732">
        <f>'Water-Meter'!G17</f>
        <v>0</v>
      </c>
      <c r="L15" s="759">
        <f t="shared" si="4"/>
        <v>0</v>
      </c>
      <c r="M15" s="763">
        <f t="shared" si="11"/>
        <v>43963</v>
      </c>
      <c r="N15" s="727"/>
      <c r="O15" s="727">
        <f t="shared" si="5"/>
        <v>0</v>
      </c>
      <c r="P15" s="731">
        <f>'Water-Meter'!J17</f>
        <v>0</v>
      </c>
      <c r="Q15" s="759">
        <f t="shared" si="6"/>
        <v>0</v>
      </c>
      <c r="R15" s="785">
        <f t="shared" si="7"/>
        <v>0</v>
      </c>
      <c r="S15" s="786">
        <f>Gen!T22</f>
        <v>0</v>
      </c>
      <c r="T15" s="770">
        <f t="shared" si="12"/>
        <v>43963</v>
      </c>
      <c r="U15" s="727"/>
      <c r="V15" s="733">
        <f t="shared" si="8"/>
        <v>0</v>
      </c>
      <c r="W15" s="729"/>
      <c r="X15" s="773">
        <f t="shared" si="0"/>
        <v>0</v>
      </c>
      <c r="Y15" s="763">
        <f t="shared" si="13"/>
        <v>43963</v>
      </c>
      <c r="Z15" s="727"/>
      <c r="AA15" s="727">
        <f t="shared" si="14"/>
        <v>0</v>
      </c>
      <c r="AB15" s="731">
        <f>'Water-Meter'!P17</f>
        <v>0</v>
      </c>
      <c r="AC15" s="764">
        <f t="shared" si="9"/>
        <v>0</v>
      </c>
    </row>
    <row r="16" spans="1:29" ht="18.75">
      <c r="A16" s="744">
        <f>Gen!C23</f>
        <v>0</v>
      </c>
      <c r="B16" s="752">
        <f>Gen!B23</f>
        <v>43964</v>
      </c>
      <c r="C16" s="727"/>
      <c r="D16" s="733">
        <f t="shared" si="1"/>
        <v>0</v>
      </c>
      <c r="E16" s="728"/>
      <c r="F16" s="733">
        <f>SUM(E16-D16)*120</f>
        <v>0</v>
      </c>
      <c r="G16" s="727"/>
      <c r="H16" s="753">
        <f t="shared" si="10"/>
        <v>43964</v>
      </c>
      <c r="I16" s="745"/>
      <c r="J16" s="727">
        <f t="shared" si="3"/>
        <v>0</v>
      </c>
      <c r="K16" s="732">
        <f>'Water-Meter'!G18</f>
        <v>0</v>
      </c>
      <c r="L16" s="759">
        <f t="shared" si="4"/>
        <v>0</v>
      </c>
      <c r="M16" s="763">
        <f t="shared" si="11"/>
        <v>43964</v>
      </c>
      <c r="N16" s="727"/>
      <c r="O16" s="727">
        <f t="shared" si="5"/>
        <v>0</v>
      </c>
      <c r="P16" s="731">
        <f>'Water-Meter'!J18</f>
        <v>0</v>
      </c>
      <c r="Q16" s="759">
        <f t="shared" si="6"/>
        <v>0</v>
      </c>
      <c r="R16" s="785">
        <f t="shared" si="7"/>
        <v>0</v>
      </c>
      <c r="S16" s="786">
        <f>Gen!T23</f>
        <v>0</v>
      </c>
      <c r="T16" s="770">
        <f t="shared" si="12"/>
        <v>43964</v>
      </c>
      <c r="U16" s="727"/>
      <c r="V16" s="733">
        <f t="shared" si="8"/>
        <v>0</v>
      </c>
      <c r="W16" s="729"/>
      <c r="X16" s="773">
        <f t="shared" si="0"/>
        <v>0</v>
      </c>
      <c r="Y16" s="763">
        <f t="shared" si="13"/>
        <v>43964</v>
      </c>
      <c r="Z16" s="727"/>
      <c r="AA16" s="727">
        <f t="shared" si="14"/>
        <v>0</v>
      </c>
      <c r="AB16" s="731">
        <f>'Water-Meter'!P18</f>
        <v>0</v>
      </c>
      <c r="AC16" s="764">
        <f t="shared" si="9"/>
        <v>0</v>
      </c>
    </row>
    <row r="17" spans="1:29" ht="18.75">
      <c r="A17" s="744">
        <f>Gen!C24</f>
        <v>0</v>
      </c>
      <c r="B17" s="752">
        <f>Gen!B24</f>
        <v>43965</v>
      </c>
      <c r="C17" s="727"/>
      <c r="D17" s="733">
        <f t="shared" si="1"/>
        <v>0</v>
      </c>
      <c r="E17" s="728"/>
      <c r="F17" s="733">
        <f>SUM(E17-D17)*120</f>
        <v>0</v>
      </c>
      <c r="G17" s="727"/>
      <c r="H17" s="753">
        <f t="shared" si="10"/>
        <v>43965</v>
      </c>
      <c r="I17" s="745"/>
      <c r="J17" s="727">
        <f t="shared" si="3"/>
        <v>0</v>
      </c>
      <c r="K17" s="732">
        <f>'Water-Meter'!G19</f>
        <v>0</v>
      </c>
      <c r="L17" s="759">
        <f t="shared" si="4"/>
        <v>0</v>
      </c>
      <c r="M17" s="763">
        <f t="shared" si="11"/>
        <v>43965</v>
      </c>
      <c r="N17" s="727"/>
      <c r="O17" s="727">
        <f t="shared" si="5"/>
        <v>0</v>
      </c>
      <c r="P17" s="731">
        <f>'Water-Meter'!J19</f>
        <v>0</v>
      </c>
      <c r="Q17" s="759">
        <f t="shared" si="6"/>
        <v>0</v>
      </c>
      <c r="R17" s="785">
        <f t="shared" si="7"/>
        <v>0</v>
      </c>
      <c r="S17" s="786">
        <f>Gen!T24</f>
        <v>0</v>
      </c>
      <c r="T17" s="770">
        <f t="shared" si="12"/>
        <v>43965</v>
      </c>
      <c r="U17" s="727"/>
      <c r="V17" s="733">
        <f t="shared" si="8"/>
        <v>0</v>
      </c>
      <c r="W17" s="729"/>
      <c r="X17" s="773">
        <f t="shared" si="0"/>
        <v>0</v>
      </c>
      <c r="Y17" s="763">
        <f t="shared" si="13"/>
        <v>43965</v>
      </c>
      <c r="Z17" s="727"/>
      <c r="AA17" s="727">
        <f t="shared" si="14"/>
        <v>0</v>
      </c>
      <c r="AB17" s="731">
        <f>'Water-Meter'!P19</f>
        <v>0</v>
      </c>
      <c r="AC17" s="764">
        <f t="shared" si="9"/>
        <v>0</v>
      </c>
    </row>
    <row r="18" spans="1:29" ht="18.75">
      <c r="A18" s="744">
        <f>Gen!C25</f>
        <v>0</v>
      </c>
      <c r="B18" s="752">
        <f>Gen!B25</f>
        <v>43966</v>
      </c>
      <c r="C18" s="727"/>
      <c r="D18" s="733">
        <f t="shared" si="1"/>
        <v>0</v>
      </c>
      <c r="E18" s="728"/>
      <c r="F18" s="733">
        <f t="shared" ref="F18:F22" si="15">SUM(E18-D18)*120</f>
        <v>0</v>
      </c>
      <c r="G18" s="727"/>
      <c r="H18" s="753">
        <f t="shared" si="10"/>
        <v>43966</v>
      </c>
      <c r="I18" s="745"/>
      <c r="J18" s="727">
        <f t="shared" si="3"/>
        <v>0</v>
      </c>
      <c r="K18" s="732">
        <f>'Water-Meter'!G20</f>
        <v>0</v>
      </c>
      <c r="L18" s="759">
        <f t="shared" si="4"/>
        <v>0</v>
      </c>
      <c r="M18" s="763">
        <f t="shared" si="11"/>
        <v>43966</v>
      </c>
      <c r="N18" s="727"/>
      <c r="O18" s="727">
        <f t="shared" si="5"/>
        <v>0</v>
      </c>
      <c r="P18" s="731">
        <f>'Water-Meter'!J20</f>
        <v>0</v>
      </c>
      <c r="Q18" s="759">
        <f t="shared" si="6"/>
        <v>0</v>
      </c>
      <c r="R18" s="785">
        <f t="shared" si="7"/>
        <v>0</v>
      </c>
      <c r="S18" s="786">
        <f>Gen!T25</f>
        <v>0</v>
      </c>
      <c r="T18" s="770">
        <f t="shared" si="12"/>
        <v>43966</v>
      </c>
      <c r="U18" s="727"/>
      <c r="V18" s="733">
        <f t="shared" si="8"/>
        <v>0</v>
      </c>
      <c r="W18" s="729"/>
      <c r="X18" s="773">
        <f t="shared" si="0"/>
        <v>0</v>
      </c>
      <c r="Y18" s="763">
        <f t="shared" si="13"/>
        <v>43966</v>
      </c>
      <c r="Z18" s="727"/>
      <c r="AA18" s="727">
        <f t="shared" si="14"/>
        <v>0</v>
      </c>
      <c r="AB18" s="731">
        <f>'Water-Meter'!P20</f>
        <v>0</v>
      </c>
      <c r="AC18" s="764">
        <f>SUM(AB18-AA18)</f>
        <v>0</v>
      </c>
    </row>
    <row r="19" spans="1:29" ht="18.75">
      <c r="A19" s="744">
        <f>Gen!C26</f>
        <v>0</v>
      </c>
      <c r="B19" s="752">
        <f>Gen!B26</f>
        <v>43967</v>
      </c>
      <c r="C19" s="730"/>
      <c r="D19" s="733">
        <f t="shared" si="1"/>
        <v>0</v>
      </c>
      <c r="E19" s="728"/>
      <c r="F19" s="733">
        <f t="shared" si="15"/>
        <v>0</v>
      </c>
      <c r="G19" s="727"/>
      <c r="H19" s="753">
        <f t="shared" si="10"/>
        <v>43967</v>
      </c>
      <c r="I19" s="746"/>
      <c r="J19" s="727">
        <f t="shared" si="3"/>
        <v>0</v>
      </c>
      <c r="K19" s="732">
        <f>'Water-Meter'!G21</f>
        <v>0</v>
      </c>
      <c r="L19" s="759">
        <f t="shared" si="4"/>
        <v>0</v>
      </c>
      <c r="M19" s="763">
        <f t="shared" si="11"/>
        <v>43967</v>
      </c>
      <c r="N19" s="730"/>
      <c r="O19" s="727">
        <f t="shared" si="5"/>
        <v>0</v>
      </c>
      <c r="P19" s="731">
        <f>'Water-Meter'!J21</f>
        <v>0</v>
      </c>
      <c r="Q19" s="759">
        <f t="shared" si="6"/>
        <v>0</v>
      </c>
      <c r="R19" s="785">
        <f t="shared" si="7"/>
        <v>0</v>
      </c>
      <c r="S19" s="786">
        <f>Gen!T26</f>
        <v>0</v>
      </c>
      <c r="T19" s="770">
        <f t="shared" si="12"/>
        <v>43967</v>
      </c>
      <c r="U19" s="730"/>
      <c r="V19" s="733">
        <f t="shared" si="8"/>
        <v>0</v>
      </c>
      <c r="W19" s="729"/>
      <c r="X19" s="773">
        <f t="shared" si="0"/>
        <v>0</v>
      </c>
      <c r="Y19" s="763">
        <f t="shared" si="13"/>
        <v>43967</v>
      </c>
      <c r="Z19" s="730"/>
      <c r="AA19" s="727">
        <f t="shared" si="14"/>
        <v>0</v>
      </c>
      <c r="AB19" s="731">
        <f>'Water-Meter'!P21</f>
        <v>0</v>
      </c>
      <c r="AC19" s="764">
        <f t="shared" si="9"/>
        <v>0</v>
      </c>
    </row>
    <row r="20" spans="1:29" ht="18.75">
      <c r="A20" s="744">
        <f>Gen!C27</f>
        <v>0</v>
      </c>
      <c r="B20" s="752">
        <f>Gen!B27</f>
        <v>43968</v>
      </c>
      <c r="C20" s="730"/>
      <c r="D20" s="733">
        <f t="shared" si="1"/>
        <v>0</v>
      </c>
      <c r="E20" s="728"/>
      <c r="F20" s="733">
        <f t="shared" si="15"/>
        <v>0</v>
      </c>
      <c r="G20" s="727"/>
      <c r="H20" s="753">
        <f t="shared" si="10"/>
        <v>43968</v>
      </c>
      <c r="I20" s="746"/>
      <c r="J20" s="727">
        <f t="shared" si="3"/>
        <v>0</v>
      </c>
      <c r="K20" s="732">
        <f>'Water-Meter'!G22</f>
        <v>0</v>
      </c>
      <c r="L20" s="759">
        <f t="shared" si="4"/>
        <v>0</v>
      </c>
      <c r="M20" s="763">
        <f t="shared" si="11"/>
        <v>43968</v>
      </c>
      <c r="N20" s="730"/>
      <c r="O20" s="727">
        <f t="shared" si="5"/>
        <v>0</v>
      </c>
      <c r="P20" s="731">
        <f>'Water-Meter'!J22</f>
        <v>0</v>
      </c>
      <c r="Q20" s="759">
        <f t="shared" si="6"/>
        <v>0</v>
      </c>
      <c r="R20" s="785">
        <f t="shared" si="7"/>
        <v>0</v>
      </c>
      <c r="S20" s="786">
        <f>Gen!T27</f>
        <v>0</v>
      </c>
      <c r="T20" s="770">
        <f t="shared" si="12"/>
        <v>43968</v>
      </c>
      <c r="U20" s="730"/>
      <c r="V20" s="733">
        <f t="shared" si="8"/>
        <v>0</v>
      </c>
      <c r="W20" s="729"/>
      <c r="X20" s="773">
        <f t="shared" si="0"/>
        <v>0</v>
      </c>
      <c r="Y20" s="763">
        <f t="shared" si="13"/>
        <v>43968</v>
      </c>
      <c r="Z20" s="730"/>
      <c r="AA20" s="727">
        <f t="shared" si="14"/>
        <v>0</v>
      </c>
      <c r="AB20" s="731">
        <f>'Water-Meter'!P22</f>
        <v>0</v>
      </c>
      <c r="AC20" s="764">
        <f t="shared" si="9"/>
        <v>0</v>
      </c>
    </row>
    <row r="21" spans="1:29" ht="18.75">
      <c r="A21" s="744">
        <f>Gen!C28</f>
        <v>0</v>
      </c>
      <c r="B21" s="752">
        <f>Gen!B28</f>
        <v>43969</v>
      </c>
      <c r="C21" s="730"/>
      <c r="D21" s="733">
        <f t="shared" si="1"/>
        <v>0</v>
      </c>
      <c r="E21" s="728"/>
      <c r="F21" s="733">
        <f t="shared" si="15"/>
        <v>0</v>
      </c>
      <c r="G21" s="727"/>
      <c r="H21" s="753">
        <f t="shared" si="10"/>
        <v>43969</v>
      </c>
      <c r="I21" s="746"/>
      <c r="J21" s="727">
        <f t="shared" si="3"/>
        <v>0</v>
      </c>
      <c r="K21" s="732">
        <f>'Water-Meter'!G23</f>
        <v>0</v>
      </c>
      <c r="L21" s="759">
        <f t="shared" si="4"/>
        <v>0</v>
      </c>
      <c r="M21" s="763">
        <f t="shared" si="11"/>
        <v>43969</v>
      </c>
      <c r="N21" s="730"/>
      <c r="O21" s="727">
        <f t="shared" si="5"/>
        <v>0</v>
      </c>
      <c r="P21" s="731">
        <f>'Water-Meter'!J23</f>
        <v>0</v>
      </c>
      <c r="Q21" s="759">
        <f t="shared" si="6"/>
        <v>0</v>
      </c>
      <c r="R21" s="785">
        <f t="shared" ref="R21:R35" si="16">SUM(Q21/1615)</f>
        <v>0</v>
      </c>
      <c r="S21" s="786">
        <f>Gen!T28</f>
        <v>0</v>
      </c>
      <c r="T21" s="770">
        <f t="shared" si="12"/>
        <v>43969</v>
      </c>
      <c r="U21" s="730"/>
      <c r="V21" s="733">
        <f t="shared" si="8"/>
        <v>0</v>
      </c>
      <c r="W21" s="729"/>
      <c r="X21" s="773">
        <f t="shared" si="0"/>
        <v>0</v>
      </c>
      <c r="Y21" s="763">
        <f t="shared" si="13"/>
        <v>43969</v>
      </c>
      <c r="Z21" s="730"/>
      <c r="AA21" s="727">
        <f t="shared" si="14"/>
        <v>0</v>
      </c>
      <c r="AB21" s="731">
        <f>'Water-Meter'!P23</f>
        <v>0</v>
      </c>
      <c r="AC21" s="764">
        <f t="shared" si="9"/>
        <v>0</v>
      </c>
    </row>
    <row r="22" spans="1:29" ht="18.75">
      <c r="A22" s="744">
        <f>Gen!C29</f>
        <v>0</v>
      </c>
      <c r="B22" s="752">
        <f>Gen!B29</f>
        <v>43970</v>
      </c>
      <c r="C22" s="727"/>
      <c r="D22" s="733">
        <f t="shared" si="1"/>
        <v>0</v>
      </c>
      <c r="E22" s="728"/>
      <c r="F22" s="733">
        <f t="shared" si="15"/>
        <v>0</v>
      </c>
      <c r="G22" s="727"/>
      <c r="H22" s="753">
        <f t="shared" si="10"/>
        <v>43970</v>
      </c>
      <c r="I22" s="745"/>
      <c r="J22" s="727">
        <f t="shared" si="3"/>
        <v>0</v>
      </c>
      <c r="K22" s="732">
        <f>'Water-Meter'!G24</f>
        <v>0</v>
      </c>
      <c r="L22" s="759">
        <f t="shared" si="4"/>
        <v>0</v>
      </c>
      <c r="M22" s="763">
        <f t="shared" si="11"/>
        <v>43970</v>
      </c>
      <c r="N22" s="727"/>
      <c r="O22" s="727">
        <f t="shared" si="5"/>
        <v>0</v>
      </c>
      <c r="P22" s="731">
        <f>'Water-Meter'!J24</f>
        <v>0</v>
      </c>
      <c r="Q22" s="759">
        <f t="shared" si="6"/>
        <v>0</v>
      </c>
      <c r="R22" s="785">
        <f t="shared" si="16"/>
        <v>0</v>
      </c>
      <c r="S22" s="786">
        <f>Gen!T29</f>
        <v>0</v>
      </c>
      <c r="T22" s="770">
        <f t="shared" si="12"/>
        <v>43970</v>
      </c>
      <c r="U22" s="727"/>
      <c r="V22" s="733">
        <f t="shared" si="8"/>
        <v>0</v>
      </c>
      <c r="W22" s="729"/>
      <c r="X22" s="773">
        <f t="shared" si="0"/>
        <v>0</v>
      </c>
      <c r="Y22" s="763">
        <f t="shared" si="13"/>
        <v>43970</v>
      </c>
      <c r="Z22" s="727"/>
      <c r="AA22" s="727">
        <f t="shared" si="14"/>
        <v>0</v>
      </c>
      <c r="AB22" s="731">
        <f>'Water-Meter'!P24</f>
        <v>0</v>
      </c>
      <c r="AC22" s="764">
        <f t="shared" si="9"/>
        <v>0</v>
      </c>
    </row>
    <row r="23" spans="1:29" ht="18.75">
      <c r="A23" s="744">
        <f>Gen!C30</f>
        <v>0</v>
      </c>
      <c r="B23" s="752">
        <f>Gen!B30</f>
        <v>43971</v>
      </c>
      <c r="C23" s="730"/>
      <c r="D23" s="733">
        <f t="shared" si="1"/>
        <v>0</v>
      </c>
      <c r="E23" s="728"/>
      <c r="F23" s="733">
        <f t="shared" ref="F23:F34" si="17">SUM(E23-D23)*120</f>
        <v>0</v>
      </c>
      <c r="G23" s="727"/>
      <c r="H23" s="753">
        <f t="shared" si="10"/>
        <v>43971</v>
      </c>
      <c r="I23" s="746"/>
      <c r="J23" s="727">
        <f t="shared" si="3"/>
        <v>0</v>
      </c>
      <c r="K23" s="732">
        <f>'Water-Meter'!G25</f>
        <v>0</v>
      </c>
      <c r="L23" s="759">
        <f t="shared" si="4"/>
        <v>0</v>
      </c>
      <c r="M23" s="763">
        <f t="shared" si="11"/>
        <v>43971</v>
      </c>
      <c r="N23" s="730"/>
      <c r="O23" s="727">
        <f t="shared" si="5"/>
        <v>0</v>
      </c>
      <c r="P23" s="731">
        <f>'Water-Meter'!J25</f>
        <v>0</v>
      </c>
      <c r="Q23" s="759">
        <f t="shared" si="6"/>
        <v>0</v>
      </c>
      <c r="R23" s="785">
        <f t="shared" si="16"/>
        <v>0</v>
      </c>
      <c r="S23" s="786">
        <f>Gen!T30</f>
        <v>0</v>
      </c>
      <c r="T23" s="770">
        <f t="shared" si="12"/>
        <v>43971</v>
      </c>
      <c r="U23" s="730"/>
      <c r="V23" s="733">
        <f t="shared" si="8"/>
        <v>0</v>
      </c>
      <c r="W23" s="729"/>
      <c r="X23" s="773">
        <f t="shared" si="0"/>
        <v>0</v>
      </c>
      <c r="Y23" s="763">
        <f t="shared" si="13"/>
        <v>43971</v>
      </c>
      <c r="Z23" s="730"/>
      <c r="AA23" s="727">
        <f t="shared" si="14"/>
        <v>0</v>
      </c>
      <c r="AB23" s="731">
        <f>'Water-Meter'!P25</f>
        <v>0</v>
      </c>
      <c r="AC23" s="764">
        <f t="shared" si="9"/>
        <v>0</v>
      </c>
    </row>
    <row r="24" spans="1:29" ht="18.75">
      <c r="A24" s="744">
        <f>Gen!C31</f>
        <v>0</v>
      </c>
      <c r="B24" s="752">
        <f>Gen!B31</f>
        <v>43972</v>
      </c>
      <c r="C24" s="730"/>
      <c r="D24" s="733">
        <f t="shared" ref="D24:D35" si="18">SUM(E23)</f>
        <v>0</v>
      </c>
      <c r="E24" s="728"/>
      <c r="F24" s="733">
        <f t="shared" si="17"/>
        <v>0</v>
      </c>
      <c r="G24" s="727"/>
      <c r="H24" s="753">
        <f t="shared" si="10"/>
        <v>43972</v>
      </c>
      <c r="I24" s="746"/>
      <c r="J24" s="727">
        <f t="shared" si="3"/>
        <v>0</v>
      </c>
      <c r="K24" s="732">
        <f>'Water-Meter'!G26</f>
        <v>0</v>
      </c>
      <c r="L24" s="759">
        <f t="shared" si="4"/>
        <v>0</v>
      </c>
      <c r="M24" s="763">
        <f t="shared" si="11"/>
        <v>43972</v>
      </c>
      <c r="N24" s="730"/>
      <c r="O24" s="727">
        <f t="shared" si="5"/>
        <v>0</v>
      </c>
      <c r="P24" s="731">
        <f>'Water-Meter'!J26</f>
        <v>0</v>
      </c>
      <c r="Q24" s="759">
        <f t="shared" si="6"/>
        <v>0</v>
      </c>
      <c r="R24" s="785">
        <f t="shared" si="16"/>
        <v>0</v>
      </c>
      <c r="S24" s="786">
        <f>Gen!T31</f>
        <v>0</v>
      </c>
      <c r="T24" s="770">
        <v>5835.7</v>
      </c>
      <c r="U24" s="730"/>
      <c r="V24" s="733">
        <f t="shared" si="8"/>
        <v>0</v>
      </c>
      <c r="W24" s="729"/>
      <c r="X24" s="773">
        <f t="shared" si="0"/>
        <v>0</v>
      </c>
      <c r="Y24" s="763">
        <f t="shared" si="13"/>
        <v>5835.7</v>
      </c>
      <c r="Z24" s="730"/>
      <c r="AA24" s="727">
        <f t="shared" si="14"/>
        <v>0</v>
      </c>
      <c r="AB24" s="731">
        <f>'Water-Meter'!P26</f>
        <v>0</v>
      </c>
      <c r="AC24" s="764">
        <f t="shared" si="9"/>
        <v>0</v>
      </c>
    </row>
    <row r="25" spans="1:29" ht="18.75">
      <c r="A25" s="744">
        <f>Gen!C32</f>
        <v>0</v>
      </c>
      <c r="B25" s="752">
        <f>Gen!B32</f>
        <v>43973</v>
      </c>
      <c r="C25" s="730"/>
      <c r="D25" s="733">
        <f t="shared" si="18"/>
        <v>0</v>
      </c>
      <c r="E25" s="728"/>
      <c r="F25" s="733">
        <f t="shared" si="17"/>
        <v>0</v>
      </c>
      <c r="G25" s="727"/>
      <c r="H25" s="753">
        <f t="shared" si="10"/>
        <v>43973</v>
      </c>
      <c r="I25" s="746"/>
      <c r="J25" s="727">
        <f t="shared" si="3"/>
        <v>0</v>
      </c>
      <c r="K25" s="732">
        <f>'Water-Meter'!G27</f>
        <v>0</v>
      </c>
      <c r="L25" s="759">
        <f t="shared" si="4"/>
        <v>0</v>
      </c>
      <c r="M25" s="763">
        <f t="shared" si="11"/>
        <v>43973</v>
      </c>
      <c r="N25" s="730"/>
      <c r="O25" s="727">
        <f t="shared" si="5"/>
        <v>0</v>
      </c>
      <c r="P25" s="731">
        <f>'Water-Meter'!J27</f>
        <v>0</v>
      </c>
      <c r="Q25" s="759">
        <f t="shared" si="6"/>
        <v>0</v>
      </c>
      <c r="R25" s="785">
        <f t="shared" si="16"/>
        <v>0</v>
      </c>
      <c r="S25" s="786">
        <f>Gen!T32</f>
        <v>0</v>
      </c>
      <c r="T25" s="770">
        <f t="shared" si="12"/>
        <v>43973</v>
      </c>
      <c r="U25" s="730"/>
      <c r="V25" s="733">
        <f t="shared" si="8"/>
        <v>0</v>
      </c>
      <c r="W25" s="729"/>
      <c r="X25" s="773">
        <f t="shared" si="0"/>
        <v>0</v>
      </c>
      <c r="Y25" s="763">
        <f t="shared" si="13"/>
        <v>43973</v>
      </c>
      <c r="Z25" s="730"/>
      <c r="AA25" s="727">
        <f t="shared" si="14"/>
        <v>0</v>
      </c>
      <c r="AB25" s="731">
        <f>'Water-Meter'!P27</f>
        <v>0</v>
      </c>
      <c r="AC25" s="764">
        <f t="shared" si="9"/>
        <v>0</v>
      </c>
    </row>
    <row r="26" spans="1:29" ht="18.75">
      <c r="A26" s="744">
        <f>Gen!C33</f>
        <v>0</v>
      </c>
      <c r="B26" s="752">
        <f>Gen!B33</f>
        <v>43974</v>
      </c>
      <c r="C26" s="730"/>
      <c r="D26" s="733">
        <f t="shared" si="18"/>
        <v>0</v>
      </c>
      <c r="E26" s="728"/>
      <c r="F26" s="733">
        <f t="shared" si="17"/>
        <v>0</v>
      </c>
      <c r="G26" s="727"/>
      <c r="H26" s="753">
        <f t="shared" si="10"/>
        <v>43974</v>
      </c>
      <c r="I26" s="746"/>
      <c r="J26" s="727">
        <f t="shared" si="3"/>
        <v>0</v>
      </c>
      <c r="K26" s="732">
        <f>'Water-Meter'!G28</f>
        <v>0</v>
      </c>
      <c r="L26" s="759">
        <f t="shared" si="4"/>
        <v>0</v>
      </c>
      <c r="M26" s="763">
        <f t="shared" si="11"/>
        <v>43974</v>
      </c>
      <c r="N26" s="730"/>
      <c r="O26" s="727">
        <f t="shared" si="5"/>
        <v>0</v>
      </c>
      <c r="P26" s="731">
        <f>'Water-Meter'!J28</f>
        <v>0</v>
      </c>
      <c r="Q26" s="759">
        <f t="shared" si="6"/>
        <v>0</v>
      </c>
      <c r="R26" s="785">
        <f t="shared" si="16"/>
        <v>0</v>
      </c>
      <c r="S26" s="786">
        <f>Gen!T33</f>
        <v>0</v>
      </c>
      <c r="T26" s="770">
        <f t="shared" si="12"/>
        <v>43974</v>
      </c>
      <c r="U26" s="730"/>
      <c r="V26" s="733">
        <f t="shared" si="8"/>
        <v>0</v>
      </c>
      <c r="W26" s="729"/>
      <c r="X26" s="773">
        <f t="shared" si="0"/>
        <v>0</v>
      </c>
      <c r="Y26" s="763">
        <f t="shared" si="13"/>
        <v>43974</v>
      </c>
      <c r="Z26" s="730"/>
      <c r="AA26" s="727">
        <f t="shared" si="14"/>
        <v>0</v>
      </c>
      <c r="AB26" s="731">
        <f>'Water-Meter'!P28</f>
        <v>0</v>
      </c>
      <c r="AC26" s="764">
        <f t="shared" si="9"/>
        <v>0</v>
      </c>
    </row>
    <row r="27" spans="1:29" ht="18.75">
      <c r="A27" s="744">
        <f>Gen!C34</f>
        <v>0</v>
      </c>
      <c r="B27" s="752">
        <f>Gen!B34</f>
        <v>43975</v>
      </c>
      <c r="C27" s="730"/>
      <c r="D27" s="733">
        <f t="shared" si="18"/>
        <v>0</v>
      </c>
      <c r="E27" s="728"/>
      <c r="F27" s="733">
        <f t="shared" si="17"/>
        <v>0</v>
      </c>
      <c r="G27" s="727"/>
      <c r="H27" s="753">
        <f t="shared" si="10"/>
        <v>43975</v>
      </c>
      <c r="I27" s="746"/>
      <c r="J27" s="727">
        <f t="shared" si="3"/>
        <v>0</v>
      </c>
      <c r="K27" s="732">
        <f>'Water-Meter'!G29</f>
        <v>0</v>
      </c>
      <c r="L27" s="759">
        <f t="shared" si="4"/>
        <v>0</v>
      </c>
      <c r="M27" s="763">
        <f t="shared" si="11"/>
        <v>43975</v>
      </c>
      <c r="N27" s="730"/>
      <c r="O27" s="727">
        <f t="shared" si="5"/>
        <v>0</v>
      </c>
      <c r="P27" s="731">
        <f>'Water-Meter'!J29</f>
        <v>0</v>
      </c>
      <c r="Q27" s="759">
        <f t="shared" si="6"/>
        <v>0</v>
      </c>
      <c r="R27" s="785">
        <f t="shared" si="16"/>
        <v>0</v>
      </c>
      <c r="S27" s="786">
        <f>Gen!T34</f>
        <v>0</v>
      </c>
      <c r="T27" s="770">
        <f t="shared" si="12"/>
        <v>43975</v>
      </c>
      <c r="U27" s="730"/>
      <c r="V27" s="733">
        <f t="shared" si="8"/>
        <v>0</v>
      </c>
      <c r="W27" s="729"/>
      <c r="X27" s="773">
        <f t="shared" si="0"/>
        <v>0</v>
      </c>
      <c r="Y27" s="763">
        <f t="shared" si="13"/>
        <v>43975</v>
      </c>
      <c r="Z27" s="730"/>
      <c r="AA27" s="727">
        <f t="shared" si="14"/>
        <v>0</v>
      </c>
      <c r="AB27" s="731">
        <f>'Water-Meter'!P29</f>
        <v>0</v>
      </c>
      <c r="AC27" s="764">
        <f t="shared" si="9"/>
        <v>0</v>
      </c>
    </row>
    <row r="28" spans="1:29" ht="18.75">
      <c r="A28" s="744">
        <f>Gen!C35</f>
        <v>0</v>
      </c>
      <c r="B28" s="752">
        <f>Gen!B35</f>
        <v>43976</v>
      </c>
      <c r="C28" s="730"/>
      <c r="D28" s="733">
        <f t="shared" si="18"/>
        <v>0</v>
      </c>
      <c r="E28" s="728"/>
      <c r="F28" s="733">
        <f t="shared" si="17"/>
        <v>0</v>
      </c>
      <c r="G28" s="727"/>
      <c r="H28" s="753">
        <f t="shared" si="10"/>
        <v>43976</v>
      </c>
      <c r="I28" s="746"/>
      <c r="J28" s="727">
        <f t="shared" si="3"/>
        <v>0</v>
      </c>
      <c r="K28" s="732">
        <f>'Water-Meter'!G30</f>
        <v>0</v>
      </c>
      <c r="L28" s="759">
        <f t="shared" si="4"/>
        <v>0</v>
      </c>
      <c r="M28" s="763">
        <f t="shared" si="11"/>
        <v>43976</v>
      </c>
      <c r="N28" s="730"/>
      <c r="O28" s="727">
        <f t="shared" si="5"/>
        <v>0</v>
      </c>
      <c r="P28" s="731">
        <f>'Water-Meter'!J30</f>
        <v>0</v>
      </c>
      <c r="Q28" s="759">
        <f t="shared" si="6"/>
        <v>0</v>
      </c>
      <c r="R28" s="785">
        <f t="shared" si="16"/>
        <v>0</v>
      </c>
      <c r="S28" s="786">
        <f>Gen!T35</f>
        <v>0</v>
      </c>
      <c r="T28" s="770">
        <f t="shared" si="12"/>
        <v>43976</v>
      </c>
      <c r="U28" s="730"/>
      <c r="V28" s="733">
        <f t="shared" si="8"/>
        <v>0</v>
      </c>
      <c r="W28" s="729"/>
      <c r="X28" s="773">
        <f t="shared" si="0"/>
        <v>0</v>
      </c>
      <c r="Y28" s="763">
        <f t="shared" si="13"/>
        <v>43976</v>
      </c>
      <c r="Z28" s="730"/>
      <c r="AA28" s="727">
        <f t="shared" si="14"/>
        <v>0</v>
      </c>
      <c r="AB28" s="731">
        <f>'Water-Meter'!P30</f>
        <v>0</v>
      </c>
      <c r="AC28" s="764">
        <f t="shared" si="9"/>
        <v>0</v>
      </c>
    </row>
    <row r="29" spans="1:29" ht="18.75">
      <c r="A29" s="744">
        <f>Gen!C36</f>
        <v>0</v>
      </c>
      <c r="B29" s="752">
        <f>Gen!B36</f>
        <v>43977</v>
      </c>
      <c r="C29" s="730"/>
      <c r="D29" s="733">
        <f t="shared" si="18"/>
        <v>0</v>
      </c>
      <c r="E29" s="728"/>
      <c r="F29" s="733">
        <f t="shared" si="17"/>
        <v>0</v>
      </c>
      <c r="G29" s="727"/>
      <c r="H29" s="753">
        <f t="shared" si="10"/>
        <v>43977</v>
      </c>
      <c r="I29" s="746"/>
      <c r="J29" s="727">
        <f t="shared" si="3"/>
        <v>0</v>
      </c>
      <c r="K29" s="732">
        <f>'Water-Meter'!G31</f>
        <v>0</v>
      </c>
      <c r="L29" s="759">
        <f t="shared" si="4"/>
        <v>0</v>
      </c>
      <c r="M29" s="763">
        <f t="shared" si="11"/>
        <v>43977</v>
      </c>
      <c r="N29" s="730"/>
      <c r="O29" s="727">
        <f t="shared" si="5"/>
        <v>0</v>
      </c>
      <c r="P29" s="731">
        <f>'Water-Meter'!J31</f>
        <v>0</v>
      </c>
      <c r="Q29" s="759">
        <f t="shared" si="6"/>
        <v>0</v>
      </c>
      <c r="R29" s="785">
        <f t="shared" si="16"/>
        <v>0</v>
      </c>
      <c r="S29" s="786">
        <f>Gen!T36</f>
        <v>0</v>
      </c>
      <c r="T29" s="770">
        <f t="shared" si="12"/>
        <v>43977</v>
      </c>
      <c r="U29" s="730"/>
      <c r="V29" s="733">
        <f t="shared" si="8"/>
        <v>0</v>
      </c>
      <c r="W29" s="729"/>
      <c r="X29" s="773">
        <f t="shared" si="0"/>
        <v>0</v>
      </c>
      <c r="Y29" s="763">
        <f t="shared" si="13"/>
        <v>43977</v>
      </c>
      <c r="Z29" s="730"/>
      <c r="AA29" s="727">
        <f t="shared" si="14"/>
        <v>0</v>
      </c>
      <c r="AB29" s="731">
        <f>'Water-Meter'!P31</f>
        <v>0</v>
      </c>
      <c r="AC29" s="764">
        <f t="shared" si="9"/>
        <v>0</v>
      </c>
    </row>
    <row r="30" spans="1:29" ht="18.75">
      <c r="A30" s="744">
        <f>Gen!C37</f>
        <v>0</v>
      </c>
      <c r="B30" s="752">
        <f>Gen!B37</f>
        <v>43978</v>
      </c>
      <c r="C30" s="730"/>
      <c r="D30" s="733">
        <f t="shared" si="18"/>
        <v>0</v>
      </c>
      <c r="E30" s="728"/>
      <c r="F30" s="733">
        <f t="shared" si="17"/>
        <v>0</v>
      </c>
      <c r="G30" s="727"/>
      <c r="H30" s="753">
        <f t="shared" si="10"/>
        <v>43978</v>
      </c>
      <c r="I30" s="746"/>
      <c r="J30" s="727">
        <f t="shared" si="3"/>
        <v>0</v>
      </c>
      <c r="K30" s="732">
        <f>'Water-Meter'!G32</f>
        <v>0</v>
      </c>
      <c r="L30" s="759">
        <f t="shared" si="4"/>
        <v>0</v>
      </c>
      <c r="M30" s="763">
        <f t="shared" si="11"/>
        <v>43978</v>
      </c>
      <c r="N30" s="730"/>
      <c r="O30" s="727">
        <f t="shared" si="5"/>
        <v>0</v>
      </c>
      <c r="P30" s="731">
        <f>'Water-Meter'!J32</f>
        <v>0</v>
      </c>
      <c r="Q30" s="759">
        <f t="shared" si="6"/>
        <v>0</v>
      </c>
      <c r="R30" s="785">
        <f t="shared" si="16"/>
        <v>0</v>
      </c>
      <c r="S30" s="786">
        <f>Gen!T37</f>
        <v>0</v>
      </c>
      <c r="T30" s="770">
        <f t="shared" si="12"/>
        <v>43978</v>
      </c>
      <c r="U30" s="730"/>
      <c r="V30" s="733">
        <f t="shared" si="8"/>
        <v>0</v>
      </c>
      <c r="W30" s="729"/>
      <c r="X30" s="773">
        <f t="shared" si="0"/>
        <v>0</v>
      </c>
      <c r="Y30" s="763">
        <f t="shared" si="13"/>
        <v>43978</v>
      </c>
      <c r="Z30" s="730"/>
      <c r="AA30" s="727">
        <f t="shared" si="14"/>
        <v>0</v>
      </c>
      <c r="AB30" s="731">
        <f>'Water-Meter'!P32</f>
        <v>0</v>
      </c>
      <c r="AC30" s="764">
        <f t="shared" si="9"/>
        <v>0</v>
      </c>
    </row>
    <row r="31" spans="1:29" ht="18.75">
      <c r="A31" s="744">
        <f>Gen!C38</f>
        <v>0</v>
      </c>
      <c r="B31" s="752">
        <f>Gen!B38</f>
        <v>43979</v>
      </c>
      <c r="C31" s="730"/>
      <c r="D31" s="733">
        <f t="shared" si="18"/>
        <v>0</v>
      </c>
      <c r="E31" s="728"/>
      <c r="F31" s="733">
        <f t="shared" si="17"/>
        <v>0</v>
      </c>
      <c r="G31" s="727"/>
      <c r="H31" s="753">
        <f t="shared" si="10"/>
        <v>43979</v>
      </c>
      <c r="I31" s="746"/>
      <c r="J31" s="727">
        <f t="shared" ref="J31:J35" si="19">SUM(K30)</f>
        <v>0</v>
      </c>
      <c r="K31" s="732">
        <f>'Water-Meter'!G33</f>
        <v>0</v>
      </c>
      <c r="L31" s="759">
        <f t="shared" si="4"/>
        <v>0</v>
      </c>
      <c r="M31" s="763">
        <f t="shared" si="11"/>
        <v>43979</v>
      </c>
      <c r="N31" s="730"/>
      <c r="O31" s="727">
        <f t="shared" si="5"/>
        <v>0</v>
      </c>
      <c r="P31" s="731">
        <f>'Water-Meter'!J33</f>
        <v>0</v>
      </c>
      <c r="Q31" s="759">
        <f t="shared" si="6"/>
        <v>0</v>
      </c>
      <c r="R31" s="785">
        <f t="shared" si="16"/>
        <v>0</v>
      </c>
      <c r="S31" s="786">
        <f>Gen!T38</f>
        <v>0</v>
      </c>
      <c r="T31" s="770">
        <f>M31</f>
        <v>43979</v>
      </c>
      <c r="U31" s="730"/>
      <c r="V31" s="733">
        <f t="shared" si="8"/>
        <v>0</v>
      </c>
      <c r="W31" s="729"/>
      <c r="X31" s="773">
        <f t="shared" si="0"/>
        <v>0</v>
      </c>
      <c r="Y31" s="763">
        <f>T31</f>
        <v>43979</v>
      </c>
      <c r="Z31" s="730"/>
      <c r="AA31" s="727">
        <f t="shared" si="14"/>
        <v>0</v>
      </c>
      <c r="AB31" s="731">
        <f>'Water-Meter'!P33</f>
        <v>0</v>
      </c>
      <c r="AC31" s="764">
        <f t="shared" si="9"/>
        <v>0</v>
      </c>
    </row>
    <row r="32" spans="1:29" ht="18.75">
      <c r="A32" s="744">
        <f>Gen!C39</f>
        <v>0</v>
      </c>
      <c r="B32" s="752">
        <f>Gen!B39</f>
        <v>43980</v>
      </c>
      <c r="C32" s="730"/>
      <c r="D32" s="733">
        <f t="shared" si="18"/>
        <v>0</v>
      </c>
      <c r="E32" s="728"/>
      <c r="F32" s="733">
        <f t="shared" si="17"/>
        <v>0</v>
      </c>
      <c r="G32" s="727"/>
      <c r="H32" s="753">
        <f t="shared" si="10"/>
        <v>43980</v>
      </c>
      <c r="I32" s="746"/>
      <c r="J32" s="727">
        <f t="shared" si="19"/>
        <v>0</v>
      </c>
      <c r="K32" s="732">
        <f>'Water-Meter'!G34</f>
        <v>0</v>
      </c>
      <c r="L32" s="759">
        <f t="shared" si="4"/>
        <v>0</v>
      </c>
      <c r="M32" s="763">
        <f t="shared" si="11"/>
        <v>43980</v>
      </c>
      <c r="N32" s="730"/>
      <c r="O32" s="727">
        <f t="shared" si="5"/>
        <v>0</v>
      </c>
      <c r="P32" s="731">
        <f>'Water-Meter'!J34</f>
        <v>0</v>
      </c>
      <c r="Q32" s="759">
        <f t="shared" si="6"/>
        <v>0</v>
      </c>
      <c r="R32" s="785">
        <f t="shared" si="16"/>
        <v>0</v>
      </c>
      <c r="S32" s="786">
        <f>Gen!T39</f>
        <v>0</v>
      </c>
      <c r="T32" s="770">
        <f t="shared" ref="T32:T35" si="20">M32</f>
        <v>43980</v>
      </c>
      <c r="U32" s="730"/>
      <c r="V32" s="733">
        <f t="shared" si="8"/>
        <v>0</v>
      </c>
      <c r="W32" s="729"/>
      <c r="X32" s="773">
        <f t="shared" si="0"/>
        <v>0</v>
      </c>
      <c r="Y32" s="763">
        <f t="shared" ref="Y32:Y35" si="21">T32</f>
        <v>43980</v>
      </c>
      <c r="Z32" s="730"/>
      <c r="AA32" s="727">
        <f t="shared" si="14"/>
        <v>0</v>
      </c>
      <c r="AB32" s="731">
        <f>'Water-Meter'!P34</f>
        <v>0</v>
      </c>
      <c r="AC32" s="764">
        <f t="shared" si="9"/>
        <v>0</v>
      </c>
    </row>
    <row r="33" spans="1:29" ht="18.75">
      <c r="A33" s="744">
        <f>Gen!C40</f>
        <v>0</v>
      </c>
      <c r="B33" s="752">
        <f>Gen!B40</f>
        <v>43981</v>
      </c>
      <c r="C33" s="730"/>
      <c r="D33" s="733">
        <f t="shared" si="18"/>
        <v>0</v>
      </c>
      <c r="E33" s="728"/>
      <c r="F33" s="733">
        <f t="shared" si="17"/>
        <v>0</v>
      </c>
      <c r="G33" s="727"/>
      <c r="H33" s="753">
        <f t="shared" si="10"/>
        <v>43981</v>
      </c>
      <c r="I33" s="746"/>
      <c r="J33" s="727">
        <f t="shared" si="19"/>
        <v>0</v>
      </c>
      <c r="K33" s="732">
        <f>'Water-Meter'!G35</f>
        <v>0</v>
      </c>
      <c r="L33" s="759">
        <f t="shared" si="4"/>
        <v>0</v>
      </c>
      <c r="M33" s="763">
        <f t="shared" si="11"/>
        <v>43981</v>
      </c>
      <c r="N33" s="730"/>
      <c r="O33" s="727">
        <f t="shared" si="5"/>
        <v>0</v>
      </c>
      <c r="P33" s="731">
        <f>'Water-Meter'!J35</f>
        <v>0</v>
      </c>
      <c r="Q33" s="759">
        <f t="shared" si="6"/>
        <v>0</v>
      </c>
      <c r="R33" s="785">
        <f t="shared" si="16"/>
        <v>0</v>
      </c>
      <c r="S33" s="786">
        <f>Gen!T40</f>
        <v>0</v>
      </c>
      <c r="T33" s="770">
        <f t="shared" si="20"/>
        <v>43981</v>
      </c>
      <c r="U33" s="730"/>
      <c r="V33" s="733">
        <f t="shared" si="8"/>
        <v>0</v>
      </c>
      <c r="W33" s="729"/>
      <c r="X33" s="773">
        <f t="shared" si="0"/>
        <v>0</v>
      </c>
      <c r="Y33" s="763">
        <f t="shared" si="21"/>
        <v>43981</v>
      </c>
      <c r="Z33" s="730"/>
      <c r="AA33" s="727">
        <f t="shared" si="14"/>
        <v>0</v>
      </c>
      <c r="AB33" s="731">
        <f>'Water-Meter'!P35</f>
        <v>0</v>
      </c>
      <c r="AC33" s="764">
        <f t="shared" si="9"/>
        <v>0</v>
      </c>
    </row>
    <row r="34" spans="1:29" ht="18.75">
      <c r="A34" s="744">
        <f>Gen!C41</f>
        <v>0</v>
      </c>
      <c r="B34" s="752">
        <f>Gen!B41</f>
        <v>43982</v>
      </c>
      <c r="C34" s="6"/>
      <c r="D34" s="733">
        <f t="shared" si="18"/>
        <v>0</v>
      </c>
      <c r="E34" s="728"/>
      <c r="F34" s="733">
        <f t="shared" si="17"/>
        <v>0</v>
      </c>
      <c r="G34" s="6"/>
      <c r="H34" s="753">
        <f t="shared" si="10"/>
        <v>43982</v>
      </c>
      <c r="I34" s="17"/>
      <c r="J34" s="727">
        <f t="shared" si="19"/>
        <v>0</v>
      </c>
      <c r="K34" s="732">
        <f>'Water-Meter'!G36</f>
        <v>0</v>
      </c>
      <c r="L34" s="759">
        <f t="shared" si="4"/>
        <v>0</v>
      </c>
      <c r="M34" s="763">
        <f t="shared" si="11"/>
        <v>43982</v>
      </c>
      <c r="N34" s="6"/>
      <c r="O34" s="727">
        <f t="shared" ref="O34:O35" si="22">SUM(P33)</f>
        <v>0</v>
      </c>
      <c r="P34" s="731">
        <f>'Water-Meter'!J36</f>
        <v>0</v>
      </c>
      <c r="Q34" s="759">
        <f t="shared" si="6"/>
        <v>0</v>
      </c>
      <c r="R34" s="785">
        <f t="shared" si="16"/>
        <v>0</v>
      </c>
      <c r="S34" s="786">
        <f>Gen!T41</f>
        <v>0</v>
      </c>
      <c r="T34" s="770">
        <f t="shared" si="20"/>
        <v>43982</v>
      </c>
      <c r="U34" s="6"/>
      <c r="V34" s="733">
        <f t="shared" ref="V34:V35" si="23">SUM(W33)</f>
        <v>0</v>
      </c>
      <c r="W34" s="729"/>
      <c r="X34" s="773">
        <f t="shared" si="0"/>
        <v>0</v>
      </c>
      <c r="Y34" s="763">
        <f t="shared" si="21"/>
        <v>43982</v>
      </c>
      <c r="Z34" s="6"/>
      <c r="AA34" s="727">
        <f t="shared" si="14"/>
        <v>0</v>
      </c>
      <c r="AB34" s="731">
        <f>'Water-Meter'!P36</f>
        <v>0</v>
      </c>
      <c r="AC34" s="764">
        <f t="shared" si="9"/>
        <v>0</v>
      </c>
    </row>
    <row r="35" spans="1:29" ht="20.25" customHeight="1" thickBot="1">
      <c r="A35" s="744" t="e">
        <f>[1]Gen!B42</f>
        <v>#REF!</v>
      </c>
      <c r="B35" s="754" t="e">
        <f>[1]Gen!A42</f>
        <v>#REF!</v>
      </c>
      <c r="C35" s="8"/>
      <c r="D35" s="755">
        <f t="shared" si="18"/>
        <v>0</v>
      </c>
      <c r="E35" s="756"/>
      <c r="F35" s="757">
        <f>SUM(F4:F6)</f>
        <v>312.00000000004366</v>
      </c>
      <c r="G35" s="8"/>
      <c r="H35" s="758" t="e">
        <f t="shared" si="10"/>
        <v>#REF!</v>
      </c>
      <c r="I35" s="83"/>
      <c r="J35" s="766">
        <f t="shared" si="19"/>
        <v>0</v>
      </c>
      <c r="K35" s="779">
        <f>'Water-Meter'!G37</f>
        <v>0</v>
      </c>
      <c r="L35" s="780">
        <f>SUM(L5:L34)</f>
        <v>-38000</v>
      </c>
      <c r="M35" s="765" t="e">
        <f t="shared" si="11"/>
        <v>#REF!</v>
      </c>
      <c r="N35" s="8"/>
      <c r="O35" s="766">
        <f t="shared" si="22"/>
        <v>0</v>
      </c>
      <c r="P35" s="767">
        <f>'Water-Meter'!J37</f>
        <v>0</v>
      </c>
      <c r="Q35" s="780">
        <f>SUM(Q5:Q34)</f>
        <v>-7904</v>
      </c>
      <c r="R35" s="787">
        <f t="shared" si="16"/>
        <v>-4.8941176470588239</v>
      </c>
      <c r="S35" s="788">
        <f>Gen!T42</f>
        <v>0</v>
      </c>
      <c r="T35" s="782" t="e">
        <f t="shared" si="20"/>
        <v>#REF!</v>
      </c>
      <c r="U35" s="8"/>
      <c r="V35" s="755">
        <f t="shared" si="23"/>
        <v>0</v>
      </c>
      <c r="W35" s="774"/>
      <c r="X35" s="775">
        <f t="shared" si="0"/>
        <v>0</v>
      </c>
      <c r="Y35" s="765" t="e">
        <f t="shared" si="21"/>
        <v>#REF!</v>
      </c>
      <c r="Z35" s="8"/>
      <c r="AA35" s="766">
        <f t="shared" si="14"/>
        <v>0</v>
      </c>
      <c r="AB35" s="767">
        <f>'Water-Meter'!P37</f>
        <v>0</v>
      </c>
      <c r="AC35" s="768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8" t="s">
        <v>316</v>
      </c>
      <c r="B2" s="819"/>
      <c r="C2" s="819"/>
      <c r="D2" s="819"/>
      <c r="E2" s="82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-150840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37333.660000000003</v>
      </c>
      <c r="K14" s="351" t="str">
        <f>'Water-Meter'!E15</f>
        <v>0</v>
      </c>
      <c r="L14" s="534">
        <f>'Lpg (2)'!G19</f>
        <v>-313372.40000000002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0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37333.660000000003</v>
      </c>
      <c r="K15" s="351">
        <f>'Water-Meter'!E16</f>
        <v>0</v>
      </c>
      <c r="L15" s="534">
        <f>'Lpg (2)'!G20</f>
        <v>0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0</v>
      </c>
      <c r="C16" s="89">
        <f>Gen!C22</f>
        <v>0</v>
      </c>
      <c r="D16" s="519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3">
        <f>Gen!D22</f>
        <v>37333.660000000003</v>
      </c>
      <c r="K16" s="351">
        <f>'Water-Meter'!E17</f>
        <v>0</v>
      </c>
      <c r="L16" s="534">
        <f>'Lpg (2)'!G21</f>
        <v>0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0</v>
      </c>
      <c r="C17" s="89">
        <f>Gen!C23</f>
        <v>0</v>
      </c>
      <c r="D17" s="519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3">
        <f>Gen!D23</f>
        <v>37333.660000000003</v>
      </c>
      <c r="K17" s="351">
        <f>'Water-Meter'!E18</f>
        <v>0</v>
      </c>
      <c r="L17" s="534">
        <f>'Lpg (2)'!G22</f>
        <v>0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0</v>
      </c>
      <c r="C18" s="89">
        <f>Gen!C24</f>
        <v>0</v>
      </c>
      <c r="D18" s="519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3">
        <f>Gen!D24</f>
        <v>37333.660000000003</v>
      </c>
      <c r="K18" s="351">
        <f>'Water-Meter'!E19</f>
        <v>0</v>
      </c>
      <c r="L18" s="534">
        <f>'Lpg (2)'!G23</f>
        <v>0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3">
        <f>Gen!D25</f>
        <v>37333.660000000003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37333.660000000003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37333.660000000003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37333.660000000003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37333.660000000003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37333.660000000003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37333.660000000003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37333.660000000003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37333.660000000003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37333.660000000003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37333.660000000003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37333.660000000003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37333.660000000003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37333.660000000003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37333.660000000003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37333.660000000003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37333.660000000003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37333.660000000003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AA18" sqref="AA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1">
        <v>43952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20"/>
    </row>
    <row r="2" spans="1:29" ht="12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3" t="s">
        <v>299</v>
      </c>
      <c r="L3" s="824"/>
      <c r="M3" s="825"/>
      <c r="N3" s="823" t="s">
        <v>300</v>
      </c>
      <c r="O3" s="824"/>
      <c r="P3" s="825"/>
      <c r="Q3" s="823" t="s">
        <v>301</v>
      </c>
      <c r="R3" s="824"/>
      <c r="S3" s="825"/>
      <c r="T3" s="823" t="s">
        <v>302</v>
      </c>
      <c r="U3" s="824"/>
      <c r="V3" s="825"/>
      <c r="W3" s="823" t="s">
        <v>303</v>
      </c>
      <c r="X3" s="824"/>
      <c r="Y3" s="825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/>
      <c r="J15" s="364"/>
      <c r="K15" s="363">
        <f t="shared" si="0"/>
        <v>34367</v>
      </c>
      <c r="L15" s="364"/>
      <c r="M15" s="363">
        <f t="shared" si="1"/>
        <v>-34367</v>
      </c>
      <c r="N15" s="365">
        <f t="shared" si="2"/>
        <v>29486</v>
      </c>
      <c r="O15" s="364"/>
      <c r="P15" s="363">
        <f t="shared" si="3"/>
        <v>-29486</v>
      </c>
      <c r="Q15" s="363">
        <f t="shared" si="4"/>
        <v>34808</v>
      </c>
      <c r="R15" s="364"/>
      <c r="S15" s="363">
        <f t="shared" si="5"/>
        <v>-34808</v>
      </c>
      <c r="T15" s="363">
        <f t="shared" si="6"/>
        <v>32182</v>
      </c>
      <c r="U15" s="364"/>
      <c r="V15" s="363">
        <f t="shared" si="7"/>
        <v>-32182</v>
      </c>
      <c r="W15" s="365">
        <f t="shared" si="8"/>
        <v>19997</v>
      </c>
      <c r="X15" s="364"/>
      <c r="Y15" s="363">
        <f t="shared" si="9"/>
        <v>-19997</v>
      </c>
      <c r="Z15" s="366">
        <f t="shared" si="10"/>
        <v>-150840</v>
      </c>
      <c r="AA15" s="128"/>
      <c r="AB15" s="128"/>
      <c r="AC15" s="315">
        <f>Gen!T20</f>
        <v>0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/>
      <c r="D16" s="364"/>
      <c r="E16" s="364"/>
      <c r="F16" s="364"/>
      <c r="G16" s="364"/>
      <c r="H16" s="364"/>
      <c r="I16" s="364"/>
      <c r="J16" s="364"/>
      <c r="K16" s="363">
        <f t="shared" si="0"/>
        <v>0</v>
      </c>
      <c r="L16" s="364"/>
      <c r="M16" s="363">
        <f t="shared" si="1"/>
        <v>0</v>
      </c>
      <c r="N16" s="365">
        <f t="shared" si="2"/>
        <v>0</v>
      </c>
      <c r="O16" s="364"/>
      <c r="P16" s="363">
        <f t="shared" si="3"/>
        <v>0</v>
      </c>
      <c r="Q16" s="363">
        <f t="shared" si="4"/>
        <v>0</v>
      </c>
      <c r="R16" s="364"/>
      <c r="S16" s="363">
        <f t="shared" si="5"/>
        <v>0</v>
      </c>
      <c r="T16" s="363">
        <f t="shared" si="6"/>
        <v>0</v>
      </c>
      <c r="U16" s="364"/>
      <c r="V16" s="363">
        <f t="shared" si="7"/>
        <v>0</v>
      </c>
      <c r="W16" s="365">
        <f t="shared" si="8"/>
        <v>0</v>
      </c>
      <c r="X16" s="364"/>
      <c r="Y16" s="363">
        <f t="shared" si="9"/>
        <v>0</v>
      </c>
      <c r="Z16" s="366">
        <f t="shared" si="10"/>
        <v>0</v>
      </c>
      <c r="AA16" s="128"/>
      <c r="AB16" s="128"/>
      <c r="AC16" s="315">
        <f>Gen!T21</f>
        <v>0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/>
      <c r="D17" s="364"/>
      <c r="E17" s="610"/>
      <c r="F17" s="364"/>
      <c r="G17" s="364"/>
      <c r="H17" s="364"/>
      <c r="I17" s="364"/>
      <c r="J17" s="364"/>
      <c r="K17" s="363">
        <f t="shared" si="0"/>
        <v>0</v>
      </c>
      <c r="L17" s="364"/>
      <c r="M17" s="363">
        <f t="shared" si="1"/>
        <v>0</v>
      </c>
      <c r="N17" s="365">
        <f t="shared" si="2"/>
        <v>0</v>
      </c>
      <c r="O17" s="364"/>
      <c r="P17" s="363">
        <f t="shared" si="3"/>
        <v>0</v>
      </c>
      <c r="Q17" s="363">
        <f t="shared" si="4"/>
        <v>0</v>
      </c>
      <c r="R17" s="364"/>
      <c r="S17" s="363">
        <f t="shared" si="5"/>
        <v>0</v>
      </c>
      <c r="T17" s="363">
        <f t="shared" si="6"/>
        <v>0</v>
      </c>
      <c r="U17" s="364"/>
      <c r="V17" s="363">
        <f t="shared" si="7"/>
        <v>0</v>
      </c>
      <c r="W17" s="365">
        <f t="shared" si="8"/>
        <v>0</v>
      </c>
      <c r="X17" s="364"/>
      <c r="Y17" s="363">
        <f t="shared" si="9"/>
        <v>0</v>
      </c>
      <c r="Z17" s="366">
        <f t="shared" si="10"/>
        <v>0</v>
      </c>
      <c r="AA17" s="128"/>
      <c r="AB17" s="128"/>
      <c r="AC17" s="315">
        <f>Gen!T22</f>
        <v>0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/>
      <c r="D18" s="364"/>
      <c r="E18" s="364"/>
      <c r="F18" s="364"/>
      <c r="G18" s="364"/>
      <c r="H18" s="364"/>
      <c r="I18" s="364"/>
      <c r="J18" s="364"/>
      <c r="K18" s="363">
        <f t="shared" si="0"/>
        <v>0</v>
      </c>
      <c r="L18" s="364"/>
      <c r="M18" s="363">
        <f t="shared" si="1"/>
        <v>0</v>
      </c>
      <c r="N18" s="365">
        <f t="shared" si="2"/>
        <v>0</v>
      </c>
      <c r="O18" s="364"/>
      <c r="P18" s="363">
        <f t="shared" si="3"/>
        <v>0</v>
      </c>
      <c r="Q18" s="363">
        <f t="shared" si="4"/>
        <v>0</v>
      </c>
      <c r="R18" s="364"/>
      <c r="S18" s="363">
        <f t="shared" si="5"/>
        <v>0</v>
      </c>
      <c r="T18" s="363">
        <f t="shared" si="6"/>
        <v>0</v>
      </c>
      <c r="U18" s="364"/>
      <c r="V18" s="363">
        <f t="shared" si="7"/>
        <v>0</v>
      </c>
      <c r="W18" s="365">
        <f t="shared" si="8"/>
        <v>0</v>
      </c>
      <c r="X18" s="364"/>
      <c r="Y18" s="363">
        <f t="shared" si="9"/>
        <v>0</v>
      </c>
      <c r="Z18" s="366">
        <f t="shared" si="10"/>
        <v>0</v>
      </c>
      <c r="AA18" s="128"/>
      <c r="AB18" s="128"/>
      <c r="AC18" s="315">
        <f>Gen!T23</f>
        <v>0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/>
      <c r="D19" s="364"/>
      <c r="E19" s="364"/>
      <c r="F19" s="364"/>
      <c r="G19" s="364"/>
      <c r="H19" s="364"/>
      <c r="I19" s="364"/>
      <c r="J19" s="364"/>
      <c r="K19" s="363">
        <f t="shared" si="0"/>
        <v>0</v>
      </c>
      <c r="L19" s="364"/>
      <c r="M19" s="363">
        <f t="shared" si="1"/>
        <v>0</v>
      </c>
      <c r="N19" s="365">
        <f t="shared" si="2"/>
        <v>0</v>
      </c>
      <c r="O19" s="364"/>
      <c r="P19" s="363">
        <f t="shared" si="3"/>
        <v>0</v>
      </c>
      <c r="Q19" s="363">
        <f t="shared" si="4"/>
        <v>0</v>
      </c>
      <c r="R19" s="364"/>
      <c r="S19" s="363">
        <f t="shared" si="5"/>
        <v>0</v>
      </c>
      <c r="T19" s="363">
        <f t="shared" si="6"/>
        <v>0</v>
      </c>
      <c r="U19" s="364"/>
      <c r="V19" s="363">
        <f t="shared" si="7"/>
        <v>0</v>
      </c>
      <c r="W19" s="365">
        <f t="shared" si="8"/>
        <v>0</v>
      </c>
      <c r="X19" s="364"/>
      <c r="Y19" s="363">
        <f t="shared" si="9"/>
        <v>0</v>
      </c>
      <c r="Z19" s="366">
        <f t="shared" si="10"/>
        <v>0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zoomScale="110" zoomScaleNormal="110" workbookViewId="0">
      <pane xSplit="2" topLeftCell="C1" activePane="topRight" state="frozen"/>
      <selection pane="topRight" activeCell="K27" sqref="K27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9.28515625" style="497" customWidth="1"/>
    <col min="15" max="15" width="14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2"/>
      <c r="C1" s="832"/>
    </row>
    <row r="2" spans="2:47" ht="26.25">
      <c r="B2" s="832"/>
      <c r="C2" s="832"/>
      <c r="E2" s="833" t="s">
        <v>314</v>
      </c>
      <c r="F2" s="833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834"/>
    </row>
    <row r="3" spans="2:47">
      <c r="B3" s="832"/>
      <c r="C3" s="832"/>
      <c r="L3" s="226"/>
      <c r="R3" s="226"/>
    </row>
    <row r="4" spans="2:47">
      <c r="B4" s="832"/>
      <c r="C4" s="832"/>
      <c r="L4" s="226"/>
      <c r="R4" s="226"/>
    </row>
    <row r="5" spans="2:47" ht="12" thickBot="1">
      <c r="B5" s="832"/>
      <c r="C5" s="83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2"/>
      <c r="C6" s="832"/>
      <c r="D6" s="231"/>
      <c r="G6" s="841" t="s">
        <v>57</v>
      </c>
      <c r="H6" s="842"/>
      <c r="I6" s="842"/>
      <c r="J6" s="842"/>
      <c r="K6" s="842"/>
      <c r="L6" s="842"/>
      <c r="M6" s="84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5" t="s">
        <v>201</v>
      </c>
      <c r="H7" s="836"/>
      <c r="I7" s="836"/>
      <c r="J7" s="836"/>
      <c r="K7" s="836"/>
      <c r="L7" s="836"/>
      <c r="M7" s="837"/>
      <c r="N7" s="838" t="s">
        <v>40</v>
      </c>
      <c r="O7" s="839"/>
      <c r="P7" s="839"/>
      <c r="Q7" s="839"/>
      <c r="R7" s="839"/>
      <c r="S7" s="840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5">
        <f>[4]Gen!$D$43</f>
        <v>43367.69</v>
      </c>
      <c r="E9" s="716"/>
      <c r="F9" s="717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8"/>
      <c r="E10" s="240"/>
      <c r="F10" s="719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4">
        <v>43952</v>
      </c>
      <c r="C11" s="710"/>
      <c r="D11" s="720">
        <f>SUM(D9+E11)</f>
        <v>43367.69</v>
      </c>
      <c r="E11" s="271"/>
      <c r="F11" s="719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4">
        <v>43953</v>
      </c>
      <c r="C12" s="710"/>
      <c r="D12" s="720">
        <f t="shared" ref="D12:D43" si="6">SUM(D11-AS11+E12)</f>
        <v>42689.62</v>
      </c>
      <c r="E12" s="271"/>
      <c r="F12" s="719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4">
        <v>43954</v>
      </c>
      <c r="C13" s="710"/>
      <c r="D13" s="720">
        <f t="shared" si="6"/>
        <v>42029.96</v>
      </c>
      <c r="E13" s="271"/>
      <c r="F13" s="719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4">
        <v>43955</v>
      </c>
      <c r="C14" s="710"/>
      <c r="D14" s="720">
        <f t="shared" si="6"/>
        <v>41370.67</v>
      </c>
      <c r="E14" s="271"/>
      <c r="F14" s="719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4">
        <v>43956</v>
      </c>
      <c r="C15" s="710"/>
      <c r="D15" s="720">
        <f t="shared" si="6"/>
        <v>40734.409999999996</v>
      </c>
      <c r="E15" s="271"/>
      <c r="F15" s="719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4">
        <v>43957</v>
      </c>
      <c r="C16" s="710"/>
      <c r="D16" s="720">
        <f t="shared" si="6"/>
        <v>40088.17</v>
      </c>
      <c r="E16" s="271"/>
      <c r="F16" s="719"/>
      <c r="G16" s="712"/>
      <c r="H16" s="691">
        <v>323.5</v>
      </c>
      <c r="I16" s="252">
        <v>304.38</v>
      </c>
      <c r="J16" s="272"/>
      <c r="K16" s="252"/>
      <c r="L16" s="252"/>
      <c r="M16" s="355"/>
      <c r="N16" s="354"/>
      <c r="O16" s="254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4">
        <v>43958</v>
      </c>
      <c r="C17" s="710"/>
      <c r="D17" s="720">
        <f t="shared" si="6"/>
        <v>39429.18</v>
      </c>
      <c r="E17" s="271"/>
      <c r="F17" s="719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4">
        <v>43959</v>
      </c>
      <c r="C18" s="710"/>
      <c r="D18" s="720">
        <f t="shared" si="6"/>
        <v>38768.69</v>
      </c>
      <c r="E18" s="271"/>
      <c r="F18" s="719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4">
        <v>43960</v>
      </c>
      <c r="C19" s="710"/>
      <c r="D19" s="720">
        <f t="shared" si="6"/>
        <v>37995.760000000002</v>
      </c>
      <c r="E19" s="271"/>
      <c r="F19" s="719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37995.760000000002</v>
      </c>
    </row>
    <row r="20" spans="2:47" ht="14.25">
      <c r="B20" s="724">
        <v>43961</v>
      </c>
      <c r="C20" s="710"/>
      <c r="D20" s="720">
        <f t="shared" si="6"/>
        <v>37333.660000000003</v>
      </c>
      <c r="E20" s="271"/>
      <c r="F20" s="719"/>
      <c r="G20" s="712"/>
      <c r="H20" s="691"/>
      <c r="I20" s="267"/>
      <c r="J20" s="272"/>
      <c r="K20" s="252"/>
      <c r="L20" s="252"/>
      <c r="M20" s="654"/>
      <c r="N20" s="354"/>
      <c r="O20" s="254"/>
      <c r="P20" s="254"/>
      <c r="Q20" s="254"/>
      <c r="R20" s="254"/>
      <c r="S20" s="697"/>
      <c r="T20" s="704">
        <f t="shared" si="0"/>
        <v>0</v>
      </c>
      <c r="U20" s="266">
        <f t="shared" si="1"/>
        <v>0</v>
      </c>
      <c r="V20" s="705" t="e">
        <f t="shared" si="4"/>
        <v>#DIV/0!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7">
        <f t="shared" si="5"/>
        <v>37333.660000000003</v>
      </c>
    </row>
    <row r="21" spans="2:47" ht="14.25">
      <c r="B21" s="724">
        <v>43962</v>
      </c>
      <c r="C21" s="710"/>
      <c r="D21" s="720">
        <f t="shared" si="6"/>
        <v>37333.660000000003</v>
      </c>
      <c r="E21" s="271"/>
      <c r="F21" s="719"/>
      <c r="G21" s="712"/>
      <c r="H21" s="691"/>
      <c r="I21" s="267"/>
      <c r="J21" s="272"/>
      <c r="K21" s="252"/>
      <c r="L21" s="252"/>
      <c r="M21" s="615"/>
      <c r="N21" s="354"/>
      <c r="O21" s="354"/>
      <c r="P21" s="254"/>
      <c r="Q21" s="254"/>
      <c r="R21" s="254"/>
      <c r="S21" s="696"/>
      <c r="T21" s="704">
        <f t="shared" si="0"/>
        <v>0</v>
      </c>
      <c r="U21" s="266">
        <f t="shared" si="1"/>
        <v>0</v>
      </c>
      <c r="V21" s="705" t="e">
        <f t="shared" si="4"/>
        <v>#DIV/0!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7">
        <f t="shared" si="5"/>
        <v>37333.660000000003</v>
      </c>
    </row>
    <row r="22" spans="2:47" ht="14.25">
      <c r="B22" s="724">
        <v>43963</v>
      </c>
      <c r="C22" s="710"/>
      <c r="D22" s="720">
        <f t="shared" si="6"/>
        <v>37333.660000000003</v>
      </c>
      <c r="E22" s="271"/>
      <c r="F22" s="719"/>
      <c r="G22" s="712"/>
      <c r="H22" s="691"/>
      <c r="I22" s="252"/>
      <c r="J22" s="272"/>
      <c r="K22" s="252"/>
      <c r="L22" s="252"/>
      <c r="M22" s="654"/>
      <c r="N22" s="354"/>
      <c r="O22" s="354"/>
      <c r="P22" s="254"/>
      <c r="Q22" s="254"/>
      <c r="R22" s="254"/>
      <c r="S22" s="696"/>
      <c r="T22" s="704">
        <f t="shared" si="0"/>
        <v>0</v>
      </c>
      <c r="U22" s="266">
        <f t="shared" si="1"/>
        <v>0</v>
      </c>
      <c r="V22" s="705" t="e">
        <f t="shared" si="4"/>
        <v>#DIV/0!</v>
      </c>
      <c r="W22" s="259"/>
      <c r="X22" s="267"/>
      <c r="Y22" s="243"/>
      <c r="Z22" s="267"/>
      <c r="AA22" s="252"/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7">
        <f t="shared" si="5"/>
        <v>37333.660000000003</v>
      </c>
    </row>
    <row r="23" spans="2:47" ht="14.25">
      <c r="B23" s="724">
        <v>43964</v>
      </c>
      <c r="C23" s="710"/>
      <c r="D23" s="720">
        <f t="shared" si="6"/>
        <v>37333.660000000003</v>
      </c>
      <c r="E23" s="271"/>
      <c r="F23" s="719"/>
      <c r="G23" s="712"/>
      <c r="H23" s="691"/>
      <c r="I23" s="267"/>
      <c r="J23" s="272"/>
      <c r="K23" s="252"/>
      <c r="L23" s="252"/>
      <c r="M23" s="654"/>
      <c r="N23" s="354"/>
      <c r="O23" s="254"/>
      <c r="P23" s="254"/>
      <c r="Q23" s="254"/>
      <c r="R23" s="254"/>
      <c r="S23" s="696"/>
      <c r="T23" s="704">
        <f t="shared" si="0"/>
        <v>0</v>
      </c>
      <c r="U23" s="266">
        <f t="shared" si="1"/>
        <v>0</v>
      </c>
      <c r="V23" s="705" t="e">
        <f t="shared" si="4"/>
        <v>#DIV/0!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7">
        <f t="shared" si="5"/>
        <v>37333.660000000003</v>
      </c>
    </row>
    <row r="24" spans="2:47" ht="14.25">
      <c r="B24" s="724">
        <v>43965</v>
      </c>
      <c r="C24" s="710"/>
      <c r="D24" s="720">
        <f t="shared" si="6"/>
        <v>37333.660000000003</v>
      </c>
      <c r="E24" s="251"/>
      <c r="F24" s="719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37333.660000000003</v>
      </c>
    </row>
    <row r="25" spans="2:47" ht="14.25">
      <c r="B25" s="724">
        <v>43966</v>
      </c>
      <c r="C25" s="710"/>
      <c r="D25" s="720">
        <f t="shared" si="6"/>
        <v>37333.660000000003</v>
      </c>
      <c r="E25" s="271"/>
      <c r="F25" s="719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37333.660000000003</v>
      </c>
    </row>
    <row r="26" spans="2:47" ht="14.25">
      <c r="B26" s="724">
        <v>43967</v>
      </c>
      <c r="C26" s="710"/>
      <c r="D26" s="720">
        <f t="shared" si="6"/>
        <v>37333.660000000003</v>
      </c>
      <c r="E26" s="271"/>
      <c r="F26" s="719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37333.660000000003</v>
      </c>
    </row>
    <row r="27" spans="2:47" ht="14.25">
      <c r="B27" s="724">
        <v>43968</v>
      </c>
      <c r="C27" s="710"/>
      <c r="D27" s="720">
        <f t="shared" si="6"/>
        <v>37333.660000000003</v>
      </c>
      <c r="E27" s="271"/>
      <c r="F27" s="719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37333.660000000003</v>
      </c>
    </row>
    <row r="28" spans="2:47" ht="14.25">
      <c r="B28" s="724">
        <v>43969</v>
      </c>
      <c r="C28" s="710"/>
      <c r="D28" s="720">
        <f t="shared" si="6"/>
        <v>37333.660000000003</v>
      </c>
      <c r="E28" s="271"/>
      <c r="F28" s="719">
        <v>15000</v>
      </c>
      <c r="G28" s="713" t="s">
        <v>318</v>
      </c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37333.660000000003</v>
      </c>
    </row>
    <row r="29" spans="2:47" ht="14.25">
      <c r="B29" s="724">
        <v>43970</v>
      </c>
      <c r="C29" s="710"/>
      <c r="D29" s="720">
        <f t="shared" si="6"/>
        <v>37333.660000000003</v>
      </c>
      <c r="E29" s="271"/>
      <c r="F29" s="719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37333.660000000003</v>
      </c>
    </row>
    <row r="30" spans="2:47" ht="14.25">
      <c r="B30" s="724">
        <v>43971</v>
      </c>
      <c r="C30" s="710"/>
      <c r="D30" s="720">
        <f t="shared" si="6"/>
        <v>37333.660000000003</v>
      </c>
      <c r="E30" s="271"/>
      <c r="F30" s="719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37333.660000000003</v>
      </c>
    </row>
    <row r="31" spans="2:47" ht="14.25">
      <c r="B31" s="724">
        <v>43972</v>
      </c>
      <c r="C31" s="710"/>
      <c r="D31" s="720">
        <f t="shared" si="6"/>
        <v>37333.660000000003</v>
      </c>
      <c r="E31" s="271"/>
      <c r="F31" s="719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37333.660000000003</v>
      </c>
    </row>
    <row r="32" spans="2:47" ht="14.25">
      <c r="B32" s="724">
        <v>43973</v>
      </c>
      <c r="C32" s="710"/>
      <c r="D32" s="720">
        <f t="shared" si="6"/>
        <v>37333.660000000003</v>
      </c>
      <c r="E32" s="271"/>
      <c r="F32" s="719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37333.660000000003</v>
      </c>
    </row>
    <row r="33" spans="2:48" ht="14.25">
      <c r="B33" s="724">
        <v>43974</v>
      </c>
      <c r="C33" s="710"/>
      <c r="D33" s="720">
        <f t="shared" si="6"/>
        <v>37333.660000000003</v>
      </c>
      <c r="E33" s="271"/>
      <c r="F33" s="719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37333.660000000003</v>
      </c>
      <c r="AV33" s="225">
        <f t="shared" ref="AV33:AV41" si="8">SUM(AV32)</f>
        <v>0</v>
      </c>
    </row>
    <row r="34" spans="2:48" ht="14.25">
      <c r="B34" s="724">
        <v>43975</v>
      </c>
      <c r="C34" s="710"/>
      <c r="D34" s="720">
        <f t="shared" si="6"/>
        <v>37333.660000000003</v>
      </c>
      <c r="E34" s="271"/>
      <c r="F34" s="719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37333.660000000003</v>
      </c>
      <c r="AV34" s="225">
        <f t="shared" si="8"/>
        <v>0</v>
      </c>
    </row>
    <row r="35" spans="2:48" ht="14.25">
      <c r="B35" s="724">
        <v>43976</v>
      </c>
      <c r="C35" s="710"/>
      <c r="D35" s="720">
        <f t="shared" si="6"/>
        <v>37333.660000000003</v>
      </c>
      <c r="E35" s="271"/>
      <c r="F35" s="719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37333.660000000003</v>
      </c>
      <c r="AV35" s="225">
        <f t="shared" si="8"/>
        <v>0</v>
      </c>
    </row>
    <row r="36" spans="2:48" ht="14.25">
      <c r="B36" s="724">
        <v>43977</v>
      </c>
      <c r="C36" s="710"/>
      <c r="D36" s="720">
        <f t="shared" si="6"/>
        <v>37333.660000000003</v>
      </c>
      <c r="E36" s="271"/>
      <c r="F36" s="719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37333.660000000003</v>
      </c>
      <c r="AV36" s="225">
        <f t="shared" si="8"/>
        <v>0</v>
      </c>
    </row>
    <row r="37" spans="2:48" ht="14.25">
      <c r="B37" s="724">
        <v>43978</v>
      </c>
      <c r="C37" s="710"/>
      <c r="D37" s="720">
        <f t="shared" si="6"/>
        <v>37333.660000000003</v>
      </c>
      <c r="E37" s="271"/>
      <c r="F37" s="719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37333.660000000003</v>
      </c>
      <c r="AV37" s="225">
        <f t="shared" si="8"/>
        <v>0</v>
      </c>
    </row>
    <row r="38" spans="2:48" ht="14.25">
      <c r="B38" s="724">
        <v>43979</v>
      </c>
      <c r="C38" s="710"/>
      <c r="D38" s="720">
        <f t="shared" si="6"/>
        <v>37333.660000000003</v>
      </c>
      <c r="E38" s="271"/>
      <c r="F38" s="719"/>
      <c r="G38" s="654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37333.660000000003</v>
      </c>
      <c r="AV38" s="225">
        <f t="shared" si="8"/>
        <v>0</v>
      </c>
    </row>
    <row r="39" spans="2:48" ht="14.25">
      <c r="B39" s="724">
        <v>43980</v>
      </c>
      <c r="C39" s="710"/>
      <c r="D39" s="720">
        <f t="shared" si="6"/>
        <v>37333.660000000003</v>
      </c>
      <c r="E39" s="271"/>
      <c r="F39" s="719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37333.660000000003</v>
      </c>
      <c r="AV39" s="225">
        <f t="shared" si="8"/>
        <v>0</v>
      </c>
    </row>
    <row r="40" spans="2:48" ht="14.25">
      <c r="B40" s="724">
        <v>43981</v>
      </c>
      <c r="C40" s="710"/>
      <c r="D40" s="720">
        <f t="shared" si="6"/>
        <v>37333.660000000003</v>
      </c>
      <c r="E40" s="271"/>
      <c r="F40" s="719">
        <v>10000</v>
      </c>
      <c r="G40" s="714" t="s">
        <v>312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37333.660000000003</v>
      </c>
      <c r="AV40" s="225">
        <f t="shared" si="8"/>
        <v>0</v>
      </c>
    </row>
    <row r="41" spans="2:48" ht="14.25">
      <c r="B41" s="724">
        <v>43982</v>
      </c>
      <c r="C41" s="710"/>
      <c r="D41" s="720">
        <f t="shared" si="6"/>
        <v>37333.660000000003</v>
      </c>
      <c r="E41" s="271"/>
      <c r="F41" s="719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37333.660000000003</v>
      </c>
      <c r="AV41" s="225">
        <f t="shared" si="8"/>
        <v>0</v>
      </c>
    </row>
    <row r="42" spans="2:48" ht="14.25">
      <c r="B42" s="724">
        <v>43983</v>
      </c>
      <c r="C42" s="711"/>
      <c r="D42" s="720">
        <f t="shared" si="6"/>
        <v>37333.660000000003</v>
      </c>
      <c r="E42" s="250"/>
      <c r="F42" s="719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37333.660000000003</v>
      </c>
    </row>
    <row r="43" spans="2:48" ht="14.25">
      <c r="B43" s="616" t="s">
        <v>25</v>
      </c>
      <c r="C43" s="562" t="e">
        <f>AVERAGE(C11:C42)</f>
        <v>#DIV/0!</v>
      </c>
      <c r="D43" s="718">
        <f t="shared" si="6"/>
        <v>37333.660000000003</v>
      </c>
      <c r="E43" s="250"/>
      <c r="F43" s="719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37333.660000000003</v>
      </c>
    </row>
    <row r="44" spans="2:48" ht="15" thickBot="1">
      <c r="B44" s="617"/>
      <c r="C44" s="618"/>
      <c r="D44" s="721"/>
      <c r="E44" s="722"/>
      <c r="F44" s="723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0</v>
      </c>
      <c r="F45" s="372">
        <f>SUM(F11:F42)</f>
        <v>25000</v>
      </c>
      <c r="G45" s="373">
        <f t="shared" ref="G45" si="9">SUM(G11:G44)</f>
        <v>0</v>
      </c>
      <c r="H45" s="372">
        <f>SUM(H11:H44)</f>
        <v>1836.2499999999998</v>
      </c>
      <c r="I45" s="367">
        <f t="shared" ref="I45:P45" si="10">SUM(I11:I44)</f>
        <v>2727.76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1333.51</v>
      </c>
      <c r="N45" s="372">
        <f t="shared" si="10"/>
        <v>4464</v>
      </c>
      <c r="O45" s="684">
        <f t="shared" si="10"/>
        <v>4268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3477</v>
      </c>
      <c r="T45" s="681">
        <f t="shared" si="0"/>
        <v>5897.52</v>
      </c>
      <c r="U45" s="367">
        <f>SUM(N45:S45)</f>
        <v>12209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54.08</v>
      </c>
      <c r="Z45" s="283">
        <f t="shared" si="11"/>
        <v>2.33</v>
      </c>
      <c r="AA45" s="676">
        <f t="shared" si="11"/>
        <v>80.099999999999994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136.51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6034.03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13652758.800000001</v>
      </c>
      <c r="V47" s="377" t="s">
        <v>244</v>
      </c>
      <c r="AS47" s="644">
        <f>AS45*2143</f>
        <v>12930926.289999999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5964.5079947575359</v>
      </c>
      <c r="V48" s="377" t="s">
        <v>245</v>
      </c>
      <c r="X48" s="236"/>
      <c r="Y48" s="236"/>
      <c r="Z48" s="236"/>
      <c r="AA48" s="236"/>
      <c r="AB48" s="236"/>
      <c r="AS48" s="376">
        <f>AS47/2289</f>
        <v>5649.1595849716032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6" t="s">
        <v>241</v>
      </c>
      <c r="D50" s="827"/>
      <c r="E50" s="827"/>
      <c r="F50" s="827"/>
      <c r="G50" s="828"/>
      <c r="H50" s="655"/>
      <c r="I50" s="829" t="s">
        <v>213</v>
      </c>
      <c r="J50" s="830"/>
      <c r="K50" s="830"/>
      <c r="L50" s="830"/>
      <c r="M50" s="831"/>
      <c r="N50" s="655"/>
      <c r="O50" s="844" t="s">
        <v>311</v>
      </c>
      <c r="P50" s="845"/>
      <c r="Q50" s="845"/>
      <c r="R50" s="845"/>
      <c r="S50" s="846"/>
      <c r="U50" s="847" t="s">
        <v>226</v>
      </c>
      <c r="V50" s="848"/>
      <c r="W50" s="848"/>
      <c r="X50" s="848"/>
      <c r="Y50" s="848"/>
      <c r="Z50" s="849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abSelected="1" zoomScale="70" zoomScaleNormal="70" workbookViewId="0">
      <selection activeCell="F22" sqref="F2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1"/>
      <c r="D6" s="852"/>
      <c r="E6" s="853"/>
      <c r="F6" s="853"/>
      <c r="G6" s="49" t="s">
        <v>4</v>
      </c>
      <c r="H6" s="47" t="s">
        <v>14</v>
      </c>
      <c r="I6" s="42"/>
      <c r="J6" s="116"/>
    </row>
    <row r="7" spans="1:15" ht="18" customHeight="1">
      <c r="A7" s="85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5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/>
      <c r="C19" s="321"/>
      <c r="D19" s="321"/>
      <c r="E19" s="321"/>
      <c r="F19" s="321"/>
      <c r="G19" s="321">
        <f t="shared" si="0"/>
        <v>-313372.40000000002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/>
      <c r="C20" s="321"/>
      <c r="D20" s="321"/>
      <c r="E20" s="321"/>
      <c r="F20" s="321"/>
      <c r="G20" s="321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/>
      <c r="C21" s="321"/>
      <c r="D21" s="321"/>
      <c r="E21" s="321"/>
      <c r="F21" s="321"/>
      <c r="G21" s="321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/>
      <c r="C22" s="321"/>
      <c r="D22" s="321"/>
      <c r="E22" s="321"/>
      <c r="F22" s="321"/>
      <c r="G22" s="321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0" t="s">
        <v>6</v>
      </c>
      <c r="D42" s="850"/>
      <c r="E42" s="2">
        <f t="shared" ref="E42:F42" si="4">SUM(E10:E40)</f>
        <v>0</v>
      </c>
      <c r="F42" s="2">
        <f t="shared" si="4"/>
        <v>640764.15000000014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D18" sqref="D1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315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7" t="s">
        <v>52</v>
      </c>
      <c r="D2" s="857"/>
      <c r="E2" s="857"/>
      <c r="F2" s="857" t="s">
        <v>17</v>
      </c>
      <c r="G2" s="857"/>
      <c r="H2" s="857"/>
      <c r="I2" s="857" t="s">
        <v>131</v>
      </c>
      <c r="J2" s="857"/>
      <c r="K2" s="857"/>
      <c r="L2" s="857" t="s">
        <v>134</v>
      </c>
      <c r="M2" s="857"/>
      <c r="N2" s="857"/>
      <c r="O2" s="857" t="s">
        <v>132</v>
      </c>
      <c r="P2" s="857"/>
      <c r="Q2" s="857"/>
      <c r="R2" s="301"/>
      <c r="S2" s="868" t="s">
        <v>181</v>
      </c>
      <c r="T2" s="869"/>
      <c r="U2" s="870"/>
      <c r="V2" s="868" t="s">
        <v>182</v>
      </c>
      <c r="W2" s="869"/>
      <c r="X2" s="870"/>
      <c r="Y2" s="868" t="s">
        <v>183</v>
      </c>
      <c r="Z2" s="869"/>
      <c r="AA2" s="870"/>
      <c r="AB2" s="868" t="s">
        <v>184</v>
      </c>
      <c r="AC2" s="869"/>
      <c r="AD2" s="870"/>
      <c r="AE2" s="862" t="s">
        <v>239</v>
      </c>
      <c r="AF2" s="863"/>
      <c r="AG2" s="874"/>
      <c r="AH2" s="862" t="s">
        <v>243</v>
      </c>
      <c r="AI2" s="863"/>
      <c r="AJ2" s="874"/>
      <c r="AK2" s="862" t="s">
        <v>240</v>
      </c>
      <c r="AL2" s="863"/>
      <c r="AM2" s="863"/>
      <c r="AN2" s="866" t="s">
        <v>189</v>
      </c>
    </row>
    <row r="3" spans="1:40" ht="21.75" customHeight="1" thickBot="1">
      <c r="A3" s="858" t="s">
        <v>7</v>
      </c>
      <c r="B3" s="30"/>
      <c r="C3" s="857" t="s">
        <v>133</v>
      </c>
      <c r="D3" s="857" t="s">
        <v>15</v>
      </c>
      <c r="E3" s="857" t="s">
        <v>16</v>
      </c>
      <c r="F3" s="857" t="s">
        <v>133</v>
      </c>
      <c r="G3" s="857" t="s">
        <v>15</v>
      </c>
      <c r="H3" s="857" t="s">
        <v>16</v>
      </c>
      <c r="I3" s="857" t="s">
        <v>133</v>
      </c>
      <c r="J3" s="857" t="s">
        <v>15</v>
      </c>
      <c r="K3" s="857" t="s">
        <v>16</v>
      </c>
      <c r="L3" s="857" t="s">
        <v>133</v>
      </c>
      <c r="M3" s="857" t="s">
        <v>15</v>
      </c>
      <c r="N3" s="857" t="s">
        <v>16</v>
      </c>
      <c r="O3" s="857" t="s">
        <v>133</v>
      </c>
      <c r="P3" s="857" t="s">
        <v>15</v>
      </c>
      <c r="Q3" s="857" t="s">
        <v>16</v>
      </c>
      <c r="R3" s="876" t="s">
        <v>185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9"/>
      <c r="B4" s="293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  <c r="R4" s="876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6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 t="str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/>
      <c r="E15" s="59" t="str">
        <f t="shared" si="1"/>
        <v>0</v>
      </c>
      <c r="F15" s="98">
        <f t="shared" si="2"/>
        <v>38000</v>
      </c>
      <c r="G15" s="458"/>
      <c r="H15" s="567" t="str">
        <f t="shared" si="3"/>
        <v>0</v>
      </c>
      <c r="I15" s="98">
        <f t="shared" si="4"/>
        <v>7907</v>
      </c>
      <c r="J15" s="1"/>
      <c r="K15" s="567" t="str">
        <f t="shared" si="5"/>
        <v>0</v>
      </c>
      <c r="L15" s="98">
        <f t="shared" si="6"/>
        <v>11978</v>
      </c>
      <c r="M15" s="1"/>
      <c r="N15" s="567" t="str">
        <f t="shared" si="7"/>
        <v>0</v>
      </c>
      <c r="O15" s="98">
        <f t="shared" si="8"/>
        <v>20137</v>
      </c>
      <c r="P15" s="454"/>
      <c r="Q15" s="567" t="str">
        <f t="shared" si="9"/>
        <v>0</v>
      </c>
      <c r="R15" s="299"/>
      <c r="S15" s="294">
        <f t="shared" si="16"/>
        <v>52586</v>
      </c>
      <c r="T15" s="455"/>
      <c r="U15" s="568" t="str">
        <f t="shared" si="17"/>
        <v>0</v>
      </c>
      <c r="V15" s="294">
        <f t="shared" si="10"/>
        <v>71260</v>
      </c>
      <c r="W15" s="455"/>
      <c r="X15" s="568" t="str">
        <f t="shared" si="18"/>
        <v>0</v>
      </c>
      <c r="Y15" s="294">
        <f t="shared" si="11"/>
        <v>80538</v>
      </c>
      <c r="Z15" s="455"/>
      <c r="AA15" s="568" t="str">
        <f t="shared" si="19"/>
        <v>0</v>
      </c>
      <c r="AB15" s="294">
        <f t="shared" si="12"/>
        <v>13819</v>
      </c>
      <c r="AC15" s="572"/>
      <c r="AD15" s="568" t="str">
        <f t="shared" si="20"/>
        <v>0</v>
      </c>
      <c r="AE15" s="294">
        <f t="shared" si="13"/>
        <v>17976</v>
      </c>
      <c r="AF15" s="456"/>
      <c r="AG15" s="568" t="str">
        <f t="shared" si="21"/>
        <v>0</v>
      </c>
      <c r="AH15" s="294">
        <f t="shared" si="14"/>
        <v>24546</v>
      </c>
      <c r="AI15" s="456"/>
      <c r="AJ15" s="568" t="str">
        <f t="shared" si="23"/>
        <v>0</v>
      </c>
      <c r="AK15" s="375">
        <f t="shared" si="15"/>
        <v>15154</v>
      </c>
      <c r="AL15" s="455"/>
      <c r="AM15" s="568" t="str">
        <f t="shared" si="22"/>
        <v>0</v>
      </c>
      <c r="AN15" s="460">
        <f t="shared" si="24"/>
        <v>0</v>
      </c>
    </row>
    <row r="16" spans="1:40" ht="23.1" customHeight="1">
      <c r="A16" s="58">
        <f>Gen!B21</f>
        <v>43962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458"/>
      <c r="H16" s="567">
        <f t="shared" si="3"/>
        <v>0</v>
      </c>
      <c r="I16" s="98">
        <f t="shared" si="4"/>
        <v>0</v>
      </c>
      <c r="J16" s="1"/>
      <c r="K16" s="567">
        <f t="shared" si="5"/>
        <v>0</v>
      </c>
      <c r="L16" s="98"/>
      <c r="M16" s="1"/>
      <c r="N16" s="567">
        <f t="shared" si="7"/>
        <v>0</v>
      </c>
      <c r="O16" s="98">
        <f t="shared" si="8"/>
        <v>0</v>
      </c>
      <c r="P16" s="454"/>
      <c r="Q16" s="567">
        <f t="shared" si="9"/>
        <v>0</v>
      </c>
      <c r="R16" s="299"/>
      <c r="S16" s="294">
        <f t="shared" si="16"/>
        <v>0</v>
      </c>
      <c r="T16" s="455"/>
      <c r="U16" s="568">
        <f t="shared" si="17"/>
        <v>0</v>
      </c>
      <c r="V16" s="294">
        <f t="shared" si="10"/>
        <v>0</v>
      </c>
      <c r="W16" s="455"/>
      <c r="X16" s="568">
        <f t="shared" si="18"/>
        <v>0</v>
      </c>
      <c r="Y16" s="294">
        <f t="shared" si="11"/>
        <v>0</v>
      </c>
      <c r="Z16" s="455"/>
      <c r="AA16" s="568">
        <f t="shared" si="19"/>
        <v>0</v>
      </c>
      <c r="AB16" s="294">
        <f t="shared" si="12"/>
        <v>0</v>
      </c>
      <c r="AC16" s="572"/>
      <c r="AD16" s="568">
        <f t="shared" si="20"/>
        <v>0</v>
      </c>
      <c r="AE16" s="294">
        <f t="shared" si="13"/>
        <v>0</v>
      </c>
      <c r="AF16" s="456"/>
      <c r="AG16" s="568">
        <f t="shared" si="21"/>
        <v>0</v>
      </c>
      <c r="AH16" s="294">
        <f t="shared" si="14"/>
        <v>0</v>
      </c>
      <c r="AI16" s="456"/>
      <c r="AJ16" s="568">
        <f t="shared" si="23"/>
        <v>0</v>
      </c>
      <c r="AK16" s="375">
        <f t="shared" si="15"/>
        <v>0</v>
      </c>
      <c r="AL16" s="455"/>
      <c r="AM16" s="568">
        <f t="shared" si="22"/>
        <v>0</v>
      </c>
      <c r="AN16" s="460">
        <f t="shared" si="24"/>
        <v>0</v>
      </c>
    </row>
    <row r="17" spans="1:40" ht="23.1" customHeight="1">
      <c r="A17" s="58">
        <f>Gen!B22</f>
        <v>43963</v>
      </c>
      <c r="B17" s="4"/>
      <c r="C17" s="98">
        <f t="shared" si="0"/>
        <v>0</v>
      </c>
      <c r="D17" s="1"/>
      <c r="E17" s="567">
        <f>IF((D17-D16)&lt;0,"0",(D17-D16))</f>
        <v>0</v>
      </c>
      <c r="F17" s="98">
        <f t="shared" si="2"/>
        <v>0</v>
      </c>
      <c r="G17" s="458"/>
      <c r="H17" s="567">
        <f t="shared" si="3"/>
        <v>0</v>
      </c>
      <c r="I17" s="98">
        <f t="shared" si="4"/>
        <v>0</v>
      </c>
      <c r="J17" s="1"/>
      <c r="K17" s="567">
        <f t="shared" si="5"/>
        <v>0</v>
      </c>
      <c r="L17" s="98"/>
      <c r="M17" s="1"/>
      <c r="N17" s="567">
        <f t="shared" si="7"/>
        <v>0</v>
      </c>
      <c r="O17" s="98">
        <f t="shared" si="8"/>
        <v>0</v>
      </c>
      <c r="P17" s="454"/>
      <c r="Q17" s="567">
        <f t="shared" si="9"/>
        <v>0</v>
      </c>
      <c r="R17" s="299"/>
      <c r="S17" s="294">
        <f t="shared" si="16"/>
        <v>0</v>
      </c>
      <c r="T17" s="455"/>
      <c r="U17" s="568">
        <f t="shared" si="17"/>
        <v>0</v>
      </c>
      <c r="V17" s="294">
        <f t="shared" si="10"/>
        <v>0</v>
      </c>
      <c r="W17" s="455"/>
      <c r="X17" s="568">
        <f>IF((W17-W16)&lt;0,"0",(W17-W16))</f>
        <v>0</v>
      </c>
      <c r="Y17" s="294">
        <f t="shared" si="11"/>
        <v>0</v>
      </c>
      <c r="Z17" s="455"/>
      <c r="AA17" s="568">
        <f>IF((Z17-Z16)&lt;0,"0",(Z17-Z16))</f>
        <v>0</v>
      </c>
      <c r="AB17" s="294">
        <f t="shared" si="12"/>
        <v>0</v>
      </c>
      <c r="AC17" s="572"/>
      <c r="AD17" s="568">
        <f>IF((AC17-AC16)&lt;0,"0",(AC17-AC16))</f>
        <v>0</v>
      </c>
      <c r="AE17" s="294">
        <f t="shared" si="13"/>
        <v>0</v>
      </c>
      <c r="AF17" s="456"/>
      <c r="AG17" s="568">
        <f>IF((AF17-AF16)&lt;0,"0",(AF17-AF16))</f>
        <v>0</v>
      </c>
      <c r="AH17" s="294">
        <f t="shared" si="14"/>
        <v>0</v>
      </c>
      <c r="AI17" s="456"/>
      <c r="AJ17" s="568">
        <f t="shared" si="23"/>
        <v>0</v>
      </c>
      <c r="AK17" s="375">
        <f t="shared" si="15"/>
        <v>0</v>
      </c>
      <c r="AL17" s="455"/>
      <c r="AM17" s="568">
        <f>IF((AL17-AL16)&lt;0,"0",(AL17-AL16))</f>
        <v>0</v>
      </c>
      <c r="AN17" s="460">
        <f t="shared" si="24"/>
        <v>0</v>
      </c>
    </row>
    <row r="18" spans="1:40" ht="23.1" customHeight="1">
      <c r="A18" s="58">
        <f>Gen!B23</f>
        <v>43964</v>
      </c>
      <c r="B18" s="4"/>
      <c r="C18" s="98">
        <f t="shared" si="0"/>
        <v>0</v>
      </c>
      <c r="D18" s="1"/>
      <c r="E18" s="567">
        <f t="shared" ref="E18:E37" si="26">IF((D18-D17)&lt;0,"0",(D18-D17))</f>
        <v>0</v>
      </c>
      <c r="F18" s="98">
        <f t="shared" si="2"/>
        <v>0</v>
      </c>
      <c r="G18" s="458"/>
      <c r="H18" s="567">
        <f t="shared" si="3"/>
        <v>0</v>
      </c>
      <c r="I18" s="98"/>
      <c r="J18" s="1"/>
      <c r="K18" s="567">
        <f t="shared" si="5"/>
        <v>0</v>
      </c>
      <c r="L18" s="98">
        <f t="shared" si="6"/>
        <v>0</v>
      </c>
      <c r="M18" s="1"/>
      <c r="N18" s="567">
        <f t="shared" si="7"/>
        <v>0</v>
      </c>
      <c r="O18" s="98">
        <f t="shared" si="8"/>
        <v>0</v>
      </c>
      <c r="P18" s="454"/>
      <c r="Q18" s="567">
        <f t="shared" si="9"/>
        <v>0</v>
      </c>
      <c r="R18" s="299"/>
      <c r="S18" s="294">
        <f t="shared" si="16"/>
        <v>0</v>
      </c>
      <c r="T18" s="455"/>
      <c r="U18" s="568">
        <f t="shared" si="17"/>
        <v>0</v>
      </c>
      <c r="V18" s="294">
        <f t="shared" si="10"/>
        <v>0</v>
      </c>
      <c r="W18" s="455"/>
      <c r="X18" s="568">
        <f t="shared" si="18"/>
        <v>0</v>
      </c>
      <c r="Y18" s="294">
        <f t="shared" si="11"/>
        <v>0</v>
      </c>
      <c r="Z18" s="455"/>
      <c r="AA18" s="568">
        <f t="shared" si="19"/>
        <v>0</v>
      </c>
      <c r="AB18" s="294">
        <f t="shared" si="12"/>
        <v>0</v>
      </c>
      <c r="AC18" s="572"/>
      <c r="AD18" s="568">
        <f t="shared" si="20"/>
        <v>0</v>
      </c>
      <c r="AE18" s="294">
        <f t="shared" si="13"/>
        <v>0</v>
      </c>
      <c r="AF18" s="456"/>
      <c r="AG18" s="568">
        <f t="shared" si="21"/>
        <v>0</v>
      </c>
      <c r="AH18" s="294">
        <f t="shared" si="14"/>
        <v>0</v>
      </c>
      <c r="AI18" s="456"/>
      <c r="AJ18" s="568">
        <f t="shared" si="23"/>
        <v>0</v>
      </c>
      <c r="AK18" s="375">
        <f t="shared" si="15"/>
        <v>0</v>
      </c>
      <c r="AL18" s="455"/>
      <c r="AM18" s="568">
        <f t="shared" ref="AM18:AM26" si="27">IF((AL18-AL17)&lt;0,"0",(AL18-AL17))</f>
        <v>0</v>
      </c>
      <c r="AN18" s="460">
        <f t="shared" si="24"/>
        <v>0</v>
      </c>
    </row>
    <row r="19" spans="1:40" ht="23.1" customHeight="1">
      <c r="A19" s="58">
        <f>Gen!B24</f>
        <v>43965</v>
      </c>
      <c r="B19" s="4"/>
      <c r="C19" s="98">
        <f t="shared" si="0"/>
        <v>0</v>
      </c>
      <c r="D19" s="1"/>
      <c r="E19" s="567">
        <f t="shared" si="26"/>
        <v>0</v>
      </c>
      <c r="F19" s="98">
        <f t="shared" si="2"/>
        <v>0</v>
      </c>
      <c r="G19" s="458"/>
      <c r="H19" s="567">
        <f t="shared" si="3"/>
        <v>0</v>
      </c>
      <c r="I19" s="98">
        <f t="shared" si="4"/>
        <v>0</v>
      </c>
      <c r="J19" s="1"/>
      <c r="K19" s="567">
        <f t="shared" si="5"/>
        <v>0</v>
      </c>
      <c r="L19" s="98">
        <f t="shared" si="6"/>
        <v>0</v>
      </c>
      <c r="M19" s="1"/>
      <c r="N19" s="567">
        <f t="shared" si="7"/>
        <v>0</v>
      </c>
      <c r="O19" s="98">
        <f t="shared" si="8"/>
        <v>0</v>
      </c>
      <c r="P19" s="454"/>
      <c r="Q19" s="567">
        <f t="shared" si="9"/>
        <v>0</v>
      </c>
      <c r="R19" s="299"/>
      <c r="S19" s="294">
        <f t="shared" si="16"/>
        <v>0</v>
      </c>
      <c r="T19" s="455"/>
      <c r="U19" s="568">
        <f t="shared" si="17"/>
        <v>0</v>
      </c>
      <c r="V19" s="294">
        <f t="shared" si="10"/>
        <v>0</v>
      </c>
      <c r="W19" s="455"/>
      <c r="X19" s="568">
        <f t="shared" si="18"/>
        <v>0</v>
      </c>
      <c r="Y19" s="294">
        <f t="shared" si="11"/>
        <v>0</v>
      </c>
      <c r="Z19" s="455"/>
      <c r="AA19" s="568">
        <f t="shared" si="19"/>
        <v>0</v>
      </c>
      <c r="AB19" s="294">
        <f t="shared" si="12"/>
        <v>0</v>
      </c>
      <c r="AC19" s="572"/>
      <c r="AD19" s="568">
        <f t="shared" si="20"/>
        <v>0</v>
      </c>
      <c r="AE19" s="294">
        <f t="shared" si="13"/>
        <v>0</v>
      </c>
      <c r="AF19" s="456"/>
      <c r="AG19" s="568">
        <f t="shared" si="21"/>
        <v>0</v>
      </c>
      <c r="AH19" s="294">
        <f t="shared" si="14"/>
        <v>0</v>
      </c>
      <c r="AI19" s="456"/>
      <c r="AJ19" s="568">
        <f t="shared" si="23"/>
        <v>0</v>
      </c>
      <c r="AK19" s="375">
        <f t="shared" si="15"/>
        <v>0</v>
      </c>
      <c r="AL19" s="455"/>
      <c r="AM19" s="568">
        <f t="shared" si="27"/>
        <v>0</v>
      </c>
      <c r="AN19" s="460">
        <f t="shared" si="24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6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>
        <f t="shared" si="5"/>
        <v>0</v>
      </c>
      <c r="L20" s="98">
        <f t="shared" si="6"/>
        <v>0</v>
      </c>
      <c r="M20" s="1"/>
      <c r="N20" s="567">
        <f t="shared" si="7"/>
        <v>0</v>
      </c>
      <c r="O20" s="98">
        <f t="shared" si="8"/>
        <v>0</v>
      </c>
      <c r="P20" s="454"/>
      <c r="Q20" s="567">
        <f t="shared" si="9"/>
        <v>0</v>
      </c>
      <c r="R20" s="299"/>
      <c r="S20" s="294">
        <f t="shared" si="16"/>
        <v>0</v>
      </c>
      <c r="T20" s="455"/>
      <c r="U20" s="568">
        <f t="shared" si="17"/>
        <v>0</v>
      </c>
      <c r="V20" s="294">
        <f t="shared" si="10"/>
        <v>0</v>
      </c>
      <c r="W20" s="455"/>
      <c r="X20" s="568">
        <f t="shared" si="18"/>
        <v>0</v>
      </c>
      <c r="Y20" s="294">
        <f t="shared" si="11"/>
        <v>0</v>
      </c>
      <c r="Z20" s="455"/>
      <c r="AA20" s="568">
        <f t="shared" si="19"/>
        <v>0</v>
      </c>
      <c r="AB20" s="294">
        <f t="shared" si="12"/>
        <v>0</v>
      </c>
      <c r="AC20" s="572"/>
      <c r="AD20" s="568">
        <f t="shared" si="20"/>
        <v>0</v>
      </c>
      <c r="AE20" s="294">
        <f t="shared" si="13"/>
        <v>0</v>
      </c>
      <c r="AF20" s="456"/>
      <c r="AG20" s="568">
        <f t="shared" si="21"/>
        <v>0</v>
      </c>
      <c r="AH20" s="294">
        <f t="shared" si="14"/>
        <v>0</v>
      </c>
      <c r="AI20" s="456"/>
      <c r="AJ20" s="568">
        <f t="shared" si="23"/>
        <v>0</v>
      </c>
      <c r="AK20" s="375">
        <f t="shared" si="15"/>
        <v>0</v>
      </c>
      <c r="AL20" s="455"/>
      <c r="AM20" s="568">
        <f t="shared" si="27"/>
        <v>0</v>
      </c>
      <c r="AN20" s="460">
        <f t="shared" si="24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6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5"/>
        <v>0</v>
      </c>
      <c r="L21" s="98">
        <f t="shared" si="6"/>
        <v>0</v>
      </c>
      <c r="M21" s="1"/>
      <c r="N21" s="567">
        <f t="shared" si="7"/>
        <v>0</v>
      </c>
      <c r="O21" s="98">
        <f t="shared" si="8"/>
        <v>0</v>
      </c>
      <c r="P21" s="454"/>
      <c r="Q21" s="567">
        <f t="shared" si="9"/>
        <v>0</v>
      </c>
      <c r="R21" s="299"/>
      <c r="S21" s="294">
        <f t="shared" si="16"/>
        <v>0</v>
      </c>
      <c r="T21" s="455"/>
      <c r="U21" s="568">
        <f t="shared" si="17"/>
        <v>0</v>
      </c>
      <c r="V21" s="294">
        <f t="shared" ref="V21:V37" si="28">W20</f>
        <v>0</v>
      </c>
      <c r="W21" s="455"/>
      <c r="X21" s="568">
        <f t="shared" si="18"/>
        <v>0</v>
      </c>
      <c r="Y21" s="294">
        <f t="shared" si="11"/>
        <v>0</v>
      </c>
      <c r="Z21" s="455"/>
      <c r="AA21" s="568">
        <f t="shared" si="19"/>
        <v>0</v>
      </c>
      <c r="AB21" s="294">
        <f t="shared" si="12"/>
        <v>0</v>
      </c>
      <c r="AC21" s="572"/>
      <c r="AD21" s="568">
        <f t="shared" si="20"/>
        <v>0</v>
      </c>
      <c r="AE21" s="294">
        <f t="shared" si="13"/>
        <v>0</v>
      </c>
      <c r="AF21" s="456"/>
      <c r="AG21" s="568">
        <f t="shared" si="21"/>
        <v>0</v>
      </c>
      <c r="AH21" s="294">
        <f t="shared" si="14"/>
        <v>0</v>
      </c>
      <c r="AI21" s="456"/>
      <c r="AJ21" s="568">
        <f t="shared" si="23"/>
        <v>0</v>
      </c>
      <c r="AK21" s="375">
        <f t="shared" si="15"/>
        <v>0</v>
      </c>
      <c r="AL21" s="455"/>
      <c r="AM21" s="568">
        <f t="shared" si="27"/>
        <v>0</v>
      </c>
      <c r="AN21" s="460">
        <f t="shared" si="24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6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5"/>
        <v>0</v>
      </c>
      <c r="L22" s="98">
        <f t="shared" si="6"/>
        <v>0</v>
      </c>
      <c r="M22" s="1"/>
      <c r="N22" s="567">
        <f t="shared" si="7"/>
        <v>0</v>
      </c>
      <c r="O22" s="98">
        <f t="shared" si="8"/>
        <v>0</v>
      </c>
      <c r="P22" s="454"/>
      <c r="Q22" s="567">
        <f t="shared" si="9"/>
        <v>0</v>
      </c>
      <c r="R22" s="299"/>
      <c r="S22" s="294">
        <f t="shared" si="16"/>
        <v>0</v>
      </c>
      <c r="T22" s="455"/>
      <c r="U22" s="568">
        <f t="shared" si="17"/>
        <v>0</v>
      </c>
      <c r="V22" s="294">
        <f t="shared" si="28"/>
        <v>0</v>
      </c>
      <c r="W22" s="455"/>
      <c r="X22" s="568">
        <f t="shared" si="18"/>
        <v>0</v>
      </c>
      <c r="Y22" s="294">
        <f t="shared" si="11"/>
        <v>0</v>
      </c>
      <c r="Z22" s="455"/>
      <c r="AA22" s="568">
        <f t="shared" si="19"/>
        <v>0</v>
      </c>
      <c r="AB22" s="294">
        <f t="shared" si="12"/>
        <v>0</v>
      </c>
      <c r="AC22" s="572"/>
      <c r="AD22" s="568">
        <f t="shared" si="20"/>
        <v>0</v>
      </c>
      <c r="AE22" s="294">
        <f t="shared" si="13"/>
        <v>0</v>
      </c>
      <c r="AF22" s="456"/>
      <c r="AG22" s="568">
        <f t="shared" si="21"/>
        <v>0</v>
      </c>
      <c r="AH22" s="294">
        <f t="shared" si="14"/>
        <v>0</v>
      </c>
      <c r="AI22" s="456"/>
      <c r="AJ22" s="568">
        <f t="shared" si="23"/>
        <v>0</v>
      </c>
      <c r="AK22" s="375">
        <f t="shared" si="15"/>
        <v>0</v>
      </c>
      <c r="AL22" s="455"/>
      <c r="AM22" s="568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124</v>
      </c>
    </row>
    <row r="38" spans="1:41" ht="17.25">
      <c r="A38" s="58"/>
      <c r="B38" s="22"/>
      <c r="C38" s="856" t="s">
        <v>6</v>
      </c>
      <c r="D38" s="856"/>
      <c r="E38" s="23">
        <f>SUM(E6:E36)</f>
        <v>332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4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332</v>
      </c>
      <c r="S38" s="296"/>
      <c r="T38" s="296"/>
      <c r="U38" s="306">
        <f>SUM(U6:U37)</f>
        <v>124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124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82"/>
      <c r="B42" s="331"/>
      <c r="C42" s="879" t="s">
        <v>222</v>
      </c>
      <c r="D42" s="880"/>
      <c r="E42" s="880"/>
      <c r="F42" s="880"/>
      <c r="G42" s="880"/>
      <c r="H42" s="880"/>
      <c r="I42" s="880"/>
      <c r="J42" s="880"/>
      <c r="K42" s="881"/>
      <c r="R42" s="20"/>
    </row>
    <row r="43" spans="1:41" ht="24.75" customHeight="1">
      <c r="A43" s="883"/>
      <c r="B43" s="20"/>
      <c r="C43" s="885" t="s">
        <v>216</v>
      </c>
      <c r="D43" s="886"/>
      <c r="E43" s="887" t="s">
        <v>237</v>
      </c>
      <c r="F43" s="888"/>
      <c r="G43" s="889" t="s">
        <v>217</v>
      </c>
      <c r="H43" s="890"/>
      <c r="I43" s="889" t="s">
        <v>238</v>
      </c>
      <c r="J43" s="890"/>
      <c r="K43" s="87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83"/>
      <c r="B44" s="20"/>
      <c r="C44" s="891" t="s">
        <v>218</v>
      </c>
      <c r="D44" s="892"/>
      <c r="E44" s="891" t="s">
        <v>219</v>
      </c>
      <c r="F44" s="892"/>
      <c r="G44" s="891" t="s">
        <v>220</v>
      </c>
      <c r="H44" s="892"/>
      <c r="I44" s="891" t="s">
        <v>221</v>
      </c>
      <c r="J44" s="892"/>
      <c r="K44" s="87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8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270</v>
      </c>
      <c r="H55" s="386">
        <f t="shared" si="45"/>
        <v>102.9242819843342</v>
      </c>
      <c r="I55" s="6">
        <v>285</v>
      </c>
      <c r="J55" s="386">
        <f t="shared" si="46"/>
        <v>197.09415584415584</v>
      </c>
      <c r="K55" s="392">
        <f t="shared" si="47"/>
        <v>451.94849247329876</v>
      </c>
    </row>
    <row r="56" spans="1:15" ht="13.5">
      <c r="A56" s="349">
        <f>Gen!B21</f>
        <v>43962</v>
      </c>
      <c r="B56" s="20"/>
      <c r="C56" s="63"/>
      <c r="D56" s="386">
        <f t="shared" si="43"/>
        <v>0</v>
      </c>
      <c r="E56" s="6"/>
      <c r="F56" s="386">
        <f t="shared" si="44"/>
        <v>0</v>
      </c>
      <c r="G56" s="570"/>
      <c r="H56" s="386">
        <f t="shared" si="45"/>
        <v>0</v>
      </c>
      <c r="I56" s="6"/>
      <c r="J56" s="386">
        <f t="shared" si="46"/>
        <v>0</v>
      </c>
      <c r="K56" s="392">
        <f t="shared" si="47"/>
        <v>0</v>
      </c>
    </row>
    <row r="57" spans="1:15" ht="13.5">
      <c r="A57" s="349">
        <f>Gen!B22</f>
        <v>43963</v>
      </c>
      <c r="B57" s="20"/>
      <c r="C57" s="63"/>
      <c r="D57" s="386">
        <f t="shared" si="43"/>
        <v>0</v>
      </c>
      <c r="E57" s="6"/>
      <c r="F57" s="386">
        <f t="shared" si="44"/>
        <v>0</v>
      </c>
      <c r="G57" s="570"/>
      <c r="H57" s="386">
        <f t="shared" si="45"/>
        <v>0</v>
      </c>
      <c r="I57" s="6"/>
      <c r="J57" s="386">
        <f t="shared" si="46"/>
        <v>0</v>
      </c>
      <c r="K57" s="392">
        <f t="shared" si="47"/>
        <v>0</v>
      </c>
    </row>
    <row r="58" spans="1:15" ht="13.5">
      <c r="A58" s="349">
        <f>Gen!B23</f>
        <v>43964</v>
      </c>
      <c r="B58" s="20"/>
      <c r="C58" s="63"/>
      <c r="D58" s="386">
        <f t="shared" si="43"/>
        <v>0</v>
      </c>
      <c r="E58" s="6"/>
      <c r="F58" s="386">
        <f t="shared" si="44"/>
        <v>0</v>
      </c>
      <c r="G58" s="570"/>
      <c r="H58" s="386">
        <f t="shared" si="45"/>
        <v>0</v>
      </c>
      <c r="I58" s="6"/>
      <c r="J58" s="386">
        <f t="shared" si="46"/>
        <v>0</v>
      </c>
      <c r="K58" s="392">
        <f t="shared" si="47"/>
        <v>0</v>
      </c>
    </row>
    <row r="59" spans="1:15" ht="13.5">
      <c r="A59" s="349">
        <f>Gen!B24</f>
        <v>43965</v>
      </c>
      <c r="B59" s="20"/>
      <c r="C59" s="63"/>
      <c r="D59" s="386">
        <f t="shared" si="43"/>
        <v>0</v>
      </c>
      <c r="E59" s="6"/>
      <c r="F59" s="386">
        <f t="shared" si="44"/>
        <v>0</v>
      </c>
      <c r="G59" s="570"/>
      <c r="H59" s="386">
        <f t="shared" si="45"/>
        <v>0</v>
      </c>
      <c r="I59" s="6"/>
      <c r="J59" s="386">
        <f t="shared" si="46"/>
        <v>0</v>
      </c>
      <c r="K59" s="392">
        <f t="shared" si="47"/>
        <v>0</v>
      </c>
    </row>
    <row r="60" spans="1:15" ht="13.5">
      <c r="A60" s="349">
        <f>Gen!B25</f>
        <v>43966</v>
      </c>
      <c r="B60" s="20"/>
      <c r="C60" s="63"/>
      <c r="D60" s="386">
        <f t="shared" si="43"/>
        <v>0</v>
      </c>
      <c r="E60" s="6"/>
      <c r="F60" s="386">
        <f t="shared" si="44"/>
        <v>0</v>
      </c>
      <c r="G60" s="570"/>
      <c r="H60" s="386">
        <f t="shared" si="45"/>
        <v>0</v>
      </c>
      <c r="I60" s="6"/>
      <c r="J60" s="386">
        <f t="shared" si="46"/>
        <v>0</v>
      </c>
      <c r="K60" s="392">
        <f t="shared" si="47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3" t="s">
        <v>180</v>
      </c>
      <c r="B1" s="894"/>
      <c r="C1" s="894"/>
      <c r="D1" s="894"/>
      <c r="E1" s="894"/>
      <c r="F1" s="894"/>
      <c r="G1" s="895"/>
    </row>
    <row r="2" spans="1:7" ht="13.5" thickBot="1">
      <c r="A2" s="358"/>
      <c r="B2" s="896" t="s">
        <v>175</v>
      </c>
      <c r="C2" s="897"/>
      <c r="D2" s="898"/>
      <c r="E2" s="896" t="s">
        <v>176</v>
      </c>
      <c r="F2" s="897"/>
      <c r="G2" s="898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3" t="s">
        <v>230</v>
      </c>
      <c r="B1" s="894"/>
      <c r="C1" s="894"/>
      <c r="D1" s="894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H19" sqref="H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9" t="s">
        <v>255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9.5" thickBot="1">
      <c r="A2" s="908">
        <v>43952</v>
      </c>
      <c r="B2" s="909"/>
      <c r="C2" s="909"/>
      <c r="D2" s="909"/>
      <c r="E2" s="909"/>
      <c r="F2" s="909"/>
      <c r="G2" s="909"/>
      <c r="H2" s="909"/>
      <c r="I2" s="909"/>
      <c r="J2" s="909"/>
    </row>
    <row r="3" spans="1:10" ht="15.75" thickBot="1">
      <c r="A3" s="900" t="s">
        <v>7</v>
      </c>
      <c r="B3" s="902" t="s">
        <v>256</v>
      </c>
      <c r="C3" s="526"/>
      <c r="D3" s="904" t="s">
        <v>257</v>
      </c>
      <c r="E3" s="905"/>
      <c r="F3" s="906" t="s">
        <v>258</v>
      </c>
      <c r="G3" s="907"/>
      <c r="H3" s="905"/>
      <c r="I3" s="906" t="s">
        <v>259</v>
      </c>
      <c r="J3" s="905"/>
    </row>
    <row r="4" spans="1:10" ht="30.75" thickBot="1">
      <c r="A4" s="901"/>
      <c r="B4" s="903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37995.760000000002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0</v>
      </c>
      <c r="E14" s="466">
        <f>Gen!D20</f>
        <v>37333.660000000003</v>
      </c>
      <c r="F14" s="467" t="str">
        <f>'Water-Meter'!E15</f>
        <v>0</v>
      </c>
      <c r="G14" s="468">
        <f>'Water-Meter'!AN15</f>
        <v>0</v>
      </c>
      <c r="H14" s="466">
        <f>'Utility report '!AC15</f>
        <v>-31947</v>
      </c>
      <c r="I14" s="465">
        <f>'Kit report'!F13</f>
        <v>-1040892</v>
      </c>
      <c r="J14" s="466">
        <f>'Kit report'!X13</f>
        <v>-1561020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0</v>
      </c>
      <c r="E15" s="466">
        <f>Gen!D21</f>
        <v>37333.660000000003</v>
      </c>
      <c r="F15" s="467">
        <f>'Water-Meter'!E16</f>
        <v>0</v>
      </c>
      <c r="G15" s="468">
        <f>'Water-Meter'!AN16</f>
        <v>0</v>
      </c>
      <c r="H15" s="466">
        <f>'Utility report '!AC16</f>
        <v>0</v>
      </c>
      <c r="I15" s="465">
        <f>'Kit report'!F14</f>
        <v>0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0</v>
      </c>
      <c r="D16" s="531">
        <f>Gen!T22</f>
        <v>0</v>
      </c>
      <c r="E16" s="466">
        <f>Gen!D22</f>
        <v>37333.660000000003</v>
      </c>
      <c r="F16" s="467">
        <f>'Water-Meter'!E17</f>
        <v>0</v>
      </c>
      <c r="G16" s="468">
        <f>'Water-Meter'!AN17</f>
        <v>0</v>
      </c>
      <c r="H16" s="466">
        <f>'Utility report '!AC17</f>
        <v>0</v>
      </c>
      <c r="I16" s="465">
        <f>'Kit report'!F15</f>
        <v>0</v>
      </c>
      <c r="J16" s="466">
        <f>'Kit report'!X15</f>
        <v>0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0</v>
      </c>
      <c r="E17" s="466">
        <f>Gen!D23</f>
        <v>37333.660000000003</v>
      </c>
      <c r="F17" s="467">
        <f>'Water-Meter'!E18</f>
        <v>0</v>
      </c>
      <c r="G17" s="468">
        <f>'Water-Meter'!AN18</f>
        <v>0</v>
      </c>
      <c r="H17" s="466">
        <f>'Utility report '!AC18</f>
        <v>0</v>
      </c>
      <c r="I17" s="465">
        <f>'Kit report'!F16</f>
        <v>0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37333.660000000003</v>
      </c>
      <c r="F18" s="467">
        <f>'Water-Meter'!E19</f>
        <v>0</v>
      </c>
      <c r="G18" s="468">
        <f>'Water-Meter'!AN19</f>
        <v>0</v>
      </c>
      <c r="H18" s="466">
        <f>'Utility report '!AC19</f>
        <v>0</v>
      </c>
      <c r="I18" s="465">
        <f>'Kit report'!F17</f>
        <v>0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37333.660000000003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37333.660000000003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37333.660000000003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37333.660000000003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37333.660000000003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37333.660000000003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37333.660000000003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37333.660000000003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37333.660000000003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37333.660000000003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37333.660000000003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37333.660000000003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37333.660000000003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37333.660000000003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37333.660000000003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37333.660000000003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37333.660000000003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37333.660000000003</v>
      </c>
      <c r="F36" s="467">
        <f>'Water-Meter'!E37</f>
        <v>0</v>
      </c>
      <c r="G36" s="468">
        <f>'Water-Meter'!AN37</f>
        <v>124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2020-05-10T05:02:06Z</dcterms:modified>
</cp:coreProperties>
</file>