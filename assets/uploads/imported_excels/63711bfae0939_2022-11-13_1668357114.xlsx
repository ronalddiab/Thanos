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<sst xmlns="http://schemas.openxmlformats.org/spreadsheetml/2006/main" count="315" uniqueCount="149">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</sst>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3.6629999999999998</v>
      </c>
      <c r="H12" s="11">
        <f t="shared" si="1"/>
        <v>0.99</v>
      </c>
      <c r="I12" s="12">
        <f>'FS Desroches Daily'!CM14</f>
        <v>156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12999.999999999789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102.5</v>
      </c>
      <c r="J13" s="11">
        <f t="shared" si="2"/>
        <v>10.487297712684205</v>
      </c>
      <c r="K13" s="13">
        <f>'FS Desroches Daily'!CN15</f>
        <v>48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 t="e">
        <f>Submetering!E14+Submetering!F14+Submetering!G14+Submetering!H14+Submetering!J14-Submetering!AV14</f>
        <v>#VALUE!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 t="e">
        <f>'FS Desroches Daily'!CM16</f>
        <v>#VALUE!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6" sqref="F6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156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2999.9999999996694</v>
      </c>
      <c r="F13" s="32">
        <f>'FS Desroches Daily'!F15</f>
        <v>3400.0000000000696</v>
      </c>
      <c r="G13" s="31">
        <f>'FS Desroches Daily'!H15</f>
        <v>3800.0000000000255</v>
      </c>
      <c r="H13" s="32">
        <f>'FS Desroches Daily'!J15</f>
        <v>1700.0000000000348</v>
      </c>
      <c r="I13" s="31">
        <f>'FS Desroches Daily'!L15</f>
        <v>2199.9999999997576</v>
      </c>
      <c r="J13" s="32">
        <f>'FS Desroches Daily'!N15</f>
        <v>2099.9999999999909</v>
      </c>
      <c r="K13" s="13">
        <f>'FS Desroches Daily'!P15</f>
        <v>25</v>
      </c>
      <c r="L13" s="31">
        <f>'FS Desroches Daily'!R15</f>
        <v>3</v>
      </c>
      <c r="M13" s="31">
        <f>'FS Desroches Daily'!T15</f>
        <v>1700.0000000000455</v>
      </c>
      <c r="N13" s="31">
        <f>'FS Desroches Daily'!V15</f>
        <v>523.5</v>
      </c>
      <c r="O13" s="31">
        <f>'FS Desroches Daily'!X15</f>
        <v>399.99999999997726</v>
      </c>
      <c r="P13" s="31">
        <f>'FS Desroches Daily'!Z15</f>
        <v>2900.0000000003465</v>
      </c>
      <c r="Q13" s="31">
        <f>'FS Desroches Daily'!AB15</f>
        <v>399.99999999997726</v>
      </c>
      <c r="R13" s="31">
        <f>'FS Desroches Daily'!AD15</f>
        <v>449.99999999993179</v>
      </c>
      <c r="S13" s="31">
        <f>'FS Desroches Daily'!AF15</f>
        <v>1099.9999999999091</v>
      </c>
      <c r="T13" s="31">
        <f>'FS Desroches Daily'!AH15</f>
        <v>42</v>
      </c>
      <c r="U13" s="35">
        <f>'FS Desroches Daily'!AJ15</f>
        <v>740.00000000000909</v>
      </c>
      <c r="V13" s="35">
        <f>'FS Desroches Daily'!AL15</f>
        <v>279.99999999997272</v>
      </c>
      <c r="W13" s="35">
        <f>'FS Desroches Daily'!AN15</f>
        <v>129.99999999999545</v>
      </c>
      <c r="X13" s="35">
        <f>'FS Desroches Daily'!AP15</f>
        <v>220.00000000002728</v>
      </c>
      <c r="Y13" s="35">
        <f>'FS Desroches Daily'!AR15</f>
        <v>180.00000000000682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240.00000000000909</v>
      </c>
      <c r="AC13" s="35">
        <f>'FS Desroches Daily'!AZ15</f>
        <v>220.00000000002728</v>
      </c>
      <c r="AD13" s="35">
        <f>'FS Desroches Daily'!BB15</f>
        <v>189.99999999999773</v>
      </c>
      <c r="AE13" s="35">
        <f>'FS Desroches Daily'!BD15</f>
        <v>100.00000000002274</v>
      </c>
      <c r="AF13" s="31">
        <f>'FS Desroches Daily'!BF15</f>
        <v>47</v>
      </c>
      <c r="AG13" s="32">
        <f>'FS Desroches Daily'!BH15</f>
        <v>39.999999999992042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39.999999999992042</v>
      </c>
      <c r="AK13" s="32">
        <f>'FS Desroches Daily'!BP15</f>
        <v>39.99999999996362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30</v>
      </c>
      <c r="AO13" s="32">
        <f>'FS Desroches Daily'!BX15</f>
        <v>39.999999999992042</v>
      </c>
      <c r="AP13" s="32">
        <f>'FS Desroches Daily'!BZ15</f>
        <v>48</v>
      </c>
      <c r="AQ13" s="31">
        <f>'FS Desroches Daily'!CB15</f>
        <v>27</v>
      </c>
      <c r="AR13" s="31">
        <f>'FS Desroches Daily'!CD15</f>
        <v>12.099999999998545</v>
      </c>
      <c r="AS13" s="31">
        <f>'FS Desroches Daily'!CF15</f>
        <v>3.1000000000003638</v>
      </c>
      <c r="AT13" s="31">
        <f>'FS Desroches Daily'!CH15</f>
        <v>22.600000000005821</v>
      </c>
      <c r="AU13" s="31">
        <f>'FS Desroches Daily'!CJ15</f>
        <v>320</v>
      </c>
      <c r="AV13" s="31">
        <f>'FS Desroches Daily'!CL15</f>
        <v>1000</v>
      </c>
      <c r="AW13" s="31">
        <f>'FS Desroches Daily'!CM15</f>
        <v>102.5</v>
      </c>
      <c r="AX13" s="31" t="str">
        <f>IF(LPG!F20-LPG!F19&lt;0,"0",(LPG!F20-LPG!F19)*1.8315)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48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e">
        <f>'FS Desroches Daily'!T16</f>
        <v>#VALUE!</v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33299.999999999658</v>
      </c>
      <c r="F33" s="17">
        <f t="shared" ref="F33:BC33" si="0">SUM(F2:F32)</f>
        <v>41799.999999999403</v>
      </c>
      <c r="G33" s="17">
        <f t="shared" si="0"/>
        <v>47200.000000000146</v>
      </c>
      <c r="H33" s="17">
        <f t="shared" si="0"/>
        <v>20100.000000000233</v>
      </c>
      <c r="I33" s="17">
        <f t="shared" si="0"/>
        <v>26999.999999999683</v>
      </c>
      <c r="J33" s="17">
        <f t="shared" si="0"/>
        <v>24799.999999999935</v>
      </c>
      <c r="K33" s="17">
        <f t="shared" si="0"/>
        <v>556</v>
      </c>
      <c r="L33" s="17">
        <f t="shared" si="0"/>
        <v>56</v>
      </c>
      <c r="M33" s="17" t="e">
        <f t="shared" si="0"/>
        <v>#VALUE!</v>
      </c>
      <c r="N33" s="17">
        <f t="shared" si="0"/>
        <v>6118.9000000000233</v>
      </c>
      <c r="O33" s="17">
        <f t="shared" si="0"/>
        <v>4839.9999999998045</v>
      </c>
      <c r="P33" s="17">
        <f t="shared" si="0"/>
        <v>37200.000000000342</v>
      </c>
      <c r="Q33" s="17">
        <f t="shared" si="0"/>
        <v>4713.2099999999864</v>
      </c>
      <c r="R33" s="17">
        <f t="shared" si="0"/>
        <v>5939.9999999999409</v>
      </c>
      <c r="S33" s="17">
        <f t="shared" si="0"/>
        <v>13059.999999999944</v>
      </c>
      <c r="T33" s="17">
        <f t="shared" si="0"/>
        <v>529</v>
      </c>
      <c r="U33" s="35">
        <f t="shared" si="0"/>
        <v>8409.9999999999673</v>
      </c>
      <c r="V33" s="35">
        <f t="shared" si="0"/>
        <v>3360.0000000000136</v>
      </c>
      <c r="W33" s="35">
        <f t="shared" si="0"/>
        <v>1980.0000000000182</v>
      </c>
      <c r="X33" s="35">
        <f t="shared" si="0"/>
        <v>2600.0000000000227</v>
      </c>
      <c r="Y33" s="35">
        <f t="shared" si="0"/>
        <v>2040.0000000000205</v>
      </c>
      <c r="Z33" s="35">
        <f t="shared" si="0"/>
        <v>2589.999999999975</v>
      </c>
      <c r="AA33" s="35">
        <f t="shared" si="0"/>
        <v>2589.999999999975</v>
      </c>
      <c r="AB33" s="35">
        <f t="shared" si="0"/>
        <v>2159.9999999999682</v>
      </c>
      <c r="AC33" s="35">
        <f t="shared" si="0"/>
        <v>2079.9999999999841</v>
      </c>
      <c r="AD33" s="35">
        <f t="shared" si="0"/>
        <v>2110.0000000000136</v>
      </c>
      <c r="AE33" s="35">
        <f t="shared" si="0"/>
        <v>939.99999999999773</v>
      </c>
      <c r="AF33" s="17">
        <f t="shared" si="0"/>
        <v>518</v>
      </c>
      <c r="AG33" s="32">
        <f t="shared" si="0"/>
        <v>509.99999999999091</v>
      </c>
      <c r="AH33" s="32">
        <f t="shared" si="0"/>
        <v>490.00000000000909</v>
      </c>
      <c r="AI33" s="32">
        <f t="shared" si="0"/>
        <v>670.00000000001592</v>
      </c>
      <c r="AJ33" s="32">
        <f t="shared" si="0"/>
        <v>530.00000000000114</v>
      </c>
      <c r="AK33" s="32">
        <f t="shared" si="0"/>
        <v>549.99999999995453</v>
      </c>
      <c r="AL33" s="32">
        <f t="shared" si="0"/>
        <v>560</v>
      </c>
      <c r="AM33" s="32">
        <f t="shared" si="0"/>
        <v>490.00000000000909</v>
      </c>
      <c r="AN33" s="32">
        <f t="shared" si="0"/>
        <v>397</v>
      </c>
      <c r="AO33" s="32">
        <f t="shared" si="0"/>
        <v>530.00000000000114</v>
      </c>
      <c r="AP33" s="32">
        <f t="shared" si="0"/>
        <v>624</v>
      </c>
      <c r="AQ33" s="17">
        <f t="shared" si="0"/>
        <v>609.69999999999709</v>
      </c>
      <c r="AR33" s="17">
        <f t="shared" si="0"/>
        <v>170.39999999999782</v>
      </c>
      <c r="AS33" s="17">
        <f t="shared" si="0"/>
        <v>39.200000000000728</v>
      </c>
      <c r="AT33" s="17">
        <f t="shared" si="0"/>
        <v>294.5</v>
      </c>
      <c r="AU33" s="17">
        <f t="shared" si="0"/>
        <v>3900</v>
      </c>
      <c r="AV33" s="17">
        <f t="shared" si="0"/>
        <v>12000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47.619</v>
      </c>
      <c r="BC33" s="17">
        <f t="shared" si="0"/>
        <v>539</v>
      </c>
    </row>
    <row r="35" spans="5:55" x14ac:dyDescent="0.25">
      <c r="E35" s="38">
        <f>E33/E37</f>
        <v>0.21030959087521497</v>
      </c>
      <c r="G35" s="29" t="e">
        <f>G33-M36</f>
        <v>#VALUE!</v>
      </c>
      <c r="AE35" s="35">
        <f>SUM(U33:AE33)</f>
        <v>30859.999999999956</v>
      </c>
      <c r="AG35" s="32">
        <f>SUM(AG33:AP33)</f>
        <v>5350.9999999999818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158337.99999999939</v>
      </c>
      <c r="G37" s="37" t="e">
        <f>M36/E37</f>
        <v>#VALUE!</v>
      </c>
      <c r="M37" s="35">
        <f>AE35</f>
        <v>30859.999999999956</v>
      </c>
    </row>
    <row r="38" spans="5:55" x14ac:dyDescent="0.25">
      <c r="L38" s="27">
        <f>M38/E37</f>
        <v>3.3794793416615107E-2</v>
      </c>
      <c r="M38" s="29">
        <f>AG35</f>
        <v>5350.9999999999818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A1" zoomScale="82" zoomScaleNormal="82" workbookViewId="0">
      <pane ySplit="1" topLeftCell="A2" activePane="bottomLeft" state="frozen"/>
      <selection pane="bottomLeft" activeCell="CE16" sqref="CE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156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25330</v>
      </c>
      <c r="CS14" s="67">
        <f t="shared" si="46"/>
        <v>58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>
        <v>3.6362999999999999</v>
      </c>
      <c r="D15" s="64">
        <f t="shared" si="1"/>
        <v>2999.9999999996694</v>
      </c>
      <c r="E15" s="58">
        <v>4.8609999999999998</v>
      </c>
      <c r="F15" s="64">
        <f t="shared" si="2"/>
        <v>3400.0000000000696</v>
      </c>
      <c r="G15" s="58">
        <v>4.8643000000000001</v>
      </c>
      <c r="H15" s="64">
        <f t="shared" si="3"/>
        <v>3800.0000000000255</v>
      </c>
      <c r="I15" s="58">
        <v>2.4104000000000001</v>
      </c>
      <c r="J15" s="64">
        <f t="shared" si="4"/>
        <v>1700.0000000000348</v>
      </c>
      <c r="K15" s="58">
        <v>3.7090999999999998</v>
      </c>
      <c r="L15" s="64">
        <f t="shared" si="5"/>
        <v>2199.9999999997576</v>
      </c>
      <c r="M15" s="58">
        <v>2.2210999999999999</v>
      </c>
      <c r="N15" s="64">
        <f t="shared" si="6"/>
        <v>2099.9999999999909</v>
      </c>
      <c r="O15" s="58">
        <v>25838</v>
      </c>
      <c r="P15" s="67">
        <f t="shared" si="7"/>
        <v>25</v>
      </c>
      <c r="Q15" s="58">
        <v>3165</v>
      </c>
      <c r="R15" s="67">
        <f>IF((Q15-Q14&lt;0), "",Q15-Q14)</f>
        <v>3</v>
      </c>
      <c r="S15" s="58">
        <v>1569.5</v>
      </c>
      <c r="T15" s="67">
        <f t="shared" si="50"/>
        <v>1700.0000000000455</v>
      </c>
      <c r="U15" s="58">
        <v>622478.30000000005</v>
      </c>
      <c r="V15" s="67">
        <f t="shared" si="9"/>
        <v>523.5</v>
      </c>
      <c r="W15" s="58">
        <v>565.80999999999995</v>
      </c>
      <c r="X15" s="65">
        <f t="shared" si="10"/>
        <v>399.99999999997726</v>
      </c>
      <c r="Y15" s="58">
        <v>4.2858000000000001</v>
      </c>
      <c r="Z15" s="65">
        <f t="shared" si="11"/>
        <v>2900.0000000003465</v>
      </c>
      <c r="AA15" s="58">
        <v>574.23</v>
      </c>
      <c r="AB15" s="65">
        <f t="shared" si="12"/>
        <v>399.99999999997726</v>
      </c>
      <c r="AC15" s="58">
        <v>573.66</v>
      </c>
      <c r="AD15" s="65">
        <f t="shared" si="13"/>
        <v>449.99999999993179</v>
      </c>
      <c r="AE15" s="58">
        <v>896.93</v>
      </c>
      <c r="AF15" s="65">
        <f t="shared" si="14"/>
        <v>1099.9999999999091</v>
      </c>
      <c r="AG15" s="58">
        <v>23545</v>
      </c>
      <c r="AH15" s="67">
        <f t="shared" si="15"/>
        <v>42</v>
      </c>
      <c r="AI15" s="58">
        <v>971.15</v>
      </c>
      <c r="AJ15" s="65">
        <f t="shared" si="16"/>
        <v>740.00000000000909</v>
      </c>
      <c r="AK15" s="58">
        <v>323.01</v>
      </c>
      <c r="AL15" s="65">
        <f t="shared" si="17"/>
        <v>279.99999999997272</v>
      </c>
      <c r="AM15" s="58">
        <v>296.99</v>
      </c>
      <c r="AN15" s="65">
        <f t="shared" si="18"/>
        <v>129.99999999999545</v>
      </c>
      <c r="AO15" s="58">
        <v>288</v>
      </c>
      <c r="AP15" s="65">
        <f t="shared" si="19"/>
        <v>220.00000000002728</v>
      </c>
      <c r="AQ15" s="58">
        <v>339.68</v>
      </c>
      <c r="AR15" s="65">
        <f t="shared" si="20"/>
        <v>180.00000000000682</v>
      </c>
      <c r="AS15" s="58">
        <v>464.9</v>
      </c>
      <c r="AT15" s="65">
        <f t="shared" si="21"/>
        <v>199.99999999998863</v>
      </c>
      <c r="AU15" s="58">
        <v>372.08</v>
      </c>
      <c r="AV15" s="65">
        <f t="shared" si="22"/>
        <v>240.00000000000909</v>
      </c>
      <c r="AW15" s="58">
        <v>400.17</v>
      </c>
      <c r="AX15" s="65">
        <f t="shared" si="23"/>
        <v>180.00000000000682</v>
      </c>
      <c r="AY15" s="58">
        <v>436.49</v>
      </c>
      <c r="AZ15" s="65">
        <f t="shared" si="24"/>
        <v>220.00000000002728</v>
      </c>
      <c r="BA15" s="58">
        <v>452.66</v>
      </c>
      <c r="BB15" s="65">
        <f t="shared" si="25"/>
        <v>189.99999999999773</v>
      </c>
      <c r="BC15" s="58">
        <v>289.05</v>
      </c>
      <c r="BD15" s="65">
        <f t="shared" si="26"/>
        <v>100.00000000002274</v>
      </c>
      <c r="BE15" s="59">
        <v>57587</v>
      </c>
      <c r="BF15" s="67">
        <f t="shared" si="27"/>
        <v>47</v>
      </c>
      <c r="BG15" s="60">
        <v>254.32</v>
      </c>
      <c r="BH15" s="65">
        <f t="shared" si="28"/>
        <v>39.999999999992042</v>
      </c>
      <c r="BI15" s="60">
        <v>308.67</v>
      </c>
      <c r="BJ15" s="65">
        <f t="shared" si="29"/>
        <v>40.000000000020464</v>
      </c>
      <c r="BK15" s="60">
        <v>259.79000000000002</v>
      </c>
      <c r="BL15" s="65">
        <f t="shared" si="30"/>
        <v>60.000000000002274</v>
      </c>
      <c r="BM15" s="60">
        <v>244.16</v>
      </c>
      <c r="BN15" s="65">
        <f t="shared" si="31"/>
        <v>39.999999999992042</v>
      </c>
      <c r="BO15" s="60">
        <v>313.02</v>
      </c>
      <c r="BP15" s="65">
        <f t="shared" si="32"/>
        <v>39.99999999996362</v>
      </c>
      <c r="BQ15" s="60">
        <v>62531</v>
      </c>
      <c r="BR15" s="65">
        <f t="shared" si="33"/>
        <v>40</v>
      </c>
      <c r="BS15" s="60">
        <v>222.22</v>
      </c>
      <c r="BT15" s="65">
        <f t="shared" si="34"/>
        <v>39.999999999992042</v>
      </c>
      <c r="BU15" s="60">
        <v>60253</v>
      </c>
      <c r="BV15" s="65">
        <f t="shared" si="35"/>
        <v>30</v>
      </c>
      <c r="BW15" s="60">
        <v>250.56</v>
      </c>
      <c r="BX15" s="65">
        <f t="shared" si="36"/>
        <v>39.999999999992042</v>
      </c>
      <c r="BY15" s="60">
        <v>81133</v>
      </c>
      <c r="BZ15" s="67">
        <f t="shared" si="37"/>
        <v>48</v>
      </c>
      <c r="CA15" s="60">
        <v>57610.2</v>
      </c>
      <c r="CB15" s="67">
        <f t="shared" si="38"/>
        <v>27</v>
      </c>
      <c r="CC15" s="60">
        <v>17755.8</v>
      </c>
      <c r="CD15" s="67">
        <f t="shared" si="39"/>
        <v>12.099999999998545</v>
      </c>
      <c r="CE15" s="60">
        <v>8828.5</v>
      </c>
      <c r="CF15" s="67">
        <f t="shared" si="40"/>
        <v>3.1000000000003638</v>
      </c>
      <c r="CG15" s="60">
        <v>82883.8</v>
      </c>
      <c r="CH15" s="67">
        <f t="shared" si="41"/>
        <v>22.600000000005821</v>
      </c>
      <c r="CI15" s="60">
        <v>1097721</v>
      </c>
      <c r="CJ15" s="67">
        <f t="shared" si="42"/>
        <v>320</v>
      </c>
      <c r="CK15" s="60">
        <v>1150.2</v>
      </c>
      <c r="CL15" s="64">
        <f t="shared" si="43"/>
        <v>1000</v>
      </c>
      <c r="CM15" s="65">
        <f t="shared" si="44"/>
        <v>102.5</v>
      </c>
      <c r="CN15" s="62">
        <v>48</v>
      </c>
      <c r="CO15" s="62">
        <v>82</v>
      </c>
      <c r="CP15" s="68">
        <v>46472</v>
      </c>
      <c r="CQ15" s="67">
        <f t="shared" si="45"/>
        <v>93</v>
      </c>
      <c r="CR15" s="68">
        <v>25339.5</v>
      </c>
      <c r="CS15" s="67">
        <f t="shared" si="46"/>
        <v>9.5</v>
      </c>
      <c r="CT15" s="75">
        <v>11929</v>
      </c>
      <c r="CU15" s="67">
        <f t="shared" si="47"/>
        <v>9</v>
      </c>
      <c r="CV15" s="68">
        <v>29235</v>
      </c>
      <c r="CW15" s="67">
        <f t="shared" si="48"/>
        <v>28</v>
      </c>
      <c r="CX15" s="58">
        <v>4975.8</v>
      </c>
      <c r="CY15" s="67">
        <f t="shared" si="49"/>
        <v>13.100000000000364</v>
      </c>
    </row>
    <row r="16" spans="1:103" ht="25.5" customHeight="1" thickBot="1" x14ac:dyDescent="0.45">
      <c r="A16" s="63">
        <v>44878</v>
      </c>
      <c r="B16" s="44"/>
      <c r="C16" s="58"/>
      <c r="D16" s="64" t="str">
        <f t="shared" si="1"/>
        <v>0</v>
      </c>
      <c r="E16" s="58"/>
      <c r="F16" s="64" t="str">
        <f t="shared" si="2"/>
        <v>0</v>
      </c>
      <c r="G16" s="58"/>
      <c r="H16" s="64" t="str">
        <f t="shared" si="3"/>
        <v>0</v>
      </c>
      <c r="I16" s="58"/>
      <c r="J16" s="64" t="str">
        <f t="shared" si="4"/>
        <v>0</v>
      </c>
      <c r="K16" s="58"/>
      <c r="L16" s="64" t="str">
        <f t="shared" si="5"/>
        <v>0</v>
      </c>
      <c r="M16" s="58"/>
      <c r="N16" s="64" t="str">
        <f t="shared" si="6"/>
        <v/>
      </c>
      <c r="O16" s="58"/>
      <c r="P16" s="67" t="str">
        <f t="shared" si="7"/>
        <v/>
      </c>
      <c r="Q16" s="58"/>
      <c r="R16" s="67" t="str">
        <f t="shared" si="8"/>
        <v/>
      </c>
      <c r="S16" s="58"/>
      <c r="T16" s="67" t="e">
        <f t="shared" si="50"/>
        <v>#VALUE!</v>
      </c>
      <c r="U16" s="58"/>
      <c r="V16" s="67" t="str">
        <f t="shared" si="9"/>
        <v/>
      </c>
      <c r="W16" s="58"/>
      <c r="X16" s="65" t="str">
        <f t="shared" si="10"/>
        <v/>
      </c>
      <c r="Y16" s="58"/>
      <c r="Z16" s="65" t="str">
        <f t="shared" si="11"/>
        <v/>
      </c>
      <c r="AA16" s="58"/>
      <c r="AB16" s="65" t="str">
        <f t="shared" si="12"/>
        <v/>
      </c>
      <c r="AC16" s="58"/>
      <c r="AD16" s="65" t="str">
        <f t="shared" si="13"/>
        <v/>
      </c>
      <c r="AE16" s="58"/>
      <c r="AF16" s="65" t="str">
        <f t="shared" si="14"/>
        <v/>
      </c>
      <c r="AG16" s="58"/>
      <c r="AH16" s="67" t="str">
        <f t="shared" si="15"/>
        <v/>
      </c>
      <c r="AI16" s="58"/>
      <c r="AJ16" s="65" t="str">
        <f t="shared" si="16"/>
        <v/>
      </c>
      <c r="AK16" s="58"/>
      <c r="AL16" s="65" t="str">
        <f t="shared" si="17"/>
        <v/>
      </c>
      <c r="AM16" s="58"/>
      <c r="AN16" s="65" t="str">
        <f t="shared" si="18"/>
        <v/>
      </c>
      <c r="AO16" s="58"/>
      <c r="AP16" s="65" t="str">
        <f t="shared" si="19"/>
        <v/>
      </c>
      <c r="AQ16" s="58"/>
      <c r="AR16" s="65" t="str">
        <f t="shared" si="20"/>
        <v/>
      </c>
      <c r="AS16" s="58"/>
      <c r="AT16" s="65" t="str">
        <f t="shared" si="21"/>
        <v/>
      </c>
      <c r="AU16" s="58"/>
      <c r="AV16" s="65" t="str">
        <f t="shared" si="22"/>
        <v/>
      </c>
      <c r="AW16" s="58"/>
      <c r="AX16" s="65" t="str">
        <f t="shared" si="23"/>
        <v/>
      </c>
      <c r="AY16" s="58"/>
      <c r="AZ16" s="65" t="str">
        <f t="shared" si="24"/>
        <v/>
      </c>
      <c r="BA16" s="58"/>
      <c r="BB16" s="65" t="str">
        <f t="shared" si="25"/>
        <v/>
      </c>
      <c r="BC16" s="58"/>
      <c r="BD16" s="65" t="str">
        <f t="shared" si="26"/>
        <v/>
      </c>
      <c r="BE16" s="59"/>
      <c r="BF16" s="67" t="str">
        <f t="shared" si="27"/>
        <v/>
      </c>
      <c r="BG16" s="60"/>
      <c r="BH16" s="65" t="str">
        <f t="shared" si="28"/>
        <v/>
      </c>
      <c r="BI16" s="60"/>
      <c r="BJ16" s="65" t="str">
        <f t="shared" si="29"/>
        <v/>
      </c>
      <c r="BK16" s="60"/>
      <c r="BL16" s="65" t="str">
        <f t="shared" si="30"/>
        <v/>
      </c>
      <c r="BM16" s="60"/>
      <c r="BN16" s="65" t="str">
        <f t="shared" si="31"/>
        <v/>
      </c>
      <c r="BO16" s="60"/>
      <c r="BP16" s="65" t="str">
        <f t="shared" si="32"/>
        <v/>
      </c>
      <c r="BQ16" s="60"/>
      <c r="BR16" s="65" t="str">
        <f t="shared" si="33"/>
        <v/>
      </c>
      <c r="BS16" s="60"/>
      <c r="BT16" s="65" t="str">
        <f t="shared" si="34"/>
        <v/>
      </c>
      <c r="BU16" s="60"/>
      <c r="BV16" s="65" t="str">
        <f t="shared" si="35"/>
        <v/>
      </c>
      <c r="BW16" s="60"/>
      <c r="BX16" s="65" t="str">
        <f t="shared" si="36"/>
        <v/>
      </c>
      <c r="BY16" s="60"/>
      <c r="BZ16" s="67" t="str">
        <f t="shared" si="37"/>
        <v/>
      </c>
      <c r="CA16" s="60"/>
      <c r="CB16" s="67" t="str">
        <f t="shared" si="38"/>
        <v/>
      </c>
      <c r="CC16" s="60"/>
      <c r="CD16" s="67" t="str">
        <f t="shared" si="39"/>
        <v/>
      </c>
      <c r="CE16" s="60"/>
      <c r="CF16" s="67" t="str">
        <f t="shared" si="40"/>
        <v/>
      </c>
      <c r="CG16" s="60"/>
      <c r="CH16" s="67" t="str">
        <f t="shared" si="41"/>
        <v/>
      </c>
      <c r="CI16" s="60"/>
      <c r="CJ16" s="67" t="str">
        <f t="shared" si="42"/>
        <v/>
      </c>
      <c r="CK16" s="60"/>
      <c r="CL16" s="64" t="str">
        <f t="shared" si="43"/>
        <v/>
      </c>
      <c r="CM16" s="65" t="e">
        <f t="shared" si="44"/>
        <v>#VALUE!</v>
      </c>
      <c r="CN16" s="62"/>
      <c r="CO16" s="62"/>
      <c r="CP16" s="68"/>
      <c r="CQ16" s="67" t="str">
        <f t="shared" si="45"/>
        <v/>
      </c>
      <c r="CR16" s="68"/>
      <c r="CS16" s="67" t="str">
        <f t="shared" si="46"/>
        <v/>
      </c>
      <c r="CT16" s="75"/>
      <c r="CU16" s="67" t="str">
        <f t="shared" si="47"/>
        <v/>
      </c>
      <c r="CV16" s="68"/>
      <c r="CW16" s="67" t="str">
        <f t="shared" si="48"/>
        <v/>
      </c>
      <c r="CX16" s="58"/>
      <c r="CY16" s="67" t="str">
        <f t="shared" si="49"/>
        <v/>
      </c>
    </row>
    <row r="17" spans="1:103" ht="25.5" customHeight="1" thickBot="1" x14ac:dyDescent="0.45">
      <c r="A17" s="63">
        <v>44879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44880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44881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44882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44883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44884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44885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44886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44887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9" sqref="D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>
        <v>81</v>
      </c>
      <c r="C19" s="40">
        <v>48</v>
      </c>
      <c r="D19" s="40">
        <v>81</v>
      </c>
      <c r="E19" s="41">
        <v>85</v>
      </c>
      <c r="F19" s="41">
        <v>6834</v>
      </c>
      <c r="G19" s="41">
        <v>55</v>
      </c>
      <c r="H19" s="41">
        <v>1126</v>
      </c>
      <c r="I19" s="41">
        <v>85</v>
      </c>
      <c r="J19" s="41">
        <v>2212</v>
      </c>
      <c r="K19" s="42">
        <v>75</v>
      </c>
      <c r="L19" s="42">
        <v>85</v>
      </c>
      <c r="M19" s="42">
        <v>1914</v>
      </c>
      <c r="N19" s="39">
        <v>80</v>
      </c>
      <c r="O19" s="39">
        <v>85</v>
      </c>
      <c r="P19" s="39">
        <v>85</v>
      </c>
      <c r="Q19" s="39">
        <v>5568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-233</v>
      </c>
    </row>
    <row r="21" spans="1:20" x14ac:dyDescent="0.25">
      <c r="A21" s="73">
        <v>44879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44880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44881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44882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44883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44884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44885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44886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2022-11-13T16:31:08Z</dcterms:modified>
</cp:coreProperties>
</file>