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05" yWindow="-285" windowWidth="13605" windowHeight="12345" tabRatio="581" firstSheet="2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8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3"/>
  <c r="AV18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10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20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1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7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3" s="1"/>
  <c r="H14" s="1"/>
  <c r="H17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5" s="1"/>
  <c r="M17" s="1"/>
  <c r="M18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3" s="1"/>
  <c r="P15" s="1"/>
  <c r="P16" s="1"/>
  <c r="P18" s="1"/>
  <c r="P19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3" s="1"/>
  <c r="Q16" s="1"/>
  <c r="Q18" s="1"/>
  <c r="Q19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21" i="2"/>
  <c r="H22" s="1"/>
  <c r="H23" s="1"/>
  <c r="H24" s="1"/>
  <c r="H25" s="1"/>
  <c r="H26" s="1"/>
  <c r="H27" s="1"/>
  <c r="H28" s="1"/>
  <c r="H29" s="1"/>
  <c r="H30" s="1"/>
  <c r="H31" s="1"/>
  <c r="H32" s="1"/>
  <c r="H33" s="1"/>
  <c r="F21"/>
  <c r="F22" s="1"/>
  <c r="F23" s="1"/>
  <c r="F24" s="1"/>
  <c r="F25" s="1"/>
  <c r="F26" s="1"/>
  <c r="F27" s="1"/>
  <c r="F28" s="1"/>
  <c r="F29" s="1"/>
  <c r="F30" s="1"/>
  <c r="F31" s="1"/>
  <c r="F32" s="1"/>
  <c r="F33" s="1"/>
  <c r="J21"/>
  <c r="J22" s="1"/>
  <c r="J23" s="1"/>
  <c r="J24" s="1"/>
  <c r="J25" s="1"/>
  <c r="J26" s="1"/>
  <c r="J27" s="1"/>
  <c r="J28" s="1"/>
  <c r="J29" s="1"/>
  <c r="J30" s="1"/>
  <c r="J31" s="1"/>
  <c r="J32" s="1"/>
  <c r="J33" s="1"/>
  <c r="L21"/>
  <c r="L22" s="1"/>
  <c r="L23" s="1"/>
  <c r="L24" s="1"/>
  <c r="L25" s="1"/>
  <c r="L26" s="1"/>
  <c r="L27" s="1"/>
  <c r="L28" s="1"/>
  <c r="L29" s="1"/>
  <c r="L30" s="1"/>
  <c r="L31" s="1"/>
  <c r="L32" s="1"/>
  <c r="L33" s="1"/>
  <c r="P2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14"/>
  <c r="Y15" s="1"/>
  <c r="Y16" s="1"/>
  <c r="Y17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M17" i="2" l="1"/>
  <c r="AN17" s="1"/>
  <c r="E17" s="1"/>
  <c r="H15" i="82" s="1"/>
  <c r="B14" i="7"/>
  <c r="AM18" i="2" l="1"/>
  <c r="AN18" s="1"/>
  <c r="E18" s="1"/>
  <c r="H16" i="82" s="1"/>
  <c r="B15" i="7"/>
  <c r="AM19" i="2" l="1"/>
  <c r="AN19" s="1"/>
  <c r="E19" s="1"/>
  <c r="H17" i="82" s="1"/>
  <c r="B16" i="7"/>
  <c r="AT36"/>
  <c r="AT37" s="1"/>
  <c r="W16" i="76"/>
  <c r="W15"/>
  <c r="AL21" i="2" l="1"/>
  <c r="AM20"/>
  <c r="AN20" s="1"/>
  <c r="E20" s="1"/>
  <c r="H18" i="82" s="1"/>
  <c r="B17" i="7"/>
  <c r="E6" i="3"/>
  <c r="AL22" i="2" l="1"/>
  <c r="AM21"/>
  <c r="AN21" s="1"/>
  <c r="E21" s="1"/>
  <c r="H19" i="82" s="1"/>
  <c r="B18" i="7"/>
  <c r="AL23" i="2" l="1"/>
  <c r="AM22"/>
  <c r="AN22" s="1"/>
  <c r="E22" s="1"/>
  <c r="H20" i="82" s="1"/>
  <c r="B19" i="7"/>
  <c r="K5" i="73"/>
  <c r="G5"/>
  <c r="D5"/>
  <c r="AL24" i="2" l="1"/>
  <c r="AM23"/>
  <c r="AN23" s="1"/>
  <c r="E23" s="1"/>
  <c r="H21" i="82" s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AS35" s="1"/>
  <c r="D7" i="75"/>
  <c r="E7" s="1"/>
  <c r="J6" i="65"/>
  <c r="J5"/>
  <c r="J10"/>
  <c r="J8"/>
  <c r="I36" i="76"/>
  <c r="K36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D14" i="65"/>
  <c r="AG13" i="2"/>
  <c r="AG6"/>
  <c r="H14" i="65"/>
  <c r="B4" i="63"/>
  <c r="AF14" i="2"/>
  <c r="H15" i="65" s="1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Q34" l="1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AS39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I37"/>
  <c r="K31" i="81"/>
  <c r="J35" i="5"/>
  <c r="L31" i="81" s="1"/>
  <c r="K38" i="5" l="1"/>
  <c r="D6" i="77"/>
  <c r="E6" s="1"/>
  <c r="F6" s="1"/>
  <c r="G6"/>
  <c r="AC28" i="76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reading was taken at 8:30AM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taken at 3:00am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<sst xmlns="http://schemas.openxmlformats.org/spreadsheetml/2006/main" count="667" uniqueCount="423">
  <si>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</si>
  <si>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</si>
  <si>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</si>
  <si>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</si>
  <si>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</si>
  <si>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</si>
  <si>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</si>
  <si>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</si>
  <si>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</si>
  <si>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</si>
  <si>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</si>
  <si>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</si>
  <si>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</si>
  <si>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</si>
  <si>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</si>
  <si>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</si>
  <si>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</si>
  <si>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</si>
  <si>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</si>
  <si>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</si>
  <si>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</si>
  <si>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</si>
  <si>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</si>
  <si>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</si>
  <si>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</si>
  <si>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</si>
  <si>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</si>
  <si>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</si>
  <si>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</si>
  <si>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</si>
  <si>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</si>
  <si>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</si>
  <si>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</si>
  <si>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</si>
  <si>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</si>
  <si>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</si>
  <si>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</si>
  <si>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</si>
  <si>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</si>
  <si>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</si>
  <si>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</si>
  <si>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</si>
  <si>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</si>
  <si>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</si>
  <si>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</si>
  <si>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</si>
  <si>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</si>
  <si>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</si>
  <si>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</si>
  <si>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</si>
  <si>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</si>
  <si>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</si>
  <si>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</si>
  <si>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</si>
  <si>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</si>
  <si>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</si>
  <si>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</si>
  <si>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</si>
  <si>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</si>
  <si>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</si>
  <si>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</si>
  <si>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</si>
  <si>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</si>
  <si>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</si>
  <si>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</si>
  <si>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</si>
  <si>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</si>
  <si>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</si>
  <si>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</si>
  <si>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</si>
  <si>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</si>
  <si>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</si>
  <si>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</si>
  <si>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</si>
  <si>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</si>
  <si>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</si>
  <si>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</si>
  <si>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</si>
  <si>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</si>
  <si>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</si>
  <si>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</si>
  <si>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</si>
  <si>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</si>
  <si>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</si>
  <si>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</si>
  <si>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</si>
  <si>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</si>
  <si>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</si>
  <si>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</si>
  <si>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</si>
  <si>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</si>
  <si>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</si>
  <si>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</si>
  <si>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</si>
  <si>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</si>
  <si>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</si>
  <si>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</si>
  <si>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</si>
  <si>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</si>
  <si>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</si>
  <si>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</si>
  <si>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</si>
  <si>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</si>
  <si>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</si>
  <si>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</si>
  <si>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</si>
  <si>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</si>
  <si>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</si>
  <si>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</si>
  <si>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</si>
  <si>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</si>
  <si>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</si>
  <si>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</si>
  <si>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</si>
  <si>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</si>
  <si>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</si>
  <si>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</si>
  <si>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</si>
  <si>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</si>
  <si>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</si>
  <si>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</si>
  <si>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</si>
  <si>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</si>
  <si>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</si>
  <si>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</si>
  <si>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</si>
  <si>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</si>
  <si>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</si>
  <si>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</si>
  <si>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</si>
  <si>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</si>
  <si>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</si>
  <si>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</si>
  <si>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</si>
  <si>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</si>
  <si>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</si>
  <si>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</si>
  <si>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</si>
  <si>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</si>
  <si>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</si>
  <si>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</si>
  <si>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</si>
  <si>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</si>
  <si>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</si>
  <si>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</si>
  <si>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</si>
  <si>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</si>
  <si>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</si>
  <si>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</si>
  <si>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</si>
  <si>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</si>
  <si>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</si>
  <si>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</si>
  <si>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</si>
  <si>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</si>
  <si>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</si>
  <si>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</si>
  <si>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</si>
  <si>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</si>
  <si>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</si>
  <si>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</si>
  <si>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</si>
  <si>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</si>
  <si>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</si>
  <si>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</si>
  <si>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</si>
  <si>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</si>
  <si>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</si>
  <si>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</si>
  <si>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</si>
  <si>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</si>
  <si>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</si>
  <si>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</si>
  <si>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</si>
  <si>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</si>
  <si>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</si>
  <si>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</si>
  <si>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</si>
  <si>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</si>
  <si>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</si>
  <si>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</si>
  <si>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</si>
  <si>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</si>
  <si>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</si>
  <si>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</si>
  <si>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</si>
  <si>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</si>
  <si>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</si>
  <si>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</si>
  <si>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</si>
  <si>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</si>
  <si>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</si>
  <si>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</si>
  <si>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</si>
  <si>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</si>
  <si>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</si>
  <si>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</si>
  <si>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</si>
  <si>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</si>
  <si>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</si>
  <si>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</si>
  <si>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</si>
  <si>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</si>
  <si>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</si>
  <si>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</si>
  <si>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</si>
  <si>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</si>
  <si>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</si>
  <si>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</si>
  <si>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</si>
  <si>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</si>
  <si>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</si>
  <si>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</si>
  <si>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</si>
  <si>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</si>
  <si>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</si>
  <si>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</si>
  <si>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</si>
  <si>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</si>
  <si>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</si>
  <si>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</si>
  <si>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</si>
  <si>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</si>
  <si>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</si>
  <si>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</si>
  <si>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</si>
  <si>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</si>
  <si>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</si>
  <si>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</si>
  <si>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</si>
  <si>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</si>
  <si>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</si>
  <si>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</si>
  <si>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</si>
  <si>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</si>
  <si>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</si>
  <si>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</si>
  <si>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</si>
  <si>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</si>
  <si>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</si>
  <si>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</si>
  <si>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</si>
  <si>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</si>
  <si>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</si>
  <si>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</si>
  <si>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</si>
  <si>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</si>
  <si>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</si>
  <si>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</si>
  <si>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</si>
  <si>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</si>
  <si>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</si>
  <si>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</si>
  <si>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</si>
  <si>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</si>
  <si>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</si>
  <si>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</si>
  <si>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</si>
  <si>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</si>
  <si>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</si>
  <si>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</si>
  <si>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</si>
  <si>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</si>
  <si>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</si>
  <si>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</si>
  <si>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</si>
  <si>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</si>
  <si>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</si>
  <si>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</si>
  <si>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</si>
  <si>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</si>
  <si>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</si>
  <si>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</si>
  <si>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</si>
  <si>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</si>
  <si>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</si>
  <si>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</si>
  <si>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</si>
  <si>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</si>
  <si>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</si>
  <si>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</si>
  <si>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</si>
  <si>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</si>
  <si>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</si>
  <si>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</si>
  <si>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</si>
  <si>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</si>
  <si>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</si>
  <si>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</si>
  <si>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</si>
  <si>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</si>
  <si>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</si>
  <si>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</si>
  <si>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</si>
  <si>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</si>
  <si>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</si>
  <si>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</si>
  <si>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</si>
  <si>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</si>
  <si>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</si>
  <si>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</si>
  <si>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</si>
  <si>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</si>
  <si>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</si>
  <si>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</si>
  <si>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</si>
  <si>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</si>
  <si>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</si>
  <si>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</si>
  <si>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</si>
  <si>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</si>
  <si>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</si>
  <si>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</si>
  <si>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</si>
  <si>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</si>
  <si>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</si>
  <si>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</si>
  <si>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</si>
  <si>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</si>
  <si>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</si>
  <si>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</si>
  <si>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</si>
  <si>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</si>
  <si>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</si>
  <si>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</si>
  <si>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</si>
  <si>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</si>
  <si>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</si>
  <si>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</si>
  <si>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</si>
  <si>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</si>
  <si>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</si>
  <si>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</si>
  <si>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</si>
  <si>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</si>
  <si>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</si>
  <si>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</si>
  <si>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</si>
  <si>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</si>
  <si>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</si>
  <si>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</si>
  <si>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</si>
  <si>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</si>
  <si>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</si>
  <si>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</si>
  <si>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</si>
  <si>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</si>
  <si>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</si>
  <si>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</si>
  <si>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</si>
  <si>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</si>
  <si>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</si>
  <si>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</si>
  <si>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</si>
  <si>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</si>
  <si>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</si>
  <si>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</si>
  <si>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</si>
  <si>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</si>
  <si>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</si>
  <si>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</si>
  <si>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</si>
  <si>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</si>
  <si>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</si>
  <si>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</si>
  <si>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</si>
  <si>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</si>
  <si>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</si>
  <si>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</si>
  <si>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</si>
  <si>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</si>
  <si>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</si>
  <si>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</si>
  <si>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</si>
  <si>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</si>
  <si>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</si>
  <si>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</si>
  <si>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</si>
  <si>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</si>
  <si>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</si>
  <si>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</si>
  <si>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</si>
  <si>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</si>
  <si>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</si>
  <si>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</si>
  <si>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</si>
  <si>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</si>
  <si>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</si>
  <si>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</si>
  <si>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</si>
  <si>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</si>
  <si>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</si>
  <si>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</si>
  <si>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</si>
  <si>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</si>
  <si>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</si>
  <si>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</si>
  <si>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</si>
  <si>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</si>
  <si>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</si>
  <si>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</si>
  <si>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</si>
  <si>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</si>
  <si>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</si>
  <si>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</si>
  <si>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</si>
  <si>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</si>
  <si>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</si>
  <si>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</si>
  <si>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</si>
  <si>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</si>
  <si>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</si>
  <si>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</si>
  <si>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</si>
  <si>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</si>
  <si>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</si>
  <si>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</si>
  <si>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</si>
  <si>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</si>
  <si>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</si>
  <si>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</si>
  <si>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</si>
  <si>
    <t>off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</si>
</sst>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8" borderId="1" xfId="1" applyNumberFormat="1" applyFont="1" applyFill="1" applyBorder="1" applyAlignment="1">
      <alignment wrapText="1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2140672"/>
        <c:axId val="112142208"/>
      </c:lineChart>
      <c:catAx>
        <c:axId val="11214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42208"/>
        <c:crosses val="autoZero"/>
        <c:auto val="1"/>
        <c:lblAlgn val="ctr"/>
        <c:lblOffset val="100"/>
      </c:catAx>
      <c:valAx>
        <c:axId val="11214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4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2154496"/>
        <c:axId val="112156032"/>
      </c:lineChart>
      <c:catAx>
        <c:axId val="11215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56032"/>
        <c:crosses val="autoZero"/>
        <c:auto val="1"/>
        <c:lblAlgn val="ctr"/>
        <c:lblOffset val="100"/>
      </c:catAx>
      <c:valAx>
        <c:axId val="11215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5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04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2172416"/>
        <c:axId val="112178304"/>
      </c:lineChart>
      <c:catAx>
        <c:axId val="1121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78304"/>
        <c:crosses val="autoZero"/>
        <c:auto val="1"/>
        <c:lblAlgn val="ctr"/>
        <c:lblOffset val="100"/>
      </c:catAx>
      <c:valAx>
        <c:axId val="1121783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721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2460928"/>
        <c:axId val="112462464"/>
      </c:lineChart>
      <c:catAx>
        <c:axId val="1124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62464"/>
        <c:crosses val="autoZero"/>
        <c:auto val="1"/>
        <c:lblAlgn val="ctr"/>
        <c:lblOffset val="100"/>
      </c:catAx>
      <c:valAx>
        <c:axId val="112462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60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2491136"/>
        <c:axId val="112492928"/>
      </c:lineChart>
      <c:catAx>
        <c:axId val="11249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92928"/>
        <c:crosses val="autoZero"/>
        <c:auto val="1"/>
        <c:lblAlgn val="ctr"/>
        <c:lblOffset val="100"/>
      </c:catAx>
      <c:valAx>
        <c:axId val="112492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9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4397952"/>
        <c:axId val="114399488"/>
      </c:lineChart>
      <c:catAx>
        <c:axId val="11439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99488"/>
        <c:crosses val="autoZero"/>
        <c:auto val="1"/>
        <c:lblAlgn val="ctr"/>
        <c:lblOffset val="100"/>
      </c:catAx>
      <c:valAx>
        <c:axId val="11439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9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6070656"/>
        <c:axId val="116076544"/>
      </c:lineChart>
      <c:catAx>
        <c:axId val="11607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6544"/>
        <c:crosses val="autoZero"/>
        <c:auto val="1"/>
        <c:lblAlgn val="ctr"/>
        <c:lblOffset val="100"/>
      </c:catAx>
      <c:valAx>
        <c:axId val="11607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6101120"/>
        <c:axId val="116102656"/>
      </c:lineChart>
      <c:catAx>
        <c:axId val="11610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02656"/>
        <c:crosses val="autoZero"/>
        <c:auto val="1"/>
        <c:lblAlgn val="ctr"/>
        <c:lblOffset val="100"/>
      </c:catAx>
      <c:valAx>
        <c:axId val="11610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0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6868608"/>
        <c:axId val="116870144"/>
      </c:lineChart>
      <c:catAx>
        <c:axId val="1168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70144"/>
        <c:crosses val="autoZero"/>
        <c:auto val="1"/>
        <c:lblAlgn val="ctr"/>
        <c:lblOffset val="100"/>
      </c:catAx>
      <c:valAx>
        <c:axId val="116870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691"/>
          <c:w val="0.1272403315177479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7009408"/>
        <c:axId val="117015296"/>
      </c:lineChart>
      <c:catAx>
        <c:axId val="11700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15296"/>
        <c:crosses val="autoZero"/>
        <c:auto val="1"/>
        <c:lblAlgn val="ctr"/>
        <c:lblOffset val="100"/>
      </c:catAx>
      <c:valAx>
        <c:axId val="11701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5670144"/>
        <c:axId val="125671680"/>
      </c:lineChart>
      <c:catAx>
        <c:axId val="12567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1680"/>
        <c:crosses val="autoZero"/>
        <c:auto val="1"/>
        <c:lblAlgn val="ctr"/>
        <c:lblOffset val="100"/>
      </c:catAx>
      <c:valAx>
        <c:axId val="125671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60946816"/>
        <c:axId val="160948608"/>
      </c:lineChart>
      <c:catAx>
        <c:axId val="16094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8608"/>
        <c:crosses val="autoZero"/>
        <c:auto val="1"/>
        <c:lblAlgn val="ctr"/>
        <c:lblOffset val="100"/>
      </c:catAx>
      <c:valAx>
        <c:axId val="16094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51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184</c:v>
                </c:pt>
                <c:pt idx="16">
                  <c:v>82</c:v>
                </c:pt>
                <c:pt idx="17">
                  <c:v>139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61252096"/>
        <c:axId val="161253632"/>
      </c:lineChart>
      <c:catAx>
        <c:axId val="1612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53632"/>
        <c:crosses val="autoZero"/>
        <c:auto val="1"/>
        <c:lblAlgn val="ctr"/>
        <c:lblOffset val="100"/>
      </c:catAx>
      <c:valAx>
        <c:axId val="16125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691"/>
          <c:w val="0.1354168853893624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61282304"/>
        <c:axId val="200286208"/>
      </c:lineChart>
      <c:catAx>
        <c:axId val="16128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286208"/>
        <c:crosses val="autoZero"/>
        <c:auto val="1"/>
        <c:lblAlgn val="ctr"/>
        <c:lblOffset val="100"/>
      </c:catAx>
      <c:valAx>
        <c:axId val="200286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8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69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200307072"/>
        <c:axId val="200308608"/>
      </c:lineChart>
      <c:catAx>
        <c:axId val="20030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308608"/>
        <c:crosses val="autoZero"/>
        <c:auto val="1"/>
        <c:lblAlgn val="ctr"/>
        <c:lblOffset val="100"/>
      </c:catAx>
      <c:valAx>
        <c:axId val="200308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30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200411008"/>
        <c:axId val="200412544"/>
      </c:lineChart>
      <c:catAx>
        <c:axId val="20041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12544"/>
        <c:crosses val="autoZero"/>
        <c:auto val="1"/>
        <c:lblAlgn val="ctr"/>
        <c:lblOffset val="100"/>
      </c:catAx>
      <c:valAx>
        <c:axId val="20041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691"/>
          <c:w val="0.1354168853893624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200433024"/>
        <c:axId val="200447104"/>
      </c:lineChart>
      <c:catAx>
        <c:axId val="2004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47104"/>
        <c:crosses val="autoZero"/>
        <c:auto val="1"/>
        <c:lblAlgn val="ctr"/>
        <c:lblOffset val="100"/>
      </c:catAx>
      <c:valAx>
        <c:axId val="200447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17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-2246.3225806451665</c:v>
                </c:pt>
                <c:pt idx="15">
                  <c:v>-3680.1290322580317</c:v>
                </c:pt>
                <c:pt idx="16">
                  <c:v>-4223.483870967757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200471680"/>
        <c:axId val="200473216"/>
      </c:lineChart>
      <c:catAx>
        <c:axId val="20047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73216"/>
        <c:crosses val="autoZero"/>
        <c:auto val="1"/>
        <c:lblAlgn val="ctr"/>
        <c:lblOffset val="100"/>
      </c:catAx>
      <c:valAx>
        <c:axId val="200473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200891392"/>
        <c:axId val="200901376"/>
      </c:lineChart>
      <c:catAx>
        <c:axId val="20089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901376"/>
        <c:crosses val="autoZero"/>
        <c:auto val="1"/>
        <c:lblAlgn val="ctr"/>
        <c:lblOffset val="100"/>
      </c:catAx>
      <c:valAx>
        <c:axId val="20090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89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28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201020160"/>
        <c:axId val="201021696"/>
      </c:lineChart>
      <c:catAx>
        <c:axId val="2010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021696"/>
        <c:crosses val="autoZero"/>
        <c:auto val="1"/>
        <c:lblAlgn val="ctr"/>
        <c:lblOffset val="100"/>
      </c:catAx>
      <c:valAx>
        <c:axId val="201021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0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55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201038080"/>
        <c:axId val="201043968"/>
      </c:lineChart>
      <c:catAx>
        <c:axId val="20103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043968"/>
        <c:crosses val="autoZero"/>
        <c:auto val="1"/>
        <c:lblAlgn val="ctr"/>
        <c:lblOffset val="100"/>
      </c:catAx>
      <c:valAx>
        <c:axId val="2010439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03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202317824"/>
        <c:axId val="202319360"/>
      </c:lineChart>
      <c:catAx>
        <c:axId val="2023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319360"/>
        <c:crosses val="autoZero"/>
        <c:auto val="1"/>
        <c:lblAlgn val="ctr"/>
        <c:lblOffset val="100"/>
      </c:catAx>
      <c:valAx>
        <c:axId val="20231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3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78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202360320"/>
        <c:axId val="202361856"/>
      </c:lineChart>
      <c:catAx>
        <c:axId val="20236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361856"/>
        <c:crosses val="autoZero"/>
        <c:auto val="1"/>
        <c:lblAlgn val="ctr"/>
        <c:lblOffset val="100"/>
      </c:catAx>
      <c:valAx>
        <c:axId val="20236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36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69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202525696"/>
        <c:axId val="202556160"/>
      </c:lineChart>
      <c:catAx>
        <c:axId val="20252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556160"/>
        <c:crosses val="autoZero"/>
        <c:auto val="1"/>
        <c:lblAlgn val="ctr"/>
        <c:lblOffset val="100"/>
      </c:catAx>
      <c:valAx>
        <c:axId val="20255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52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604"/>
          <c:w val="0.1234311819809360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202639232"/>
        <c:axId val="202640768"/>
      </c:lineChart>
      <c:catAx>
        <c:axId val="202639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40768"/>
        <c:crosses val="autoZero"/>
        <c:auto val="1"/>
        <c:lblAlgn val="ctr"/>
        <c:lblOffset val="100"/>
      </c:catAx>
      <c:valAx>
        <c:axId val="2026407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3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308"/>
          <c:w val="0.1569039853282290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202656768"/>
        <c:axId val="202683136"/>
      </c:lineChart>
      <c:catAx>
        <c:axId val="20265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83136"/>
        <c:crosses val="autoZero"/>
        <c:auto val="1"/>
        <c:lblAlgn val="ctr"/>
        <c:lblOffset val="100"/>
      </c:catAx>
      <c:valAx>
        <c:axId val="202683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93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203375744"/>
        <c:axId val="203377280"/>
      </c:lineChart>
      <c:catAx>
        <c:axId val="20337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377280"/>
        <c:crosses val="autoZero"/>
        <c:auto val="1"/>
        <c:lblAlgn val="ctr"/>
        <c:lblOffset val="100"/>
      </c:catAx>
      <c:valAx>
        <c:axId val="20337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37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41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205304192"/>
        <c:axId val="205305728"/>
      </c:lineChart>
      <c:catAx>
        <c:axId val="2053041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305728"/>
        <c:crosses val="autoZero"/>
        <c:auto val="1"/>
        <c:lblAlgn val="ctr"/>
        <c:lblOffset val="100"/>
      </c:catAx>
      <c:valAx>
        <c:axId val="2053057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30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30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12390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0.44676947747476664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0.19803241478950806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0.14657169733861009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0.19955771137986522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0.44758355593759624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0.35022595698820352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0.16054062877156483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0.31853204216196668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0.36711189488491686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0.10975339833544528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0.35841242852382665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0.25953866676179138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0.38243212905476281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0.32534135116193585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13190</v>
      </c>
      <c r="F16" s="328">
        <f>SUM('EDl log'!T18)</f>
        <v>0.17522832805140184</v>
      </c>
      <c r="G16" s="203">
        <f>-tanks!AW20</f>
        <v>184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12267</v>
      </c>
      <c r="F17" s="328">
        <f>SUM('EDl log'!T19)</f>
        <v>0.32124374224849955</v>
      </c>
      <c r="G17" s="203">
        <f>-tanks!AW21</f>
        <v>82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220</v>
      </c>
      <c r="L17" s="329">
        <f>SUM(WATER!J21)</f>
        <v>1.1363636363636365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12955</v>
      </c>
      <c r="F18" s="328">
        <f>SUM('EDl log'!T20)</f>
        <v>0.33862796624660313</v>
      </c>
      <c r="G18" s="203">
        <f>-tanks!AW22</f>
        <v>139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8">
        <f>SUM('EDl log'!T21)</f>
        <v>0</v>
      </c>
      <c r="G19" s="203">
        <f>-tanks!AW23</f>
        <v>0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0</v>
      </c>
      <c r="L19" s="329">
        <f>SUM(WATER!J23)</f>
        <v>0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1.05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1.05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1.05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1.05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1.05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1.05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1.05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1.05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1.05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1.05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1.05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1.05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2324</v>
      </c>
      <c r="F16" s="203">
        <f>ELEC!K18</f>
        <v>4824</v>
      </c>
      <c r="G16" s="203">
        <f>ELEC!I18</f>
        <v>996</v>
      </c>
      <c r="H16" s="203">
        <f>ELEC!E18</f>
        <v>4340</v>
      </c>
      <c r="I16" s="203">
        <f>ELEC!G18</f>
        <v>706</v>
      </c>
      <c r="J16" s="203">
        <f>WATER!Y20</f>
        <v>113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2344</v>
      </c>
      <c r="F17" s="203">
        <f>ELEC!K19</f>
        <v>3468</v>
      </c>
      <c r="G17" s="203">
        <f>ELEC!I19</f>
        <v>1038</v>
      </c>
      <c r="H17" s="203">
        <f>ELEC!E19</f>
        <v>4710</v>
      </c>
      <c r="I17" s="203">
        <f>ELEC!G19</f>
        <v>707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2272</v>
      </c>
      <c r="F18" s="203">
        <f>ELEC!K20</f>
        <v>2328</v>
      </c>
      <c r="G18" s="203">
        <f>ELEC!I20</f>
        <v>1094</v>
      </c>
      <c r="H18" s="203">
        <f>ELEC!E20</f>
        <v>6488</v>
      </c>
      <c r="I18" s="203">
        <f>ELEC!G20</f>
        <v>773</v>
      </c>
      <c r="J18" s="203">
        <f>WATER!Y22</f>
        <v>58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abSelected="1" topLeftCell="P1" zoomScale="90" zoomScaleNormal="90" zoomScaleSheetLayoutView="100" workbookViewId="0">
      <pane ySplit="2" topLeftCell="A3" activePane="bottomLeft" state="frozen"/>
      <selection activeCell="C1" sqref="C1"/>
      <selection pane="bottomLeft" activeCell="R20" sqref="R20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8" t="s">
        <v>418</v>
      </c>
      <c r="AL1" s="648"/>
      <c r="AM1" s="648"/>
      <c r="AN1" s="649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09" t="s">
        <v>417</v>
      </c>
      <c r="AL2" s="610" t="s">
        <v>416</v>
      </c>
      <c r="AM2" s="610" t="s">
        <v>391</v>
      </c>
      <c r="AN2" s="627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1">
        <v>44347</v>
      </c>
      <c r="AK3" s="633">
        <v>333631</v>
      </c>
      <c r="AL3" s="633">
        <v>431020</v>
      </c>
      <c r="AM3" s="634">
        <f>AK3+AL3</f>
        <v>764651</v>
      </c>
      <c r="AN3" s="634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7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6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1">
        <v>44348</v>
      </c>
      <c r="AK4" s="462">
        <v>335894</v>
      </c>
      <c r="AL4" s="634">
        <v>431712</v>
      </c>
      <c r="AM4" s="634">
        <f>AK4+AL4</f>
        <v>767606</v>
      </c>
      <c r="AN4" s="634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7">
        <v>4032752.4</v>
      </c>
      <c r="G5" s="310">
        <f>F5-F4</f>
        <v>826.79999999981374</v>
      </c>
      <c r="H5" s="638">
        <v>17886168</v>
      </c>
      <c r="I5" s="310">
        <f>H5-H4</f>
        <v>1106</v>
      </c>
      <c r="J5" s="639">
        <v>29134362</v>
      </c>
      <c r="K5" s="310">
        <f>J5-J4</f>
        <v>5676</v>
      </c>
      <c r="L5" s="638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0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8">
        <v>32576</v>
      </c>
      <c r="X5" s="446">
        <f t="shared" si="3"/>
        <v>14</v>
      </c>
      <c r="Y5" s="639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1">
        <v>44349</v>
      </c>
      <c r="AK5" s="462">
        <v>338482</v>
      </c>
      <c r="AL5" s="634">
        <v>431719</v>
      </c>
      <c r="AM5" s="634">
        <f t="shared" ref="AM5:AM33" si="13">AK5+AL5</f>
        <v>770201</v>
      </c>
      <c r="AN5" s="634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1">
        <v>44350</v>
      </c>
      <c r="AK6" s="462">
        <v>342095</v>
      </c>
      <c r="AL6" s="635">
        <v>431919</v>
      </c>
      <c r="AM6" s="634">
        <f t="shared" si="13"/>
        <v>774014</v>
      </c>
      <c r="AN6" s="634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1">
        <v>44351</v>
      </c>
      <c r="AK7" s="462">
        <v>345431</v>
      </c>
      <c r="AL7" s="635">
        <v>432394</v>
      </c>
      <c r="AM7" s="634">
        <f t="shared" si="13"/>
        <v>777825</v>
      </c>
      <c r="AN7" s="634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1">
        <v>44352</v>
      </c>
      <c r="AK8" s="462">
        <v>348088</v>
      </c>
      <c r="AL8" s="635">
        <v>432341</v>
      </c>
      <c r="AM8" s="634">
        <f t="shared" si="13"/>
        <v>780429</v>
      </c>
      <c r="AN8" s="634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1">
        <v>44353</v>
      </c>
      <c r="AK9" s="462">
        <v>350597</v>
      </c>
      <c r="AL9" s="635">
        <v>432717</v>
      </c>
      <c r="AM9" s="634">
        <f t="shared" si="13"/>
        <v>783314</v>
      </c>
      <c r="AN9" s="634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1">
        <v>44354</v>
      </c>
      <c r="AK10" s="462">
        <v>354127</v>
      </c>
      <c r="AL10" s="635">
        <v>432929</v>
      </c>
      <c r="AM10" s="634">
        <f t="shared" si="13"/>
        <v>787056</v>
      </c>
      <c r="AN10" s="634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4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1">
        <v>44355</v>
      </c>
      <c r="AK11" s="462">
        <v>356725</v>
      </c>
      <c r="AL11" s="635">
        <v>433345</v>
      </c>
      <c r="AM11" s="634">
        <f t="shared" si="13"/>
        <v>790070</v>
      </c>
      <c r="AN11" s="634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4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1">
        <v>44356</v>
      </c>
      <c r="AK12" s="462">
        <v>359901</v>
      </c>
      <c r="AL12" s="635">
        <v>433515</v>
      </c>
      <c r="AM12" s="634">
        <f t="shared" si="13"/>
        <v>793416</v>
      </c>
      <c r="AN12" s="634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4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1">
        <v>44357</v>
      </c>
      <c r="AK13" s="462">
        <v>365855</v>
      </c>
      <c r="AL13" s="635">
        <v>433805</v>
      </c>
      <c r="AM13" s="634">
        <f t="shared" si="13"/>
        <v>799660</v>
      </c>
      <c r="AN13" s="634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4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1">
        <v>44358</v>
      </c>
      <c r="AK14" s="462">
        <v>373315</v>
      </c>
      <c r="AL14" s="635">
        <v>433992</v>
      </c>
      <c r="AM14" s="634">
        <f t="shared" si="13"/>
        <v>807307</v>
      </c>
      <c r="AN14" s="634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4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1">
        <v>44359</v>
      </c>
      <c r="AK15" s="462">
        <v>379256</v>
      </c>
      <c r="AL15" s="635">
        <v>434243</v>
      </c>
      <c r="AM15" s="634">
        <f t="shared" si="13"/>
        <v>813499</v>
      </c>
      <c r="AN15" s="634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4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1">
        <v>44360</v>
      </c>
      <c r="AK16" s="462">
        <v>385143</v>
      </c>
      <c r="AL16" s="635">
        <v>434485</v>
      </c>
      <c r="AM16" s="634">
        <f t="shared" si="13"/>
        <v>819628</v>
      </c>
      <c r="AN16" s="634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4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1">
        <v>44361</v>
      </c>
      <c r="AK17" s="462">
        <v>390620</v>
      </c>
      <c r="AL17" s="635">
        <v>434842</v>
      </c>
      <c r="AM17" s="634">
        <f t="shared" si="13"/>
        <v>825462</v>
      </c>
      <c r="AN17" s="634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4340</v>
      </c>
      <c r="F18" s="639">
        <v>4041954</v>
      </c>
      <c r="G18" s="310">
        <f t="shared" si="15"/>
        <v>706</v>
      </c>
      <c r="H18" s="638">
        <v>17898706</v>
      </c>
      <c r="I18" s="310">
        <f t="shared" si="16"/>
        <v>996</v>
      </c>
      <c r="J18" s="639">
        <v>29198626</v>
      </c>
      <c r="K18" s="310">
        <f t="shared" si="17"/>
        <v>4824</v>
      </c>
      <c r="L18" s="638">
        <v>24269870</v>
      </c>
      <c r="M18" s="310">
        <f t="shared" si="18"/>
        <v>2324</v>
      </c>
      <c r="N18" s="309">
        <f t="shared" si="19"/>
        <v>13190</v>
      </c>
      <c r="O18" s="463">
        <f t="shared" si="27"/>
        <v>0</v>
      </c>
      <c r="P18" s="640">
        <v>17391.748</v>
      </c>
      <c r="Q18" s="446">
        <f t="shared" si="31"/>
        <v>12443.999999999505</v>
      </c>
      <c r="R18" s="446">
        <f t="shared" si="32"/>
        <v>746.00000000049477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638">
        <v>32702</v>
      </c>
      <c r="X18" s="446">
        <f t="shared" si="26"/>
        <v>11</v>
      </c>
      <c r="Y18" s="639">
        <v>804179</v>
      </c>
      <c r="Z18" s="446">
        <f t="shared" si="25"/>
        <v>2338</v>
      </c>
      <c r="AA18" s="638">
        <v>36020</v>
      </c>
      <c r="AB18" s="446">
        <f t="shared" si="21"/>
        <v>6</v>
      </c>
      <c r="AC18" s="639">
        <v>978935</v>
      </c>
      <c r="AD18" s="446">
        <f t="shared" ref="AD18:AD31" si="33">AC18-AC17</f>
        <v>1240</v>
      </c>
      <c r="AE18" s="468">
        <f t="shared" si="12"/>
        <v>17</v>
      </c>
      <c r="AF18" s="469">
        <f t="shared" si="4"/>
        <v>3578</v>
      </c>
      <c r="AG18" s="461">
        <f t="shared" si="28"/>
        <v>210.47058823529412</v>
      </c>
      <c r="AI18" s="462">
        <f>R18-'EDl log'!B18</f>
        <v>-1066781.9999999995</v>
      </c>
      <c r="AJ18" s="611">
        <v>44362</v>
      </c>
      <c r="AK18" s="633">
        <v>394712</v>
      </c>
      <c r="AL18" s="633">
        <v>435090</v>
      </c>
      <c r="AM18" s="634">
        <f t="shared" si="13"/>
        <v>829802</v>
      </c>
      <c r="AN18" s="634">
        <f t="shared" si="23"/>
        <v>4340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4710</v>
      </c>
      <c r="F19" s="442">
        <v>4042661</v>
      </c>
      <c r="G19" s="310">
        <f t="shared" si="15"/>
        <v>707</v>
      </c>
      <c r="H19" s="442">
        <v>17899744</v>
      </c>
      <c r="I19" s="310">
        <f t="shared" si="16"/>
        <v>1038</v>
      </c>
      <c r="J19" s="442">
        <v>29202094</v>
      </c>
      <c r="K19" s="310">
        <f t="shared" si="17"/>
        <v>3468</v>
      </c>
      <c r="L19" s="442">
        <v>24272214</v>
      </c>
      <c r="M19" s="310">
        <f t="shared" si="18"/>
        <v>2344</v>
      </c>
      <c r="N19" s="309">
        <f t="shared" si="19"/>
        <v>12267</v>
      </c>
      <c r="O19" s="463">
        <f t="shared" si="27"/>
        <v>0</v>
      </c>
      <c r="P19" s="584">
        <v>17405.023000000001</v>
      </c>
      <c r="Q19" s="446">
        <f t="shared" si="31"/>
        <v>13275.000000001455</v>
      </c>
      <c r="R19" s="446">
        <f t="shared" si="32"/>
        <v>-1008.0000000014552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v>32709</v>
      </c>
      <c r="X19" s="446">
        <f t="shared" si="26"/>
        <v>7</v>
      </c>
      <c r="Y19" s="442">
        <v>805616</v>
      </c>
      <c r="Z19" s="446">
        <f t="shared" si="25"/>
        <v>1437</v>
      </c>
      <c r="AA19" s="442">
        <v>36028</v>
      </c>
      <c r="AB19" s="446">
        <f t="shared" si="21"/>
        <v>8</v>
      </c>
      <c r="AC19" s="442">
        <v>980604</v>
      </c>
      <c r="AD19" s="446">
        <f t="shared" si="33"/>
        <v>1669</v>
      </c>
      <c r="AE19" s="468">
        <f t="shared" si="12"/>
        <v>15</v>
      </c>
      <c r="AF19" s="469">
        <f t="shared" si="4"/>
        <v>3106</v>
      </c>
      <c r="AG19" s="461">
        <f t="shared" si="28"/>
        <v>207.06666666666666</v>
      </c>
      <c r="AI19" s="462">
        <f>R19-'EDl log'!B19</f>
        <v>-1069350.0000000014</v>
      </c>
      <c r="AJ19" s="611">
        <v>44363</v>
      </c>
      <c r="AK19" s="462">
        <v>399112</v>
      </c>
      <c r="AL19" s="635">
        <v>435400</v>
      </c>
      <c r="AM19" s="634">
        <f t="shared" si="13"/>
        <v>834512</v>
      </c>
      <c r="AN19" s="634">
        <f t="shared" si="23"/>
        <v>4710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6488</v>
      </c>
      <c r="F20" s="442">
        <v>4043434</v>
      </c>
      <c r="G20" s="310">
        <f t="shared" si="15"/>
        <v>773</v>
      </c>
      <c r="H20" s="442">
        <v>17900838</v>
      </c>
      <c r="I20" s="310">
        <f t="shared" si="16"/>
        <v>1094</v>
      </c>
      <c r="J20" s="442">
        <v>29204422</v>
      </c>
      <c r="K20" s="310">
        <f t="shared" si="17"/>
        <v>2328</v>
      </c>
      <c r="L20" s="442">
        <v>24274486</v>
      </c>
      <c r="M20" s="310">
        <f t="shared" si="18"/>
        <v>2272</v>
      </c>
      <c r="N20" s="309">
        <f t="shared" si="19"/>
        <v>12955</v>
      </c>
      <c r="O20" s="463">
        <f t="shared" si="27"/>
        <v>0</v>
      </c>
      <c r="P20" s="584">
        <v>17415.099999999999</v>
      </c>
      <c r="Q20" s="446">
        <f t="shared" si="31"/>
        <v>10076.999999997497</v>
      </c>
      <c r="R20" s="446">
        <f t="shared" si="32"/>
        <v>2878.0000000025029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v>32709</v>
      </c>
      <c r="X20" s="446">
        <f t="shared" si="26"/>
        <v>0</v>
      </c>
      <c r="Y20" s="442">
        <f t="shared" si="30"/>
        <v>805616</v>
      </c>
      <c r="Z20" s="446">
        <f t="shared" si="25"/>
        <v>0</v>
      </c>
      <c r="AA20" s="442">
        <v>36044</v>
      </c>
      <c r="AB20" s="446">
        <f t="shared" si="21"/>
        <v>16</v>
      </c>
      <c r="AC20" s="442">
        <v>983863</v>
      </c>
      <c r="AD20" s="446">
        <f t="shared" si="33"/>
        <v>3259</v>
      </c>
      <c r="AE20" s="468">
        <f t="shared" si="12"/>
        <v>16</v>
      </c>
      <c r="AF20" s="469">
        <f t="shared" si="4"/>
        <v>3259</v>
      </c>
      <c r="AG20" s="461">
        <f t="shared" si="28"/>
        <v>203.6875</v>
      </c>
      <c r="AI20" s="462">
        <f>R20-'EDl log'!B20</f>
        <v>-1065944.9999999974</v>
      </c>
      <c r="AJ20" s="611">
        <v>44364</v>
      </c>
      <c r="AK20" s="462">
        <v>405216</v>
      </c>
      <c r="AL20" s="635">
        <v>435784</v>
      </c>
      <c r="AM20" s="634">
        <f t="shared" si="13"/>
        <v>841000</v>
      </c>
      <c r="AN20" s="634">
        <f t="shared" si="23"/>
        <v>6488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0</v>
      </c>
      <c r="F21" s="442">
        <f t="shared" ref="F20:F33" si="34">F20</f>
        <v>4043434</v>
      </c>
      <c r="G21" s="310">
        <f t="shared" si="15"/>
        <v>0</v>
      </c>
      <c r="H21" s="442">
        <f t="shared" ref="H20:H33" si="35">H20</f>
        <v>17900838</v>
      </c>
      <c r="I21" s="310">
        <f t="shared" si="16"/>
        <v>0</v>
      </c>
      <c r="J21" s="442">
        <f t="shared" ref="J20:J33" si="36">J20</f>
        <v>29204422</v>
      </c>
      <c r="K21" s="310">
        <f t="shared" si="17"/>
        <v>0</v>
      </c>
      <c r="L21" s="442">
        <f t="shared" ref="L20:L33" si="37">L20</f>
        <v>24274486</v>
      </c>
      <c r="M21" s="310">
        <f t="shared" si="18"/>
        <v>0</v>
      </c>
      <c r="N21" s="309">
        <f t="shared" si="19"/>
        <v>0</v>
      </c>
      <c r="O21" s="463">
        <f t="shared" si="27"/>
        <v>0</v>
      </c>
      <c r="P21" s="584">
        <f t="shared" ref="P20:P33" si="38">P20</f>
        <v>17415.099999999999</v>
      </c>
      <c r="Q21" s="446">
        <f>(P21-P20)*1000</f>
        <v>0</v>
      </c>
      <c r="R21" s="446">
        <f t="shared" si="32"/>
        <v>0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f t="shared" si="29"/>
        <v>32709</v>
      </c>
      <c r="X21" s="446">
        <f t="shared" si="26"/>
        <v>0</v>
      </c>
      <c r="Y21" s="442">
        <f t="shared" si="30"/>
        <v>805616</v>
      </c>
      <c r="Z21" s="446">
        <f t="shared" si="25"/>
        <v>0</v>
      </c>
      <c r="AA21" s="442">
        <f t="shared" si="10"/>
        <v>36044</v>
      </c>
      <c r="AB21" s="446">
        <f t="shared" si="21"/>
        <v>0</v>
      </c>
      <c r="AC21" s="442">
        <f t="shared" si="11"/>
        <v>983863</v>
      </c>
      <c r="AD21" s="446">
        <f t="shared" si="33"/>
        <v>0</v>
      </c>
      <c r="AE21" s="468">
        <f t="shared" si="12"/>
        <v>0</v>
      </c>
      <c r="AF21" s="469">
        <f t="shared" si="4"/>
        <v>0</v>
      </c>
      <c r="AG21" s="461">
        <f t="shared" si="28"/>
        <v>0</v>
      </c>
      <c r="AI21" s="462">
        <f>R21-'EDl log'!B21</f>
        <v>-1068823</v>
      </c>
      <c r="AJ21" s="611">
        <v>44365</v>
      </c>
      <c r="AK21" s="462">
        <f t="shared" ref="AK20:AK33" si="39">AK20</f>
        <v>405216</v>
      </c>
      <c r="AL21" s="635">
        <f t="shared" ref="AL20:AL33" si="40">AL20</f>
        <v>435784</v>
      </c>
      <c r="AM21" s="634">
        <f t="shared" si="13"/>
        <v>841000</v>
      </c>
      <c r="AN21" s="634">
        <f t="shared" si="23"/>
        <v>0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si="34"/>
        <v>4043434</v>
      </c>
      <c r="G22" s="310">
        <f t="shared" si="15"/>
        <v>0</v>
      </c>
      <c r="H22" s="442">
        <f t="shared" si="35"/>
        <v>17900838</v>
      </c>
      <c r="I22" s="310">
        <f t="shared" si="16"/>
        <v>0</v>
      </c>
      <c r="J22" s="442">
        <f t="shared" si="36"/>
        <v>29204422</v>
      </c>
      <c r="K22" s="310">
        <f t="shared" si="17"/>
        <v>0</v>
      </c>
      <c r="L22" s="442">
        <f t="shared" si="37"/>
        <v>24274486</v>
      </c>
      <c r="M22" s="310">
        <f t="shared" si="18"/>
        <v>0</v>
      </c>
      <c r="N22" s="309">
        <f t="shared" si="19"/>
        <v>0</v>
      </c>
      <c r="O22" s="463">
        <f t="shared" si="27"/>
        <v>0</v>
      </c>
      <c r="P22" s="584">
        <f t="shared" si="38"/>
        <v>17415.099999999999</v>
      </c>
      <c r="Q22" s="446">
        <f t="shared" si="31"/>
        <v>0</v>
      </c>
      <c r="R22" s="446">
        <f t="shared" si="32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29"/>
        <v>32709</v>
      </c>
      <c r="X22" s="446">
        <f t="shared" si="26"/>
        <v>0</v>
      </c>
      <c r="Y22" s="442">
        <f t="shared" si="30"/>
        <v>805616</v>
      </c>
      <c r="Z22" s="446">
        <f t="shared" si="25"/>
        <v>0</v>
      </c>
      <c r="AA22" s="442">
        <f t="shared" si="10"/>
        <v>36044</v>
      </c>
      <c r="AB22" s="446">
        <f t="shared" si="21"/>
        <v>0</v>
      </c>
      <c r="AC22" s="442">
        <f t="shared" si="11"/>
        <v>983863</v>
      </c>
      <c r="AD22" s="446">
        <f t="shared" si="33"/>
        <v>0</v>
      </c>
      <c r="AE22" s="468">
        <f t="shared" si="12"/>
        <v>0</v>
      </c>
      <c r="AF22" s="469">
        <f t="shared" si="4"/>
        <v>0</v>
      </c>
      <c r="AG22" s="461">
        <f t="shared" si="28"/>
        <v>0</v>
      </c>
      <c r="AI22" s="462">
        <f>R22-'EDl log'!B22</f>
        <v>-1068823</v>
      </c>
      <c r="AJ22" s="611">
        <v>44366</v>
      </c>
      <c r="AK22" s="462">
        <f t="shared" si="39"/>
        <v>405216</v>
      </c>
      <c r="AL22" s="635">
        <f t="shared" si="40"/>
        <v>435784</v>
      </c>
      <c r="AM22" s="634">
        <f t="shared" si="13"/>
        <v>841000</v>
      </c>
      <c r="AN22" s="634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34"/>
        <v>4043434</v>
      </c>
      <c r="G23" s="310">
        <f t="shared" si="15"/>
        <v>0</v>
      </c>
      <c r="H23" s="442">
        <f t="shared" si="35"/>
        <v>17900838</v>
      </c>
      <c r="I23" s="310">
        <f t="shared" si="16"/>
        <v>0</v>
      </c>
      <c r="J23" s="442">
        <f t="shared" si="36"/>
        <v>29204422</v>
      </c>
      <c r="K23" s="310">
        <f t="shared" si="17"/>
        <v>0</v>
      </c>
      <c r="L23" s="442">
        <f t="shared" si="37"/>
        <v>24274486</v>
      </c>
      <c r="M23" s="310">
        <f t="shared" si="18"/>
        <v>0</v>
      </c>
      <c r="N23" s="309">
        <f t="shared" si="19"/>
        <v>0</v>
      </c>
      <c r="O23" s="463">
        <f t="shared" si="27"/>
        <v>0</v>
      </c>
      <c r="P23" s="584">
        <f t="shared" si="38"/>
        <v>17415.099999999999</v>
      </c>
      <c r="Q23" s="446">
        <f t="shared" si="31"/>
        <v>0</v>
      </c>
      <c r="R23" s="446">
        <f t="shared" si="32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29"/>
        <v>32709</v>
      </c>
      <c r="X23" s="446">
        <f t="shared" si="26"/>
        <v>0</v>
      </c>
      <c r="Y23" s="442">
        <f t="shared" si="30"/>
        <v>805616</v>
      </c>
      <c r="Z23" s="446">
        <f t="shared" si="25"/>
        <v>0</v>
      </c>
      <c r="AA23" s="442">
        <f t="shared" si="10"/>
        <v>36044</v>
      </c>
      <c r="AB23" s="446">
        <f t="shared" si="21"/>
        <v>0</v>
      </c>
      <c r="AC23" s="442">
        <f t="shared" si="11"/>
        <v>983863</v>
      </c>
      <c r="AD23" s="446">
        <f t="shared" si="33"/>
        <v>0</v>
      </c>
      <c r="AE23" s="468">
        <f t="shared" si="12"/>
        <v>0</v>
      </c>
      <c r="AF23" s="469">
        <f t="shared" si="4"/>
        <v>0</v>
      </c>
      <c r="AG23" s="461">
        <f t="shared" si="28"/>
        <v>0</v>
      </c>
      <c r="AI23" s="462">
        <f>R23-'EDl log'!B23</f>
        <v>-1068823</v>
      </c>
      <c r="AJ23" s="611">
        <v>44367</v>
      </c>
      <c r="AK23" s="462">
        <f t="shared" si="39"/>
        <v>405216</v>
      </c>
      <c r="AL23" s="635">
        <f t="shared" si="40"/>
        <v>435784</v>
      </c>
      <c r="AM23" s="634">
        <f t="shared" si="13"/>
        <v>841000</v>
      </c>
      <c r="AN23" s="634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34"/>
        <v>4043434</v>
      </c>
      <c r="G24" s="310">
        <f t="shared" si="15"/>
        <v>0</v>
      </c>
      <c r="H24" s="442">
        <f t="shared" si="35"/>
        <v>17900838</v>
      </c>
      <c r="I24" s="435">
        <f t="shared" si="16"/>
        <v>0</v>
      </c>
      <c r="J24" s="442">
        <f t="shared" si="36"/>
        <v>29204422</v>
      </c>
      <c r="K24" s="310">
        <f t="shared" si="17"/>
        <v>0</v>
      </c>
      <c r="L24" s="442">
        <f t="shared" si="37"/>
        <v>24274486</v>
      </c>
      <c r="M24" s="310">
        <f t="shared" si="18"/>
        <v>0</v>
      </c>
      <c r="N24" s="309">
        <f t="shared" si="19"/>
        <v>0</v>
      </c>
      <c r="O24" s="463">
        <f t="shared" si="27"/>
        <v>0</v>
      </c>
      <c r="P24" s="584">
        <f t="shared" si="38"/>
        <v>17415.099999999999</v>
      </c>
      <c r="Q24" s="446">
        <f t="shared" si="31"/>
        <v>0</v>
      </c>
      <c r="R24" s="446">
        <f t="shared" si="32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32709</v>
      </c>
      <c r="X24" s="446">
        <f t="shared" si="26"/>
        <v>0</v>
      </c>
      <c r="Y24" s="442">
        <f t="shared" si="30"/>
        <v>805616</v>
      </c>
      <c r="Z24" s="446">
        <f t="shared" si="25"/>
        <v>0</v>
      </c>
      <c r="AA24" s="442">
        <f t="shared" si="10"/>
        <v>36044</v>
      </c>
      <c r="AB24" s="446">
        <f t="shared" si="21"/>
        <v>0</v>
      </c>
      <c r="AC24" s="442">
        <f t="shared" si="11"/>
        <v>983863</v>
      </c>
      <c r="AD24" s="446">
        <f t="shared" si="33"/>
        <v>0</v>
      </c>
      <c r="AE24" s="468">
        <f t="shared" si="12"/>
        <v>0</v>
      </c>
      <c r="AF24" s="469">
        <f t="shared" si="4"/>
        <v>0</v>
      </c>
      <c r="AG24" s="461">
        <f t="shared" si="28"/>
        <v>0</v>
      </c>
      <c r="AI24" s="462">
        <f>R24-'EDl log'!B24</f>
        <v>-1068823</v>
      </c>
      <c r="AJ24" s="611">
        <v>44368</v>
      </c>
      <c r="AK24" s="462">
        <f t="shared" si="39"/>
        <v>405216</v>
      </c>
      <c r="AL24" s="635">
        <f t="shared" si="40"/>
        <v>435784</v>
      </c>
      <c r="AM24" s="634">
        <f t="shared" si="13"/>
        <v>841000</v>
      </c>
      <c r="AN24" s="634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34"/>
        <v>4043434</v>
      </c>
      <c r="G25" s="310">
        <f t="shared" si="15"/>
        <v>0</v>
      </c>
      <c r="H25" s="442">
        <f t="shared" si="35"/>
        <v>17900838</v>
      </c>
      <c r="I25" s="310">
        <f t="shared" si="16"/>
        <v>0</v>
      </c>
      <c r="J25" s="442">
        <f t="shared" si="36"/>
        <v>29204422</v>
      </c>
      <c r="K25" s="310">
        <f t="shared" si="17"/>
        <v>0</v>
      </c>
      <c r="L25" s="442">
        <f t="shared" si="37"/>
        <v>24274486</v>
      </c>
      <c r="M25" s="310">
        <f t="shared" si="18"/>
        <v>0</v>
      </c>
      <c r="N25" s="309">
        <f t="shared" si="19"/>
        <v>0</v>
      </c>
      <c r="O25" s="463">
        <f t="shared" si="27"/>
        <v>0</v>
      </c>
      <c r="P25" s="584">
        <f t="shared" si="38"/>
        <v>17415.099999999999</v>
      </c>
      <c r="Q25" s="446">
        <f t="shared" si="31"/>
        <v>0</v>
      </c>
      <c r="R25" s="446">
        <f t="shared" si="32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29"/>
        <v>32709</v>
      </c>
      <c r="X25" s="446">
        <f t="shared" si="26"/>
        <v>0</v>
      </c>
      <c r="Y25" s="442">
        <f t="shared" si="30"/>
        <v>805616</v>
      </c>
      <c r="Z25" s="446">
        <f t="shared" si="25"/>
        <v>0</v>
      </c>
      <c r="AA25" s="442">
        <f t="shared" si="10"/>
        <v>36044</v>
      </c>
      <c r="AB25" s="446">
        <f t="shared" si="21"/>
        <v>0</v>
      </c>
      <c r="AC25" s="442">
        <f t="shared" si="11"/>
        <v>983863</v>
      </c>
      <c r="AD25" s="446">
        <f t="shared" si="33"/>
        <v>0</v>
      </c>
      <c r="AE25" s="468">
        <f t="shared" si="12"/>
        <v>0</v>
      </c>
      <c r="AF25" s="469">
        <f t="shared" si="4"/>
        <v>0</v>
      </c>
      <c r="AG25" s="461">
        <f t="shared" si="28"/>
        <v>0</v>
      </c>
      <c r="AI25" s="462">
        <f>R25-'EDl log'!B25</f>
        <v>-1068823</v>
      </c>
      <c r="AJ25" s="611">
        <v>44369</v>
      </c>
      <c r="AK25" s="462">
        <f t="shared" si="39"/>
        <v>405216</v>
      </c>
      <c r="AL25" s="635">
        <f t="shared" si="40"/>
        <v>435784</v>
      </c>
      <c r="AM25" s="634">
        <f t="shared" si="13"/>
        <v>841000</v>
      </c>
      <c r="AN25" s="634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34"/>
        <v>4043434</v>
      </c>
      <c r="G26" s="310">
        <f t="shared" si="15"/>
        <v>0</v>
      </c>
      <c r="H26" s="442">
        <f t="shared" si="35"/>
        <v>17900838</v>
      </c>
      <c r="I26" s="310">
        <f t="shared" si="16"/>
        <v>0</v>
      </c>
      <c r="J26" s="442">
        <f t="shared" si="36"/>
        <v>29204422</v>
      </c>
      <c r="K26" s="310">
        <f t="shared" si="17"/>
        <v>0</v>
      </c>
      <c r="L26" s="442">
        <f t="shared" si="37"/>
        <v>24274486</v>
      </c>
      <c r="M26" s="310">
        <f t="shared" si="18"/>
        <v>0</v>
      </c>
      <c r="N26" s="309">
        <f t="shared" si="19"/>
        <v>0</v>
      </c>
      <c r="O26" s="463">
        <f t="shared" si="27"/>
        <v>0</v>
      </c>
      <c r="P26" s="584">
        <f t="shared" si="38"/>
        <v>17415.099999999999</v>
      </c>
      <c r="Q26" s="446">
        <f t="shared" si="31"/>
        <v>0</v>
      </c>
      <c r="R26" s="446">
        <f t="shared" si="32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29"/>
        <v>32709</v>
      </c>
      <c r="X26" s="446">
        <f t="shared" si="26"/>
        <v>0</v>
      </c>
      <c r="Y26" s="442">
        <f t="shared" si="30"/>
        <v>805616</v>
      </c>
      <c r="Z26" s="446">
        <f t="shared" si="25"/>
        <v>0</v>
      </c>
      <c r="AA26" s="442">
        <f t="shared" si="10"/>
        <v>36044</v>
      </c>
      <c r="AB26" s="446">
        <f t="shared" si="21"/>
        <v>0</v>
      </c>
      <c r="AC26" s="442">
        <f t="shared" si="11"/>
        <v>983863</v>
      </c>
      <c r="AD26" s="446">
        <f t="shared" si="33"/>
        <v>0</v>
      </c>
      <c r="AE26" s="468">
        <f t="shared" si="12"/>
        <v>0</v>
      </c>
      <c r="AF26" s="469">
        <f t="shared" si="4"/>
        <v>0</v>
      </c>
      <c r="AG26" s="461">
        <f t="shared" si="28"/>
        <v>0</v>
      </c>
      <c r="AI26" s="462">
        <f>R26-'EDl log'!B26</f>
        <v>-1068823</v>
      </c>
      <c r="AJ26" s="611">
        <v>44370</v>
      </c>
      <c r="AK26" s="462">
        <f t="shared" si="39"/>
        <v>405216</v>
      </c>
      <c r="AL26" s="635">
        <f t="shared" si="40"/>
        <v>435784</v>
      </c>
      <c r="AM26" s="634">
        <f t="shared" si="13"/>
        <v>841000</v>
      </c>
      <c r="AN26" s="634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34"/>
        <v>4043434</v>
      </c>
      <c r="G27" s="310">
        <f t="shared" si="15"/>
        <v>0</v>
      </c>
      <c r="H27" s="442">
        <f t="shared" si="35"/>
        <v>17900838</v>
      </c>
      <c r="I27" s="310">
        <f t="shared" si="16"/>
        <v>0</v>
      </c>
      <c r="J27" s="442">
        <f t="shared" si="36"/>
        <v>29204422</v>
      </c>
      <c r="K27" s="310">
        <f t="shared" si="17"/>
        <v>0</v>
      </c>
      <c r="L27" s="442">
        <f t="shared" si="37"/>
        <v>24274486</v>
      </c>
      <c r="M27" s="310">
        <f t="shared" si="18"/>
        <v>0</v>
      </c>
      <c r="N27" s="309">
        <f t="shared" si="19"/>
        <v>0</v>
      </c>
      <c r="O27" s="463">
        <f t="shared" si="27"/>
        <v>0</v>
      </c>
      <c r="P27" s="584">
        <f t="shared" si="38"/>
        <v>17415.099999999999</v>
      </c>
      <c r="Q27" s="446">
        <f t="shared" si="31"/>
        <v>0</v>
      </c>
      <c r="R27" s="446">
        <f t="shared" si="32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29"/>
        <v>32709</v>
      </c>
      <c r="X27" s="446">
        <f t="shared" si="26"/>
        <v>0</v>
      </c>
      <c r="Y27" s="442">
        <f t="shared" si="30"/>
        <v>805616</v>
      </c>
      <c r="Z27" s="446">
        <f t="shared" si="25"/>
        <v>0</v>
      </c>
      <c r="AA27" s="442">
        <f t="shared" si="10"/>
        <v>36044</v>
      </c>
      <c r="AB27" s="446">
        <f t="shared" si="21"/>
        <v>0</v>
      </c>
      <c r="AC27" s="442">
        <f t="shared" si="11"/>
        <v>983863</v>
      </c>
      <c r="AD27" s="446">
        <f t="shared" si="33"/>
        <v>0</v>
      </c>
      <c r="AE27" s="468">
        <f t="shared" si="12"/>
        <v>0</v>
      </c>
      <c r="AF27" s="469">
        <f t="shared" si="4"/>
        <v>0</v>
      </c>
      <c r="AG27" s="461">
        <f t="shared" si="28"/>
        <v>0</v>
      </c>
      <c r="AI27" s="462">
        <f>R27-'EDl log'!B27</f>
        <v>-1068823</v>
      </c>
      <c r="AJ27" s="611">
        <v>44371</v>
      </c>
      <c r="AK27" s="462">
        <f t="shared" si="39"/>
        <v>405216</v>
      </c>
      <c r="AL27" s="635">
        <f t="shared" si="40"/>
        <v>435784</v>
      </c>
      <c r="AM27" s="634">
        <f t="shared" si="13"/>
        <v>841000</v>
      </c>
      <c r="AN27" s="634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34"/>
        <v>4043434</v>
      </c>
      <c r="G28" s="310">
        <f>F28-F27</f>
        <v>0</v>
      </c>
      <c r="H28" s="442">
        <f t="shared" si="35"/>
        <v>17900838</v>
      </c>
      <c r="I28" s="310">
        <f t="shared" si="16"/>
        <v>0</v>
      </c>
      <c r="J28" s="442">
        <f t="shared" si="36"/>
        <v>29204422</v>
      </c>
      <c r="K28" s="310">
        <f t="shared" si="17"/>
        <v>0</v>
      </c>
      <c r="L28" s="442">
        <f t="shared" si="37"/>
        <v>24274486</v>
      </c>
      <c r="M28" s="310">
        <f t="shared" si="18"/>
        <v>0</v>
      </c>
      <c r="N28" s="309">
        <f t="shared" si="19"/>
        <v>0</v>
      </c>
      <c r="O28" s="463">
        <f t="shared" si="27"/>
        <v>0</v>
      </c>
      <c r="P28" s="584">
        <f t="shared" si="38"/>
        <v>17415.099999999999</v>
      </c>
      <c r="Q28" s="446">
        <f t="shared" si="31"/>
        <v>0</v>
      </c>
      <c r="R28" s="446">
        <f t="shared" si="32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29"/>
        <v>32709</v>
      </c>
      <c r="X28" s="446">
        <f t="shared" si="26"/>
        <v>0</v>
      </c>
      <c r="Y28" s="442">
        <f t="shared" si="30"/>
        <v>805616</v>
      </c>
      <c r="Z28" s="446">
        <f t="shared" si="25"/>
        <v>0</v>
      </c>
      <c r="AA28" s="442">
        <f t="shared" si="10"/>
        <v>36044</v>
      </c>
      <c r="AB28" s="446">
        <f t="shared" si="21"/>
        <v>0</v>
      </c>
      <c r="AC28" s="442">
        <f t="shared" si="11"/>
        <v>983863</v>
      </c>
      <c r="AD28" s="446">
        <f t="shared" si="33"/>
        <v>0</v>
      </c>
      <c r="AE28" s="468">
        <f t="shared" si="12"/>
        <v>0</v>
      </c>
      <c r="AF28" s="469">
        <f t="shared" si="4"/>
        <v>0</v>
      </c>
      <c r="AG28" s="461">
        <f t="shared" si="28"/>
        <v>0</v>
      </c>
      <c r="AI28" s="462">
        <f>R28-'EDl log'!B28</f>
        <v>-1068823</v>
      </c>
      <c r="AJ28" s="611">
        <v>44372</v>
      </c>
      <c r="AK28" s="462">
        <f t="shared" si="39"/>
        <v>405216</v>
      </c>
      <c r="AL28" s="635">
        <f t="shared" si="40"/>
        <v>435784</v>
      </c>
      <c r="AM28" s="634">
        <f t="shared" si="13"/>
        <v>841000</v>
      </c>
      <c r="AN28" s="634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34"/>
        <v>4043434</v>
      </c>
      <c r="G29" s="310">
        <f t="shared" si="15"/>
        <v>0</v>
      </c>
      <c r="H29" s="442">
        <f t="shared" si="35"/>
        <v>17900838</v>
      </c>
      <c r="I29" s="310">
        <f t="shared" si="16"/>
        <v>0</v>
      </c>
      <c r="J29" s="442">
        <f t="shared" si="36"/>
        <v>29204422</v>
      </c>
      <c r="K29" s="310">
        <f t="shared" si="17"/>
        <v>0</v>
      </c>
      <c r="L29" s="442">
        <f t="shared" si="37"/>
        <v>24274486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4">
        <f t="shared" si="38"/>
        <v>17415.099999999999</v>
      </c>
      <c r="Q29" s="446">
        <f t="shared" si="31"/>
        <v>0</v>
      </c>
      <c r="R29" s="446">
        <f t="shared" si="32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29"/>
        <v>32709</v>
      </c>
      <c r="X29" s="446">
        <f t="shared" si="26"/>
        <v>0</v>
      </c>
      <c r="Y29" s="442">
        <f t="shared" si="30"/>
        <v>805616</v>
      </c>
      <c r="Z29" s="446">
        <f t="shared" si="25"/>
        <v>0</v>
      </c>
      <c r="AA29" s="442">
        <f t="shared" si="10"/>
        <v>36044</v>
      </c>
      <c r="AB29" s="446">
        <f t="shared" si="21"/>
        <v>0</v>
      </c>
      <c r="AC29" s="442">
        <f t="shared" si="11"/>
        <v>983863</v>
      </c>
      <c r="AD29" s="446">
        <f t="shared" si="33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-1068823</v>
      </c>
      <c r="AJ29" s="611">
        <v>44373</v>
      </c>
      <c r="AK29" s="462">
        <f t="shared" si="39"/>
        <v>405216</v>
      </c>
      <c r="AL29" s="635">
        <f t="shared" si="40"/>
        <v>435784</v>
      </c>
      <c r="AM29" s="634">
        <f t="shared" si="13"/>
        <v>841000</v>
      </c>
      <c r="AN29" s="634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34"/>
        <v>4043434</v>
      </c>
      <c r="G30" s="310">
        <f t="shared" si="15"/>
        <v>0</v>
      </c>
      <c r="H30" s="442">
        <f t="shared" si="35"/>
        <v>17900838</v>
      </c>
      <c r="I30" s="310">
        <f t="shared" si="16"/>
        <v>0</v>
      </c>
      <c r="J30" s="442">
        <f t="shared" si="36"/>
        <v>29204422</v>
      </c>
      <c r="K30" s="310">
        <f t="shared" si="17"/>
        <v>0</v>
      </c>
      <c r="L30" s="442">
        <f t="shared" si="37"/>
        <v>24274486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4">
        <f t="shared" si="38"/>
        <v>17415.099999999999</v>
      </c>
      <c r="Q30" s="446">
        <f t="shared" si="31"/>
        <v>0</v>
      </c>
      <c r="R30" s="446">
        <f t="shared" si="32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32709</v>
      </c>
      <c r="X30" s="446">
        <f t="shared" si="26"/>
        <v>0</v>
      </c>
      <c r="Y30" s="442">
        <f t="shared" si="30"/>
        <v>805616</v>
      </c>
      <c r="Z30" s="446">
        <f t="shared" si="25"/>
        <v>0</v>
      </c>
      <c r="AA30" s="442">
        <f t="shared" si="10"/>
        <v>36044</v>
      </c>
      <c r="AB30" s="446">
        <f t="shared" si="21"/>
        <v>0</v>
      </c>
      <c r="AC30" s="442">
        <f t="shared" si="11"/>
        <v>983863</v>
      </c>
      <c r="AD30" s="446">
        <f t="shared" si="33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-1068823</v>
      </c>
      <c r="AJ30" s="611">
        <v>44374</v>
      </c>
      <c r="AK30" s="462">
        <f t="shared" si="39"/>
        <v>405216</v>
      </c>
      <c r="AL30" s="635">
        <f t="shared" si="40"/>
        <v>435784</v>
      </c>
      <c r="AM30" s="634">
        <f t="shared" si="13"/>
        <v>841000</v>
      </c>
      <c r="AN30" s="634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34"/>
        <v>4043434</v>
      </c>
      <c r="G31" s="310">
        <f t="shared" si="15"/>
        <v>0</v>
      </c>
      <c r="H31" s="442">
        <f t="shared" si="35"/>
        <v>17900838</v>
      </c>
      <c r="I31" s="310">
        <f t="shared" si="16"/>
        <v>0</v>
      </c>
      <c r="J31" s="442">
        <f t="shared" si="36"/>
        <v>29204422</v>
      </c>
      <c r="K31" s="310">
        <f t="shared" si="17"/>
        <v>0</v>
      </c>
      <c r="L31" s="442">
        <f t="shared" si="37"/>
        <v>24274486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4">
        <f t="shared" si="38"/>
        <v>17415.099999999999</v>
      </c>
      <c r="Q31" s="446">
        <f t="shared" si="31"/>
        <v>0</v>
      </c>
      <c r="R31" s="446">
        <f t="shared" si="32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29"/>
        <v>32709</v>
      </c>
      <c r="X31" s="466">
        <f t="shared" si="26"/>
        <v>0</v>
      </c>
      <c r="Y31" s="442">
        <f t="shared" si="30"/>
        <v>805616</v>
      </c>
      <c r="Z31" s="446">
        <f t="shared" si="25"/>
        <v>0</v>
      </c>
      <c r="AA31" s="442">
        <f t="shared" si="10"/>
        <v>36044</v>
      </c>
      <c r="AB31" s="446">
        <f t="shared" si="21"/>
        <v>0</v>
      </c>
      <c r="AC31" s="442">
        <f t="shared" si="11"/>
        <v>983863</v>
      </c>
      <c r="AD31" s="446">
        <f t="shared" si="33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-1068823</v>
      </c>
      <c r="AJ31" s="611">
        <v>44375</v>
      </c>
      <c r="AK31" s="462">
        <f t="shared" si="39"/>
        <v>405216</v>
      </c>
      <c r="AL31" s="635">
        <f t="shared" si="40"/>
        <v>435784</v>
      </c>
      <c r="AM31" s="634">
        <f t="shared" si="13"/>
        <v>841000</v>
      </c>
      <c r="AN31" s="634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34"/>
        <v>4043434</v>
      </c>
      <c r="G32" s="310">
        <f t="shared" si="15"/>
        <v>0</v>
      </c>
      <c r="H32" s="442">
        <f t="shared" si="35"/>
        <v>17900838</v>
      </c>
      <c r="I32" s="310">
        <f t="shared" si="16"/>
        <v>0</v>
      </c>
      <c r="J32" s="442">
        <f t="shared" si="36"/>
        <v>29204422</v>
      </c>
      <c r="K32" s="310">
        <f t="shared" si="17"/>
        <v>0</v>
      </c>
      <c r="L32" s="442">
        <f t="shared" si="37"/>
        <v>24274486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8"/>
        <v>17415.099999999999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32709</v>
      </c>
      <c r="X32" s="466">
        <f>W32-W31</f>
        <v>0</v>
      </c>
      <c r="Y32" s="442">
        <f t="shared" si="30"/>
        <v>805616</v>
      </c>
      <c r="Z32" s="446">
        <f>Y32-Y31</f>
        <v>0</v>
      </c>
      <c r="AA32" s="442">
        <f t="shared" si="10"/>
        <v>36044</v>
      </c>
      <c r="AB32" s="446">
        <f>AA32-AA31</f>
        <v>0</v>
      </c>
      <c r="AC32" s="442">
        <f t="shared" si="11"/>
        <v>983863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-1068823</v>
      </c>
      <c r="AJ32" s="611">
        <v>44376</v>
      </c>
      <c r="AK32" s="462">
        <f t="shared" si="39"/>
        <v>405216</v>
      </c>
      <c r="AL32" s="635">
        <f t="shared" si="40"/>
        <v>435784</v>
      </c>
      <c r="AM32" s="634">
        <f t="shared" si="13"/>
        <v>841000</v>
      </c>
      <c r="AN32" s="634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4"/>
        <v>4043434</v>
      </c>
      <c r="G33" s="310">
        <f t="shared" si="15"/>
        <v>0</v>
      </c>
      <c r="H33" s="442">
        <f t="shared" si="35"/>
        <v>17900838</v>
      </c>
      <c r="I33" s="310">
        <f t="shared" si="16"/>
        <v>0</v>
      </c>
      <c r="J33" s="442">
        <f t="shared" si="36"/>
        <v>29204422</v>
      </c>
      <c r="K33" s="310">
        <f t="shared" si="17"/>
        <v>0</v>
      </c>
      <c r="L33" s="442">
        <f t="shared" si="37"/>
        <v>24274486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8"/>
        <v>17415.099999999999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32709</v>
      </c>
      <c r="X33" s="466">
        <f>W33-W32</f>
        <v>0</v>
      </c>
      <c r="Y33" s="442">
        <f t="shared" si="30"/>
        <v>805616</v>
      </c>
      <c r="Z33" s="446">
        <f>Y33-Y32</f>
        <v>0</v>
      </c>
      <c r="AA33" s="442">
        <f t="shared" si="10"/>
        <v>36044</v>
      </c>
      <c r="AB33" s="446">
        <f>AA33-AA32</f>
        <v>0</v>
      </c>
      <c r="AC33" s="442">
        <f t="shared" si="11"/>
        <v>983863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-1068823</v>
      </c>
      <c r="AJ33" s="611">
        <v>44377</v>
      </c>
      <c r="AK33" s="462">
        <f t="shared" si="39"/>
        <v>405216</v>
      </c>
      <c r="AL33" s="635">
        <f t="shared" si="40"/>
        <v>435784</v>
      </c>
      <c r="AM33" s="634">
        <f t="shared" si="13"/>
        <v>841000</v>
      </c>
      <c r="AN33" s="634">
        <f t="shared" si="23"/>
        <v>0</v>
      </c>
    </row>
    <row r="34" spans="1:40">
      <c r="AK34" s="612"/>
      <c r="AL34" s="613"/>
      <c r="AM34" s="613"/>
      <c r="AN34" s="613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zoomScale="90" zoomScaleNormal="90" workbookViewId="0">
      <pane ySplit="1" topLeftCell="A2" activePane="bottomLeft" state="frozen"/>
      <selection activeCell="K1" sqref="K1"/>
      <selection pane="bottomLeft" activeCell="R21" sqref="R2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58" t="s">
        <v>2</v>
      </c>
      <c r="G1" s="659"/>
      <c r="H1" s="659"/>
      <c r="I1" s="660"/>
      <c r="J1" s="281">
        <f>J35</f>
        <v>63.722222222222221</v>
      </c>
      <c r="K1" s="661" t="s">
        <v>4</v>
      </c>
      <c r="L1" s="662"/>
      <c r="M1" s="662"/>
      <c r="N1" s="662"/>
      <c r="O1" s="663"/>
      <c r="P1" s="652" t="s">
        <v>6</v>
      </c>
      <c r="Q1" s="653"/>
      <c r="R1" s="653"/>
      <c r="S1" s="653"/>
      <c r="T1" s="654"/>
      <c r="U1" s="395"/>
      <c r="V1" s="27" t="s">
        <v>104</v>
      </c>
      <c r="W1" s="396"/>
      <c r="X1" s="652" t="s">
        <v>8</v>
      </c>
      <c r="Y1" s="653"/>
      <c r="Z1" s="653"/>
      <c r="AA1" s="653"/>
      <c r="AB1" s="653"/>
      <c r="AC1" s="655" t="s">
        <v>10</v>
      </c>
      <c r="AD1" s="656"/>
      <c r="AE1" s="656"/>
      <c r="AF1" s="657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0"/>
      <c r="R2" s="651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v>225</v>
      </c>
      <c r="C19" s="577">
        <v>231</v>
      </c>
      <c r="D19" s="45">
        <f t="shared" si="32"/>
        <v>-32</v>
      </c>
      <c r="E19" s="45">
        <f t="shared" si="13"/>
        <v>-268.16000000000003</v>
      </c>
      <c r="F19" s="577">
        <v>1850</v>
      </c>
      <c r="G19" s="52">
        <f t="shared" si="0"/>
        <v>2</v>
      </c>
      <c r="H19" s="577">
        <v>14077</v>
      </c>
      <c r="I19" s="394">
        <f t="shared" si="1"/>
        <v>101</v>
      </c>
      <c r="J19" s="66">
        <f t="shared" si="14"/>
        <v>50.5</v>
      </c>
      <c r="K19" s="577">
        <v>2337</v>
      </c>
      <c r="L19" s="52">
        <f t="shared" si="16"/>
        <v>1</v>
      </c>
      <c r="M19" s="577">
        <v>172370</v>
      </c>
      <c r="N19" s="394">
        <f t="shared" si="2"/>
        <v>83</v>
      </c>
      <c r="O19" s="64">
        <f t="shared" ref="O19:O34" si="46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3</v>
      </c>
      <c r="V19" s="62">
        <f t="shared" si="19"/>
        <v>184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184</v>
      </c>
      <c r="AJ19" s="316">
        <f>-tanks!AW20</f>
        <v>184</v>
      </c>
      <c r="AK19" s="316">
        <f t="shared" si="27"/>
        <v>0</v>
      </c>
      <c r="AL19" s="316">
        <f t="shared" si="9"/>
        <v>3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v>213</v>
      </c>
      <c r="C20" s="577">
        <v>219</v>
      </c>
      <c r="D20" s="45">
        <f>C19-C20</f>
        <v>12</v>
      </c>
      <c r="E20" s="45">
        <f t="shared" si="13"/>
        <v>100.56</v>
      </c>
      <c r="F20" s="577">
        <f t="shared" si="42"/>
        <v>1850</v>
      </c>
      <c r="G20" s="52">
        <f t="shared" si="0"/>
        <v>0</v>
      </c>
      <c r="H20" s="577">
        <f t="shared" si="43"/>
        <v>14077</v>
      </c>
      <c r="I20" s="394">
        <f t="shared" si="1"/>
        <v>0</v>
      </c>
      <c r="J20" s="66">
        <f t="shared" si="14"/>
        <v>0</v>
      </c>
      <c r="K20" s="577">
        <f t="shared" si="15"/>
        <v>2337</v>
      </c>
      <c r="L20" s="52">
        <f t="shared" si="16"/>
        <v>0</v>
      </c>
      <c r="M20" s="577">
        <f t="shared" si="17"/>
        <v>172370</v>
      </c>
      <c r="N20" s="394">
        <f t="shared" si="2"/>
        <v>0</v>
      </c>
      <c r="O20" s="64">
        <f t="shared" si="46"/>
        <v>1869</v>
      </c>
      <c r="P20" s="577">
        <v>2104</v>
      </c>
      <c r="Q20" s="577">
        <v>176838</v>
      </c>
      <c r="R20" s="393">
        <f t="shared" si="44"/>
        <v>82</v>
      </c>
      <c r="S20" s="52">
        <f t="shared" si="5"/>
        <v>1</v>
      </c>
      <c r="T20" s="67">
        <f t="shared" si="35"/>
        <v>0</v>
      </c>
      <c r="U20" s="400">
        <f t="shared" si="18"/>
        <v>1</v>
      </c>
      <c r="V20" s="62">
        <f t="shared" si="19"/>
        <v>82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82</v>
      </c>
      <c r="AJ20" s="316">
        <f>-tanks!AW21</f>
        <v>82</v>
      </c>
      <c r="AK20" s="316">
        <f t="shared" si="27"/>
        <v>0</v>
      </c>
      <c r="AL20" s="316">
        <f t="shared" si="9"/>
        <v>1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v>199</v>
      </c>
      <c r="C21" s="577">
        <v>206</v>
      </c>
      <c r="D21" s="45">
        <f t="shared" ref="D21:D32" si="47">C20-C21</f>
        <v>13</v>
      </c>
      <c r="E21" s="45">
        <f t="shared" si="13"/>
        <v>108.94000000000001</v>
      </c>
      <c r="F21" s="577">
        <f t="shared" si="42"/>
        <v>1850</v>
      </c>
      <c r="G21" s="52">
        <f t="shared" si="0"/>
        <v>0</v>
      </c>
      <c r="H21" s="577">
        <v>14125</v>
      </c>
      <c r="I21" s="394">
        <f t="shared" si="1"/>
        <v>48</v>
      </c>
      <c r="J21" s="66">
        <f t="shared" si="14"/>
        <v>0</v>
      </c>
      <c r="K21" s="577">
        <f t="shared" si="15"/>
        <v>2337</v>
      </c>
      <c r="L21" s="52">
        <f t="shared" si="16"/>
        <v>0</v>
      </c>
      <c r="M21" s="577">
        <f t="shared" si="17"/>
        <v>172370</v>
      </c>
      <c r="N21" s="394">
        <f t="shared" si="2"/>
        <v>0</v>
      </c>
      <c r="O21" s="64">
        <f t="shared" si="46"/>
        <v>1869</v>
      </c>
      <c r="P21" s="577">
        <v>2105</v>
      </c>
      <c r="Q21" s="577">
        <v>176929</v>
      </c>
      <c r="R21" s="393">
        <f t="shared" si="44"/>
        <v>91</v>
      </c>
      <c r="S21" s="52">
        <f t="shared" si="5"/>
        <v>1</v>
      </c>
      <c r="T21" s="67">
        <f t="shared" si="35"/>
        <v>0</v>
      </c>
      <c r="U21" s="400">
        <f t="shared" si="18"/>
        <v>1</v>
      </c>
      <c r="V21" s="62">
        <f t="shared" si="19"/>
        <v>139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139</v>
      </c>
      <c r="AJ21" s="316">
        <f>-tanks!AW22</f>
        <v>139</v>
      </c>
      <c r="AK21" s="316">
        <f t="shared" si="27"/>
        <v>0</v>
      </c>
      <c r="AL21" s="316">
        <f t="shared" si="9"/>
        <v>1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f t="shared" ref="B21:B34" si="48">B21</f>
        <v>199</v>
      </c>
      <c r="C22" s="577">
        <f t="shared" ref="C21:C34" si="49">C21</f>
        <v>206</v>
      </c>
      <c r="D22" s="45">
        <f t="shared" si="47"/>
        <v>0</v>
      </c>
      <c r="E22" s="45">
        <f t="shared" si="13"/>
        <v>0</v>
      </c>
      <c r="F22" s="577">
        <f t="shared" si="42"/>
        <v>1850</v>
      </c>
      <c r="G22" s="52">
        <f t="shared" si="0"/>
        <v>0</v>
      </c>
      <c r="H22" s="577">
        <f t="shared" si="43"/>
        <v>14125</v>
      </c>
      <c r="I22" s="394">
        <f t="shared" si="1"/>
        <v>0</v>
      </c>
      <c r="J22" s="66">
        <f t="shared" si="14"/>
        <v>0</v>
      </c>
      <c r="K22" s="577">
        <f t="shared" si="15"/>
        <v>2337</v>
      </c>
      <c r="L22" s="52">
        <f t="shared" si="16"/>
        <v>0</v>
      </c>
      <c r="M22" s="577">
        <f t="shared" si="17"/>
        <v>172370</v>
      </c>
      <c r="N22" s="394">
        <f t="shared" si="2"/>
        <v>0</v>
      </c>
      <c r="O22" s="64">
        <f t="shared" si="46"/>
        <v>1869</v>
      </c>
      <c r="P22" s="577">
        <f t="shared" si="33"/>
        <v>2105</v>
      </c>
      <c r="Q22" s="577">
        <f t="shared" si="34"/>
        <v>176929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0</v>
      </c>
      <c r="V22" s="62">
        <f t="shared" si="19"/>
        <v>0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0</v>
      </c>
      <c r="AJ22" s="316">
        <f>-tanks!AW23</f>
        <v>0</v>
      </c>
      <c r="AK22" s="316">
        <f t="shared" si="27"/>
        <v>0</v>
      </c>
      <c r="AL22" s="316">
        <f t="shared" si="9"/>
        <v>0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si="48"/>
        <v>199</v>
      </c>
      <c r="C23" s="577">
        <f t="shared" si="49"/>
        <v>206</v>
      </c>
      <c r="D23" s="45">
        <f t="shared" si="47"/>
        <v>0</v>
      </c>
      <c r="E23" s="45">
        <f t="shared" si="13"/>
        <v>0</v>
      </c>
      <c r="F23" s="577">
        <f t="shared" si="42"/>
        <v>1850</v>
      </c>
      <c r="G23" s="52">
        <f t="shared" si="0"/>
        <v>0</v>
      </c>
      <c r="H23" s="577">
        <f t="shared" si="43"/>
        <v>14125</v>
      </c>
      <c r="I23" s="394">
        <f t="shared" si="1"/>
        <v>0</v>
      </c>
      <c r="J23" s="66">
        <f t="shared" si="14"/>
        <v>0</v>
      </c>
      <c r="K23" s="577">
        <f t="shared" si="15"/>
        <v>2337</v>
      </c>
      <c r="L23" s="52">
        <f t="shared" si="16"/>
        <v>0</v>
      </c>
      <c r="M23" s="577">
        <f t="shared" si="17"/>
        <v>172370</v>
      </c>
      <c r="N23" s="394">
        <f t="shared" si="2"/>
        <v>0</v>
      </c>
      <c r="O23" s="64">
        <f t="shared" si="46"/>
        <v>1869</v>
      </c>
      <c r="P23" s="577">
        <f t="shared" si="33"/>
        <v>2105</v>
      </c>
      <c r="Q23" s="577">
        <f t="shared" si="34"/>
        <v>176929</v>
      </c>
      <c r="R23" s="393">
        <f t="shared" si="44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8"/>
        <v>199</v>
      </c>
      <c r="C24" s="577">
        <f t="shared" si="49"/>
        <v>206</v>
      </c>
      <c r="D24" s="45">
        <f t="shared" si="47"/>
        <v>0</v>
      </c>
      <c r="E24" s="45">
        <f t="shared" si="13"/>
        <v>0</v>
      </c>
      <c r="F24" s="577">
        <f t="shared" si="42"/>
        <v>1850</v>
      </c>
      <c r="G24" s="52">
        <f t="shared" si="0"/>
        <v>0</v>
      </c>
      <c r="H24" s="577">
        <f t="shared" si="43"/>
        <v>14125</v>
      </c>
      <c r="I24" s="394">
        <f t="shared" si="1"/>
        <v>0</v>
      </c>
      <c r="J24" s="66">
        <f t="shared" si="14"/>
        <v>0</v>
      </c>
      <c r="K24" s="577">
        <f t="shared" si="15"/>
        <v>2337</v>
      </c>
      <c r="L24" s="52">
        <f t="shared" si="16"/>
        <v>0</v>
      </c>
      <c r="M24" s="577">
        <f t="shared" si="17"/>
        <v>172370</v>
      </c>
      <c r="N24" s="394">
        <f t="shared" si="2"/>
        <v>0</v>
      </c>
      <c r="O24" s="64">
        <f t="shared" si="46"/>
        <v>1869</v>
      </c>
      <c r="P24" s="577">
        <f t="shared" si="33"/>
        <v>2105</v>
      </c>
      <c r="Q24" s="577">
        <f t="shared" si="34"/>
        <v>176929</v>
      </c>
      <c r="R24" s="393">
        <f t="shared" si="44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8"/>
        <v>199</v>
      </c>
      <c r="C25" s="577">
        <f t="shared" si="49"/>
        <v>206</v>
      </c>
      <c r="D25" s="45">
        <f t="shared" si="47"/>
        <v>0</v>
      </c>
      <c r="E25" s="45">
        <f t="shared" si="13"/>
        <v>0</v>
      </c>
      <c r="F25" s="577">
        <f t="shared" si="42"/>
        <v>1850</v>
      </c>
      <c r="G25" s="52">
        <f t="shared" si="0"/>
        <v>0</v>
      </c>
      <c r="H25" s="577">
        <f t="shared" si="43"/>
        <v>14125</v>
      </c>
      <c r="I25" s="394">
        <f t="shared" si="1"/>
        <v>0</v>
      </c>
      <c r="J25" s="66">
        <f t="shared" si="14"/>
        <v>0</v>
      </c>
      <c r="K25" s="577">
        <f t="shared" si="15"/>
        <v>2337</v>
      </c>
      <c r="L25" s="52">
        <f t="shared" si="16"/>
        <v>0</v>
      </c>
      <c r="M25" s="577">
        <f t="shared" si="17"/>
        <v>172370</v>
      </c>
      <c r="N25" s="394">
        <f t="shared" si="2"/>
        <v>0</v>
      </c>
      <c r="O25" s="64">
        <f t="shared" si="46"/>
        <v>1869</v>
      </c>
      <c r="P25" s="577">
        <f t="shared" si="33"/>
        <v>2105</v>
      </c>
      <c r="Q25" s="577">
        <f t="shared" si="34"/>
        <v>176929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8"/>
        <v>199</v>
      </c>
      <c r="C26" s="577">
        <f t="shared" si="49"/>
        <v>206</v>
      </c>
      <c r="D26" s="45">
        <f t="shared" si="47"/>
        <v>0</v>
      </c>
      <c r="E26" s="45">
        <f t="shared" si="13"/>
        <v>0</v>
      </c>
      <c r="F26" s="577">
        <f t="shared" si="42"/>
        <v>1850</v>
      </c>
      <c r="G26" s="52">
        <f t="shared" si="0"/>
        <v>0</v>
      </c>
      <c r="H26" s="577">
        <f t="shared" si="43"/>
        <v>14125</v>
      </c>
      <c r="I26" s="394">
        <f t="shared" si="1"/>
        <v>0</v>
      </c>
      <c r="J26" s="66">
        <f t="shared" si="14"/>
        <v>0</v>
      </c>
      <c r="K26" s="577">
        <f t="shared" si="15"/>
        <v>2337</v>
      </c>
      <c r="L26" s="52">
        <f t="shared" si="16"/>
        <v>0</v>
      </c>
      <c r="M26" s="577">
        <f t="shared" si="17"/>
        <v>172370</v>
      </c>
      <c r="N26" s="394">
        <f t="shared" si="2"/>
        <v>0</v>
      </c>
      <c r="O26" s="64">
        <f t="shared" si="46"/>
        <v>1869</v>
      </c>
      <c r="P26" s="577">
        <f t="shared" si="33"/>
        <v>2105</v>
      </c>
      <c r="Q26" s="577">
        <f t="shared" si="34"/>
        <v>176929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8"/>
        <v>199</v>
      </c>
      <c r="C27" s="577">
        <f t="shared" si="49"/>
        <v>206</v>
      </c>
      <c r="D27" s="45">
        <f t="shared" si="47"/>
        <v>0</v>
      </c>
      <c r="E27" s="45">
        <f t="shared" si="13"/>
        <v>0</v>
      </c>
      <c r="F27" s="577">
        <f t="shared" si="42"/>
        <v>1850</v>
      </c>
      <c r="G27" s="52">
        <f t="shared" si="0"/>
        <v>0</v>
      </c>
      <c r="H27" s="577">
        <f t="shared" si="43"/>
        <v>14125</v>
      </c>
      <c r="I27" s="394">
        <f t="shared" si="1"/>
        <v>0</v>
      </c>
      <c r="J27" s="66">
        <f t="shared" si="14"/>
        <v>0</v>
      </c>
      <c r="K27" s="577">
        <f t="shared" si="15"/>
        <v>2337</v>
      </c>
      <c r="L27" s="52">
        <f t="shared" si="16"/>
        <v>0</v>
      </c>
      <c r="M27" s="577">
        <f t="shared" si="17"/>
        <v>172370</v>
      </c>
      <c r="N27" s="394">
        <f t="shared" si="2"/>
        <v>0</v>
      </c>
      <c r="O27" s="64">
        <f t="shared" si="46"/>
        <v>1869</v>
      </c>
      <c r="P27" s="577">
        <f t="shared" si="33"/>
        <v>2105</v>
      </c>
      <c r="Q27" s="577">
        <f t="shared" si="34"/>
        <v>176929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8"/>
        <v>199</v>
      </c>
      <c r="C28" s="577">
        <f t="shared" si="49"/>
        <v>206</v>
      </c>
      <c r="D28" s="45">
        <f t="shared" si="47"/>
        <v>0</v>
      </c>
      <c r="E28" s="45">
        <f t="shared" si="13"/>
        <v>0</v>
      </c>
      <c r="F28" s="577">
        <f t="shared" si="42"/>
        <v>1850</v>
      </c>
      <c r="G28" s="52">
        <f t="shared" si="0"/>
        <v>0</v>
      </c>
      <c r="H28" s="577">
        <f t="shared" si="43"/>
        <v>14125</v>
      </c>
      <c r="I28" s="394">
        <f t="shared" si="1"/>
        <v>0</v>
      </c>
      <c r="J28" s="66">
        <f t="shared" si="14"/>
        <v>0</v>
      </c>
      <c r="K28" s="577">
        <f t="shared" si="15"/>
        <v>2337</v>
      </c>
      <c r="L28" s="52">
        <f t="shared" si="16"/>
        <v>0</v>
      </c>
      <c r="M28" s="577">
        <f t="shared" si="17"/>
        <v>172370</v>
      </c>
      <c r="N28" s="394">
        <f t="shared" si="2"/>
        <v>0</v>
      </c>
      <c r="O28" s="64">
        <f t="shared" si="46"/>
        <v>1869</v>
      </c>
      <c r="P28" s="577">
        <f t="shared" si="33"/>
        <v>2105</v>
      </c>
      <c r="Q28" s="577">
        <f t="shared" si="34"/>
        <v>176929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365755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8"/>
        <v>199</v>
      </c>
      <c r="C29" s="577">
        <f t="shared" si="49"/>
        <v>206</v>
      </c>
      <c r="D29" s="45">
        <f t="shared" si="47"/>
        <v>0</v>
      </c>
      <c r="E29" s="45">
        <f t="shared" si="13"/>
        <v>0</v>
      </c>
      <c r="F29" s="577">
        <f t="shared" si="42"/>
        <v>1850</v>
      </c>
      <c r="G29" s="52">
        <f t="shared" si="0"/>
        <v>0</v>
      </c>
      <c r="H29" s="577">
        <f t="shared" si="43"/>
        <v>14125</v>
      </c>
      <c r="I29" s="394">
        <f t="shared" si="1"/>
        <v>0</v>
      </c>
      <c r="J29" s="66">
        <f t="shared" si="14"/>
        <v>0</v>
      </c>
      <c r="K29" s="577">
        <f t="shared" si="15"/>
        <v>2337</v>
      </c>
      <c r="L29" s="52">
        <f t="shared" si="16"/>
        <v>0</v>
      </c>
      <c r="M29" s="577">
        <f t="shared" si="17"/>
        <v>172370</v>
      </c>
      <c r="N29" s="394">
        <f t="shared" si="2"/>
        <v>0</v>
      </c>
      <c r="O29" s="64">
        <f t="shared" si="46"/>
        <v>1869</v>
      </c>
      <c r="P29" s="577">
        <f t="shared" si="33"/>
        <v>2105</v>
      </c>
      <c r="Q29" s="577">
        <f t="shared" si="34"/>
        <v>176929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365755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8"/>
        <v>199</v>
      </c>
      <c r="C30" s="577">
        <f t="shared" si="49"/>
        <v>206</v>
      </c>
      <c r="D30" s="45">
        <f t="shared" si="47"/>
        <v>0</v>
      </c>
      <c r="E30" s="45">
        <f t="shared" si="13"/>
        <v>0</v>
      </c>
      <c r="F30" s="577">
        <f t="shared" si="42"/>
        <v>1850</v>
      </c>
      <c r="G30" s="52">
        <f t="shared" si="0"/>
        <v>0</v>
      </c>
      <c r="H30" s="577">
        <f t="shared" si="43"/>
        <v>14125</v>
      </c>
      <c r="I30" s="394">
        <f t="shared" si="1"/>
        <v>0</v>
      </c>
      <c r="J30" s="66">
        <f t="shared" si="14"/>
        <v>0</v>
      </c>
      <c r="K30" s="577">
        <f t="shared" si="15"/>
        <v>2337</v>
      </c>
      <c r="L30" s="52">
        <f t="shared" si="16"/>
        <v>0</v>
      </c>
      <c r="M30" s="577">
        <f t="shared" si="17"/>
        <v>172370</v>
      </c>
      <c r="N30" s="394">
        <f t="shared" si="2"/>
        <v>0</v>
      </c>
      <c r="O30" s="64">
        <f t="shared" si="46"/>
        <v>1869</v>
      </c>
      <c r="P30" s="577">
        <f t="shared" si="33"/>
        <v>2105</v>
      </c>
      <c r="Q30" s="577">
        <f t="shared" si="34"/>
        <v>176929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365755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8"/>
        <v>199</v>
      </c>
      <c r="C31" s="577">
        <f t="shared" si="49"/>
        <v>206</v>
      </c>
      <c r="D31" s="45">
        <f t="shared" si="47"/>
        <v>0</v>
      </c>
      <c r="E31" s="45">
        <f t="shared" si="13"/>
        <v>0</v>
      </c>
      <c r="F31" s="577">
        <f t="shared" si="42"/>
        <v>1850</v>
      </c>
      <c r="G31" s="52">
        <f t="shared" si="0"/>
        <v>0</v>
      </c>
      <c r="H31" s="577">
        <f t="shared" si="43"/>
        <v>14125</v>
      </c>
      <c r="I31" s="394">
        <f t="shared" si="1"/>
        <v>0</v>
      </c>
      <c r="J31" s="66">
        <f t="shared" si="14"/>
        <v>0</v>
      </c>
      <c r="K31" s="577">
        <f t="shared" si="15"/>
        <v>2337</v>
      </c>
      <c r="L31" s="52">
        <f t="shared" si="16"/>
        <v>0</v>
      </c>
      <c r="M31" s="577">
        <f t="shared" si="17"/>
        <v>172370</v>
      </c>
      <c r="N31" s="394">
        <f t="shared" si="2"/>
        <v>0</v>
      </c>
      <c r="O31" s="64">
        <f t="shared" si="46"/>
        <v>1869</v>
      </c>
      <c r="P31" s="577">
        <f t="shared" si="33"/>
        <v>2105</v>
      </c>
      <c r="Q31" s="577">
        <f t="shared" si="34"/>
        <v>176929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365755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8"/>
        <v>199</v>
      </c>
      <c r="C32" s="577">
        <f t="shared" si="49"/>
        <v>206</v>
      </c>
      <c r="D32" s="45">
        <f t="shared" si="47"/>
        <v>0</v>
      </c>
      <c r="E32" s="45">
        <f t="shared" si="13"/>
        <v>0</v>
      </c>
      <c r="F32" s="577">
        <f t="shared" si="42"/>
        <v>1850</v>
      </c>
      <c r="G32" s="52">
        <f t="shared" si="0"/>
        <v>0</v>
      </c>
      <c r="H32" s="577">
        <f t="shared" si="43"/>
        <v>14125</v>
      </c>
      <c r="I32" s="394">
        <f t="shared" si="1"/>
        <v>0</v>
      </c>
      <c r="J32" s="66">
        <f t="shared" si="14"/>
        <v>0</v>
      </c>
      <c r="K32" s="577">
        <f t="shared" si="15"/>
        <v>2337</v>
      </c>
      <c r="L32" s="52">
        <f t="shared" si="16"/>
        <v>0</v>
      </c>
      <c r="M32" s="577">
        <f t="shared" si="17"/>
        <v>172370</v>
      </c>
      <c r="N32" s="394">
        <f t="shared" si="2"/>
        <v>0</v>
      </c>
      <c r="O32" s="64">
        <f t="shared" si="46"/>
        <v>1869</v>
      </c>
      <c r="P32" s="577">
        <f t="shared" si="33"/>
        <v>2105</v>
      </c>
      <c r="Q32" s="577">
        <f t="shared" si="34"/>
        <v>176929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365755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8"/>
        <v>199</v>
      </c>
      <c r="C33" s="577">
        <f t="shared" si="49"/>
        <v>206</v>
      </c>
      <c r="D33" s="45">
        <f>C32-C33</f>
        <v>0</v>
      </c>
      <c r="E33" s="45">
        <f>D33*8.38</f>
        <v>0</v>
      </c>
      <c r="F33" s="577">
        <f t="shared" si="42"/>
        <v>1850</v>
      </c>
      <c r="G33" s="52">
        <f>F33-F32</f>
        <v>0</v>
      </c>
      <c r="H33" s="577">
        <f t="shared" si="43"/>
        <v>14125</v>
      </c>
      <c r="I33" s="394">
        <f>SUM(H33-H32)</f>
        <v>0</v>
      </c>
      <c r="J33" s="66">
        <f>IF(G33&gt;0,I33/G33,0)</f>
        <v>0</v>
      </c>
      <c r="K33" s="577">
        <f t="shared" si="15"/>
        <v>2337</v>
      </c>
      <c r="L33" s="52">
        <f>K33-K32</f>
        <v>0</v>
      </c>
      <c r="M33" s="577">
        <f t="shared" si="17"/>
        <v>172370</v>
      </c>
      <c r="N33" s="394">
        <f>M33-M32</f>
        <v>0</v>
      </c>
      <c r="O33" s="64">
        <f t="shared" si="46"/>
        <v>1869</v>
      </c>
      <c r="P33" s="577">
        <f t="shared" si="33"/>
        <v>2105</v>
      </c>
      <c r="Q33" s="577">
        <f t="shared" si="34"/>
        <v>176929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365755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8"/>
        <v>199</v>
      </c>
      <c r="C34" s="577">
        <f t="shared" si="49"/>
        <v>206</v>
      </c>
      <c r="D34" s="45">
        <f>C33-C34</f>
        <v>0</v>
      </c>
      <c r="E34" s="45">
        <f>D34*8.38</f>
        <v>0</v>
      </c>
      <c r="F34" s="577">
        <f t="shared" si="42"/>
        <v>1850</v>
      </c>
      <c r="G34" s="52">
        <f>F34-F33</f>
        <v>0</v>
      </c>
      <c r="H34" s="577">
        <f t="shared" si="43"/>
        <v>14125</v>
      </c>
      <c r="I34" s="394">
        <f>SUM(H34-H33)</f>
        <v>0</v>
      </c>
      <c r="J34" s="66">
        <f>IF(G34&gt;0,I34/G34,0)</f>
        <v>0</v>
      </c>
      <c r="K34" s="577">
        <f t="shared" si="15"/>
        <v>2337</v>
      </c>
      <c r="L34" s="52">
        <f>K34-K33</f>
        <v>0</v>
      </c>
      <c r="M34" s="577">
        <f t="shared" si="17"/>
        <v>172370</v>
      </c>
      <c r="N34" s="394">
        <f>M34-M33</f>
        <v>0</v>
      </c>
      <c r="O34" s="64">
        <f t="shared" si="46"/>
        <v>1869</v>
      </c>
      <c r="P34" s="577">
        <f t="shared" si="33"/>
        <v>2105</v>
      </c>
      <c r="Q34" s="577">
        <f t="shared" si="34"/>
        <v>176929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365755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63.722222222222221</v>
      </c>
      <c r="V35" s="62">
        <f>SUM(V5:V34)</f>
        <v>1912</v>
      </c>
      <c r="AE35" s="71" t="s">
        <v>383</v>
      </c>
      <c r="AG35" s="342"/>
      <c r="AH35" s="62">
        <f>SUM(AH5:AH34)</f>
        <v>255</v>
      </c>
      <c r="AL35" s="62">
        <f>SUM(AL5:AL34)</f>
        <v>24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2167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C1" zoomScale="90" zoomScaleNormal="90" workbookViewId="0">
      <pane ySplit="3" topLeftCell="A4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8069750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7" t="s">
        <v>95</v>
      </c>
      <c r="AS2" s="668"/>
      <c r="AT2" s="668"/>
      <c r="AU2" s="668"/>
      <c r="AV2" s="669"/>
      <c r="AW2" s="667" t="s">
        <v>96</v>
      </c>
      <c r="AX2" s="668"/>
      <c r="AY2" s="669"/>
      <c r="AZ2" s="667" t="s">
        <v>98</v>
      </c>
      <c r="BA2" s="668"/>
      <c r="BB2" s="669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4" t="s">
        <v>126</v>
      </c>
      <c r="AO3" s="665"/>
      <c r="AP3" s="666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6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6783</v>
      </c>
      <c r="L19" s="83">
        <f t="shared" si="39"/>
        <v>1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-1</v>
      </c>
      <c r="AL19" s="325">
        <f t="shared" si="29"/>
        <v>0</v>
      </c>
      <c r="AM19" s="325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6783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v>152149</v>
      </c>
      <c r="Y20" s="322">
        <f t="shared" si="40"/>
        <v>113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113</v>
      </c>
      <c r="AL20" s="325">
        <f t="shared" si="29"/>
        <v>0</v>
      </c>
      <c r="AM20" s="325">
        <f>'General information '!D20</f>
        <v>24.5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v>24</v>
      </c>
      <c r="AU20" s="423">
        <f t="shared" si="41"/>
        <v>1.1000000000000001</v>
      </c>
      <c r="AV20" s="201">
        <v>109</v>
      </c>
      <c r="AW20" s="5">
        <v>2.9</v>
      </c>
      <c r="AX20" s="201">
        <v>72</v>
      </c>
      <c r="AY20" s="424">
        <f>AS20*AT20</f>
        <v>21.6</v>
      </c>
      <c r="AZ20" s="424">
        <f>AU20*AV20</f>
        <v>119.9</v>
      </c>
      <c r="BA20" s="424">
        <f>AW20*AX20</f>
        <v>208.79999999999998</v>
      </c>
      <c r="BB20" s="21">
        <f t="shared" si="47"/>
        <v>-115.20000000000002</v>
      </c>
      <c r="BC20" s="21">
        <f t="shared" si="47"/>
        <v>-5.5</v>
      </c>
      <c r="BD20" s="21">
        <f t="shared" si="47"/>
        <v>124.69999999999999</v>
      </c>
      <c r="BE20" s="24">
        <f>SUM(BB20:BD20)</f>
        <v>3.9999999999999716</v>
      </c>
      <c r="BF20" s="96">
        <f t="shared" si="6"/>
        <v>-3.9999999999999716</v>
      </c>
      <c r="BG20" s="82">
        <f t="shared" si="7"/>
        <v>3.9999999999999716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v>620750</v>
      </c>
      <c r="H21" s="5">
        <f t="shared" si="11"/>
        <v>220</v>
      </c>
      <c r="I21" s="5">
        <f t="shared" si="12"/>
        <v>220</v>
      </c>
      <c r="J21" s="332">
        <f t="shared" si="0"/>
        <v>1.1363636363636365</v>
      </c>
      <c r="K21" s="5">
        <f>'Swimming Pool quality check '!H21</f>
        <v>6784</v>
      </c>
      <c r="L21" s="83">
        <f t="shared" si="39"/>
        <v>1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152149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-1</v>
      </c>
      <c r="AL21" s="325">
        <f t="shared" si="29"/>
        <v>0</v>
      </c>
      <c r="AM21" s="325">
        <f>'General information '!D21</f>
        <v>25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v>154</v>
      </c>
      <c r="AU21" s="423">
        <f t="shared" si="41"/>
        <v>1.1000000000000001</v>
      </c>
      <c r="AV21" s="201">
        <v>103</v>
      </c>
      <c r="AW21" s="5">
        <v>2.9</v>
      </c>
      <c r="AX21" s="201">
        <v>55</v>
      </c>
      <c r="AY21" s="424">
        <f>AS21*AT21</f>
        <v>138.6</v>
      </c>
      <c r="AZ21" s="424">
        <f>AU21*AV21</f>
        <v>113.30000000000001</v>
      </c>
      <c r="BA21" s="424">
        <f>AW21*AX21</f>
        <v>159.5</v>
      </c>
      <c r="BB21" s="21">
        <f t="shared" si="33"/>
        <v>117</v>
      </c>
      <c r="BC21" s="21">
        <f t="shared" si="34"/>
        <v>-6.5999999999999943</v>
      </c>
      <c r="BD21" s="21">
        <f t="shared" si="34"/>
        <v>-49.299999999999983</v>
      </c>
      <c r="BE21" s="24">
        <f t="shared" si="35"/>
        <v>61.100000000000023</v>
      </c>
      <c r="BF21" s="96">
        <f t="shared" si="6"/>
        <v>158.89999999999998</v>
      </c>
      <c r="BG21" s="82">
        <f t="shared" si="7"/>
        <v>61.100000000000023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620750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6785</v>
      </c>
      <c r="L22" s="83">
        <f t="shared" si="39"/>
        <v>1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v>152207</v>
      </c>
      <c r="Y22" s="322">
        <f t="shared" si="40"/>
        <v>58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v>2206.6</v>
      </c>
      <c r="AH22" s="83">
        <f t="shared" si="26"/>
        <v>1.999999999998181E-2</v>
      </c>
      <c r="AI22" s="83">
        <f t="shared" si="27"/>
        <v>1.999999999998181E-2</v>
      </c>
      <c r="AJ22" s="324">
        <f t="shared" si="28"/>
        <v>0</v>
      </c>
      <c r="AK22" s="325">
        <f t="shared" si="38"/>
        <v>57</v>
      </c>
      <c r="AL22" s="325">
        <f t="shared" si="29"/>
        <v>0</v>
      </c>
      <c r="AM22" s="325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v>100</v>
      </c>
      <c r="AU22" s="423">
        <f t="shared" si="41"/>
        <v>1.1000000000000001</v>
      </c>
      <c r="AV22" s="201">
        <v>100</v>
      </c>
      <c r="AW22" s="5">
        <v>2.9</v>
      </c>
      <c r="AX22" s="201">
        <v>57</v>
      </c>
      <c r="AY22" s="424">
        <f t="shared" si="5"/>
        <v>90</v>
      </c>
      <c r="AZ22" s="424">
        <f t="shared" si="31"/>
        <v>110.00000000000001</v>
      </c>
      <c r="BA22" s="424">
        <f t="shared" si="32"/>
        <v>165.29999999999998</v>
      </c>
      <c r="BB22" s="21">
        <f>AY22-AY21</f>
        <v>-48.599999999999994</v>
      </c>
      <c r="BC22" s="21">
        <f t="shared" si="33"/>
        <v>-3.2999999999999972</v>
      </c>
      <c r="BD22" s="21">
        <f t="shared" si="33"/>
        <v>5.7999999999999829</v>
      </c>
      <c r="BE22" s="24">
        <f t="shared" si="35"/>
        <v>-46.100000000000009</v>
      </c>
      <c r="BF22" s="96">
        <f t="shared" si="6"/>
        <v>46.100000000000009</v>
      </c>
      <c r="BG22" s="82">
        <f t="shared" si="7"/>
        <v>-46.100000000000009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f t="shared" si="36"/>
        <v>620750</v>
      </c>
      <c r="H23" s="5">
        <f t="shared" si="11"/>
        <v>0</v>
      </c>
      <c r="I23" s="5">
        <f t="shared" si="12"/>
        <v>0</v>
      </c>
      <c r="J23" s="332">
        <f t="shared" si="0"/>
        <v>0</v>
      </c>
      <c r="K23" s="5">
        <f>'Swimming Pool quality check '!H23</f>
        <v>6785</v>
      </c>
      <c r="L23" s="273">
        <f t="shared" si="39"/>
        <v>0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152207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2206.6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0</v>
      </c>
      <c r="AL23" s="325">
        <f t="shared" si="29"/>
        <v>0</v>
      </c>
      <c r="AM23" s="32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f t="shared" si="48"/>
        <v>100</v>
      </c>
      <c r="AU23" s="423">
        <f t="shared" si="41"/>
        <v>1.1000000000000001</v>
      </c>
      <c r="AV23" s="201">
        <f t="shared" si="42"/>
        <v>100</v>
      </c>
      <c r="AW23" s="5">
        <v>2.9</v>
      </c>
      <c r="AX23" s="201">
        <f t="shared" si="43"/>
        <v>57</v>
      </c>
      <c r="AY23" s="424">
        <f t="shared" si="5"/>
        <v>90</v>
      </c>
      <c r="AZ23" s="424">
        <f t="shared" si="31"/>
        <v>110.00000000000001</v>
      </c>
      <c r="BA23" s="424">
        <f t="shared" si="32"/>
        <v>165.29999999999998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620750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6785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152207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2206.6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100</v>
      </c>
      <c r="AU24" s="423">
        <f t="shared" si="41"/>
        <v>1.1000000000000001</v>
      </c>
      <c r="AV24" s="201">
        <f t="shared" si="42"/>
        <v>100</v>
      </c>
      <c r="AW24" s="5">
        <v>2.9</v>
      </c>
      <c r="AX24" s="201">
        <f t="shared" si="43"/>
        <v>57</v>
      </c>
      <c r="AY24" s="424">
        <f t="shared" si="5"/>
        <v>90</v>
      </c>
      <c r="AZ24" s="424">
        <f t="shared" si="31"/>
        <v>110.00000000000001</v>
      </c>
      <c r="BA24" s="424">
        <f t="shared" si="32"/>
        <v>165.29999999999998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620750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6785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152207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2206.6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100</v>
      </c>
      <c r="AU25" s="423">
        <f t="shared" si="41"/>
        <v>1.1000000000000001</v>
      </c>
      <c r="AV25" s="201">
        <f t="shared" si="42"/>
        <v>100</v>
      </c>
      <c r="AW25" s="5">
        <v>2.9</v>
      </c>
      <c r="AX25" s="201">
        <f t="shared" si="43"/>
        <v>57</v>
      </c>
      <c r="AY25" s="424">
        <f t="shared" si="5"/>
        <v>90</v>
      </c>
      <c r="AZ25" s="424">
        <f t="shared" si="31"/>
        <v>110.00000000000001</v>
      </c>
      <c r="BA25" s="424">
        <f t="shared" si="32"/>
        <v>165.29999999999998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620750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6785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152207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2206.6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100</v>
      </c>
      <c r="AU26" s="423">
        <f t="shared" si="41"/>
        <v>1.1000000000000001</v>
      </c>
      <c r="AV26" s="201">
        <f t="shared" si="42"/>
        <v>100</v>
      </c>
      <c r="AW26" s="5">
        <v>2.9</v>
      </c>
      <c r="AX26" s="201">
        <f t="shared" si="43"/>
        <v>57</v>
      </c>
      <c r="AY26" s="424">
        <f t="shared" si="5"/>
        <v>90</v>
      </c>
      <c r="AZ26" s="424">
        <f t="shared" si="31"/>
        <v>110.00000000000001</v>
      </c>
      <c r="BA26" s="424">
        <f t="shared" si="32"/>
        <v>165.29999999999998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620750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6785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152207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2206.6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100</v>
      </c>
      <c r="AU27" s="423">
        <f t="shared" si="41"/>
        <v>1.1000000000000001</v>
      </c>
      <c r="AV27" s="201">
        <f t="shared" si="42"/>
        <v>100</v>
      </c>
      <c r="AW27" s="5">
        <v>2.9</v>
      </c>
      <c r="AX27" s="201">
        <f t="shared" si="43"/>
        <v>57</v>
      </c>
      <c r="AY27" s="424">
        <f t="shared" si="5"/>
        <v>90</v>
      </c>
      <c r="AZ27" s="424">
        <f t="shared" si="31"/>
        <v>110.00000000000001</v>
      </c>
      <c r="BA27" s="424">
        <f t="shared" si="32"/>
        <v>165.29999999999998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620750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6785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152207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2206.6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100</v>
      </c>
      <c r="AU28" s="423">
        <f t="shared" si="41"/>
        <v>1.1000000000000001</v>
      </c>
      <c r="AV28" s="201">
        <f t="shared" si="42"/>
        <v>100</v>
      </c>
      <c r="AW28" s="5">
        <v>2.9</v>
      </c>
      <c r="AX28" s="201">
        <f t="shared" si="43"/>
        <v>57</v>
      </c>
      <c r="AY28" s="424">
        <f t="shared" si="5"/>
        <v>90</v>
      </c>
      <c r="AZ28" s="424">
        <f t="shared" si="31"/>
        <v>110.00000000000001</v>
      </c>
      <c r="BA28" s="424">
        <f t="shared" si="32"/>
        <v>165.29999999999998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620750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6785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152207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2206.6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100</v>
      </c>
      <c r="AU29" s="423">
        <f t="shared" si="41"/>
        <v>1.1000000000000001</v>
      </c>
      <c r="AV29" s="201">
        <f t="shared" si="42"/>
        <v>100</v>
      </c>
      <c r="AW29" s="5">
        <v>2.9</v>
      </c>
      <c r="AX29" s="201">
        <f t="shared" si="43"/>
        <v>57</v>
      </c>
      <c r="AY29" s="424">
        <f t="shared" si="5"/>
        <v>90</v>
      </c>
      <c r="AZ29" s="424">
        <f t="shared" si="31"/>
        <v>110.00000000000001</v>
      </c>
      <c r="BA29" s="424">
        <f t="shared" si="32"/>
        <v>165.29999999999998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620750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6785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152207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2206.6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100</v>
      </c>
      <c r="AU30" s="423">
        <f t="shared" si="41"/>
        <v>1.1000000000000001</v>
      </c>
      <c r="AV30" s="201">
        <f t="shared" si="42"/>
        <v>100</v>
      </c>
      <c r="AW30" s="5">
        <v>2.9</v>
      </c>
      <c r="AX30" s="201">
        <f t="shared" si="43"/>
        <v>57</v>
      </c>
      <c r="AY30" s="424">
        <f t="shared" si="5"/>
        <v>90</v>
      </c>
      <c r="AZ30" s="424">
        <f t="shared" si="31"/>
        <v>110.00000000000001</v>
      </c>
      <c r="BA30" s="424">
        <f t="shared" si="32"/>
        <v>165.29999999999998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620750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6785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152207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2206.6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100</v>
      </c>
      <c r="AU31" s="423">
        <f t="shared" si="41"/>
        <v>1.1000000000000001</v>
      </c>
      <c r="AV31" s="201">
        <f t="shared" si="42"/>
        <v>100</v>
      </c>
      <c r="AW31" s="5">
        <v>2.9</v>
      </c>
      <c r="AX31" s="201">
        <f t="shared" si="43"/>
        <v>57</v>
      </c>
      <c r="AY31" s="424">
        <f t="shared" si="5"/>
        <v>90</v>
      </c>
      <c r="AZ31" s="424">
        <f t="shared" si="31"/>
        <v>110.00000000000001</v>
      </c>
      <c r="BA31" s="424">
        <f t="shared" si="32"/>
        <v>165.29999999999998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620750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6785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152207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2206.6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100</v>
      </c>
      <c r="AU32" s="423">
        <f t="shared" si="41"/>
        <v>1.1000000000000001</v>
      </c>
      <c r="AV32" s="201">
        <f t="shared" si="42"/>
        <v>100</v>
      </c>
      <c r="AW32" s="5">
        <v>2.9</v>
      </c>
      <c r="AX32" s="201">
        <f t="shared" si="43"/>
        <v>57</v>
      </c>
      <c r="AY32" s="424">
        <f t="shared" si="5"/>
        <v>90</v>
      </c>
      <c r="AZ32" s="424">
        <f t="shared" si="31"/>
        <v>110.00000000000001</v>
      </c>
      <c r="BA32" s="424">
        <f t="shared" si="32"/>
        <v>165.29999999999998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620750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6785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152207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2206.6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100</v>
      </c>
      <c r="AU33" s="423">
        <f t="shared" si="41"/>
        <v>1.1000000000000001</v>
      </c>
      <c r="AV33" s="201">
        <f t="shared" si="42"/>
        <v>100</v>
      </c>
      <c r="AW33" s="5">
        <v>2.9</v>
      </c>
      <c r="AX33" s="201">
        <f t="shared" si="43"/>
        <v>57</v>
      </c>
      <c r="AY33" s="424">
        <f t="shared" si="5"/>
        <v>90</v>
      </c>
      <c r="AZ33" s="424">
        <f t="shared" si="31"/>
        <v>110.00000000000001</v>
      </c>
      <c r="BA33" s="424">
        <f t="shared" si="32"/>
        <v>165.29999999999998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620750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6785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152207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2206.6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100</v>
      </c>
      <c r="AU34" s="423">
        <f>AU33</f>
        <v>1.1000000000000001</v>
      </c>
      <c r="AV34" s="201">
        <f t="shared" si="42"/>
        <v>100</v>
      </c>
      <c r="AW34" s="5">
        <v>2.9</v>
      </c>
      <c r="AX34" s="201">
        <f t="shared" si="43"/>
        <v>57</v>
      </c>
      <c r="AY34" s="424">
        <f t="shared" si="5"/>
        <v>90</v>
      </c>
      <c r="AZ34" s="424">
        <f>AU34*AV34</f>
        <v>110.00000000000001</v>
      </c>
      <c r="BA34" s="424">
        <f>AW34*AX34</f>
        <v>165.29999999999998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620750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6785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152207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2206.6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100</v>
      </c>
      <c r="AU35" s="423">
        <f>AU34</f>
        <v>1.1000000000000001</v>
      </c>
      <c r="AV35" s="201">
        <f t="shared" si="42"/>
        <v>100</v>
      </c>
      <c r="AW35" s="5">
        <v>2.9</v>
      </c>
      <c r="AX35" s="201">
        <f t="shared" si="43"/>
        <v>57</v>
      </c>
      <c r="AY35" s="424">
        <f t="shared" si="5"/>
        <v>90</v>
      </c>
      <c r="AZ35" s="424">
        <f>AU35*AV35</f>
        <v>110.00000000000001</v>
      </c>
      <c r="BA35" s="424">
        <f>AW35*AX35</f>
        <v>165.29999999999998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329</v>
      </c>
      <c r="I36" s="410">
        <f>SUM(I6:I35)</f>
        <v>329</v>
      </c>
      <c r="L36" s="268">
        <f>SUM(L7:L35)</f>
        <v>10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329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329</v>
      </c>
      <c r="H38" s="1">
        <f>SUM(H37+C37)</f>
        <v>7500</v>
      </c>
      <c r="K38" s="1">
        <f>SUM(H38/G38)</f>
        <v>22.796352583586625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C1" zoomScale="110" zoomScaleNormal="110" workbookViewId="0">
      <pane ySplit="1" topLeftCell="A2" activePane="bottomLeft" state="frozen"/>
      <selection pane="bottomLeft" activeCell="U19" sqref="U19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12390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12390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12390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12390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12390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12390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12390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12390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12390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12390</v>
      </c>
      <c r="Y11" s="286" t="str">
        <f t="shared" si="30"/>
        <v>ok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12390</v>
      </c>
      <c r="Y12" s="286" t="str">
        <f t="shared" si="30"/>
        <v>ok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12390</v>
      </c>
      <c r="Y13" s="286" t="str">
        <f t="shared" si="30"/>
        <v>ok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12390</v>
      </c>
      <c r="Y14" s="286" t="str">
        <f t="shared" si="30"/>
        <v>ok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12390</v>
      </c>
      <c r="Y15" s="286" t="str">
        <f t="shared" si="30"/>
        <v>ok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12390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v>10243</v>
      </c>
      <c r="C17" s="286">
        <f t="shared" si="9"/>
        <v>6</v>
      </c>
      <c r="D17" s="531">
        <v>433281</v>
      </c>
      <c r="E17" s="286">
        <f t="shared" si="10"/>
        <v>1275</v>
      </c>
      <c r="F17" s="286">
        <f t="shared" si="0"/>
        <v>212.5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647">
        <v>12405</v>
      </c>
      <c r="S17" s="286">
        <f t="shared" si="4"/>
        <v>13</v>
      </c>
      <c r="T17" s="531">
        <v>369842</v>
      </c>
      <c r="U17" s="286">
        <f t="shared" si="17"/>
        <v>3250</v>
      </c>
      <c r="V17" s="286">
        <v>250</v>
      </c>
      <c r="W17" s="336"/>
      <c r="X17" s="287">
        <f t="shared" si="18"/>
        <v>12390</v>
      </c>
      <c r="Y17" s="286" t="str">
        <f t="shared" si="30"/>
        <v>oil change</v>
      </c>
      <c r="Z17" s="286">
        <f t="shared" si="6"/>
        <v>19</v>
      </c>
      <c r="AA17" s="286">
        <f t="shared" si="19"/>
        <v>4525</v>
      </c>
      <c r="AB17" s="286">
        <f t="shared" si="20"/>
        <v>462.5</v>
      </c>
      <c r="AC17" s="286">
        <f t="shared" si="21"/>
        <v>238.15789473684211</v>
      </c>
      <c r="AD17" s="73">
        <f>ELEC!Q18</f>
        <v>12443.999999999505</v>
      </c>
      <c r="AE17" s="73">
        <f t="shared" si="23"/>
        <v>654.94736842102657</v>
      </c>
      <c r="AF17" s="401">
        <f t="shared" si="24"/>
        <v>0.40934210526314163</v>
      </c>
      <c r="AG17" s="402">
        <f t="shared" si="25"/>
        <v>130.98947368420534</v>
      </c>
      <c r="AH17" s="402">
        <f t="shared" si="22"/>
        <v>107.16842105263677</v>
      </c>
      <c r="AI17" s="73">
        <f t="shared" si="26"/>
        <v>3202.88607594924</v>
      </c>
      <c r="AJ17" s="288">
        <f t="shared" si="7"/>
        <v>0.25738396624472576</v>
      </c>
      <c r="AK17" s="288">
        <f t="shared" si="8"/>
        <v>168.57295136574947</v>
      </c>
    </row>
    <row r="18" spans="1:37" ht="15.75" thickBot="1">
      <c r="A18" s="4">
        <f>ELEC!C19</f>
        <v>44363</v>
      </c>
      <c r="B18" s="530">
        <v>10256</v>
      </c>
      <c r="C18" s="286">
        <f t="shared" si="9"/>
        <v>13</v>
      </c>
      <c r="D18" s="531">
        <v>435767</v>
      </c>
      <c r="E18" s="286">
        <f t="shared" si="10"/>
        <v>2486</v>
      </c>
      <c r="F18" s="286">
        <f t="shared" si="0"/>
        <v>191.23076923076923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v>12409</v>
      </c>
      <c r="S18" s="286">
        <f t="shared" si="4"/>
        <v>4</v>
      </c>
      <c r="T18" s="531">
        <v>370842</v>
      </c>
      <c r="U18" s="286">
        <f t="shared" si="17"/>
        <v>1000</v>
      </c>
      <c r="V18" s="286">
        <v>250</v>
      </c>
      <c r="W18" s="336"/>
      <c r="X18" s="287">
        <v>12540</v>
      </c>
      <c r="Y18" s="286" t="str">
        <f t="shared" si="30"/>
        <v>ok</v>
      </c>
      <c r="Z18" s="286">
        <f t="shared" si="6"/>
        <v>17</v>
      </c>
      <c r="AA18" s="286">
        <f t="shared" si="19"/>
        <v>3486</v>
      </c>
      <c r="AB18" s="286">
        <f t="shared" si="20"/>
        <v>441.23076923076923</v>
      </c>
      <c r="AC18" s="286">
        <f t="shared" si="21"/>
        <v>205.05882352941177</v>
      </c>
      <c r="AD18" s="73">
        <f>ELEC!Q19</f>
        <v>13275.000000001455</v>
      </c>
      <c r="AE18" s="73">
        <f t="shared" si="23"/>
        <v>780.88235294126207</v>
      </c>
      <c r="AF18" s="401">
        <f t="shared" si="24"/>
        <v>0.48805147058828879</v>
      </c>
      <c r="AG18" s="402">
        <f t="shared" si="25"/>
        <v>156.17647058825241</v>
      </c>
      <c r="AH18" s="402">
        <f t="shared" si="22"/>
        <v>48.882352941159354</v>
      </c>
      <c r="AI18" s="73">
        <f t="shared" si="26"/>
        <v>3416.7721518991088</v>
      </c>
      <c r="AJ18" s="288">
        <f t="shared" si="7"/>
        <v>0.25738396624472576</v>
      </c>
      <c r="AK18" s="288">
        <f t="shared" si="8"/>
        <v>200.98659717053582</v>
      </c>
    </row>
    <row r="19" spans="1:37" ht="15.75" thickBot="1">
      <c r="A19" s="4">
        <f>ELEC!C20</f>
        <v>44364</v>
      </c>
      <c r="B19" s="530">
        <v>10269</v>
      </c>
      <c r="C19" s="286">
        <f t="shared" si="9"/>
        <v>13</v>
      </c>
      <c r="D19" s="531">
        <v>438387</v>
      </c>
      <c r="E19" s="286">
        <f t="shared" si="10"/>
        <v>2620</v>
      </c>
      <c r="F19" s="286">
        <f t="shared" si="0"/>
        <v>201.53846153846155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1">IF(J19-P19&lt;=0,"ok","oil change")</f>
        <v>ok</v>
      </c>
      <c r="R19" s="531">
        <v>12417</v>
      </c>
      <c r="S19" s="286">
        <f t="shared" si="4"/>
        <v>8</v>
      </c>
      <c r="T19" s="531">
        <v>372842</v>
      </c>
      <c r="U19" s="286">
        <f t="shared" si="17"/>
        <v>2000</v>
      </c>
      <c r="V19" s="286">
        <v>250</v>
      </c>
      <c r="W19" s="336"/>
      <c r="X19" s="287">
        <f t="shared" si="18"/>
        <v>12540</v>
      </c>
      <c r="Y19" s="286" t="str">
        <f t="shared" si="30"/>
        <v>ok</v>
      </c>
      <c r="Z19" s="286">
        <f t="shared" si="6"/>
        <v>21</v>
      </c>
      <c r="AA19" s="286">
        <f t="shared" si="19"/>
        <v>4620</v>
      </c>
      <c r="AB19" s="286">
        <f t="shared" si="20"/>
        <v>451.53846153846155</v>
      </c>
      <c r="AC19" s="286">
        <f t="shared" si="21"/>
        <v>220</v>
      </c>
      <c r="AD19" s="73">
        <f>ELEC!Q20</f>
        <v>10076.999999997497</v>
      </c>
      <c r="AE19" s="73">
        <f t="shared" si="23"/>
        <v>479.85714285702369</v>
      </c>
      <c r="AF19" s="401">
        <f t="shared" si="24"/>
        <v>0.29991071428563981</v>
      </c>
      <c r="AG19" s="402">
        <f t="shared" si="25"/>
        <v>95.971428571404743</v>
      </c>
      <c r="AH19" s="402">
        <f t="shared" si="22"/>
        <v>124.02857142859526</v>
      </c>
      <c r="AI19" s="73">
        <f t="shared" si="26"/>
        <v>2593.6582278474571</v>
      </c>
      <c r="AJ19" s="288">
        <f t="shared" si="7"/>
        <v>0.25738396624472576</v>
      </c>
      <c r="AK19" s="288">
        <f t="shared" si="8"/>
        <v>123.50753465940272</v>
      </c>
    </row>
    <row r="20" spans="1:37" ht="15.75" thickBot="1">
      <c r="A20" s="4">
        <f>ELEC!C21</f>
        <v>44365</v>
      </c>
      <c r="B20" s="530">
        <f t="shared" si="28"/>
        <v>10269</v>
      </c>
      <c r="C20" s="286">
        <f>B20-B19</f>
        <v>0</v>
      </c>
      <c r="D20" s="531">
        <f t="shared" si="29"/>
        <v>438387</v>
      </c>
      <c r="E20" s="286">
        <f t="shared" si="10"/>
        <v>0</v>
      </c>
      <c r="F20" s="286">
        <f t="shared" si="0"/>
        <v>0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1"/>
        <v>ok</v>
      </c>
      <c r="R20" s="531">
        <f t="shared" ref="R19:R32" si="32">R19</f>
        <v>12417</v>
      </c>
      <c r="S20" s="286">
        <f t="shared" si="4"/>
        <v>0</v>
      </c>
      <c r="T20" s="531">
        <f t="shared" si="27"/>
        <v>372842</v>
      </c>
      <c r="U20" s="286">
        <f t="shared" si="17"/>
        <v>0</v>
      </c>
      <c r="V20" s="286">
        <v>250</v>
      </c>
      <c r="W20" s="336"/>
      <c r="X20" s="287">
        <f t="shared" si="18"/>
        <v>12540</v>
      </c>
      <c r="Y20" s="286" t="str">
        <f t="shared" si="30"/>
        <v>ok</v>
      </c>
      <c r="Z20" s="286">
        <f t="shared" si="6"/>
        <v>0</v>
      </c>
      <c r="AA20" s="286">
        <f t="shared" si="19"/>
        <v>0</v>
      </c>
      <c r="AB20" s="286">
        <f t="shared" si="20"/>
        <v>250</v>
      </c>
      <c r="AC20" s="286">
        <f t="shared" si="21"/>
        <v>0</v>
      </c>
      <c r="AD20" s="73">
        <f>ELEC!Q21</f>
        <v>0</v>
      </c>
      <c r="AE20" s="73" t="e">
        <f t="shared" si="23"/>
        <v>#DIV/0!</v>
      </c>
      <c r="AF20" s="401" t="e">
        <f t="shared" si="24"/>
        <v>#DIV/0!</v>
      </c>
      <c r="AG20" s="402" t="e">
        <f t="shared" si="25"/>
        <v>#DIV/0!</v>
      </c>
      <c r="AH20" s="402" t="e">
        <f t="shared" si="22"/>
        <v>#DIV/0!</v>
      </c>
      <c r="AI20" s="73">
        <f>AD20*AJ20</f>
        <v>0</v>
      </c>
      <c r="AJ20" s="288">
        <f t="shared" si="7"/>
        <v>0.25738396624472576</v>
      </c>
      <c r="AK20" s="288" t="e">
        <f t="shared" si="8"/>
        <v>#DIV/0!</v>
      </c>
    </row>
    <row r="21" spans="1:37" ht="15.75" thickBot="1">
      <c r="A21" s="4">
        <f>ELEC!C22</f>
        <v>44366</v>
      </c>
      <c r="B21" s="530">
        <f t="shared" si="28"/>
        <v>10269</v>
      </c>
      <c r="C21" s="286">
        <f>B21-B20</f>
        <v>0</v>
      </c>
      <c r="D21" s="531">
        <f t="shared" si="29"/>
        <v>438387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1"/>
        <v>ok</v>
      </c>
      <c r="R21" s="531">
        <f t="shared" si="32"/>
        <v>12417</v>
      </c>
      <c r="S21" s="286">
        <f t="shared" si="4"/>
        <v>0</v>
      </c>
      <c r="T21" s="531">
        <f t="shared" si="27"/>
        <v>372842</v>
      </c>
      <c r="U21" s="286">
        <f t="shared" si="17"/>
        <v>0</v>
      </c>
      <c r="V21" s="286">
        <v>250</v>
      </c>
      <c r="W21" s="196"/>
      <c r="X21" s="287">
        <f t="shared" si="18"/>
        <v>12540</v>
      </c>
      <c r="Y21" s="286" t="str">
        <f>Y20</f>
        <v>ok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.75" thickBot="1">
      <c r="A22" s="4">
        <f>ELEC!C23</f>
        <v>44367</v>
      </c>
      <c r="B22" s="530">
        <f t="shared" si="28"/>
        <v>10269</v>
      </c>
      <c r="C22" s="286">
        <f t="shared" si="9"/>
        <v>0</v>
      </c>
      <c r="D22" s="531">
        <f t="shared" si="29"/>
        <v>438387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1"/>
        <v>ok</v>
      </c>
      <c r="R22" s="531">
        <f t="shared" si="32"/>
        <v>12417</v>
      </c>
      <c r="S22" s="286">
        <f t="shared" si="4"/>
        <v>0</v>
      </c>
      <c r="T22" s="531">
        <f t="shared" si="27"/>
        <v>372842</v>
      </c>
      <c r="U22" s="286">
        <f t="shared" si="17"/>
        <v>0</v>
      </c>
      <c r="V22" s="286">
        <v>250</v>
      </c>
      <c r="W22" s="196"/>
      <c r="X22" s="287">
        <f t="shared" si="18"/>
        <v>12540</v>
      </c>
      <c r="Y22" s="286" t="str">
        <f t="shared" ref="Y22:Y30" si="33">IF(R22-X22&lt;=0,"ok","oil change")</f>
        <v>ok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.75" thickBot="1">
      <c r="A23" s="4">
        <f>ELEC!C24</f>
        <v>44368</v>
      </c>
      <c r="B23" s="530">
        <f t="shared" si="28"/>
        <v>10269</v>
      </c>
      <c r="C23" s="286">
        <f t="shared" si="9"/>
        <v>0</v>
      </c>
      <c r="D23" s="531">
        <f t="shared" si="29"/>
        <v>438387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1"/>
        <v>ok</v>
      </c>
      <c r="R23" s="531">
        <f t="shared" si="32"/>
        <v>12417</v>
      </c>
      <c r="S23" s="286">
        <f>R23-R22</f>
        <v>0</v>
      </c>
      <c r="T23" s="531">
        <f t="shared" si="27"/>
        <v>372842</v>
      </c>
      <c r="U23" s="286">
        <f t="shared" si="17"/>
        <v>0</v>
      </c>
      <c r="V23" s="286">
        <v>250</v>
      </c>
      <c r="W23" s="196"/>
      <c r="X23" s="287">
        <f t="shared" si="18"/>
        <v>12540</v>
      </c>
      <c r="Y23" s="286" t="str">
        <f t="shared" si="33"/>
        <v>ok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.75" thickBot="1">
      <c r="A24" s="4">
        <f>ELEC!C25</f>
        <v>44369</v>
      </c>
      <c r="B24" s="530">
        <f t="shared" si="28"/>
        <v>10269</v>
      </c>
      <c r="C24" s="286">
        <f t="shared" si="9"/>
        <v>0</v>
      </c>
      <c r="D24" s="531">
        <f t="shared" si="29"/>
        <v>438387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1"/>
        <v>ok</v>
      </c>
      <c r="R24" s="531">
        <f t="shared" si="32"/>
        <v>12417</v>
      </c>
      <c r="S24" s="286">
        <f t="shared" si="4"/>
        <v>0</v>
      </c>
      <c r="T24" s="531">
        <f t="shared" si="27"/>
        <v>372842</v>
      </c>
      <c r="U24" s="286">
        <f t="shared" si="17"/>
        <v>0</v>
      </c>
      <c r="V24" s="286">
        <v>250</v>
      </c>
      <c r="W24" s="196"/>
      <c r="X24" s="287">
        <f t="shared" si="18"/>
        <v>12540</v>
      </c>
      <c r="Y24" s="286" t="str">
        <f t="shared" si="33"/>
        <v>ok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10269</v>
      </c>
      <c r="C25" s="286">
        <f t="shared" si="9"/>
        <v>0</v>
      </c>
      <c r="D25" s="531">
        <f t="shared" si="29"/>
        <v>438387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1"/>
        <v>ok</v>
      </c>
      <c r="R25" s="531">
        <f t="shared" si="32"/>
        <v>12417</v>
      </c>
      <c r="S25" s="286">
        <f t="shared" si="4"/>
        <v>0</v>
      </c>
      <c r="T25" s="531">
        <f t="shared" si="27"/>
        <v>372842</v>
      </c>
      <c r="U25" s="286">
        <f t="shared" si="17"/>
        <v>0</v>
      </c>
      <c r="V25" s="286">
        <v>250</v>
      </c>
      <c r="W25" s="196"/>
      <c r="X25" s="287">
        <f t="shared" si="18"/>
        <v>12540</v>
      </c>
      <c r="Y25" s="286" t="str">
        <f t="shared" si="33"/>
        <v>ok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10269</v>
      </c>
      <c r="C26" s="286">
        <f t="shared" si="9"/>
        <v>0</v>
      </c>
      <c r="D26" s="531">
        <f t="shared" si="29"/>
        <v>438387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1"/>
        <v>ok</v>
      </c>
      <c r="R26" s="531">
        <f t="shared" si="32"/>
        <v>12417</v>
      </c>
      <c r="S26" s="286">
        <f t="shared" si="4"/>
        <v>0</v>
      </c>
      <c r="T26" s="531">
        <f t="shared" si="27"/>
        <v>372842</v>
      </c>
      <c r="U26" s="286">
        <f t="shared" si="17"/>
        <v>0</v>
      </c>
      <c r="V26" s="286">
        <v>250</v>
      </c>
      <c r="W26" s="196"/>
      <c r="X26" s="287">
        <f t="shared" si="18"/>
        <v>12540</v>
      </c>
      <c r="Y26" s="286" t="str">
        <f t="shared" si="33"/>
        <v>ok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10269</v>
      </c>
      <c r="C27" s="286">
        <f t="shared" si="9"/>
        <v>0</v>
      </c>
      <c r="D27" s="531">
        <f t="shared" si="29"/>
        <v>438387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1"/>
        <v>ok</v>
      </c>
      <c r="R27" s="531">
        <f t="shared" si="32"/>
        <v>12417</v>
      </c>
      <c r="S27" s="286">
        <f t="shared" si="4"/>
        <v>0</v>
      </c>
      <c r="T27" s="531">
        <f t="shared" si="27"/>
        <v>372842</v>
      </c>
      <c r="U27" s="286">
        <f t="shared" si="17"/>
        <v>0</v>
      </c>
      <c r="V27" s="286">
        <v>250</v>
      </c>
      <c r="W27" s="196"/>
      <c r="X27" s="287">
        <f t="shared" si="18"/>
        <v>12540</v>
      </c>
      <c r="Y27" s="286" t="str">
        <f t="shared" si="33"/>
        <v>ok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10269</v>
      </c>
      <c r="C28" s="286">
        <f t="shared" si="9"/>
        <v>0</v>
      </c>
      <c r="D28" s="531">
        <f t="shared" si="29"/>
        <v>438387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1"/>
        <v>ok</v>
      </c>
      <c r="R28" s="531">
        <f t="shared" si="32"/>
        <v>12417</v>
      </c>
      <c r="S28" s="286">
        <f t="shared" si="4"/>
        <v>0</v>
      </c>
      <c r="T28" s="531">
        <f t="shared" si="27"/>
        <v>372842</v>
      </c>
      <c r="U28" s="286">
        <f t="shared" si="17"/>
        <v>0</v>
      </c>
      <c r="V28" s="286">
        <v>250</v>
      </c>
      <c r="W28" s="196"/>
      <c r="X28" s="287">
        <f t="shared" si="18"/>
        <v>12540</v>
      </c>
      <c r="Y28" s="286" t="str">
        <f t="shared" si="33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10269</v>
      </c>
      <c r="C29" s="286">
        <f t="shared" si="9"/>
        <v>0</v>
      </c>
      <c r="D29" s="531">
        <f t="shared" si="29"/>
        <v>438387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1"/>
        <v>ok</v>
      </c>
      <c r="R29" s="531">
        <f t="shared" si="32"/>
        <v>12417</v>
      </c>
      <c r="S29" s="286">
        <f t="shared" si="4"/>
        <v>0</v>
      </c>
      <c r="T29" s="531">
        <f t="shared" si="27"/>
        <v>372842</v>
      </c>
      <c r="U29" s="286">
        <f t="shared" si="17"/>
        <v>0</v>
      </c>
      <c r="V29" s="286">
        <v>250</v>
      </c>
      <c r="W29" s="196"/>
      <c r="X29" s="287">
        <f t="shared" si="18"/>
        <v>12540</v>
      </c>
      <c r="Y29" s="286" t="str">
        <f t="shared" si="33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10269</v>
      </c>
      <c r="C30" s="286">
        <f t="shared" si="9"/>
        <v>0</v>
      </c>
      <c r="D30" s="531">
        <f t="shared" si="29"/>
        <v>438387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1"/>
        <v>ok</v>
      </c>
      <c r="R30" s="531">
        <f t="shared" si="32"/>
        <v>12417</v>
      </c>
      <c r="S30" s="286">
        <f t="shared" si="4"/>
        <v>0</v>
      </c>
      <c r="T30" s="531">
        <f t="shared" si="27"/>
        <v>372842</v>
      </c>
      <c r="U30" s="286">
        <f t="shared" si="17"/>
        <v>0</v>
      </c>
      <c r="V30" s="286">
        <v>250</v>
      </c>
      <c r="W30" s="284"/>
      <c r="X30" s="287">
        <f t="shared" si="18"/>
        <v>12540</v>
      </c>
      <c r="Y30" s="286" t="str">
        <f t="shared" si="33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10269</v>
      </c>
      <c r="C31" s="286">
        <f>B31-B30</f>
        <v>0</v>
      </c>
      <c r="D31" s="531">
        <f t="shared" si="29"/>
        <v>438387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2"/>
        <v>12417</v>
      </c>
      <c r="S31" s="286">
        <f>R31-R30</f>
        <v>0</v>
      </c>
      <c r="T31" s="531">
        <f t="shared" si="27"/>
        <v>372842</v>
      </c>
      <c r="U31" s="286">
        <f t="shared" si="17"/>
        <v>0</v>
      </c>
      <c r="V31" s="286">
        <v>250</v>
      </c>
      <c r="W31" s="336"/>
      <c r="X31" s="287">
        <f t="shared" si="18"/>
        <v>12540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10269</v>
      </c>
      <c r="C32" s="286">
        <f>B32-B31</f>
        <v>0</v>
      </c>
      <c r="D32" s="531">
        <f t="shared" si="29"/>
        <v>438387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2"/>
        <v>12417</v>
      </c>
      <c r="S32" s="286">
        <f>R32-R31</f>
        <v>0</v>
      </c>
      <c r="T32" s="531">
        <f t="shared" si="27"/>
        <v>372842</v>
      </c>
      <c r="U32" s="286">
        <f t="shared" si="17"/>
        <v>0</v>
      </c>
      <c r="V32" s="286">
        <v>250</v>
      </c>
      <c r="W32" s="336"/>
      <c r="X32" s="287">
        <f t="shared" si="18"/>
        <v>12540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304</v>
      </c>
      <c r="V33" s="40"/>
      <c r="X33">
        <v>341</v>
      </c>
      <c r="Z33" s="419">
        <f>SUM(Z3:Z32)</f>
        <v>304</v>
      </c>
    </row>
    <row r="34" spans="3:26">
      <c r="C34" s="40">
        <f>SUM(C3:C32)</f>
        <v>146</v>
      </c>
      <c r="K34" s="40">
        <f>SUM(K3:K32)</f>
        <v>0</v>
      </c>
      <c r="S34" s="40">
        <f>SUM(S3:S32)</f>
        <v>158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O1" activePane="topRight" state="frozen"/>
      <selection pane="topRight" activeCell="AR22" sqref="AR22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1406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2" t="s">
        <v>108</v>
      </c>
      <c r="AS3" s="672" t="s">
        <v>233</v>
      </c>
      <c r="AT3" s="670" t="s">
        <v>301</v>
      </c>
      <c r="AU3" s="671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3"/>
      <c r="AS4" s="673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20" si="18">SUM(AR6-AR5-AT6)</f>
        <v>-4486.8387096774313</v>
      </c>
      <c r="AT6" s="353"/>
      <c r="AU6" s="641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1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20" si="42">Y8+AO8</f>
        <v>70412.451612903242</v>
      </c>
      <c r="AS8" s="197">
        <f t="shared" si="18"/>
        <v>-2097.8709677419174</v>
      </c>
      <c r="AT8" s="353">
        <v>15285</v>
      </c>
      <c r="AU8" s="641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1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1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1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1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1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1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1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3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1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1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1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23</v>
      </c>
      <c r="BB19" s="392">
        <f>SUM('General information '!E19)</f>
        <v>0.64</v>
      </c>
      <c r="BC19" s="3">
        <f t="shared" si="44"/>
        <v>0</v>
      </c>
      <c r="BD19" s="102">
        <v>19222</v>
      </c>
      <c r="BE19" s="14">
        <f>(305/1185)*ELEC!Q18</f>
        <v>3202.88607594924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225</v>
      </c>
      <c r="C20" s="203">
        <f t="shared" si="20"/>
        <v>4841.1290322580644</v>
      </c>
      <c r="D20">
        <f t="shared" si="21"/>
        <v>225</v>
      </c>
      <c r="E20" s="203">
        <f t="shared" si="20"/>
        <v>4841.1290322580644</v>
      </c>
      <c r="F20">
        <f t="shared" si="22"/>
        <v>225</v>
      </c>
      <c r="G20" s="203">
        <f t="shared" si="1"/>
        <v>4841.1290322580644</v>
      </c>
      <c r="H20" s="203">
        <f t="shared" si="23"/>
        <v>225</v>
      </c>
      <c r="I20" s="203">
        <f t="shared" si="2"/>
        <v>4841.1290322580644</v>
      </c>
      <c r="J20" s="203">
        <f t="shared" si="24"/>
        <v>225</v>
      </c>
      <c r="K20" s="203">
        <f t="shared" si="3"/>
        <v>4841.1290322580644</v>
      </c>
      <c r="L20" s="203">
        <f t="shared" si="25"/>
        <v>225</v>
      </c>
      <c r="M20" s="203">
        <f t="shared" si="4"/>
        <v>4841.1290322580644</v>
      </c>
      <c r="N20" s="203">
        <f t="shared" si="26"/>
        <v>225</v>
      </c>
      <c r="O20" s="203">
        <f t="shared" si="5"/>
        <v>4841.1290322580644</v>
      </c>
      <c r="P20" s="203">
        <f t="shared" si="27"/>
        <v>225</v>
      </c>
      <c r="Q20" s="203">
        <f t="shared" si="6"/>
        <v>4841.1290322580644</v>
      </c>
      <c r="R20" s="203">
        <f t="shared" si="28"/>
        <v>225</v>
      </c>
      <c r="S20" s="203">
        <f t="shared" si="7"/>
        <v>4841.1290322580644</v>
      </c>
      <c r="T20" s="203">
        <f t="shared" si="29"/>
        <v>225</v>
      </c>
      <c r="U20" s="203">
        <f t="shared" si="8"/>
        <v>4841.1290322580644</v>
      </c>
      <c r="V20" s="203">
        <f t="shared" si="30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31"/>
        <v>53252.419354838697</v>
      </c>
      <c r="Z20" s="203">
        <f>'B5'!C19</f>
        <v>231</v>
      </c>
      <c r="AA20" s="203">
        <f t="shared" si="32"/>
        <v>2310</v>
      </c>
      <c r="AB20" s="203">
        <f t="shared" si="33"/>
        <v>231</v>
      </c>
      <c r="AC20" s="203">
        <f t="shared" si="32"/>
        <v>2310</v>
      </c>
      <c r="AD20" s="203">
        <f t="shared" si="34"/>
        <v>231</v>
      </c>
      <c r="AE20" s="203">
        <f t="shared" si="11"/>
        <v>2310</v>
      </c>
      <c r="AF20" s="203">
        <f t="shared" si="35"/>
        <v>231</v>
      </c>
      <c r="AG20" s="203">
        <f t="shared" si="12"/>
        <v>2310</v>
      </c>
      <c r="AH20" s="203">
        <f t="shared" si="36"/>
        <v>231</v>
      </c>
      <c r="AI20" s="203">
        <f t="shared" si="13"/>
        <v>2310</v>
      </c>
      <c r="AJ20" s="203">
        <f t="shared" si="37"/>
        <v>231</v>
      </c>
      <c r="AK20" s="203">
        <f t="shared" si="14"/>
        <v>2310</v>
      </c>
      <c r="AL20" s="203">
        <f t="shared" si="38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3">
        <f t="shared" si="39"/>
        <v>0.7467185044082898</v>
      </c>
      <c r="AR20" s="38">
        <f t="shared" si="42"/>
        <v>69422.419354838697</v>
      </c>
      <c r="AS20" s="197">
        <f t="shared" si="18"/>
        <v>-2246.3225806451665</v>
      </c>
      <c r="AT20" s="353">
        <v>12060</v>
      </c>
      <c r="AU20" s="641">
        <v>1.05</v>
      </c>
      <c r="AV20" s="511">
        <f t="shared" si="43"/>
        <v>1.05</v>
      </c>
      <c r="AW20" s="289">
        <f>-SUM('B5'!AI19)</f>
        <v>-184</v>
      </c>
      <c r="AX20" s="289">
        <f t="shared" si="19"/>
        <v>-2062.3225806451665</v>
      </c>
      <c r="AY20" s="37">
        <f t="shared" si="40"/>
        <v>-2246.3225806451665</v>
      </c>
      <c r="AZ20" s="100">
        <f>ELEC!A18</f>
        <v>0</v>
      </c>
      <c r="BA20" s="118">
        <f>'General information '!D20</f>
        <v>24.5</v>
      </c>
      <c r="BB20" s="392">
        <f>SUM('General information '!E20)</f>
        <v>0.61</v>
      </c>
      <c r="BC20" s="3">
        <f t="shared" si="44"/>
        <v>1</v>
      </c>
      <c r="BD20" s="102">
        <v>19222</v>
      </c>
      <c r="BE20" s="14">
        <f>(305/1185)*ELEC!Q19</f>
        <v>3416.7721518991088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213</v>
      </c>
      <c r="C21" s="203">
        <f t="shared" si="20"/>
        <v>4582.9354838709678</v>
      </c>
      <c r="D21">
        <f t="shared" si="21"/>
        <v>213</v>
      </c>
      <c r="E21" s="203">
        <f t="shared" si="20"/>
        <v>4582.9354838709678</v>
      </c>
      <c r="F21">
        <f t="shared" si="22"/>
        <v>213</v>
      </c>
      <c r="G21" s="203">
        <f t="shared" si="1"/>
        <v>4582.9354838709678</v>
      </c>
      <c r="H21" s="203">
        <f t="shared" si="23"/>
        <v>213</v>
      </c>
      <c r="I21" s="203">
        <f t="shared" si="2"/>
        <v>4582.9354838709678</v>
      </c>
      <c r="J21" s="203">
        <f t="shared" si="24"/>
        <v>213</v>
      </c>
      <c r="K21" s="203">
        <f t="shared" si="3"/>
        <v>4582.9354838709678</v>
      </c>
      <c r="L21" s="203">
        <f t="shared" si="25"/>
        <v>213</v>
      </c>
      <c r="M21" s="203">
        <f t="shared" si="4"/>
        <v>4582.9354838709678</v>
      </c>
      <c r="N21" s="203">
        <f t="shared" si="26"/>
        <v>213</v>
      </c>
      <c r="O21" s="203">
        <f t="shared" si="5"/>
        <v>4582.9354838709678</v>
      </c>
      <c r="P21" s="203">
        <f t="shared" si="27"/>
        <v>213</v>
      </c>
      <c r="Q21" s="203">
        <f t="shared" si="6"/>
        <v>4582.9354838709678</v>
      </c>
      <c r="R21" s="203">
        <f t="shared" si="28"/>
        <v>213</v>
      </c>
      <c r="S21" s="203">
        <f t="shared" si="7"/>
        <v>4582.9354838709678</v>
      </c>
      <c r="T21" s="203">
        <f t="shared" si="29"/>
        <v>213</v>
      </c>
      <c r="U21" s="203">
        <f t="shared" si="8"/>
        <v>4582.9354838709678</v>
      </c>
      <c r="V21" s="203">
        <f t="shared" si="30"/>
        <v>213</v>
      </c>
      <c r="W21" s="203">
        <f t="shared" si="9"/>
        <v>4582.9354838709678</v>
      </c>
      <c r="X21" s="35">
        <f t="shared" si="10"/>
        <v>0.68709677419354853</v>
      </c>
      <c r="Y21" s="36">
        <f t="shared" si="31"/>
        <v>50412.290322580659</v>
      </c>
      <c r="Z21" s="203">
        <f>'B5'!C20</f>
        <v>219</v>
      </c>
      <c r="AA21" s="203">
        <f t="shared" si="32"/>
        <v>2190</v>
      </c>
      <c r="AB21" s="203">
        <f t="shared" si="33"/>
        <v>219</v>
      </c>
      <c r="AC21" s="203">
        <f t="shared" si="32"/>
        <v>2190</v>
      </c>
      <c r="AD21" s="203">
        <f t="shared" si="34"/>
        <v>219</v>
      </c>
      <c r="AE21" s="203">
        <f t="shared" si="11"/>
        <v>2190</v>
      </c>
      <c r="AF21" s="203">
        <f t="shared" si="35"/>
        <v>219</v>
      </c>
      <c r="AG21" s="203">
        <f t="shared" si="12"/>
        <v>2190</v>
      </c>
      <c r="AH21" s="203">
        <f t="shared" si="36"/>
        <v>219</v>
      </c>
      <c r="AI21" s="203">
        <f t="shared" si="13"/>
        <v>2190</v>
      </c>
      <c r="AJ21" s="203">
        <f t="shared" si="37"/>
        <v>219</v>
      </c>
      <c r="AK21" s="203">
        <f t="shared" si="14"/>
        <v>2190</v>
      </c>
      <c r="AL21" s="203">
        <f t="shared" si="38"/>
        <v>219</v>
      </c>
      <c r="AM21" s="203">
        <f t="shared" si="15"/>
        <v>2190</v>
      </c>
      <c r="AN21" s="35">
        <f t="shared" si="16"/>
        <v>0.78214285714285714</v>
      </c>
      <c r="AO21" s="36">
        <f t="shared" si="17"/>
        <v>15330</v>
      </c>
      <c r="AQ21" s="223">
        <f t="shared" si="39"/>
        <v>0.70713445544348352</v>
      </c>
      <c r="AR21" s="38">
        <f>Y21+AO21</f>
        <v>65742.290322580666</v>
      </c>
      <c r="AS21" s="197">
        <f t="shared" ref="AS21:AS35" si="45">SUM(AR21-AR20-AT21)</f>
        <v>-3680.1290322580317</v>
      </c>
      <c r="AT21" s="353"/>
      <c r="AU21" s="641"/>
      <c r="AV21" s="511">
        <f t="shared" si="43"/>
        <v>1.05</v>
      </c>
      <c r="AW21" s="289">
        <f>-SUM('B5'!AI20)</f>
        <v>-82</v>
      </c>
      <c r="AX21" s="289">
        <f t="shared" si="19"/>
        <v>-3598.1290322580317</v>
      </c>
      <c r="AY21" s="37">
        <f t="shared" si="40"/>
        <v>-3680.1290322580317</v>
      </c>
      <c r="AZ21" s="100">
        <f>ELEC!A19</f>
        <v>0</v>
      </c>
      <c r="BA21" s="118">
        <f>'General information '!D21</f>
        <v>25</v>
      </c>
      <c r="BB21" s="392">
        <f>SUM('General information '!E21)</f>
        <v>0.67</v>
      </c>
      <c r="BC21" s="3">
        <f t="shared" si="44"/>
        <v>0</v>
      </c>
      <c r="BD21" s="102">
        <v>19222</v>
      </c>
      <c r="BE21" s="14">
        <f>(305/1185)*ELEC!Q20</f>
        <v>2593.6582278474571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199</v>
      </c>
      <c r="C22" s="203">
        <f t="shared" si="20"/>
        <v>4281.7096774193551</v>
      </c>
      <c r="D22">
        <f t="shared" si="21"/>
        <v>199</v>
      </c>
      <c r="E22" s="203">
        <f t="shared" si="20"/>
        <v>4281.7096774193551</v>
      </c>
      <c r="F22">
        <f t="shared" si="22"/>
        <v>199</v>
      </c>
      <c r="G22" s="203">
        <f t="shared" si="1"/>
        <v>4281.7096774193551</v>
      </c>
      <c r="H22" s="203">
        <f t="shared" si="23"/>
        <v>199</v>
      </c>
      <c r="I22" s="203">
        <f t="shared" si="2"/>
        <v>4281.7096774193551</v>
      </c>
      <c r="J22" s="203">
        <f t="shared" si="24"/>
        <v>199</v>
      </c>
      <c r="K22" s="203">
        <f t="shared" si="3"/>
        <v>4281.7096774193551</v>
      </c>
      <c r="L22" s="203">
        <f t="shared" si="25"/>
        <v>199</v>
      </c>
      <c r="M22" s="203">
        <f t="shared" si="4"/>
        <v>4281.7096774193551</v>
      </c>
      <c r="N22" s="203">
        <f t="shared" si="26"/>
        <v>199</v>
      </c>
      <c r="O22" s="203">
        <f t="shared" si="5"/>
        <v>4281.7096774193551</v>
      </c>
      <c r="P22" s="203">
        <f t="shared" si="27"/>
        <v>199</v>
      </c>
      <c r="Q22" s="203">
        <f t="shared" si="6"/>
        <v>4281.7096774193551</v>
      </c>
      <c r="R22" s="203">
        <f t="shared" si="28"/>
        <v>199</v>
      </c>
      <c r="S22" s="203">
        <f t="shared" si="7"/>
        <v>4281.7096774193551</v>
      </c>
      <c r="T22" s="203">
        <f t="shared" si="29"/>
        <v>199</v>
      </c>
      <c r="U22" s="203">
        <f t="shared" si="8"/>
        <v>4281.7096774193551</v>
      </c>
      <c r="V22" s="203">
        <f t="shared" si="30"/>
        <v>199</v>
      </c>
      <c r="W22" s="203">
        <f t="shared" si="9"/>
        <v>4281.7096774193551</v>
      </c>
      <c r="X22" s="35">
        <f t="shared" si="10"/>
        <v>0.64193548387096777</v>
      </c>
      <c r="Y22" s="36">
        <f t="shared" si="31"/>
        <v>47098.806451612909</v>
      </c>
      <c r="Z22" s="203">
        <f>'B5'!C21</f>
        <v>206</v>
      </c>
      <c r="AA22" s="203">
        <f t="shared" si="32"/>
        <v>2060</v>
      </c>
      <c r="AB22" s="203">
        <f t="shared" si="33"/>
        <v>206</v>
      </c>
      <c r="AC22" s="203">
        <f t="shared" si="32"/>
        <v>2060</v>
      </c>
      <c r="AD22" s="203">
        <f t="shared" si="34"/>
        <v>206</v>
      </c>
      <c r="AE22" s="203">
        <f t="shared" si="11"/>
        <v>2060</v>
      </c>
      <c r="AF22" s="203">
        <f t="shared" si="35"/>
        <v>206</v>
      </c>
      <c r="AG22" s="203">
        <f t="shared" si="12"/>
        <v>2060</v>
      </c>
      <c r="AH22" s="203">
        <f t="shared" si="36"/>
        <v>206</v>
      </c>
      <c r="AI22" s="203">
        <f t="shared" si="13"/>
        <v>2060</v>
      </c>
      <c r="AJ22" s="203">
        <f t="shared" si="37"/>
        <v>206</v>
      </c>
      <c r="AK22" s="203">
        <f t="shared" si="14"/>
        <v>2060</v>
      </c>
      <c r="AL22" s="203">
        <f t="shared" si="38"/>
        <v>206</v>
      </c>
      <c r="AM22" s="203">
        <f t="shared" si="15"/>
        <v>2060</v>
      </c>
      <c r="AN22" s="35">
        <f t="shared" si="16"/>
        <v>0.73571428571428577</v>
      </c>
      <c r="AO22" s="36">
        <f t="shared" si="17"/>
        <v>14420</v>
      </c>
      <c r="AQ22" s="223">
        <f t="shared" si="39"/>
        <v>0.6617059960375703</v>
      </c>
      <c r="AR22" s="38">
        <f t="shared" ref="AR22:AR35" si="46">Y22+AO22</f>
        <v>61518.806451612909</v>
      </c>
      <c r="AS22" s="197">
        <f t="shared" si="45"/>
        <v>-4223.483870967757</v>
      </c>
      <c r="AT22" s="353"/>
      <c r="AU22" s="641"/>
      <c r="AV22" s="511">
        <f t="shared" si="43"/>
        <v>1.05</v>
      </c>
      <c r="AW22" s="289">
        <f>-SUM('B5'!AI21)</f>
        <v>-139</v>
      </c>
      <c r="AX22" s="289">
        <f t="shared" si="19"/>
        <v>-4084.483870967757</v>
      </c>
      <c r="AY22" s="37">
        <f t="shared" si="40"/>
        <v>-4223.483870967757</v>
      </c>
      <c r="AZ22" s="100">
        <f>ELEC!A20</f>
        <v>0</v>
      </c>
      <c r="BA22" s="118">
        <f>'General information '!D22</f>
        <v>24.5</v>
      </c>
      <c r="BB22" s="392">
        <f>SUM('General information '!E22)</f>
        <v>0.65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199</v>
      </c>
      <c r="C23" s="203">
        <f t="shared" si="20"/>
        <v>4281.7096774193551</v>
      </c>
      <c r="D23">
        <f t="shared" si="21"/>
        <v>199</v>
      </c>
      <c r="E23" s="203">
        <f t="shared" si="20"/>
        <v>4281.7096774193551</v>
      </c>
      <c r="F23">
        <f t="shared" si="22"/>
        <v>199</v>
      </c>
      <c r="G23" s="203">
        <f t="shared" si="1"/>
        <v>4281.7096774193551</v>
      </c>
      <c r="H23" s="203">
        <f t="shared" si="23"/>
        <v>199</v>
      </c>
      <c r="I23" s="203">
        <f t="shared" si="2"/>
        <v>4281.7096774193551</v>
      </c>
      <c r="J23" s="203">
        <f t="shared" si="24"/>
        <v>199</v>
      </c>
      <c r="K23" s="203">
        <f t="shared" si="3"/>
        <v>4281.7096774193551</v>
      </c>
      <c r="L23" s="203">
        <f t="shared" si="25"/>
        <v>199</v>
      </c>
      <c r="M23" s="203">
        <f t="shared" si="4"/>
        <v>4281.7096774193551</v>
      </c>
      <c r="N23" s="203">
        <f t="shared" si="26"/>
        <v>199</v>
      </c>
      <c r="O23" s="203">
        <f t="shared" si="5"/>
        <v>4281.7096774193551</v>
      </c>
      <c r="P23" s="203">
        <f t="shared" si="27"/>
        <v>199</v>
      </c>
      <c r="Q23" s="203">
        <f t="shared" si="6"/>
        <v>4281.7096774193551</v>
      </c>
      <c r="R23" s="203">
        <f t="shared" si="28"/>
        <v>199</v>
      </c>
      <c r="S23" s="203">
        <f t="shared" si="7"/>
        <v>4281.7096774193551</v>
      </c>
      <c r="T23" s="203">
        <f t="shared" si="29"/>
        <v>199</v>
      </c>
      <c r="U23" s="203">
        <f t="shared" si="8"/>
        <v>4281.7096774193551</v>
      </c>
      <c r="V23" s="203">
        <f t="shared" si="30"/>
        <v>199</v>
      </c>
      <c r="W23" s="203">
        <f t="shared" si="9"/>
        <v>4281.7096774193551</v>
      </c>
      <c r="X23" s="35">
        <f t="shared" si="10"/>
        <v>0.64193548387096777</v>
      </c>
      <c r="Y23" s="36">
        <f t="shared" si="31"/>
        <v>47098.806451612909</v>
      </c>
      <c r="Z23" s="203">
        <f>'B5'!C22</f>
        <v>206</v>
      </c>
      <c r="AA23" s="203">
        <f t="shared" si="32"/>
        <v>2060</v>
      </c>
      <c r="AB23" s="203">
        <f t="shared" si="33"/>
        <v>206</v>
      </c>
      <c r="AC23" s="203">
        <f t="shared" si="32"/>
        <v>2060</v>
      </c>
      <c r="AD23" s="203">
        <f t="shared" si="34"/>
        <v>206</v>
      </c>
      <c r="AE23" s="203">
        <f t="shared" si="11"/>
        <v>2060</v>
      </c>
      <c r="AF23" s="203">
        <f t="shared" si="35"/>
        <v>206</v>
      </c>
      <c r="AG23" s="203">
        <f t="shared" si="12"/>
        <v>2060</v>
      </c>
      <c r="AH23" s="203">
        <f t="shared" si="36"/>
        <v>206</v>
      </c>
      <c r="AI23" s="203">
        <f t="shared" si="13"/>
        <v>2060</v>
      </c>
      <c r="AJ23" s="203">
        <f t="shared" si="37"/>
        <v>206</v>
      </c>
      <c r="AK23" s="203">
        <f t="shared" si="14"/>
        <v>2060</v>
      </c>
      <c r="AL23" s="203">
        <f t="shared" si="38"/>
        <v>206</v>
      </c>
      <c r="AM23" s="203">
        <f t="shared" si="15"/>
        <v>2060</v>
      </c>
      <c r="AN23" s="35">
        <f t="shared" si="16"/>
        <v>0.73571428571428577</v>
      </c>
      <c r="AO23" s="36">
        <f t="shared" si="17"/>
        <v>14420</v>
      </c>
      <c r="AQ23" s="223">
        <f t="shared" si="39"/>
        <v>0.6617059960375703</v>
      </c>
      <c r="AR23" s="38">
        <f t="shared" si="46"/>
        <v>61518.806451612909</v>
      </c>
      <c r="AS23" s="197">
        <f t="shared" si="45"/>
        <v>0</v>
      </c>
      <c r="AT23" s="353"/>
      <c r="AU23" s="641"/>
      <c r="AV23" s="511">
        <f t="shared" si="43"/>
        <v>1.05</v>
      </c>
      <c r="AW23" s="289">
        <f>-SUM('B5'!AI22)</f>
        <v>0</v>
      </c>
      <c r="AX23" s="289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2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199</v>
      </c>
      <c r="C24" s="203">
        <f t="shared" si="20"/>
        <v>4281.7096774193551</v>
      </c>
      <c r="D24">
        <f t="shared" si="21"/>
        <v>199</v>
      </c>
      <c r="E24" s="203">
        <f t="shared" si="20"/>
        <v>4281.7096774193551</v>
      </c>
      <c r="F24">
        <f t="shared" si="22"/>
        <v>199</v>
      </c>
      <c r="G24" s="203">
        <f t="shared" si="1"/>
        <v>4281.7096774193551</v>
      </c>
      <c r="H24" s="203">
        <f t="shared" si="23"/>
        <v>199</v>
      </c>
      <c r="I24" s="203">
        <f t="shared" si="2"/>
        <v>4281.7096774193551</v>
      </c>
      <c r="J24" s="203">
        <f t="shared" si="24"/>
        <v>199</v>
      </c>
      <c r="K24" s="203">
        <f t="shared" si="3"/>
        <v>4281.7096774193551</v>
      </c>
      <c r="L24" s="203">
        <f t="shared" si="25"/>
        <v>199</v>
      </c>
      <c r="M24" s="203">
        <f t="shared" si="4"/>
        <v>4281.7096774193551</v>
      </c>
      <c r="N24" s="203">
        <f t="shared" si="26"/>
        <v>199</v>
      </c>
      <c r="O24" s="203">
        <f t="shared" si="5"/>
        <v>4281.7096774193551</v>
      </c>
      <c r="P24" s="203">
        <f t="shared" si="27"/>
        <v>199</v>
      </c>
      <c r="Q24" s="203">
        <f t="shared" si="6"/>
        <v>4281.7096774193551</v>
      </c>
      <c r="R24" s="203">
        <f t="shared" si="28"/>
        <v>199</v>
      </c>
      <c r="S24" s="203">
        <f t="shared" si="7"/>
        <v>4281.7096774193551</v>
      </c>
      <c r="T24" s="203">
        <f t="shared" si="29"/>
        <v>199</v>
      </c>
      <c r="U24" s="203">
        <f t="shared" si="8"/>
        <v>4281.7096774193551</v>
      </c>
      <c r="V24" s="203">
        <f t="shared" si="30"/>
        <v>199</v>
      </c>
      <c r="W24" s="203">
        <f t="shared" si="9"/>
        <v>4281.7096774193551</v>
      </c>
      <c r="X24" s="35">
        <f t="shared" si="10"/>
        <v>0.64193548387096777</v>
      </c>
      <c r="Y24" s="36">
        <f t="shared" si="31"/>
        <v>47098.806451612909</v>
      </c>
      <c r="Z24" s="203">
        <f>'B5'!C23</f>
        <v>206</v>
      </c>
      <c r="AA24" s="203">
        <f t="shared" si="32"/>
        <v>2060</v>
      </c>
      <c r="AB24" s="203">
        <f t="shared" si="33"/>
        <v>206</v>
      </c>
      <c r="AC24" s="203">
        <f t="shared" si="32"/>
        <v>2060</v>
      </c>
      <c r="AD24" s="203">
        <f t="shared" si="34"/>
        <v>206</v>
      </c>
      <c r="AE24" s="203">
        <f t="shared" si="11"/>
        <v>2060</v>
      </c>
      <c r="AF24" s="203">
        <f t="shared" si="35"/>
        <v>206</v>
      </c>
      <c r="AG24" s="203">
        <f t="shared" si="12"/>
        <v>2060</v>
      </c>
      <c r="AH24" s="203">
        <f t="shared" si="36"/>
        <v>206</v>
      </c>
      <c r="AI24" s="203">
        <f t="shared" si="13"/>
        <v>2060</v>
      </c>
      <c r="AJ24" s="203">
        <f t="shared" si="37"/>
        <v>206</v>
      </c>
      <c r="AK24" s="203">
        <f t="shared" si="14"/>
        <v>2060</v>
      </c>
      <c r="AL24" s="203">
        <f t="shared" si="38"/>
        <v>206</v>
      </c>
      <c r="AM24" s="203">
        <f t="shared" si="15"/>
        <v>2060</v>
      </c>
      <c r="AN24" s="35">
        <f t="shared" si="16"/>
        <v>0.73571428571428577</v>
      </c>
      <c r="AO24" s="36">
        <f t="shared" si="17"/>
        <v>14420</v>
      </c>
      <c r="AQ24" s="223">
        <f t="shared" si="39"/>
        <v>0.6617059960375703</v>
      </c>
      <c r="AR24" s="38">
        <f t="shared" si="46"/>
        <v>61518.806451612909</v>
      </c>
      <c r="AS24" s="197">
        <f t="shared" si="45"/>
        <v>0</v>
      </c>
      <c r="AT24" s="353"/>
      <c r="AU24" s="641"/>
      <c r="AV24" s="511">
        <f t="shared" si="43"/>
        <v>1.05</v>
      </c>
      <c r="AW24" s="289">
        <f>-SUM('B5'!AI23)</f>
        <v>0</v>
      </c>
      <c r="AX24" s="289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199</v>
      </c>
      <c r="C25" s="203">
        <f t="shared" si="20"/>
        <v>4281.7096774193551</v>
      </c>
      <c r="D25">
        <f t="shared" si="21"/>
        <v>199</v>
      </c>
      <c r="E25" s="203">
        <f t="shared" si="20"/>
        <v>4281.7096774193551</v>
      </c>
      <c r="F25">
        <f t="shared" si="22"/>
        <v>199</v>
      </c>
      <c r="G25" s="203">
        <f t="shared" si="1"/>
        <v>4281.7096774193551</v>
      </c>
      <c r="H25" s="203">
        <f t="shared" si="23"/>
        <v>199</v>
      </c>
      <c r="I25" s="203">
        <f t="shared" si="2"/>
        <v>4281.7096774193551</v>
      </c>
      <c r="J25" s="203">
        <f t="shared" si="24"/>
        <v>199</v>
      </c>
      <c r="K25" s="203">
        <f t="shared" si="3"/>
        <v>4281.7096774193551</v>
      </c>
      <c r="L25" s="203">
        <f t="shared" si="25"/>
        <v>199</v>
      </c>
      <c r="M25" s="203">
        <f t="shared" si="4"/>
        <v>4281.7096774193551</v>
      </c>
      <c r="N25" s="203">
        <f t="shared" si="26"/>
        <v>199</v>
      </c>
      <c r="O25" s="203">
        <f t="shared" si="5"/>
        <v>4281.7096774193551</v>
      </c>
      <c r="P25" s="203">
        <f t="shared" si="27"/>
        <v>199</v>
      </c>
      <c r="Q25" s="203">
        <f t="shared" si="6"/>
        <v>4281.7096774193551</v>
      </c>
      <c r="R25" s="203">
        <f t="shared" si="28"/>
        <v>199</v>
      </c>
      <c r="S25" s="203">
        <f t="shared" si="7"/>
        <v>4281.7096774193551</v>
      </c>
      <c r="T25" s="203">
        <f t="shared" si="29"/>
        <v>199</v>
      </c>
      <c r="U25" s="203">
        <f t="shared" si="8"/>
        <v>4281.7096774193551</v>
      </c>
      <c r="V25" s="203">
        <f t="shared" si="30"/>
        <v>199</v>
      </c>
      <c r="W25" s="203">
        <f t="shared" si="9"/>
        <v>4281.7096774193551</v>
      </c>
      <c r="X25" s="35">
        <f t="shared" si="10"/>
        <v>0.64193548387096777</v>
      </c>
      <c r="Y25" s="36">
        <f t="shared" si="31"/>
        <v>47098.806451612909</v>
      </c>
      <c r="Z25" s="203">
        <f>'B5'!C24</f>
        <v>206</v>
      </c>
      <c r="AA25" s="203">
        <f t="shared" si="32"/>
        <v>2060</v>
      </c>
      <c r="AB25" s="203">
        <f t="shared" si="33"/>
        <v>206</v>
      </c>
      <c r="AC25" s="203">
        <f t="shared" si="32"/>
        <v>2060</v>
      </c>
      <c r="AD25" s="203">
        <f t="shared" si="34"/>
        <v>206</v>
      </c>
      <c r="AE25" s="203">
        <f t="shared" si="11"/>
        <v>2060</v>
      </c>
      <c r="AF25" s="203">
        <f t="shared" si="35"/>
        <v>206</v>
      </c>
      <c r="AG25" s="203">
        <f t="shared" si="12"/>
        <v>2060</v>
      </c>
      <c r="AH25" s="203">
        <f t="shared" si="36"/>
        <v>206</v>
      </c>
      <c r="AI25" s="203">
        <f t="shared" si="13"/>
        <v>2060</v>
      </c>
      <c r="AJ25" s="203">
        <f t="shared" si="37"/>
        <v>206</v>
      </c>
      <c r="AK25" s="203">
        <f t="shared" si="14"/>
        <v>2060</v>
      </c>
      <c r="AL25" s="203">
        <f t="shared" si="38"/>
        <v>206</v>
      </c>
      <c r="AM25" s="203">
        <f t="shared" si="15"/>
        <v>2060</v>
      </c>
      <c r="AN25" s="35">
        <f t="shared" si="16"/>
        <v>0.73571428571428577</v>
      </c>
      <c r="AO25" s="36">
        <f t="shared" si="17"/>
        <v>14420</v>
      </c>
      <c r="AQ25" s="223">
        <f t="shared" si="39"/>
        <v>0.6617059960375703</v>
      </c>
      <c r="AR25" s="38">
        <f t="shared" si="46"/>
        <v>61518.806451612909</v>
      </c>
      <c r="AS25" s="197">
        <f t="shared" si="45"/>
        <v>0</v>
      </c>
      <c r="AT25" s="353"/>
      <c r="AU25" s="643"/>
      <c r="AV25" s="511">
        <f t="shared" si="43"/>
        <v>1.05</v>
      </c>
      <c r="AW25" s="289">
        <f>-SUM('B5'!AI24)</f>
        <v>0</v>
      </c>
      <c r="AX25" s="289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199</v>
      </c>
      <c r="C26" s="203">
        <f t="shared" si="20"/>
        <v>4281.7096774193551</v>
      </c>
      <c r="D26">
        <f t="shared" si="21"/>
        <v>199</v>
      </c>
      <c r="E26" s="203">
        <f t="shared" si="20"/>
        <v>4281.7096774193551</v>
      </c>
      <c r="F26">
        <f t="shared" si="22"/>
        <v>199</v>
      </c>
      <c r="G26" s="203">
        <f t="shared" si="1"/>
        <v>4281.7096774193551</v>
      </c>
      <c r="H26" s="203">
        <f t="shared" si="23"/>
        <v>199</v>
      </c>
      <c r="I26" s="203">
        <f t="shared" si="2"/>
        <v>4281.7096774193551</v>
      </c>
      <c r="J26" s="203">
        <f t="shared" si="24"/>
        <v>199</v>
      </c>
      <c r="K26" s="203">
        <f t="shared" si="3"/>
        <v>4281.7096774193551</v>
      </c>
      <c r="L26" s="203">
        <f t="shared" si="25"/>
        <v>199</v>
      </c>
      <c r="M26" s="203">
        <f t="shared" si="4"/>
        <v>4281.7096774193551</v>
      </c>
      <c r="N26" s="203">
        <f t="shared" si="26"/>
        <v>199</v>
      </c>
      <c r="O26" s="203">
        <f t="shared" si="5"/>
        <v>4281.7096774193551</v>
      </c>
      <c r="P26" s="203">
        <f t="shared" si="27"/>
        <v>199</v>
      </c>
      <c r="Q26" s="203">
        <f t="shared" si="6"/>
        <v>4281.7096774193551</v>
      </c>
      <c r="R26" s="203">
        <f t="shared" si="28"/>
        <v>199</v>
      </c>
      <c r="S26" s="203">
        <f t="shared" si="7"/>
        <v>4281.7096774193551</v>
      </c>
      <c r="T26" s="203">
        <f t="shared" si="29"/>
        <v>199</v>
      </c>
      <c r="U26" s="203">
        <f t="shared" si="8"/>
        <v>4281.7096774193551</v>
      </c>
      <c r="V26" s="203">
        <f t="shared" si="30"/>
        <v>199</v>
      </c>
      <c r="W26" s="203">
        <f t="shared" si="9"/>
        <v>4281.7096774193551</v>
      </c>
      <c r="X26" s="35">
        <f t="shared" si="10"/>
        <v>0.64193548387096777</v>
      </c>
      <c r="Y26" s="36">
        <f t="shared" si="31"/>
        <v>47098.806451612909</v>
      </c>
      <c r="Z26" s="203">
        <f>'B5'!C25</f>
        <v>206</v>
      </c>
      <c r="AA26" s="203">
        <f t="shared" si="32"/>
        <v>2060</v>
      </c>
      <c r="AB26" s="203">
        <f t="shared" si="33"/>
        <v>206</v>
      </c>
      <c r="AC26" s="203">
        <f t="shared" si="32"/>
        <v>2060</v>
      </c>
      <c r="AD26" s="203">
        <f t="shared" si="34"/>
        <v>206</v>
      </c>
      <c r="AE26" s="203">
        <f t="shared" si="11"/>
        <v>2060</v>
      </c>
      <c r="AF26" s="203">
        <f t="shared" si="35"/>
        <v>206</v>
      </c>
      <c r="AG26" s="203">
        <f t="shared" si="12"/>
        <v>2060</v>
      </c>
      <c r="AH26" s="203">
        <f t="shared" si="36"/>
        <v>206</v>
      </c>
      <c r="AI26" s="203">
        <f t="shared" si="13"/>
        <v>2060</v>
      </c>
      <c r="AJ26" s="203">
        <f t="shared" si="37"/>
        <v>206</v>
      </c>
      <c r="AK26" s="203">
        <f t="shared" si="14"/>
        <v>2060</v>
      </c>
      <c r="AL26" s="203">
        <f t="shared" si="38"/>
        <v>206</v>
      </c>
      <c r="AM26" s="203">
        <f t="shared" si="15"/>
        <v>2060</v>
      </c>
      <c r="AN26" s="35">
        <f t="shared" si="16"/>
        <v>0.73571428571428577</v>
      </c>
      <c r="AO26" s="36">
        <f t="shared" si="17"/>
        <v>14420</v>
      </c>
      <c r="AQ26" s="223">
        <f t="shared" si="39"/>
        <v>0.6617059960375703</v>
      </c>
      <c r="AR26" s="38">
        <f t="shared" si="46"/>
        <v>61518.806451612909</v>
      </c>
      <c r="AS26" s="197">
        <f t="shared" si="45"/>
        <v>0</v>
      </c>
      <c r="AT26" s="353"/>
      <c r="AU26" s="641"/>
      <c r="AV26" s="511">
        <f t="shared" si="43"/>
        <v>1.05</v>
      </c>
      <c r="AW26" s="289">
        <f>-SUM('B5'!AI25)</f>
        <v>0</v>
      </c>
      <c r="AX26" s="289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199</v>
      </c>
      <c r="C27" s="203">
        <f t="shared" si="20"/>
        <v>4281.7096774193551</v>
      </c>
      <c r="D27">
        <f t="shared" si="21"/>
        <v>199</v>
      </c>
      <c r="E27" s="203">
        <f t="shared" si="20"/>
        <v>4281.7096774193551</v>
      </c>
      <c r="F27">
        <f t="shared" si="22"/>
        <v>199</v>
      </c>
      <c r="G27" s="203">
        <f t="shared" si="1"/>
        <v>4281.7096774193551</v>
      </c>
      <c r="H27" s="203">
        <f t="shared" si="23"/>
        <v>199</v>
      </c>
      <c r="I27" s="203">
        <f t="shared" si="2"/>
        <v>4281.7096774193551</v>
      </c>
      <c r="J27" s="203">
        <f t="shared" si="24"/>
        <v>199</v>
      </c>
      <c r="K27" s="203">
        <f t="shared" si="3"/>
        <v>4281.7096774193551</v>
      </c>
      <c r="L27" s="203">
        <f t="shared" si="25"/>
        <v>199</v>
      </c>
      <c r="M27" s="203">
        <f t="shared" si="4"/>
        <v>4281.7096774193551</v>
      </c>
      <c r="N27" s="203">
        <f t="shared" si="26"/>
        <v>199</v>
      </c>
      <c r="O27" s="203">
        <f t="shared" si="5"/>
        <v>4281.7096774193551</v>
      </c>
      <c r="P27" s="203">
        <f t="shared" si="27"/>
        <v>199</v>
      </c>
      <c r="Q27" s="203">
        <f t="shared" si="6"/>
        <v>4281.7096774193551</v>
      </c>
      <c r="R27" s="203">
        <f t="shared" si="28"/>
        <v>199</v>
      </c>
      <c r="S27" s="203">
        <f t="shared" si="7"/>
        <v>4281.7096774193551</v>
      </c>
      <c r="T27" s="203">
        <f t="shared" si="29"/>
        <v>199</v>
      </c>
      <c r="U27" s="203">
        <f t="shared" si="8"/>
        <v>4281.7096774193551</v>
      </c>
      <c r="V27" s="203">
        <f t="shared" si="30"/>
        <v>199</v>
      </c>
      <c r="W27" s="203">
        <f t="shared" si="9"/>
        <v>4281.7096774193551</v>
      </c>
      <c r="X27" s="35">
        <f t="shared" si="10"/>
        <v>0.64193548387096777</v>
      </c>
      <c r="Y27" s="36">
        <f t="shared" si="31"/>
        <v>47098.806451612909</v>
      </c>
      <c r="Z27" s="203">
        <f>'B5'!C26</f>
        <v>206</v>
      </c>
      <c r="AA27" s="203">
        <f t="shared" si="32"/>
        <v>2060</v>
      </c>
      <c r="AB27" s="203">
        <f t="shared" si="33"/>
        <v>206</v>
      </c>
      <c r="AC27" s="203">
        <f t="shared" si="32"/>
        <v>2060</v>
      </c>
      <c r="AD27" s="203">
        <f t="shared" si="34"/>
        <v>206</v>
      </c>
      <c r="AE27" s="203">
        <f t="shared" si="11"/>
        <v>2060</v>
      </c>
      <c r="AF27" s="203">
        <f t="shared" si="35"/>
        <v>206</v>
      </c>
      <c r="AG27" s="203">
        <f t="shared" si="12"/>
        <v>2060</v>
      </c>
      <c r="AH27" s="203">
        <f t="shared" si="36"/>
        <v>206</v>
      </c>
      <c r="AI27" s="203">
        <f t="shared" si="13"/>
        <v>2060</v>
      </c>
      <c r="AJ27" s="203">
        <f t="shared" si="37"/>
        <v>206</v>
      </c>
      <c r="AK27" s="203">
        <f t="shared" si="14"/>
        <v>2060</v>
      </c>
      <c r="AL27" s="203">
        <f t="shared" si="38"/>
        <v>206</v>
      </c>
      <c r="AM27" s="203">
        <f t="shared" si="15"/>
        <v>2060</v>
      </c>
      <c r="AN27" s="35">
        <f t="shared" si="16"/>
        <v>0.73571428571428577</v>
      </c>
      <c r="AO27" s="36">
        <f t="shared" si="17"/>
        <v>14420</v>
      </c>
      <c r="AQ27" s="223">
        <f t="shared" si="39"/>
        <v>0.6617059960375703</v>
      </c>
      <c r="AR27" s="38">
        <f t="shared" si="46"/>
        <v>61518.806451612909</v>
      </c>
      <c r="AS27" s="197">
        <f t="shared" si="45"/>
        <v>0</v>
      </c>
      <c r="AT27" s="353"/>
      <c r="AU27" s="641"/>
      <c r="AV27" s="511">
        <f t="shared" si="43"/>
        <v>1.05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199</v>
      </c>
      <c r="C28" s="203">
        <f t="shared" si="20"/>
        <v>4281.7096774193551</v>
      </c>
      <c r="D28">
        <f t="shared" si="21"/>
        <v>199</v>
      </c>
      <c r="E28" s="203">
        <f t="shared" si="20"/>
        <v>4281.7096774193551</v>
      </c>
      <c r="F28">
        <f t="shared" si="22"/>
        <v>199</v>
      </c>
      <c r="G28" s="203">
        <f t="shared" si="1"/>
        <v>4281.7096774193551</v>
      </c>
      <c r="H28" s="203">
        <f t="shared" si="23"/>
        <v>199</v>
      </c>
      <c r="I28" s="203">
        <f t="shared" si="2"/>
        <v>4281.7096774193551</v>
      </c>
      <c r="J28" s="203">
        <f t="shared" si="24"/>
        <v>199</v>
      </c>
      <c r="K28" s="203">
        <f t="shared" si="3"/>
        <v>4281.7096774193551</v>
      </c>
      <c r="L28" s="203">
        <f t="shared" si="25"/>
        <v>199</v>
      </c>
      <c r="M28" s="203">
        <f t="shared" si="4"/>
        <v>4281.7096774193551</v>
      </c>
      <c r="N28" s="203">
        <f t="shared" si="26"/>
        <v>199</v>
      </c>
      <c r="O28" s="203">
        <f t="shared" si="5"/>
        <v>4281.7096774193551</v>
      </c>
      <c r="P28" s="203">
        <f t="shared" si="27"/>
        <v>199</v>
      </c>
      <c r="Q28" s="203">
        <f t="shared" si="6"/>
        <v>4281.7096774193551</v>
      </c>
      <c r="R28" s="203">
        <f t="shared" si="28"/>
        <v>199</v>
      </c>
      <c r="S28" s="203">
        <f t="shared" si="7"/>
        <v>4281.7096774193551</v>
      </c>
      <c r="T28" s="203">
        <f t="shared" si="29"/>
        <v>199</v>
      </c>
      <c r="U28" s="203">
        <f t="shared" si="8"/>
        <v>4281.7096774193551</v>
      </c>
      <c r="V28" s="203">
        <f t="shared" si="30"/>
        <v>199</v>
      </c>
      <c r="W28" s="203">
        <f t="shared" si="9"/>
        <v>4281.7096774193551</v>
      </c>
      <c r="X28" s="35">
        <f t="shared" si="10"/>
        <v>0.64193548387096777</v>
      </c>
      <c r="Y28" s="36">
        <f t="shared" si="31"/>
        <v>47098.806451612909</v>
      </c>
      <c r="Z28" s="203">
        <f>'B5'!C27</f>
        <v>206</v>
      </c>
      <c r="AA28" s="203">
        <f t="shared" si="32"/>
        <v>2060</v>
      </c>
      <c r="AB28" s="203">
        <f t="shared" si="33"/>
        <v>206</v>
      </c>
      <c r="AC28" s="203">
        <f t="shared" si="32"/>
        <v>2060</v>
      </c>
      <c r="AD28" s="203">
        <f t="shared" si="34"/>
        <v>206</v>
      </c>
      <c r="AE28" s="203">
        <f t="shared" si="11"/>
        <v>2060</v>
      </c>
      <c r="AF28" s="203">
        <f t="shared" si="35"/>
        <v>206</v>
      </c>
      <c r="AG28" s="203">
        <f t="shared" si="12"/>
        <v>2060</v>
      </c>
      <c r="AH28" s="203">
        <f t="shared" si="36"/>
        <v>206</v>
      </c>
      <c r="AI28" s="203">
        <f t="shared" si="13"/>
        <v>2060</v>
      </c>
      <c r="AJ28" s="203">
        <f t="shared" si="37"/>
        <v>206</v>
      </c>
      <c r="AK28" s="203">
        <f t="shared" si="14"/>
        <v>2060</v>
      </c>
      <c r="AL28" s="203">
        <f t="shared" si="38"/>
        <v>206</v>
      </c>
      <c r="AM28" s="203">
        <f t="shared" si="15"/>
        <v>2060</v>
      </c>
      <c r="AN28" s="35">
        <f t="shared" si="16"/>
        <v>0.73571428571428577</v>
      </c>
      <c r="AO28" s="36">
        <f t="shared" si="17"/>
        <v>14420</v>
      </c>
      <c r="AQ28" s="223">
        <f t="shared" si="39"/>
        <v>0.6617059960375703</v>
      </c>
      <c r="AR28" s="38">
        <f t="shared" si="46"/>
        <v>61518.806451612909</v>
      </c>
      <c r="AS28" s="197">
        <f t="shared" si="45"/>
        <v>0</v>
      </c>
      <c r="AT28" s="353"/>
      <c r="AU28" s="643"/>
      <c r="AV28" s="511">
        <f t="shared" si="43"/>
        <v>1.05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199</v>
      </c>
      <c r="C29" s="203">
        <f t="shared" si="20"/>
        <v>4281.7096774193551</v>
      </c>
      <c r="D29">
        <f t="shared" si="21"/>
        <v>199</v>
      </c>
      <c r="E29" s="203">
        <f t="shared" si="20"/>
        <v>4281.7096774193551</v>
      </c>
      <c r="F29">
        <f t="shared" si="22"/>
        <v>199</v>
      </c>
      <c r="G29" s="203">
        <f t="shared" si="1"/>
        <v>4281.7096774193551</v>
      </c>
      <c r="H29" s="203">
        <f t="shared" si="23"/>
        <v>199</v>
      </c>
      <c r="I29" s="203">
        <f t="shared" si="2"/>
        <v>4281.7096774193551</v>
      </c>
      <c r="J29" s="203">
        <f t="shared" si="24"/>
        <v>199</v>
      </c>
      <c r="K29" s="203">
        <f t="shared" si="3"/>
        <v>4281.7096774193551</v>
      </c>
      <c r="L29" s="203">
        <f t="shared" si="25"/>
        <v>199</v>
      </c>
      <c r="M29" s="203">
        <f t="shared" si="4"/>
        <v>4281.7096774193551</v>
      </c>
      <c r="N29" s="203">
        <f t="shared" si="26"/>
        <v>199</v>
      </c>
      <c r="O29" s="203">
        <f t="shared" si="5"/>
        <v>4281.7096774193551</v>
      </c>
      <c r="P29" s="203">
        <f t="shared" si="27"/>
        <v>199</v>
      </c>
      <c r="Q29" s="203">
        <f t="shared" si="6"/>
        <v>4281.7096774193551</v>
      </c>
      <c r="R29" s="203">
        <f t="shared" si="28"/>
        <v>199</v>
      </c>
      <c r="S29" s="203">
        <f t="shared" si="7"/>
        <v>4281.7096774193551</v>
      </c>
      <c r="T29" s="203">
        <f t="shared" si="29"/>
        <v>199</v>
      </c>
      <c r="U29" s="203">
        <f t="shared" si="8"/>
        <v>4281.7096774193551</v>
      </c>
      <c r="V29" s="203">
        <f t="shared" si="30"/>
        <v>199</v>
      </c>
      <c r="W29" s="203">
        <f t="shared" si="9"/>
        <v>4281.7096774193551</v>
      </c>
      <c r="X29" s="35">
        <f t="shared" si="10"/>
        <v>0.64193548387096777</v>
      </c>
      <c r="Y29" s="36">
        <f t="shared" si="31"/>
        <v>47098.806451612909</v>
      </c>
      <c r="Z29" s="203">
        <f>'B5'!C28</f>
        <v>206</v>
      </c>
      <c r="AA29" s="203">
        <f t="shared" si="32"/>
        <v>2060</v>
      </c>
      <c r="AB29" s="203">
        <f t="shared" si="33"/>
        <v>206</v>
      </c>
      <c r="AC29" s="203">
        <f t="shared" si="32"/>
        <v>2060</v>
      </c>
      <c r="AD29" s="203">
        <f t="shared" si="34"/>
        <v>206</v>
      </c>
      <c r="AE29" s="203">
        <f t="shared" si="11"/>
        <v>2060</v>
      </c>
      <c r="AF29" s="203">
        <f t="shared" si="35"/>
        <v>206</v>
      </c>
      <c r="AG29" s="203">
        <f t="shared" si="12"/>
        <v>2060</v>
      </c>
      <c r="AH29" s="203">
        <f t="shared" si="36"/>
        <v>206</v>
      </c>
      <c r="AI29" s="203">
        <f t="shared" si="13"/>
        <v>2060</v>
      </c>
      <c r="AJ29" s="203">
        <f t="shared" si="37"/>
        <v>206</v>
      </c>
      <c r="AK29" s="203">
        <f t="shared" si="14"/>
        <v>2060</v>
      </c>
      <c r="AL29" s="203">
        <f t="shared" si="38"/>
        <v>206</v>
      </c>
      <c r="AM29" s="203">
        <f t="shared" si="15"/>
        <v>2060</v>
      </c>
      <c r="AN29" s="35">
        <f t="shared" si="16"/>
        <v>0.73571428571428577</v>
      </c>
      <c r="AO29" s="36">
        <f t="shared" si="17"/>
        <v>14420</v>
      </c>
      <c r="AQ29" s="223">
        <f t="shared" si="39"/>
        <v>0.6617059960375703</v>
      </c>
      <c r="AR29" s="38">
        <f t="shared" si="46"/>
        <v>61518.806451612909</v>
      </c>
      <c r="AS29" s="197">
        <f t="shared" si="45"/>
        <v>0</v>
      </c>
      <c r="AT29" s="353"/>
      <c r="AU29" s="643"/>
      <c r="AV29" s="511">
        <f t="shared" si="43"/>
        <v>1.05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199</v>
      </c>
      <c r="C30" s="203">
        <f t="shared" si="20"/>
        <v>4281.7096774193551</v>
      </c>
      <c r="D30">
        <f t="shared" ref="D30:D35" si="47">SUM(B30)</f>
        <v>199</v>
      </c>
      <c r="E30" s="203">
        <f t="shared" si="20"/>
        <v>4281.7096774193551</v>
      </c>
      <c r="F30">
        <f t="shared" ref="F30:F35" si="48">SUM(D30)</f>
        <v>199</v>
      </c>
      <c r="G30" s="203">
        <f t="shared" si="1"/>
        <v>4281.7096774193551</v>
      </c>
      <c r="H30" s="203">
        <f t="shared" ref="H30:H35" si="49">SUM(F30)</f>
        <v>199</v>
      </c>
      <c r="I30" s="203">
        <f t="shared" si="2"/>
        <v>4281.7096774193551</v>
      </c>
      <c r="J30" s="203">
        <f t="shared" ref="J30:J35" si="50">SUM(H30)</f>
        <v>199</v>
      </c>
      <c r="K30" s="203">
        <f t="shared" si="3"/>
        <v>4281.7096774193551</v>
      </c>
      <c r="L30" s="203">
        <f t="shared" ref="L30:L35" si="51">SUM(J30)</f>
        <v>199</v>
      </c>
      <c r="M30" s="203">
        <f t="shared" si="4"/>
        <v>4281.7096774193551</v>
      </c>
      <c r="N30" s="203">
        <f t="shared" ref="N30:N35" si="52">SUM(L30)</f>
        <v>199</v>
      </c>
      <c r="O30" s="203">
        <f t="shared" si="5"/>
        <v>4281.7096774193551</v>
      </c>
      <c r="P30" s="203">
        <f t="shared" ref="P30:P35" si="53">SUM(N30)</f>
        <v>199</v>
      </c>
      <c r="Q30" s="203">
        <f t="shared" si="6"/>
        <v>4281.7096774193551</v>
      </c>
      <c r="R30" s="203">
        <f t="shared" ref="R30:R35" si="54">SUM(P30)</f>
        <v>199</v>
      </c>
      <c r="S30" s="203">
        <f t="shared" si="7"/>
        <v>4281.7096774193551</v>
      </c>
      <c r="T30" s="203">
        <f t="shared" ref="T30:T35" si="55">SUM(R30)</f>
        <v>199</v>
      </c>
      <c r="U30" s="203">
        <f t="shared" si="8"/>
        <v>4281.7096774193551</v>
      </c>
      <c r="V30" s="203">
        <f t="shared" ref="V30:V35" si="56">SUM(T30)</f>
        <v>199</v>
      </c>
      <c r="W30" s="203">
        <f t="shared" si="9"/>
        <v>4281.7096774193551</v>
      </c>
      <c r="X30" s="35">
        <f t="shared" ref="X30:X35" si="57">SUM(Y30/73370)</f>
        <v>0.64193548387096777</v>
      </c>
      <c r="Y30" s="36">
        <f t="shared" ref="Y30:Y35" si="58">SUM(C30+E30+G30+I30+K30+M30+O30+Q30+S30+U30+W30)</f>
        <v>47098.806451612909</v>
      </c>
      <c r="Z30" s="203">
        <f>'B5'!C29</f>
        <v>206</v>
      </c>
      <c r="AA30" s="203">
        <f t="shared" si="32"/>
        <v>2060</v>
      </c>
      <c r="AB30" s="203">
        <f t="shared" ref="AB30:AB35" si="59">SUM(Z30)</f>
        <v>206</v>
      </c>
      <c r="AC30" s="203">
        <f t="shared" si="32"/>
        <v>2060</v>
      </c>
      <c r="AD30" s="203">
        <f t="shared" ref="AD30:AD35" si="60">SUM(AB30)</f>
        <v>206</v>
      </c>
      <c r="AE30" s="203">
        <f t="shared" si="11"/>
        <v>2060</v>
      </c>
      <c r="AF30" s="203">
        <f t="shared" ref="AF30:AF35" si="61">SUM(AD30)</f>
        <v>206</v>
      </c>
      <c r="AG30" s="203">
        <f t="shared" si="12"/>
        <v>2060</v>
      </c>
      <c r="AH30" s="203">
        <f t="shared" ref="AH30:AH35" si="62">SUM(AF30)</f>
        <v>206</v>
      </c>
      <c r="AI30" s="203">
        <f t="shared" si="13"/>
        <v>2060</v>
      </c>
      <c r="AJ30" s="203">
        <f t="shared" ref="AJ30:AJ35" si="63">SUM(AH30)</f>
        <v>206</v>
      </c>
      <c r="AK30" s="203">
        <f t="shared" si="14"/>
        <v>2060</v>
      </c>
      <c r="AL30" s="203">
        <f t="shared" ref="AL30:AL35" si="64">SUM(AJ30)</f>
        <v>206</v>
      </c>
      <c r="AM30" s="203">
        <f t="shared" si="15"/>
        <v>2060</v>
      </c>
      <c r="AN30" s="35">
        <f t="shared" ref="AN30:AN35" si="65">SUM(AO30/19600)</f>
        <v>0.73571428571428577</v>
      </c>
      <c r="AO30" s="36">
        <f t="shared" ref="AO30:AO35" si="66">SUM(AA30+AC30+AE30+AG30+AI30+AK30+AM30)</f>
        <v>14420</v>
      </c>
      <c r="AQ30" s="223">
        <f t="shared" si="39"/>
        <v>0.6617059960375703</v>
      </c>
      <c r="AR30" s="38">
        <f t="shared" si="46"/>
        <v>61518.806451612909</v>
      </c>
      <c r="AS30" s="197">
        <f t="shared" si="45"/>
        <v>0</v>
      </c>
      <c r="AT30" s="353"/>
      <c r="AU30" s="641"/>
      <c r="AV30" s="511">
        <f t="shared" si="43"/>
        <v>1.05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199</v>
      </c>
      <c r="C31" s="203">
        <f t="shared" si="20"/>
        <v>4281.7096774193551</v>
      </c>
      <c r="D31">
        <f t="shared" si="47"/>
        <v>199</v>
      </c>
      <c r="E31" s="203">
        <f t="shared" si="20"/>
        <v>4281.7096774193551</v>
      </c>
      <c r="F31">
        <f t="shared" si="48"/>
        <v>199</v>
      </c>
      <c r="G31" s="203">
        <f t="shared" si="1"/>
        <v>4281.7096774193551</v>
      </c>
      <c r="H31" s="203">
        <f t="shared" si="49"/>
        <v>199</v>
      </c>
      <c r="I31" s="203">
        <f t="shared" si="2"/>
        <v>4281.7096774193551</v>
      </c>
      <c r="J31" s="203">
        <f t="shared" si="50"/>
        <v>199</v>
      </c>
      <c r="K31" s="203">
        <f t="shared" si="3"/>
        <v>4281.7096774193551</v>
      </c>
      <c r="L31" s="203">
        <f t="shared" si="51"/>
        <v>199</v>
      </c>
      <c r="M31" s="203">
        <f t="shared" si="4"/>
        <v>4281.7096774193551</v>
      </c>
      <c r="N31" s="203">
        <f t="shared" si="52"/>
        <v>199</v>
      </c>
      <c r="O31" s="203">
        <f t="shared" si="5"/>
        <v>4281.7096774193551</v>
      </c>
      <c r="P31" s="203">
        <f t="shared" si="53"/>
        <v>199</v>
      </c>
      <c r="Q31" s="203">
        <f t="shared" si="6"/>
        <v>4281.7096774193551</v>
      </c>
      <c r="R31" s="203">
        <f t="shared" si="54"/>
        <v>199</v>
      </c>
      <c r="S31" s="203">
        <f t="shared" si="7"/>
        <v>4281.7096774193551</v>
      </c>
      <c r="T31" s="203">
        <f t="shared" si="55"/>
        <v>199</v>
      </c>
      <c r="U31" s="203">
        <f t="shared" si="8"/>
        <v>4281.7096774193551</v>
      </c>
      <c r="V31" s="203">
        <f t="shared" si="56"/>
        <v>199</v>
      </c>
      <c r="W31" s="203">
        <f t="shared" si="9"/>
        <v>4281.7096774193551</v>
      </c>
      <c r="X31" s="35">
        <f t="shared" si="57"/>
        <v>0.64193548387096777</v>
      </c>
      <c r="Y31" s="36">
        <f t="shared" si="58"/>
        <v>47098.806451612909</v>
      </c>
      <c r="Z31" s="203">
        <f>'B5'!C30</f>
        <v>206</v>
      </c>
      <c r="AA31" s="203">
        <f t="shared" si="32"/>
        <v>2060</v>
      </c>
      <c r="AB31" s="203">
        <f t="shared" si="59"/>
        <v>206</v>
      </c>
      <c r="AC31" s="203">
        <f t="shared" si="32"/>
        <v>2060</v>
      </c>
      <c r="AD31" s="203">
        <f t="shared" si="60"/>
        <v>206</v>
      </c>
      <c r="AE31" s="203">
        <f t="shared" si="11"/>
        <v>2060</v>
      </c>
      <c r="AF31" s="203">
        <f t="shared" si="61"/>
        <v>206</v>
      </c>
      <c r="AG31" s="203">
        <f t="shared" si="12"/>
        <v>2060</v>
      </c>
      <c r="AH31" s="203">
        <f t="shared" si="62"/>
        <v>206</v>
      </c>
      <c r="AI31" s="203">
        <f t="shared" si="13"/>
        <v>2060</v>
      </c>
      <c r="AJ31" s="203">
        <f t="shared" si="63"/>
        <v>206</v>
      </c>
      <c r="AK31" s="203">
        <f t="shared" si="14"/>
        <v>2060</v>
      </c>
      <c r="AL31" s="203">
        <f t="shared" si="64"/>
        <v>206</v>
      </c>
      <c r="AM31" s="203">
        <f t="shared" si="15"/>
        <v>2060</v>
      </c>
      <c r="AN31" s="35">
        <f t="shared" si="65"/>
        <v>0.73571428571428577</v>
      </c>
      <c r="AO31" s="36">
        <f t="shared" si="66"/>
        <v>14420</v>
      </c>
      <c r="AQ31" s="223">
        <f t="shared" si="39"/>
        <v>0.6617059960375703</v>
      </c>
      <c r="AR31" s="38">
        <f t="shared" si="46"/>
        <v>61518.806451612909</v>
      </c>
      <c r="AS31" s="197">
        <f t="shared" si="45"/>
        <v>0</v>
      </c>
      <c r="AT31" s="353"/>
      <c r="AU31" s="641"/>
      <c r="AV31" s="511">
        <f t="shared" si="43"/>
        <v>1.05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199</v>
      </c>
      <c r="C32" s="203">
        <f t="shared" si="20"/>
        <v>4281.7096774193551</v>
      </c>
      <c r="D32">
        <f t="shared" si="47"/>
        <v>199</v>
      </c>
      <c r="E32" s="203">
        <f t="shared" si="20"/>
        <v>4281.7096774193551</v>
      </c>
      <c r="F32">
        <f t="shared" si="48"/>
        <v>199</v>
      </c>
      <c r="G32" s="203">
        <f t="shared" si="1"/>
        <v>4281.7096774193551</v>
      </c>
      <c r="H32" s="203">
        <f t="shared" si="49"/>
        <v>199</v>
      </c>
      <c r="I32" s="203">
        <f t="shared" si="2"/>
        <v>4281.7096774193551</v>
      </c>
      <c r="J32" s="203">
        <f t="shared" si="50"/>
        <v>199</v>
      </c>
      <c r="K32" s="203">
        <f t="shared" si="3"/>
        <v>4281.7096774193551</v>
      </c>
      <c r="L32" s="203">
        <f t="shared" si="51"/>
        <v>199</v>
      </c>
      <c r="M32" s="203">
        <f t="shared" si="4"/>
        <v>4281.7096774193551</v>
      </c>
      <c r="N32" s="203">
        <f t="shared" si="52"/>
        <v>199</v>
      </c>
      <c r="O32" s="203">
        <f t="shared" si="5"/>
        <v>4281.7096774193551</v>
      </c>
      <c r="P32" s="203">
        <f t="shared" si="53"/>
        <v>199</v>
      </c>
      <c r="Q32" s="203">
        <f t="shared" si="6"/>
        <v>4281.7096774193551</v>
      </c>
      <c r="R32" s="203">
        <f t="shared" si="54"/>
        <v>199</v>
      </c>
      <c r="S32" s="203">
        <f t="shared" si="7"/>
        <v>4281.7096774193551</v>
      </c>
      <c r="T32" s="203">
        <f t="shared" si="55"/>
        <v>199</v>
      </c>
      <c r="U32" s="203">
        <f t="shared" si="8"/>
        <v>4281.7096774193551</v>
      </c>
      <c r="V32" s="203">
        <f t="shared" si="56"/>
        <v>199</v>
      </c>
      <c r="W32" s="203">
        <f t="shared" si="9"/>
        <v>4281.7096774193551</v>
      </c>
      <c r="X32" s="35">
        <f t="shared" si="57"/>
        <v>0.64193548387096777</v>
      </c>
      <c r="Y32" s="36">
        <f t="shared" si="58"/>
        <v>47098.806451612909</v>
      </c>
      <c r="Z32" s="203">
        <f>'B5'!C31</f>
        <v>206</v>
      </c>
      <c r="AA32" s="203">
        <f t="shared" si="32"/>
        <v>2060</v>
      </c>
      <c r="AB32" s="203">
        <f t="shared" si="59"/>
        <v>206</v>
      </c>
      <c r="AC32" s="203">
        <f t="shared" si="32"/>
        <v>2060</v>
      </c>
      <c r="AD32" s="203">
        <f t="shared" si="60"/>
        <v>206</v>
      </c>
      <c r="AE32" s="203">
        <f t="shared" si="11"/>
        <v>2060</v>
      </c>
      <c r="AF32" s="203">
        <f t="shared" si="61"/>
        <v>206</v>
      </c>
      <c r="AG32" s="203">
        <f t="shared" si="12"/>
        <v>2060</v>
      </c>
      <c r="AH32" s="203">
        <f t="shared" si="62"/>
        <v>206</v>
      </c>
      <c r="AI32" s="203">
        <f t="shared" si="13"/>
        <v>2060</v>
      </c>
      <c r="AJ32" s="203">
        <f t="shared" si="63"/>
        <v>206</v>
      </c>
      <c r="AK32" s="203">
        <f t="shared" si="14"/>
        <v>2060</v>
      </c>
      <c r="AL32" s="203">
        <f t="shared" si="64"/>
        <v>206</v>
      </c>
      <c r="AM32" s="203">
        <f t="shared" si="15"/>
        <v>2060</v>
      </c>
      <c r="AN32" s="35">
        <f t="shared" si="65"/>
        <v>0.73571428571428577</v>
      </c>
      <c r="AO32" s="36">
        <f t="shared" si="66"/>
        <v>14420</v>
      </c>
      <c r="AQ32" s="223">
        <f t="shared" si="39"/>
        <v>0.6617059960375703</v>
      </c>
      <c r="AR32" s="38">
        <f t="shared" si="46"/>
        <v>61518.806451612909</v>
      </c>
      <c r="AS32" s="197">
        <f t="shared" si="45"/>
        <v>0</v>
      </c>
      <c r="AT32" s="353"/>
      <c r="AU32" s="641"/>
      <c r="AV32" s="511">
        <f>IF(AT32&gt;0,AU32,AV31)</f>
        <v>1.05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199</v>
      </c>
      <c r="C33" s="203">
        <f t="shared" si="20"/>
        <v>4281.7096774193551</v>
      </c>
      <c r="D33">
        <f t="shared" si="47"/>
        <v>199</v>
      </c>
      <c r="E33" s="203">
        <f t="shared" si="20"/>
        <v>4281.7096774193551</v>
      </c>
      <c r="F33">
        <f t="shared" si="48"/>
        <v>199</v>
      </c>
      <c r="G33" s="203">
        <f t="shared" si="1"/>
        <v>4281.7096774193551</v>
      </c>
      <c r="H33" s="203">
        <f t="shared" si="49"/>
        <v>199</v>
      </c>
      <c r="I33" s="203">
        <f t="shared" si="2"/>
        <v>4281.7096774193551</v>
      </c>
      <c r="J33" s="203">
        <f t="shared" si="50"/>
        <v>199</v>
      </c>
      <c r="K33" s="203">
        <f t="shared" si="3"/>
        <v>4281.7096774193551</v>
      </c>
      <c r="L33" s="203">
        <f t="shared" si="51"/>
        <v>199</v>
      </c>
      <c r="M33" s="203">
        <f t="shared" si="4"/>
        <v>4281.7096774193551</v>
      </c>
      <c r="N33" s="203">
        <f t="shared" si="52"/>
        <v>199</v>
      </c>
      <c r="O33" s="203">
        <f t="shared" si="5"/>
        <v>4281.7096774193551</v>
      </c>
      <c r="P33" s="203">
        <f t="shared" si="53"/>
        <v>199</v>
      </c>
      <c r="Q33" s="203">
        <f t="shared" si="6"/>
        <v>4281.7096774193551</v>
      </c>
      <c r="R33" s="203">
        <f t="shared" si="54"/>
        <v>199</v>
      </c>
      <c r="S33" s="203">
        <f t="shared" si="7"/>
        <v>4281.7096774193551</v>
      </c>
      <c r="T33" s="203">
        <f t="shared" si="55"/>
        <v>199</v>
      </c>
      <c r="U33" s="203">
        <f t="shared" si="8"/>
        <v>4281.7096774193551</v>
      </c>
      <c r="V33" s="203">
        <f t="shared" si="56"/>
        <v>199</v>
      </c>
      <c r="W33" s="203">
        <f t="shared" si="9"/>
        <v>4281.7096774193551</v>
      </c>
      <c r="X33" s="35">
        <f t="shared" si="57"/>
        <v>0.64193548387096777</v>
      </c>
      <c r="Y33" s="36">
        <f t="shared" si="58"/>
        <v>47098.806451612909</v>
      </c>
      <c r="Z33" s="203">
        <f>'B5'!C32</f>
        <v>206</v>
      </c>
      <c r="AA33" s="203">
        <f t="shared" si="32"/>
        <v>2060</v>
      </c>
      <c r="AB33" s="203">
        <f t="shared" si="59"/>
        <v>206</v>
      </c>
      <c r="AC33" s="203">
        <f t="shared" si="32"/>
        <v>2060</v>
      </c>
      <c r="AD33" s="203">
        <f t="shared" si="60"/>
        <v>206</v>
      </c>
      <c r="AE33" s="203">
        <f t="shared" si="11"/>
        <v>2060</v>
      </c>
      <c r="AF33" s="203">
        <f t="shared" si="61"/>
        <v>206</v>
      </c>
      <c r="AG33" s="203">
        <f t="shared" si="12"/>
        <v>2060</v>
      </c>
      <c r="AH33" s="203">
        <f t="shared" si="62"/>
        <v>206</v>
      </c>
      <c r="AI33" s="203">
        <f t="shared" si="13"/>
        <v>2060</v>
      </c>
      <c r="AJ33" s="203">
        <f t="shared" si="63"/>
        <v>206</v>
      </c>
      <c r="AK33" s="203">
        <f t="shared" si="14"/>
        <v>2060</v>
      </c>
      <c r="AL33" s="203">
        <f t="shared" si="64"/>
        <v>206</v>
      </c>
      <c r="AM33" s="203">
        <f t="shared" si="15"/>
        <v>2060</v>
      </c>
      <c r="AN33" s="35">
        <f t="shared" si="65"/>
        <v>0.73571428571428577</v>
      </c>
      <c r="AO33" s="36">
        <f t="shared" si="66"/>
        <v>14420</v>
      </c>
      <c r="AQ33" s="223">
        <f t="shared" si="39"/>
        <v>0.6617059960375703</v>
      </c>
      <c r="AR33" s="38">
        <f t="shared" si="46"/>
        <v>61518.806451612909</v>
      </c>
      <c r="AS33" s="197">
        <f t="shared" si="45"/>
        <v>0</v>
      </c>
      <c r="AT33" s="353"/>
      <c r="AU33" s="641"/>
      <c r="AV33" s="511">
        <f>IF(AT33&gt;0,AU33,AV32)</f>
        <v>1.05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199</v>
      </c>
      <c r="C34" s="203">
        <f>B34*$B$4</f>
        <v>4281.7096774193551</v>
      </c>
      <c r="D34">
        <f t="shared" si="47"/>
        <v>199</v>
      </c>
      <c r="E34" s="203">
        <f>D34*$B$4</f>
        <v>4281.7096774193551</v>
      </c>
      <c r="F34">
        <f t="shared" si="48"/>
        <v>199</v>
      </c>
      <c r="G34" s="203">
        <f>F34*$B$4</f>
        <v>4281.7096774193551</v>
      </c>
      <c r="H34" s="203">
        <f t="shared" si="49"/>
        <v>199</v>
      </c>
      <c r="I34" s="203">
        <f>H34*$B$4</f>
        <v>4281.7096774193551</v>
      </c>
      <c r="J34" s="203">
        <f t="shared" si="50"/>
        <v>199</v>
      </c>
      <c r="K34" s="203">
        <f>J34*$B$4</f>
        <v>4281.7096774193551</v>
      </c>
      <c r="L34" s="203">
        <f t="shared" si="51"/>
        <v>199</v>
      </c>
      <c r="M34" s="203">
        <f>L34*$B$4</f>
        <v>4281.7096774193551</v>
      </c>
      <c r="N34" s="203">
        <f t="shared" si="52"/>
        <v>199</v>
      </c>
      <c r="O34" s="203">
        <f>N34*$B$4</f>
        <v>4281.7096774193551</v>
      </c>
      <c r="P34" s="203">
        <f t="shared" si="53"/>
        <v>199</v>
      </c>
      <c r="Q34" s="203">
        <f>P34*$B$4</f>
        <v>4281.7096774193551</v>
      </c>
      <c r="R34" s="203">
        <f t="shared" si="54"/>
        <v>199</v>
      </c>
      <c r="S34" s="203">
        <f>R34*$B$4</f>
        <v>4281.7096774193551</v>
      </c>
      <c r="T34" s="203">
        <f t="shared" si="55"/>
        <v>199</v>
      </c>
      <c r="U34" s="203">
        <f>T34*$B$4</f>
        <v>4281.7096774193551</v>
      </c>
      <c r="V34" s="203">
        <f t="shared" si="56"/>
        <v>199</v>
      </c>
      <c r="W34" s="203">
        <f>V34*$B$4</f>
        <v>4281.7096774193551</v>
      </c>
      <c r="X34" s="35">
        <f t="shared" si="57"/>
        <v>0.64193548387096777</v>
      </c>
      <c r="Y34" s="36">
        <f t="shared" si="58"/>
        <v>47098.806451612909</v>
      </c>
      <c r="Z34" s="203">
        <f>'B5'!C33</f>
        <v>206</v>
      </c>
      <c r="AA34" s="203">
        <f>SUM(Z34*$Z$4)</f>
        <v>2060</v>
      </c>
      <c r="AB34" s="203">
        <f t="shared" si="59"/>
        <v>206</v>
      </c>
      <c r="AC34" s="203">
        <f>SUM(AB34*$Z$4)</f>
        <v>2060</v>
      </c>
      <c r="AD34" s="203">
        <f t="shared" si="60"/>
        <v>206</v>
      </c>
      <c r="AE34" s="203">
        <f>SUM(AD34*$Z$4)</f>
        <v>2060</v>
      </c>
      <c r="AF34" s="203">
        <f t="shared" si="61"/>
        <v>206</v>
      </c>
      <c r="AG34" s="203">
        <f>SUM(AF34*$Z$4)</f>
        <v>2060</v>
      </c>
      <c r="AH34" s="203">
        <f t="shared" si="62"/>
        <v>206</v>
      </c>
      <c r="AI34" s="203">
        <f>SUM(AH34*$Z$4)</f>
        <v>2060</v>
      </c>
      <c r="AJ34" s="203">
        <f t="shared" si="63"/>
        <v>206</v>
      </c>
      <c r="AK34" s="203">
        <f>SUM(AJ34*$Z$4)</f>
        <v>2060</v>
      </c>
      <c r="AL34" s="203">
        <f t="shared" si="64"/>
        <v>206</v>
      </c>
      <c r="AM34" s="203">
        <f>SUM(AL34*$Z$4)</f>
        <v>2060</v>
      </c>
      <c r="AN34" s="35">
        <f t="shared" si="65"/>
        <v>0.73571428571428577</v>
      </c>
      <c r="AO34" s="36">
        <f t="shared" si="66"/>
        <v>14420</v>
      </c>
      <c r="AQ34" s="223">
        <f>SUM(AR34/92970)</f>
        <v>0.6617059960375703</v>
      </c>
      <c r="AR34" s="38">
        <f t="shared" si="46"/>
        <v>61518.806451612909</v>
      </c>
      <c r="AS34" s="197">
        <f t="shared" si="45"/>
        <v>0</v>
      </c>
      <c r="AT34" s="353"/>
      <c r="AU34" s="641"/>
      <c r="AV34" s="511">
        <f>IF(AT34&gt;0,AU34,AV33)</f>
        <v>1.05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199</v>
      </c>
      <c r="C35" s="203">
        <f>B35*$B$4</f>
        <v>4281.7096774193551</v>
      </c>
      <c r="D35">
        <f t="shared" si="47"/>
        <v>199</v>
      </c>
      <c r="E35" s="203">
        <f>D35*$B$4</f>
        <v>4281.7096774193551</v>
      </c>
      <c r="F35">
        <f t="shared" si="48"/>
        <v>199</v>
      </c>
      <c r="G35" s="203">
        <f>F35*$B$4</f>
        <v>4281.7096774193551</v>
      </c>
      <c r="H35" s="203">
        <f t="shared" si="49"/>
        <v>199</v>
      </c>
      <c r="I35" s="203">
        <f>H35*$B$4</f>
        <v>4281.7096774193551</v>
      </c>
      <c r="J35" s="203">
        <f t="shared" si="50"/>
        <v>199</v>
      </c>
      <c r="K35" s="203">
        <f>J35*$B$4</f>
        <v>4281.7096774193551</v>
      </c>
      <c r="L35" s="203">
        <f t="shared" si="51"/>
        <v>199</v>
      </c>
      <c r="M35" s="203">
        <f>L35*$B$4</f>
        <v>4281.7096774193551</v>
      </c>
      <c r="N35" s="203">
        <f t="shared" si="52"/>
        <v>199</v>
      </c>
      <c r="O35" s="203">
        <f>N35*$B$4</f>
        <v>4281.7096774193551</v>
      </c>
      <c r="P35" s="203">
        <f t="shared" si="53"/>
        <v>199</v>
      </c>
      <c r="Q35" s="203">
        <f>P35*$B$4</f>
        <v>4281.7096774193551</v>
      </c>
      <c r="R35" s="203">
        <f t="shared" si="54"/>
        <v>199</v>
      </c>
      <c r="S35" s="203">
        <f>R35*$B$4</f>
        <v>4281.7096774193551</v>
      </c>
      <c r="T35" s="203">
        <f t="shared" si="55"/>
        <v>199</v>
      </c>
      <c r="U35" s="203">
        <f>T35*$B$4</f>
        <v>4281.7096774193551</v>
      </c>
      <c r="V35" s="203">
        <f t="shared" si="56"/>
        <v>199</v>
      </c>
      <c r="W35" s="203">
        <f>V35*$B$4</f>
        <v>4281.7096774193551</v>
      </c>
      <c r="X35" s="35">
        <f t="shared" si="57"/>
        <v>0.64193548387096777</v>
      </c>
      <c r="Y35" s="36">
        <f t="shared" si="58"/>
        <v>47098.806451612909</v>
      </c>
      <c r="Z35" s="203">
        <f>'B5'!C34</f>
        <v>206</v>
      </c>
      <c r="AA35" s="203">
        <f>SUM(Z35*$Z$4)</f>
        <v>2060</v>
      </c>
      <c r="AB35" s="203">
        <f t="shared" si="59"/>
        <v>206</v>
      </c>
      <c r="AC35" s="203">
        <f>SUM(AB35*$Z$4)</f>
        <v>2060</v>
      </c>
      <c r="AD35" s="203">
        <f t="shared" si="60"/>
        <v>206</v>
      </c>
      <c r="AE35" s="203">
        <f>SUM(AD35*$Z$4)</f>
        <v>2060</v>
      </c>
      <c r="AF35" s="203">
        <f t="shared" si="61"/>
        <v>206</v>
      </c>
      <c r="AG35" s="203">
        <f>SUM(AF35*$Z$4)</f>
        <v>2060</v>
      </c>
      <c r="AH35" s="203">
        <f t="shared" si="62"/>
        <v>206</v>
      </c>
      <c r="AI35" s="203">
        <f>SUM(AH35*$Z$4)</f>
        <v>2060</v>
      </c>
      <c r="AJ35" s="203">
        <f t="shared" si="63"/>
        <v>206</v>
      </c>
      <c r="AK35" s="203">
        <f>SUM(AJ35*$Z$4)</f>
        <v>2060</v>
      </c>
      <c r="AL35" s="203">
        <f t="shared" si="64"/>
        <v>206</v>
      </c>
      <c r="AM35" s="203">
        <f>SUM(AL35*$Z$4)</f>
        <v>2060</v>
      </c>
      <c r="AN35" s="35">
        <f t="shared" si="65"/>
        <v>0.73571428571428577</v>
      </c>
      <c r="AO35" s="36">
        <f t="shared" si="66"/>
        <v>14420</v>
      </c>
      <c r="AQ35" s="223">
        <f>SUM(AR35/92970)</f>
        <v>0.6617059960375703</v>
      </c>
      <c r="AR35" s="38">
        <f t="shared" si="46"/>
        <v>61518.806451612909</v>
      </c>
      <c r="AS35" s="197">
        <f t="shared" si="45"/>
        <v>0</v>
      </c>
      <c r="AT35" s="353"/>
      <c r="AU35" s="641"/>
      <c r="AV35" s="580">
        <f>IF(AT35&gt;0,AU35,AV34)</f>
        <v>1.05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4</v>
      </c>
      <c r="AT36" s="203">
        <f>SUM(AT6:AT35)</f>
        <v>57335</v>
      </c>
      <c r="AU36" s="628">
        <f>SUM(AU6:AU35)/AS36</f>
        <v>1.0265</v>
      </c>
      <c r="AX36" s="203">
        <f>SUM(AX6:AX35)</f>
        <v>-57621.419354838697</v>
      </c>
      <c r="AY36" s="203">
        <f>SUM(AY6:AY35)</f>
        <v>-59788.419354838697</v>
      </c>
    </row>
    <row r="37" spans="1:60">
      <c r="AS37" s="206"/>
      <c r="AT37" s="82">
        <f>+AT36*AU36</f>
        <v>58854.377499999995</v>
      </c>
    </row>
    <row r="39" spans="1:60">
      <c r="AS39" s="165">
        <f>SUM(AS6:AS35)/'EDl log'!A35</f>
        <v>-3736.7762096774186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-1.3304721733320719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20" sqref="L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4495.9044354838834</v>
      </c>
      <c r="R4" s="296">
        <f>SUM(P4:Q4)</f>
        <v>4682.4121856220809</v>
      </c>
      <c r="S4" s="298">
        <f>SUM(ELEC!N4)</f>
        <v>10480.600000000093</v>
      </c>
      <c r="T4" s="334">
        <f>IF(S4&gt;0,R4/S4,0)</f>
        <v>0.44676947747476664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7"/>
      <c r="AC4" s="688"/>
    </row>
    <row r="5" spans="1:32" ht="20.100000000000001" customHeight="1">
      <c r="A5" s="163">
        <f>ELEC!C5</f>
        <v>44349</v>
      </c>
      <c r="B5" s="625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5">
        <v>156260</v>
      </c>
      <c r="G5" s="160">
        <f t="shared" si="1"/>
        <v>173</v>
      </c>
      <c r="H5" s="625">
        <v>516289</v>
      </c>
      <c r="I5" s="161">
        <f t="shared" si="2"/>
        <v>444</v>
      </c>
      <c r="J5" s="625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2188.5642258064345</v>
      </c>
      <c r="R5" s="296">
        <f t="shared" ref="R5:R30" si="10">SUM(P5:Q5)</f>
        <v>2448.433169974483</v>
      </c>
      <c r="S5" s="298">
        <f>SUM(ELEC!N5)</f>
        <v>12363.799999999814</v>
      </c>
      <c r="T5" s="334">
        <f>IF(S5&gt;0,R5/S5,0)</f>
        <v>0.19803241478950806</v>
      </c>
      <c r="U5" s="250"/>
      <c r="V5" s="681"/>
      <c r="W5" s="682"/>
      <c r="X5" s="682"/>
      <c r="Y5" s="683"/>
      <c r="Z5" s="26" t="s">
        <v>203</v>
      </c>
      <c r="AA5" s="264">
        <f>'[7]EDl log'!AA22</f>
        <v>5000</v>
      </c>
      <c r="AB5" s="689"/>
      <c r="AC5" s="690"/>
    </row>
    <row r="6" spans="1:32" ht="20.100000000000001" customHeight="1">
      <c r="A6" s="163">
        <f>ELEC!C6</f>
        <v>44350</v>
      </c>
      <c r="B6" s="625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5">
        <v>156260</v>
      </c>
      <c r="G6" s="160">
        <f t="shared" si="1"/>
        <v>0</v>
      </c>
      <c r="H6" s="625">
        <v>516513</v>
      </c>
      <c r="I6" s="161">
        <f t="shared" si="2"/>
        <v>224</v>
      </c>
      <c r="J6" s="625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2025.1520483870781</v>
      </c>
      <c r="R6" s="296">
        <f t="shared" si="10"/>
        <v>2213.3792015103509</v>
      </c>
      <c r="S6" s="298">
        <f>SUM(ELEC!N6)</f>
        <v>15101</v>
      </c>
      <c r="T6" s="334">
        <f t="shared" ref="T6:T30" si="12">IF(S6&gt;0,R6/S6,0)</f>
        <v>0.14657169733861009</v>
      </c>
      <c r="V6" s="684"/>
      <c r="W6" s="685"/>
      <c r="X6" s="685"/>
      <c r="Y6" s="686"/>
      <c r="Z6" s="3"/>
      <c r="AA6" s="3"/>
      <c r="AB6" s="689"/>
      <c r="AC6" s="690"/>
    </row>
    <row r="7" spans="1:32" ht="20.100000000000001" customHeight="1">
      <c r="A7" s="163">
        <f>ELEC!C7</f>
        <v>44351</v>
      </c>
      <c r="B7" s="625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5">
        <v>156260</v>
      </c>
      <c r="G7" s="160">
        <f t="shared" si="1"/>
        <v>0</v>
      </c>
      <c r="H7" s="625">
        <v>516513</v>
      </c>
      <c r="I7" s="161">
        <f t="shared" si="2"/>
        <v>0</v>
      </c>
      <c r="J7" s="625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3054.6322096774411</v>
      </c>
      <c r="R7" s="296">
        <f t="shared" si="10"/>
        <v>3214.5953495337153</v>
      </c>
      <c r="S7" s="298">
        <f>SUM(ELEC!N7)</f>
        <v>16108.600000000093</v>
      </c>
      <c r="T7" s="334">
        <f t="shared" si="12"/>
        <v>0.19955771137986522</v>
      </c>
      <c r="V7" s="677" t="s">
        <v>204</v>
      </c>
      <c r="W7" s="678"/>
      <c r="X7" s="679" t="s">
        <v>205</v>
      </c>
      <c r="Y7" s="680"/>
      <c r="Z7" s="678"/>
      <c r="AA7" s="26"/>
      <c r="AB7" s="691"/>
      <c r="AC7" s="692"/>
    </row>
    <row r="8" spans="1:32" ht="20.100000000000001" customHeight="1">
      <c r="A8" s="163">
        <f>ELEC!C8</f>
        <v>44352</v>
      </c>
      <c r="B8" s="625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5">
        <v>156467</v>
      </c>
      <c r="G8" s="160">
        <f t="shared" si="1"/>
        <v>207</v>
      </c>
      <c r="H8" s="625">
        <v>517307</v>
      </c>
      <c r="I8" s="161">
        <f t="shared" si="2"/>
        <v>794</v>
      </c>
      <c r="J8" s="625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5103.2613064516045</v>
      </c>
      <c r="R8" s="296">
        <f t="shared" si="10"/>
        <v>5400.5431859430364</v>
      </c>
      <c r="S8" s="298">
        <f>SUM(ELEC!N8)</f>
        <v>12066</v>
      </c>
      <c r="T8" s="334">
        <f>IF(S8&gt;0,R8/S8,0)</f>
        <v>0.44758355593759624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5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5">
        <v>156555</v>
      </c>
      <c r="G9" s="160">
        <f t="shared" si="1"/>
        <v>88</v>
      </c>
      <c r="H9" s="625">
        <v>517596</v>
      </c>
      <c r="I9" s="161">
        <f t="shared" si="2"/>
        <v>289</v>
      </c>
      <c r="J9" s="625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3967.2238225806509</v>
      </c>
      <c r="R9" s="296">
        <f>SUM(P9:Q9)</f>
        <v>4174.3431813423977</v>
      </c>
      <c r="S9" s="298">
        <f>SUM(ELEC!N9)</f>
        <v>11919</v>
      </c>
      <c r="T9" s="334">
        <f t="shared" si="12"/>
        <v>0.35022595698820352</v>
      </c>
      <c r="V9" s="254">
        <f>'[3]EDl log'!V26</f>
        <v>365756</v>
      </c>
      <c r="W9" s="254">
        <f>'[3]EDl log'!W26</f>
        <v>386167</v>
      </c>
      <c r="X9" s="254" t="s">
        <v>199</v>
      </c>
      <c r="Y9" s="615">
        <f>'[3]EDl log'!Y26</f>
        <v>80</v>
      </c>
      <c r="Z9" s="254">
        <v>1</v>
      </c>
      <c r="AA9" s="600">
        <f>'[3]EDl log'!AA26</f>
        <v>20411</v>
      </c>
      <c r="AB9" s="600">
        <f>'[3]EDl log'!AB26</f>
        <v>1632880</v>
      </c>
      <c r="AC9" s="600">
        <f>'[3]EDl log'!AC26</f>
        <v>1033333</v>
      </c>
      <c r="AD9" s="598">
        <f>'[3]EDl log'!AD26</f>
        <v>0.41575933035433316</v>
      </c>
    </row>
    <row r="10" spans="1:32" ht="20.100000000000001" customHeight="1">
      <c r="A10" s="163">
        <f>ELEC!C10</f>
        <v>44354</v>
      </c>
      <c r="B10" s="625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5">
        <v>156555</v>
      </c>
      <c r="G10" s="160">
        <f t="shared" si="1"/>
        <v>0</v>
      </c>
      <c r="H10" s="625">
        <v>517860</v>
      </c>
      <c r="I10" s="161">
        <f t="shared" si="2"/>
        <v>264</v>
      </c>
      <c r="J10" s="625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2339.2941612903028</v>
      </c>
      <c r="R10" s="296">
        <f t="shared" si="10"/>
        <v>2530.2808500686333</v>
      </c>
      <c r="S10" s="298">
        <f>SUM(ELEC!N10)</f>
        <v>15761</v>
      </c>
      <c r="T10" s="334">
        <f t="shared" si="12"/>
        <v>0.16054062877156483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5">
        <f>'[3]EDl log'!Y27</f>
        <v>112</v>
      </c>
      <c r="Z10" s="254">
        <v>1</v>
      </c>
      <c r="AA10" s="600">
        <f>'[3]EDl log'!AA27</f>
        <v>23142</v>
      </c>
      <c r="AB10" s="600">
        <f>'[3]EDl log'!AB27</f>
        <v>2591904</v>
      </c>
      <c r="AC10" s="600">
        <f>'[3]EDl log'!AC27</f>
        <v>6200000</v>
      </c>
      <c r="AD10" s="598">
        <f>'[3]EDl log'!AD27</f>
        <v>0.4739337487150439</v>
      </c>
    </row>
    <row r="11" spans="1:32" ht="20.100000000000001" customHeight="1">
      <c r="A11" s="163">
        <f>ELEC!C11</f>
        <v>44355</v>
      </c>
      <c r="B11" s="625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5">
        <v>156748</v>
      </c>
      <c r="G11" s="160">
        <f t="shared" si="1"/>
        <v>193</v>
      </c>
      <c r="H11" s="625">
        <v>518049</v>
      </c>
      <c r="I11" s="161">
        <f t="shared" si="2"/>
        <v>189</v>
      </c>
      <c r="J11" s="625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3543.610451612929</v>
      </c>
      <c r="R11" s="296">
        <f t="shared" si="10"/>
        <v>3789.2571735587553</v>
      </c>
      <c r="S11" s="298">
        <f>SUM(ELEC!N11)</f>
        <v>11896</v>
      </c>
      <c r="T11" s="334">
        <f t="shared" si="12"/>
        <v>0.31853204216196668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5">
        <f>'[3]EDl log'!Y28</f>
        <v>320</v>
      </c>
      <c r="Z11" s="254">
        <v>1</v>
      </c>
      <c r="AA11" s="600">
        <f>'[3]EDl log'!AA28</f>
        <v>5434</v>
      </c>
      <c r="AB11" s="600">
        <f>'[3]EDl log'!AB28</f>
        <v>1738880</v>
      </c>
      <c r="AC11" s="600">
        <f>'[3]EDl log'!AC28</f>
        <v>1000</v>
      </c>
      <c r="AD11" s="598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5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5">
        <v>156748</v>
      </c>
      <c r="G12" s="160">
        <f t="shared" si="1"/>
        <v>0</v>
      </c>
      <c r="H12" s="625">
        <v>518433</v>
      </c>
      <c r="I12" s="161">
        <f t="shared" si="2"/>
        <v>384</v>
      </c>
      <c r="J12" s="625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4852.0999354838605</v>
      </c>
      <c r="R12" s="296">
        <f t="shared" si="10"/>
        <v>5041.5476524545629</v>
      </c>
      <c r="S12" s="298">
        <f>SUM(ELEC!N12)</f>
        <v>13733</v>
      </c>
      <c r="T12" s="334">
        <f t="shared" si="12"/>
        <v>0.36711189488491686</v>
      </c>
      <c r="V12" s="557"/>
      <c r="W12" s="264"/>
      <c r="X12" s="3"/>
      <c r="Y12" s="264"/>
      <c r="Z12" s="555"/>
      <c r="AA12" s="600">
        <f>'[3]EDl log'!AA29</f>
        <v>48987</v>
      </c>
      <c r="AB12" s="600">
        <f>'[3]EDl log'!AB29</f>
        <v>0</v>
      </c>
      <c r="AC12" s="600">
        <f>'[3]EDl log'!AC29</f>
        <v>7234333</v>
      </c>
      <c r="AD12" s="600"/>
    </row>
    <row r="13" spans="1:32" ht="20.100000000000001" customHeight="1">
      <c r="A13" s="163">
        <f>ELEC!C13</f>
        <v>44357</v>
      </c>
      <c r="B13" s="625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5">
        <v>156857</v>
      </c>
      <c r="G13" s="160">
        <f t="shared" si="1"/>
        <v>109</v>
      </c>
      <c r="H13" s="625">
        <v>518721</v>
      </c>
      <c r="I13" s="161">
        <f t="shared" si="2"/>
        <v>288</v>
      </c>
      <c r="J13" s="625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1414.3514354838608</v>
      </c>
      <c r="R13" s="296">
        <f t="shared" si="10"/>
        <v>1634.5573614097866</v>
      </c>
      <c r="S13" s="298">
        <f>SUM(ELEC!N13)</f>
        <v>14893</v>
      </c>
      <c r="T13" s="334">
        <f>IF(S13&gt;0,R13/S13,0)</f>
        <v>0.10975339833544528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0">
        <f>'[3]EDl log'!AB30</f>
        <v>5963664</v>
      </c>
      <c r="AC13" s="600">
        <f>'[3]EDl log'!AC30</f>
        <v>0</v>
      </c>
    </row>
    <row r="14" spans="1:32" ht="20.100000000000001" customHeight="1">
      <c r="A14" s="163">
        <f>ELEC!C14</f>
        <v>44358</v>
      </c>
      <c r="B14" s="625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5">
        <v>156857</v>
      </c>
      <c r="G14" s="160">
        <f t="shared" si="1"/>
        <v>0</v>
      </c>
      <c r="H14" s="625">
        <v>518944</v>
      </c>
      <c r="I14" s="161">
        <f t="shared" si="2"/>
        <v>223</v>
      </c>
      <c r="J14" s="625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5069.3868064516118</v>
      </c>
      <c r="R14" s="296">
        <f>SUM(P14:Q14)</f>
        <v>5259.3439761586324</v>
      </c>
      <c r="S14" s="298">
        <f>SUM(ELEC!N14)</f>
        <v>14674</v>
      </c>
      <c r="T14" s="334">
        <f>IF(S14&gt;0,R14/S14,0)</f>
        <v>0.35841242852382665</v>
      </c>
      <c r="V14" s="557" t="str">
        <f>'[7]EDl log'!V31</f>
        <v>Gen RH</v>
      </c>
      <c r="W14" s="583">
        <f>'[3]EDl log'!$W$33</f>
        <v>339</v>
      </c>
      <c r="X14" s="629">
        <f>'[3]EDl log'!$X$33</f>
        <v>10.935483870967742</v>
      </c>
      <c r="Y14" s="616">
        <f>'[3]EDl log'!$Y$33</f>
        <v>10.935483870967742</v>
      </c>
      <c r="Z14" s="264"/>
      <c r="AA14" s="3"/>
      <c r="AB14" s="600">
        <f>'[3]EDl log'!AB31</f>
        <v>0</v>
      </c>
      <c r="AC14" s="600">
        <f>'[3]EDl log'!AC31</f>
        <v>0</v>
      </c>
    </row>
    <row r="15" spans="1:32" ht="20.100000000000001" customHeight="1">
      <c r="A15" s="163">
        <f>ELEC!C15</f>
        <v>44359</v>
      </c>
      <c r="B15" s="625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5">
        <v>157009</v>
      </c>
      <c r="G15" s="160">
        <f t="shared" si="1"/>
        <v>152</v>
      </c>
      <c r="H15" s="625">
        <v>519237</v>
      </c>
      <c r="I15" s="161">
        <f t="shared" si="2"/>
        <v>293</v>
      </c>
      <c r="J15" s="625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3014.5987096774411</v>
      </c>
      <c r="R15" s="296">
        <f>SUM(P15:Q15)</f>
        <v>3243.4547185221068</v>
      </c>
      <c r="S15" s="298">
        <f>SUM(ELEC!N15)</f>
        <v>12497</v>
      </c>
      <c r="T15" s="334">
        <f>IF(S15&gt;0,R15/S15,0)</f>
        <v>0.25953866676179138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0">
        <f>'[3]EDl log'!AB32</f>
        <v>0</v>
      </c>
      <c r="AC15" s="600">
        <f>'[3]EDl log'!AC32</f>
        <v>0</v>
      </c>
    </row>
    <row r="16" spans="1:32" ht="20.100000000000001" customHeight="1">
      <c r="A16" s="163">
        <f>ELEC!C16</f>
        <v>44360</v>
      </c>
      <c r="B16" s="625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5">
        <f t="shared" ref="F16:F33" si="14">F15</f>
        <v>157009</v>
      </c>
      <c r="G16" s="160">
        <f t="shared" si="1"/>
        <v>0</v>
      </c>
      <c r="H16" s="625">
        <v>519666</v>
      </c>
      <c r="I16" s="161">
        <f t="shared" si="2"/>
        <v>429</v>
      </c>
      <c r="J16" s="625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4600.9385645161237</v>
      </c>
      <c r="R16" s="296">
        <f>SUM(P16:Q16)</f>
        <v>4801.0529481534923</v>
      </c>
      <c r="S16" s="298">
        <f>SUM(ELEC!N16)</f>
        <v>12554</v>
      </c>
      <c r="T16" s="334">
        <f>IF(S16&gt;0,R16/S16,0)</f>
        <v>0.38243212905476281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0">
        <f>'[3]EDl log'!AB33</f>
        <v>13197997</v>
      </c>
      <c r="AC16" s="600">
        <f>'[3]EDl log'!AC33</f>
        <v>7234333</v>
      </c>
    </row>
    <row r="17" spans="1:32" ht="20.100000000000001" customHeight="1">
      <c r="A17" s="163">
        <f>ELEC!C17</f>
        <v>44361</v>
      </c>
      <c r="B17" s="625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5">
        <v>157142</v>
      </c>
      <c r="G17" s="160">
        <f t="shared" si="1"/>
        <v>133</v>
      </c>
      <c r="H17" s="625">
        <v>519976</v>
      </c>
      <c r="I17" s="161">
        <f t="shared" si="2"/>
        <v>310</v>
      </c>
      <c r="J17" s="625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3476.1925806451627</v>
      </c>
      <c r="R17" s="296">
        <f>SUM(P17:Q17)</f>
        <v>3702.3845762228298</v>
      </c>
      <c r="S17" s="298">
        <f>SUM(ELEC!N17)</f>
        <v>11380</v>
      </c>
      <c r="T17" s="334">
        <f>IF(S17&gt;0,R17/S17,0)</f>
        <v>0.32534135116193585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0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46">
        <v>1067528</v>
      </c>
      <c r="C18" s="264">
        <f t="shared" si="0"/>
        <v>525</v>
      </c>
      <c r="D18" s="307">
        <f t="shared" si="7"/>
        <v>520</v>
      </c>
      <c r="E18" s="307">
        <f t="shared" si="11"/>
        <v>1067523</v>
      </c>
      <c r="F18" s="625">
        <v>157142</v>
      </c>
      <c r="G18" s="160">
        <f t="shared" si="1"/>
        <v>0</v>
      </c>
      <c r="H18" s="625">
        <v>520293</v>
      </c>
      <c r="I18" s="161">
        <f t="shared" si="2"/>
        <v>317</v>
      </c>
      <c r="J18" s="625">
        <v>390092</v>
      </c>
      <c r="K18" s="162">
        <f t="shared" si="3"/>
        <v>203</v>
      </c>
      <c r="L18" s="295">
        <f t="shared" ref="L18:L30" si="15">SUM(G18*$Y$28)/1507.5</f>
        <v>0</v>
      </c>
      <c r="M18" s="295">
        <f t="shared" ref="M18:M30" si="16">SUM(I18*$Y$27)/1507.5</f>
        <v>23.551575456053069</v>
      </c>
      <c r="N18" s="295">
        <f t="shared" ref="N18:N30" si="17">SUM(K18*$Y$26)/1507.5</f>
        <v>10.772802653399669</v>
      </c>
      <c r="O18" s="295">
        <f t="shared" si="8"/>
        <v>159.96313985627418</v>
      </c>
      <c r="P18" s="296">
        <f t="shared" si="9"/>
        <v>194.28751796572692</v>
      </c>
      <c r="Q18" s="296">
        <f>SUM(-tanks!AX20*tanks!$AU$36)</f>
        <v>2116.9741290322631</v>
      </c>
      <c r="R18" s="296">
        <f t="shared" si="10"/>
        <v>2311.2616469979903</v>
      </c>
      <c r="S18" s="298">
        <f>SUM(ELEC!N18)</f>
        <v>13190</v>
      </c>
      <c r="T18" s="334">
        <f t="shared" si="12"/>
        <v>0.17522832805140184</v>
      </c>
      <c r="V18" s="228"/>
      <c r="W18" s="229"/>
      <c r="X18" s="229"/>
      <c r="Y18" s="428"/>
      <c r="Z18" s="499"/>
      <c r="AA18" s="573"/>
      <c r="AB18" s="600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5">
        <v>1068342</v>
      </c>
      <c r="C19" s="264">
        <f t="shared" si="0"/>
        <v>814</v>
      </c>
      <c r="D19" s="307">
        <f t="shared" si="7"/>
        <v>814</v>
      </c>
      <c r="E19" s="307">
        <f t="shared" si="11"/>
        <v>1068342</v>
      </c>
      <c r="F19" s="625">
        <v>157381</v>
      </c>
      <c r="G19" s="160">
        <f t="shared" si="1"/>
        <v>239</v>
      </c>
      <c r="H19" s="625">
        <v>520576</v>
      </c>
      <c r="I19" s="161">
        <f t="shared" si="2"/>
        <v>283</v>
      </c>
      <c r="J19" s="625">
        <v>390384</v>
      </c>
      <c r="K19" s="162">
        <f t="shared" si="3"/>
        <v>292</v>
      </c>
      <c r="L19" s="295">
        <f t="shared" si="15"/>
        <v>50.733001658374796</v>
      </c>
      <c r="M19" s="295">
        <f t="shared" si="16"/>
        <v>21.025538971807627</v>
      </c>
      <c r="N19" s="295">
        <f t="shared" si="17"/>
        <v>15.495854063018243</v>
      </c>
      <c r="O19" s="295">
        <f t="shared" si="8"/>
        <v>159.96313985627418</v>
      </c>
      <c r="P19" s="296">
        <f t="shared" si="9"/>
        <v>247.21753454947486</v>
      </c>
      <c r="Q19" s="296">
        <f>SUM(-tanks!AX21*tanks!$AU$36)</f>
        <v>3693.4794516128695</v>
      </c>
      <c r="R19" s="296">
        <f t="shared" si="10"/>
        <v>3940.6969861623443</v>
      </c>
      <c r="S19" s="298">
        <f>SUM(ELEC!N19)</f>
        <v>12267</v>
      </c>
      <c r="T19" s="334">
        <f t="shared" si="12"/>
        <v>0.32124374224849955</v>
      </c>
      <c r="V19" s="228"/>
      <c r="W19" s="229"/>
      <c r="X19" s="229"/>
      <c r="Y19" s="558"/>
      <c r="Z19" s="558"/>
      <c r="AA19" s="573"/>
      <c r="AB19" s="630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5">
        <v>1068823</v>
      </c>
      <c r="C20" s="264">
        <f t="shared" si="0"/>
        <v>481</v>
      </c>
      <c r="D20" s="307">
        <f t="shared" si="7"/>
        <v>480</v>
      </c>
      <c r="E20" s="307">
        <f t="shared" si="11"/>
        <v>1068822</v>
      </c>
      <c r="F20" s="625">
        <v>157381</v>
      </c>
      <c r="G20" s="160">
        <f t="shared" si="1"/>
        <v>0</v>
      </c>
      <c r="H20" s="625">
        <v>520989</v>
      </c>
      <c r="I20" s="161">
        <f t="shared" si="2"/>
        <v>413</v>
      </c>
      <c r="J20" s="625">
        <v>390451</v>
      </c>
      <c r="K20" s="162">
        <f t="shared" si="3"/>
        <v>67</v>
      </c>
      <c r="L20" s="295">
        <f t="shared" si="15"/>
        <v>0</v>
      </c>
      <c r="M20" s="295">
        <f t="shared" si="16"/>
        <v>30.68391376451078</v>
      </c>
      <c r="N20" s="295">
        <f t="shared" si="17"/>
        <v>3.5555555555555554</v>
      </c>
      <c r="O20" s="295">
        <f t="shared" si="8"/>
        <v>159.96313985627418</v>
      </c>
      <c r="P20" s="296">
        <f t="shared" si="9"/>
        <v>194.2026091763405</v>
      </c>
      <c r="Q20" s="296">
        <f>SUM(-tanks!AX22*tanks!$AU$36)</f>
        <v>4192.7226935484023</v>
      </c>
      <c r="R20" s="296">
        <f t="shared" si="10"/>
        <v>4386.9253027247432</v>
      </c>
      <c r="S20" s="298">
        <f>SUM(ELEC!N20)</f>
        <v>12955</v>
      </c>
      <c r="T20" s="334">
        <f t="shared" si="12"/>
        <v>0.33862796624660313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5">
        <f t="shared" ref="B20:B33" si="18">B20</f>
        <v>1068823</v>
      </c>
      <c r="C21" s="264">
        <f t="shared" si="0"/>
        <v>0</v>
      </c>
      <c r="D21" s="307">
        <f t="shared" si="7"/>
        <v>0</v>
      </c>
      <c r="E21" s="307">
        <f t="shared" si="11"/>
        <v>1068823</v>
      </c>
      <c r="F21" s="625">
        <f t="shared" si="14"/>
        <v>157381</v>
      </c>
      <c r="G21" s="160">
        <f t="shared" si="1"/>
        <v>0</v>
      </c>
      <c r="H21" s="625">
        <f t="shared" ref="H20:H33" si="19">H20</f>
        <v>520989</v>
      </c>
      <c r="I21" s="161">
        <f t="shared" si="2"/>
        <v>0</v>
      </c>
      <c r="J21" s="625">
        <f t="shared" si="13"/>
        <v>390451</v>
      </c>
      <c r="K21" s="162">
        <f t="shared" si="3"/>
        <v>0</v>
      </c>
      <c r="L21" s="295">
        <f t="shared" si="15"/>
        <v>0</v>
      </c>
      <c r="M21" s="295">
        <f t="shared" si="16"/>
        <v>0</v>
      </c>
      <c r="N21" s="295">
        <f t="shared" si="17"/>
        <v>0</v>
      </c>
      <c r="O21" s="295">
        <f t="shared" si="8"/>
        <v>159.96313985627418</v>
      </c>
      <c r="P21" s="296">
        <f t="shared" si="9"/>
        <v>159.96313985627418</v>
      </c>
      <c r="Q21" s="296">
        <f>SUM(-tanks!AX23*tanks!$AU$36)</f>
        <v>0</v>
      </c>
      <c r="R21" s="296">
        <f t="shared" si="10"/>
        <v>159.96313985627418</v>
      </c>
      <c r="S21" s="298">
        <f>SUM(ELEC!N21)</f>
        <v>0</v>
      </c>
      <c r="T21" s="334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7"/>
      <c r="AC21" s="688"/>
    </row>
    <row r="22" spans="1:32" ht="20.100000000000001" customHeight="1">
      <c r="A22" s="163">
        <f>ELEC!C22</f>
        <v>44366</v>
      </c>
      <c r="B22" s="625">
        <f t="shared" si="18"/>
        <v>1068823</v>
      </c>
      <c r="C22" s="264">
        <f t="shared" si="0"/>
        <v>0</v>
      </c>
      <c r="D22" s="307">
        <f t="shared" si="7"/>
        <v>0</v>
      </c>
      <c r="E22" s="307">
        <f t="shared" si="11"/>
        <v>1068823</v>
      </c>
      <c r="F22" s="625">
        <f t="shared" si="14"/>
        <v>157381</v>
      </c>
      <c r="G22" s="160">
        <f t="shared" si="1"/>
        <v>0</v>
      </c>
      <c r="H22" s="625">
        <f t="shared" si="19"/>
        <v>520989</v>
      </c>
      <c r="I22" s="161">
        <f t="shared" si="2"/>
        <v>0</v>
      </c>
      <c r="J22" s="625">
        <f t="shared" si="13"/>
        <v>390451</v>
      </c>
      <c r="K22" s="162">
        <f t="shared" si="3"/>
        <v>0</v>
      </c>
      <c r="L22" s="295">
        <f t="shared" si="15"/>
        <v>0</v>
      </c>
      <c r="M22" s="295">
        <f t="shared" si="16"/>
        <v>0</v>
      </c>
      <c r="N22" s="295">
        <f t="shared" si="17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93"/>
      <c r="W22" s="694"/>
      <c r="X22" s="694"/>
      <c r="Y22" s="695"/>
      <c r="Z22" s="26" t="s">
        <v>203</v>
      </c>
      <c r="AA22" s="26">
        <v>5000</v>
      </c>
      <c r="AB22" s="689"/>
      <c r="AC22" s="690"/>
    </row>
    <row r="23" spans="1:32" ht="20.100000000000001" customHeight="1">
      <c r="A23" s="163">
        <f>ELEC!C23</f>
        <v>44367</v>
      </c>
      <c r="B23" s="625">
        <f t="shared" si="18"/>
        <v>1068823</v>
      </c>
      <c r="C23" s="264">
        <f t="shared" si="0"/>
        <v>0</v>
      </c>
      <c r="D23" s="307">
        <f t="shared" si="7"/>
        <v>0</v>
      </c>
      <c r="E23" s="307">
        <f t="shared" si="11"/>
        <v>1068823</v>
      </c>
      <c r="F23" s="625">
        <f t="shared" si="14"/>
        <v>157381</v>
      </c>
      <c r="G23" s="160">
        <f t="shared" si="1"/>
        <v>0</v>
      </c>
      <c r="H23" s="625">
        <f t="shared" si="19"/>
        <v>520989</v>
      </c>
      <c r="I23" s="161">
        <f t="shared" si="2"/>
        <v>0</v>
      </c>
      <c r="J23" s="625">
        <f t="shared" si="13"/>
        <v>390451</v>
      </c>
      <c r="K23" s="162">
        <f t="shared" si="3"/>
        <v>0</v>
      </c>
      <c r="L23" s="295">
        <f t="shared" si="15"/>
        <v>0</v>
      </c>
      <c r="M23" s="295">
        <f t="shared" si="16"/>
        <v>0</v>
      </c>
      <c r="N23" s="295">
        <f t="shared" si="17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6"/>
      <c r="W23" s="697"/>
      <c r="X23" s="697"/>
      <c r="Y23" s="698"/>
      <c r="Z23" s="699"/>
      <c r="AA23" s="700"/>
      <c r="AB23" s="689"/>
      <c r="AC23" s="690"/>
    </row>
    <row r="24" spans="1:32" ht="20.100000000000001" customHeight="1">
      <c r="A24" s="163">
        <f>ELEC!C24</f>
        <v>44368</v>
      </c>
      <c r="B24" s="625">
        <f t="shared" si="18"/>
        <v>1068823</v>
      </c>
      <c r="C24" s="264">
        <f t="shared" si="0"/>
        <v>0</v>
      </c>
      <c r="D24" s="307">
        <f t="shared" si="7"/>
        <v>0</v>
      </c>
      <c r="E24" s="307">
        <f t="shared" si="11"/>
        <v>1068823</v>
      </c>
      <c r="F24" s="625">
        <f t="shared" si="14"/>
        <v>157381</v>
      </c>
      <c r="G24" s="160">
        <f t="shared" si="1"/>
        <v>0</v>
      </c>
      <c r="H24" s="625">
        <f t="shared" si="19"/>
        <v>520989</v>
      </c>
      <c r="I24" s="161">
        <f t="shared" si="2"/>
        <v>0</v>
      </c>
      <c r="J24" s="625">
        <f t="shared" si="13"/>
        <v>390451</v>
      </c>
      <c r="K24" s="162">
        <f t="shared" si="3"/>
        <v>0</v>
      </c>
      <c r="L24" s="295">
        <f t="shared" si="15"/>
        <v>0</v>
      </c>
      <c r="M24" s="295">
        <f t="shared" si="16"/>
        <v>0</v>
      </c>
      <c r="N24" s="295">
        <f t="shared" si="17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701" t="s">
        <v>204</v>
      </c>
      <c r="W24" s="702"/>
      <c r="X24" s="703" t="s">
        <v>205</v>
      </c>
      <c r="Y24" s="704"/>
      <c r="Z24" s="705"/>
      <c r="AA24" s="170"/>
      <c r="AB24" s="691"/>
      <c r="AC24" s="692"/>
    </row>
    <row r="25" spans="1:32" ht="20.100000000000001" customHeight="1">
      <c r="A25" s="163">
        <f>ELEC!C25</f>
        <v>44369</v>
      </c>
      <c r="B25" s="625">
        <f t="shared" si="18"/>
        <v>1068823</v>
      </c>
      <c r="C25" s="264">
        <f t="shared" si="0"/>
        <v>0</v>
      </c>
      <c r="D25" s="307">
        <f t="shared" si="7"/>
        <v>0</v>
      </c>
      <c r="E25" s="307">
        <f t="shared" si="11"/>
        <v>1068823</v>
      </c>
      <c r="F25" s="625">
        <f t="shared" si="14"/>
        <v>157381</v>
      </c>
      <c r="G25" s="160">
        <f t="shared" si="1"/>
        <v>0</v>
      </c>
      <c r="H25" s="625">
        <f t="shared" si="19"/>
        <v>520989</v>
      </c>
      <c r="I25" s="161">
        <f t="shared" si="2"/>
        <v>0</v>
      </c>
      <c r="J25" s="625">
        <f t="shared" si="13"/>
        <v>390451</v>
      </c>
      <c r="K25" s="162">
        <f t="shared" si="3"/>
        <v>0</v>
      </c>
      <c r="L25" s="295">
        <f t="shared" si="15"/>
        <v>0</v>
      </c>
      <c r="M25" s="295">
        <f t="shared" si="16"/>
        <v>0</v>
      </c>
      <c r="N25" s="295">
        <f t="shared" si="17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5">
        <f t="shared" si="18"/>
        <v>1068823</v>
      </c>
      <c r="C26" s="264">
        <f t="shared" si="0"/>
        <v>0</v>
      </c>
      <c r="D26" s="307">
        <f t="shared" si="7"/>
        <v>0</v>
      </c>
      <c r="E26" s="307">
        <f t="shared" si="11"/>
        <v>1068823</v>
      </c>
      <c r="F26" s="625">
        <f t="shared" si="14"/>
        <v>157381</v>
      </c>
      <c r="G26" s="160">
        <f t="shared" si="1"/>
        <v>0</v>
      </c>
      <c r="H26" s="625">
        <f t="shared" si="19"/>
        <v>520989</v>
      </c>
      <c r="I26" s="161">
        <f t="shared" si="2"/>
        <v>0</v>
      </c>
      <c r="J26" s="625">
        <f t="shared" si="13"/>
        <v>390451</v>
      </c>
      <c r="K26" s="162">
        <f t="shared" si="3"/>
        <v>0</v>
      </c>
      <c r="L26" s="295">
        <f t="shared" si="15"/>
        <v>0</v>
      </c>
      <c r="M26" s="295">
        <f t="shared" si="16"/>
        <v>0</v>
      </c>
      <c r="N26" s="295">
        <f t="shared" si="17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390451</v>
      </c>
      <c r="X26" s="172" t="s">
        <v>199</v>
      </c>
      <c r="Y26" s="172">
        <v>80</v>
      </c>
      <c r="Z26" s="172">
        <v>1</v>
      </c>
      <c r="AA26" s="336">
        <f>(W26-V26)*Z26</f>
        <v>4284</v>
      </c>
      <c r="AB26" s="336">
        <f>AA26*Y26</f>
        <v>342720</v>
      </c>
      <c r="AC26" s="249">
        <f>AC9</f>
        <v>1033333</v>
      </c>
      <c r="AD26" s="498">
        <f>SUM(K36)</f>
        <v>0.38850095220821618</v>
      </c>
    </row>
    <row r="27" spans="1:32" ht="20.100000000000001" customHeight="1">
      <c r="A27" s="163">
        <f>ELEC!C27</f>
        <v>44371</v>
      </c>
      <c r="B27" s="625">
        <f t="shared" si="18"/>
        <v>1068823</v>
      </c>
      <c r="C27" s="264">
        <f t="shared" si="0"/>
        <v>0</v>
      </c>
      <c r="D27" s="307">
        <f t="shared" si="7"/>
        <v>0</v>
      </c>
      <c r="E27" s="307">
        <f t="shared" si="11"/>
        <v>1068823</v>
      </c>
      <c r="F27" s="625">
        <f t="shared" si="14"/>
        <v>157381</v>
      </c>
      <c r="G27" s="160">
        <f t="shared" si="1"/>
        <v>0</v>
      </c>
      <c r="H27" s="625">
        <f t="shared" si="19"/>
        <v>520989</v>
      </c>
      <c r="I27" s="161">
        <f t="shared" si="2"/>
        <v>0</v>
      </c>
      <c r="J27" s="625">
        <f t="shared" si="13"/>
        <v>390451</v>
      </c>
      <c r="K27" s="162">
        <f t="shared" si="3"/>
        <v>0</v>
      </c>
      <c r="L27" s="295">
        <f t="shared" si="15"/>
        <v>0</v>
      </c>
      <c r="M27" s="295">
        <f t="shared" si="16"/>
        <v>0</v>
      </c>
      <c r="N27" s="295">
        <f t="shared" si="17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520989</v>
      </c>
      <c r="X27" s="172" t="s">
        <v>213</v>
      </c>
      <c r="Y27" s="172">
        <v>112</v>
      </c>
      <c r="Z27" s="172">
        <v>1</v>
      </c>
      <c r="AA27" s="336">
        <f>(W27-V27)*Z27</f>
        <v>5447</v>
      </c>
      <c r="AB27" s="336">
        <f>SUM(AA27*Y27)</f>
        <v>610064</v>
      </c>
      <c r="AC27" s="249">
        <f>AC10</f>
        <v>6200000</v>
      </c>
      <c r="AD27" s="498">
        <f>SUM(I36)</f>
        <v>0.49396934796408815</v>
      </c>
    </row>
    <row r="28" spans="1:32" ht="20.100000000000001" customHeight="1">
      <c r="A28" s="163">
        <f>ELEC!C28</f>
        <v>44372</v>
      </c>
      <c r="B28" s="625">
        <f t="shared" si="18"/>
        <v>1068823</v>
      </c>
      <c r="C28" s="264">
        <f t="shared" si="0"/>
        <v>0</v>
      </c>
      <c r="D28" s="307">
        <f t="shared" si="7"/>
        <v>0</v>
      </c>
      <c r="E28" s="307">
        <f t="shared" si="11"/>
        <v>1068823</v>
      </c>
      <c r="F28" s="625">
        <f t="shared" si="14"/>
        <v>157381</v>
      </c>
      <c r="G28" s="160">
        <f t="shared" si="1"/>
        <v>0</v>
      </c>
      <c r="H28" s="625">
        <f t="shared" si="19"/>
        <v>520989</v>
      </c>
      <c r="I28" s="161">
        <f t="shared" si="2"/>
        <v>0</v>
      </c>
      <c r="J28" s="625">
        <f t="shared" si="13"/>
        <v>390451</v>
      </c>
      <c r="K28" s="162">
        <f t="shared" si="3"/>
        <v>0</v>
      </c>
      <c r="L28" s="295">
        <f t="shared" si="15"/>
        <v>0</v>
      </c>
      <c r="M28" s="295">
        <f t="shared" si="16"/>
        <v>0</v>
      </c>
      <c r="N28" s="295">
        <f t="shared" si="17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157381</v>
      </c>
      <c r="X28" s="172" t="s">
        <v>197</v>
      </c>
      <c r="Y28" s="172">
        <v>320</v>
      </c>
      <c r="Z28" s="172">
        <v>1</v>
      </c>
      <c r="AA28" s="336">
        <f>(W28-V28)*Z28</f>
        <v>1294</v>
      </c>
      <c r="AB28" s="336">
        <f>SUM(AA28*Y28)</f>
        <v>414080</v>
      </c>
      <c r="AC28" s="249">
        <f>AC11</f>
        <v>1000</v>
      </c>
      <c r="AD28" s="498">
        <f>SUM(G36)</f>
        <v>0.1173483268341344</v>
      </c>
      <c r="AE28" s="40">
        <f>SUM(AB28*5%)</f>
        <v>20704</v>
      </c>
      <c r="AF28" s="82">
        <f>SUM(AE28/7)*31</f>
        <v>91689.142857142855</v>
      </c>
    </row>
    <row r="29" spans="1:32" ht="20.100000000000001" customHeight="1">
      <c r="A29" s="163">
        <f>ELEC!C29</f>
        <v>44373</v>
      </c>
      <c r="B29" s="625">
        <f t="shared" si="18"/>
        <v>1068823</v>
      </c>
      <c r="C29" s="264">
        <f t="shared" si="0"/>
        <v>0</v>
      </c>
      <c r="D29" s="307">
        <f t="shared" si="7"/>
        <v>0</v>
      </c>
      <c r="E29" s="307">
        <f t="shared" si="11"/>
        <v>1068823</v>
      </c>
      <c r="F29" s="625">
        <f t="shared" si="14"/>
        <v>157381</v>
      </c>
      <c r="G29" s="160">
        <f t="shared" si="1"/>
        <v>0</v>
      </c>
      <c r="H29" s="625">
        <f t="shared" si="19"/>
        <v>520989</v>
      </c>
      <c r="I29" s="161">
        <f t="shared" si="2"/>
        <v>0</v>
      </c>
      <c r="J29" s="625">
        <f t="shared" si="13"/>
        <v>390451</v>
      </c>
      <c r="K29" s="162">
        <f t="shared" si="3"/>
        <v>0</v>
      </c>
      <c r="L29" s="295">
        <f t="shared" si="15"/>
        <v>0</v>
      </c>
      <c r="M29" s="295">
        <f t="shared" si="16"/>
        <v>0</v>
      </c>
      <c r="N29" s="295">
        <f t="shared" si="17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11025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5">
        <f t="shared" si="18"/>
        <v>1068823</v>
      </c>
      <c r="C30" s="264">
        <f t="shared" si="0"/>
        <v>0</v>
      </c>
      <c r="D30" s="307">
        <f t="shared" si="7"/>
        <v>0</v>
      </c>
      <c r="E30" s="307">
        <f t="shared" si="11"/>
        <v>1068823</v>
      </c>
      <c r="F30" s="625">
        <f t="shared" si="14"/>
        <v>157381</v>
      </c>
      <c r="G30" s="160">
        <f t="shared" si="1"/>
        <v>0</v>
      </c>
      <c r="H30" s="625">
        <f t="shared" si="19"/>
        <v>520989</v>
      </c>
      <c r="I30" s="161">
        <f t="shared" si="2"/>
        <v>0</v>
      </c>
      <c r="J30" s="625">
        <f t="shared" si="13"/>
        <v>390451</v>
      </c>
      <c r="K30" s="162">
        <f t="shared" si="3"/>
        <v>0</v>
      </c>
      <c r="L30" s="295">
        <f t="shared" si="15"/>
        <v>0</v>
      </c>
      <c r="M30" s="295">
        <f t="shared" si="16"/>
        <v>0</v>
      </c>
      <c r="N30" s="295">
        <f t="shared" si="17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1366864</v>
      </c>
      <c r="AC30" s="249"/>
    </row>
    <row r="31" spans="1:32" ht="20.100000000000001" customHeight="1">
      <c r="A31" s="163">
        <f>ELEC!C31</f>
        <v>44375</v>
      </c>
      <c r="B31" s="625">
        <f t="shared" si="18"/>
        <v>1068823</v>
      </c>
      <c r="C31" s="264">
        <f>SUM(B31-B30)</f>
        <v>0</v>
      </c>
      <c r="D31" s="307">
        <f t="shared" si="7"/>
        <v>0</v>
      </c>
      <c r="E31" s="307">
        <f>B30+D31</f>
        <v>1068823</v>
      </c>
      <c r="F31" s="625">
        <f t="shared" si="14"/>
        <v>157381</v>
      </c>
      <c r="G31" s="160">
        <f>F31-F30</f>
        <v>0</v>
      </c>
      <c r="H31" s="625">
        <f t="shared" si="19"/>
        <v>520989</v>
      </c>
      <c r="I31" s="161">
        <f>H31-H30</f>
        <v>0</v>
      </c>
      <c r="J31" s="625">
        <f t="shared" si="13"/>
        <v>390451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5">
        <f t="shared" si="18"/>
        <v>1068823</v>
      </c>
      <c r="C32" s="264">
        <f>SUM(B32-B31)</f>
        <v>0</v>
      </c>
      <c r="D32" s="307">
        <f t="shared" si="7"/>
        <v>0</v>
      </c>
      <c r="E32" s="307">
        <f>B31+D32</f>
        <v>1068823</v>
      </c>
      <c r="F32" s="625">
        <f t="shared" si="14"/>
        <v>157381</v>
      </c>
      <c r="G32" s="160">
        <f>F32-F31</f>
        <v>0</v>
      </c>
      <c r="H32" s="625">
        <f t="shared" si="19"/>
        <v>520989</v>
      </c>
      <c r="I32" s="161">
        <f>H32-H31</f>
        <v>0</v>
      </c>
      <c r="J32" s="625">
        <f t="shared" si="13"/>
        <v>390451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5">
        <f t="shared" si="18"/>
        <v>1068823</v>
      </c>
      <c r="C33" s="264">
        <f>SUM(B33-B32)</f>
        <v>0</v>
      </c>
      <c r="D33" s="307">
        <f t="shared" si="7"/>
        <v>0</v>
      </c>
      <c r="E33" s="307">
        <f>B32+D33</f>
        <v>1068823</v>
      </c>
      <c r="F33" s="625">
        <f t="shared" si="14"/>
        <v>157381</v>
      </c>
      <c r="G33" s="160">
        <f>F33-F32</f>
        <v>0</v>
      </c>
      <c r="H33" s="625">
        <f t="shared" si="19"/>
        <v>520989</v>
      </c>
      <c r="I33" s="161">
        <f>H33-H32</f>
        <v>0</v>
      </c>
      <c r="J33" s="625">
        <f t="shared" si="13"/>
        <v>390451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304</v>
      </c>
      <c r="X33" s="222">
        <f>SUM(W33/A35)</f>
        <v>19</v>
      </c>
      <c r="Y33" s="260">
        <f>SUM(X33/1)</f>
        <v>19</v>
      </c>
      <c r="Z33" s="3"/>
      <c r="AA33" s="3"/>
      <c r="AB33" s="532">
        <f>SUM(AB30+AC33)</f>
        <v>8601197</v>
      </c>
      <c r="AC33" s="249">
        <f>SUM(AC29)</f>
        <v>7234333</v>
      </c>
    </row>
    <row r="34" spans="1:32" ht="20.100000000000001" customHeight="1">
      <c r="A34" s="163"/>
      <c r="B34" s="625"/>
      <c r="C34" s="264"/>
      <c r="D34" s="307"/>
      <c r="E34" s="307"/>
      <c r="F34" s="625"/>
      <c r="G34" s="160"/>
      <c r="H34" s="625"/>
      <c r="I34" s="161"/>
      <c r="J34" s="625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16</v>
      </c>
      <c r="C35" s="173">
        <f>SUM(C4:C33)/A35</f>
        <v>689.1875</v>
      </c>
      <c r="D35" s="173"/>
      <c r="E35" s="173"/>
      <c r="G35" s="173">
        <f>SUM(G4:G33)/A35</f>
        <v>80.875</v>
      </c>
      <c r="I35" s="173">
        <f>SUM(I4:I33)/A35</f>
        <v>340.4375</v>
      </c>
      <c r="K35" s="173">
        <f>SUM(K4:K33)/A35</f>
        <v>267.75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7">
        <f>AC33/1507</f>
        <v>4800.4863968148638</v>
      </c>
    </row>
    <row r="36" spans="1:32" ht="15.75" thickBot="1">
      <c r="A36" s="210"/>
      <c r="C36" s="212">
        <f>SUM(G36:K36)</f>
        <v>0.99981862700643864</v>
      </c>
      <c r="G36" s="225">
        <f>IF(C35&gt;0,G35/C35,0)</f>
        <v>0.1173483268341344</v>
      </c>
      <c r="H36" s="212"/>
      <c r="I36" s="225">
        <f>SUM(I35/C35)</f>
        <v>0.49396934796408815</v>
      </c>
      <c r="J36" s="212"/>
      <c r="K36" s="225">
        <f>SUM(K35/C35)</f>
        <v>0.38850095220821618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5705.6033167495852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5705.6033167495852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599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674"/>
      <c r="AC45" s="674"/>
      <c r="AD45" s="599"/>
      <c r="AE45" s="17"/>
      <c r="AF45" s="17"/>
    </row>
    <row r="46" spans="1:32">
      <c r="V46" s="674"/>
      <c r="W46" s="674"/>
      <c r="X46" s="674"/>
      <c r="Y46" s="674"/>
      <c r="Z46" s="536"/>
      <c r="AA46" s="536"/>
      <c r="AB46" s="674"/>
      <c r="AC46" s="674"/>
      <c r="AD46" s="599"/>
      <c r="AE46" s="17"/>
      <c r="AF46" s="17"/>
    </row>
    <row r="47" spans="1:32">
      <c r="V47" s="674"/>
      <c r="W47" s="674"/>
      <c r="X47" s="674"/>
      <c r="Y47" s="674"/>
      <c r="Z47" s="674"/>
      <c r="AA47" s="674"/>
      <c r="AB47" s="674"/>
      <c r="AC47" s="674"/>
      <c r="AD47" s="599"/>
      <c r="AE47" s="17"/>
      <c r="AF47" s="17"/>
    </row>
    <row r="48" spans="1:32">
      <c r="V48" s="675"/>
      <c r="W48" s="675"/>
      <c r="X48" s="676"/>
      <c r="Y48" s="676"/>
      <c r="Z48" s="676"/>
      <c r="AA48" s="537"/>
      <c r="AB48" s="674"/>
      <c r="AC48" s="674"/>
      <c r="AD48" s="599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599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599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599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599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9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599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59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9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599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59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59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599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599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599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599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599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599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59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9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2" sqref="F22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6" t="s">
        <v>193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8"/>
    </row>
    <row r="2" spans="1:15" ht="15.75" customHeight="1" thickBot="1">
      <c r="A2" s="709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1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1">
        <f>(C5+B5)/2</f>
        <v>23</v>
      </c>
      <c r="E5" s="602">
        <v>0.56000000000000005</v>
      </c>
      <c r="F5" s="603">
        <v>0</v>
      </c>
      <c r="G5" s="604">
        <f>F5*230</f>
        <v>0</v>
      </c>
      <c r="H5" s="605">
        <v>0</v>
      </c>
      <c r="I5" s="605">
        <v>0</v>
      </c>
      <c r="J5" s="354">
        <v>0</v>
      </c>
      <c r="K5" s="606">
        <f>+J5+H5+I5</f>
        <v>0</v>
      </c>
      <c r="L5" s="605"/>
      <c r="M5" s="605"/>
      <c r="N5" s="607"/>
      <c r="O5" s="605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>
        <v>26</v>
      </c>
      <c r="C19" s="37">
        <v>20</v>
      </c>
      <c r="D19" s="26">
        <f t="shared" si="3"/>
        <v>23</v>
      </c>
      <c r="E19" s="338">
        <v>0.64</v>
      </c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>
        <v>27</v>
      </c>
      <c r="C20" s="37">
        <v>22</v>
      </c>
      <c r="D20" s="26">
        <f t="shared" si="3"/>
        <v>24.5</v>
      </c>
      <c r="E20" s="338">
        <v>0.61</v>
      </c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>
        <v>27</v>
      </c>
      <c r="C21" s="37">
        <v>23</v>
      </c>
      <c r="D21" s="26">
        <f>(C21+B21)/2</f>
        <v>25</v>
      </c>
      <c r="E21" s="338">
        <v>0.67</v>
      </c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>
        <v>26</v>
      </c>
      <c r="C22" s="37">
        <v>23</v>
      </c>
      <c r="D22" s="26">
        <f t="shared" si="3"/>
        <v>24.5</v>
      </c>
      <c r="E22" s="338">
        <v>0.65</v>
      </c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/>
      <c r="C23" s="37"/>
      <c r="D23" s="26">
        <f>(C23+B23)/2</f>
        <v>0</v>
      </c>
      <c r="E23" s="338"/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25.9375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17</v>
      </c>
      <c r="B16" s="3">
        <f>ELEC!AF18</f>
        <v>3578</v>
      </c>
      <c r="C16" s="3">
        <f>ELEC!N18</f>
        <v>13190</v>
      </c>
      <c r="D16" s="3">
        <f t="shared" si="0"/>
        <v>746.00000000049477</v>
      </c>
      <c r="E16" s="3">
        <f>ELEC!Q18</f>
        <v>12443.999999999505</v>
      </c>
      <c r="F16" s="3">
        <f>GEN!Z16</f>
        <v>14</v>
      </c>
      <c r="G16" s="3">
        <f>WATER!C19+WATER!H19</f>
        <v>0</v>
      </c>
      <c r="H16" s="3">
        <f>WATER!L19</f>
        <v>1</v>
      </c>
      <c r="I16" s="15">
        <f>WATER!BC19+WATER!BD19+WATER!BE20-Sheet1!G16</f>
        <v>-70.400000000000034</v>
      </c>
      <c r="J16" s="9">
        <f>'B5'!A18</f>
        <v>44361</v>
      </c>
    </row>
    <row r="17" spans="1:10">
      <c r="A17" s="3">
        <f>ELEC!T19+ELEC!X19+ELEC!AB19</f>
        <v>15</v>
      </c>
      <c r="B17" s="3">
        <f>ELEC!AF19</f>
        <v>3106</v>
      </c>
      <c r="C17" s="3">
        <f>ELEC!N19</f>
        <v>12267</v>
      </c>
      <c r="D17" s="3">
        <f t="shared" si="0"/>
        <v>-1008.0000000014552</v>
      </c>
      <c r="E17" s="3">
        <f>ELEC!Q19</f>
        <v>13275.000000001455</v>
      </c>
      <c r="F17" s="3">
        <f>GEN!Z17</f>
        <v>19</v>
      </c>
      <c r="G17" s="3">
        <f>WATER!C20+WATER!H20</f>
        <v>0</v>
      </c>
      <c r="H17" s="3">
        <f>WATER!L20</f>
        <v>0</v>
      </c>
      <c r="I17" s="15">
        <f>WATER!BC20+WATER!BD20+WATER!BE21-Sheet1!G17</f>
        <v>180.3</v>
      </c>
      <c r="J17" s="9">
        <f>'B5'!A19</f>
        <v>44362</v>
      </c>
    </row>
    <row r="18" spans="1:10">
      <c r="A18" s="3">
        <f>ELEC!T20+ELEC!X20+ELEC!AB20</f>
        <v>16</v>
      </c>
      <c r="B18" s="3">
        <f>ELEC!AF20</f>
        <v>3259</v>
      </c>
      <c r="C18" s="3">
        <f>ELEC!N20</f>
        <v>12955</v>
      </c>
      <c r="D18" s="3">
        <f t="shared" si="0"/>
        <v>2878.0000000025029</v>
      </c>
      <c r="E18" s="3">
        <f>ELEC!Q20</f>
        <v>10076.999999997497</v>
      </c>
      <c r="F18" s="3">
        <f>GEN!Z18</f>
        <v>17</v>
      </c>
      <c r="G18" s="3">
        <f>WATER!C21+WATER!H21</f>
        <v>220</v>
      </c>
      <c r="H18" s="3">
        <f>WATER!L21</f>
        <v>1</v>
      </c>
      <c r="I18" s="15">
        <f>WATER!BC21+WATER!BD21+WATER!BE22-Sheet1!G18</f>
        <v>-322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21</v>
      </c>
      <c r="G19" s="3">
        <f>WATER!C22+WATER!H22</f>
        <v>0</v>
      </c>
      <c r="H19" s="3">
        <f>WATER!L22</f>
        <v>1</v>
      </c>
      <c r="I19" s="15">
        <f>WATER!BC22+WATER!BD22+WATER!BE23-Sheet1!G19</f>
        <v>2.4999999999999858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5"/>
      <c r="B1" s="712" t="s">
        <v>119</v>
      </c>
      <c r="C1" s="712" t="s">
        <v>118</v>
      </c>
      <c r="D1" s="717" t="s">
        <v>113</v>
      </c>
      <c r="E1" s="717" t="s">
        <v>114</v>
      </c>
      <c r="F1" s="718" t="s">
        <v>120</v>
      </c>
      <c r="G1" s="719" t="s">
        <v>75</v>
      </c>
      <c r="H1" s="720" t="s">
        <v>115</v>
      </c>
      <c r="I1" s="721" t="s">
        <v>116</v>
      </c>
      <c r="J1" s="720" t="s">
        <v>117</v>
      </c>
      <c r="K1" s="714" t="s">
        <v>121</v>
      </c>
      <c r="L1" s="714" t="s">
        <v>122</v>
      </c>
      <c r="M1" s="714" t="s">
        <v>123</v>
      </c>
      <c r="N1" s="714" t="s">
        <v>124</v>
      </c>
    </row>
    <row r="2" spans="1:14">
      <c r="A2" s="716"/>
      <c r="B2" s="713"/>
      <c r="C2" s="713"/>
      <c r="D2" s="717"/>
      <c r="E2" s="717"/>
      <c r="F2" s="718"/>
      <c r="G2" s="719"/>
      <c r="H2" s="720"/>
      <c r="I2" s="722"/>
      <c r="J2" s="720"/>
      <c r="K2" s="714"/>
      <c r="L2" s="714"/>
      <c r="M2" s="714"/>
      <c r="N2" s="71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184</v>
      </c>
      <c r="C19" s="76">
        <f>'B5'!AH19</f>
        <v>0</v>
      </c>
      <c r="D19" s="76">
        <f>GEN!AI17</f>
        <v>3202.88607594924</v>
      </c>
      <c r="E19" s="242">
        <f t="shared" si="0"/>
        <v>3386.88607594924</v>
      </c>
      <c r="F19" s="75">
        <f>WATER!L19</f>
        <v>1</v>
      </c>
      <c r="G19" s="78">
        <f>WATER!BG19</f>
        <v>-74.400000000000006</v>
      </c>
      <c r="H19" s="79">
        <f>ELEC!AF18</f>
        <v>3578</v>
      </c>
      <c r="I19" s="79">
        <f>ELEC!Q18</f>
        <v>12443.999999999505</v>
      </c>
      <c r="J19" s="79">
        <f>ELEC!R18</f>
        <v>746.00000000049477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82</v>
      </c>
      <c r="C20" s="76">
        <f>'B5'!AH20</f>
        <v>0</v>
      </c>
      <c r="D20" s="76">
        <f>GEN!AI18</f>
        <v>3416.7721518991088</v>
      </c>
      <c r="E20" s="242">
        <f t="shared" si="0"/>
        <v>3498.7721518991088</v>
      </c>
      <c r="F20" s="75">
        <f>WATER!L20</f>
        <v>0</v>
      </c>
      <c r="G20" s="78">
        <f>WATER!BG20</f>
        <v>3.9999999999999716</v>
      </c>
      <c r="H20" s="79">
        <f>ELEC!AF19</f>
        <v>3106</v>
      </c>
      <c r="I20" s="79">
        <f>ELEC!Q19</f>
        <v>13275.000000001455</v>
      </c>
      <c r="J20" s="79">
        <f>ELEC!R19</f>
        <v>-1008.0000000014552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139</v>
      </c>
      <c r="C21" s="76">
        <f>'B5'!AH21</f>
        <v>0</v>
      </c>
      <c r="D21" s="76">
        <f>GEN!AI19</f>
        <v>2593.6582278474571</v>
      </c>
      <c r="E21" s="242">
        <f t="shared" si="0"/>
        <v>2732.6582278474571</v>
      </c>
      <c r="F21" s="75">
        <f>WATER!L21</f>
        <v>1</v>
      </c>
      <c r="G21" s="78">
        <f>WATER!BG21</f>
        <v>61.100000000000023</v>
      </c>
      <c r="H21" s="79">
        <f>ELEC!AF20</f>
        <v>3259</v>
      </c>
      <c r="I21" s="79">
        <f>ELEC!Q20</f>
        <v>10076.999999997497</v>
      </c>
      <c r="J21" s="79">
        <f>ELEC!R20</f>
        <v>2878.0000000025029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1</v>
      </c>
      <c r="G22" s="78">
        <f>WATER!BG22</f>
        <v>-46.100000000000009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3" t="s">
        <v>151</v>
      </c>
      <c r="U3" s="72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2" sqref="I2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4" t="s">
        <v>51</v>
      </c>
      <c r="B1" s="736" t="s">
        <v>318</v>
      </c>
      <c r="C1" s="737"/>
      <c r="D1" s="739"/>
      <c r="E1" s="736" t="s">
        <v>319</v>
      </c>
      <c r="F1" s="737"/>
      <c r="G1" s="738"/>
      <c r="H1" s="733" t="s">
        <v>324</v>
      </c>
      <c r="I1" s="730" t="s">
        <v>325</v>
      </c>
      <c r="J1" s="727" t="s">
        <v>43</v>
      </c>
    </row>
    <row r="2" spans="1:18" ht="38.25" thickBot="1">
      <c r="A2" s="725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4"/>
      <c r="I2" s="731"/>
      <c r="J2" s="728"/>
    </row>
    <row r="3" spans="1:18" ht="24" customHeight="1" thickBot="1">
      <c r="A3" s="726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5"/>
      <c r="I3" s="732"/>
      <c r="J3" s="729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2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8">
        <v>7.8</v>
      </c>
      <c r="D9" s="170">
        <v>0</v>
      </c>
      <c r="E9" s="644" t="s">
        <v>420</v>
      </c>
      <c r="F9" s="644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4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7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6">
        <v>7.8</v>
      </c>
      <c r="D17" s="170">
        <v>0</v>
      </c>
      <c r="E17" s="170">
        <v>0</v>
      </c>
      <c r="F17" s="622">
        <v>0</v>
      </c>
      <c r="G17" s="621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7">
        <v>7.8</v>
      </c>
      <c r="D18" s="170"/>
      <c r="E18" s="170" t="s">
        <v>420</v>
      </c>
      <c r="F18" s="645" t="s">
        <v>420</v>
      </c>
      <c r="G18" s="624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8">
        <v>7.8</v>
      </c>
      <c r="D19" s="170">
        <v>0</v>
      </c>
      <c r="E19" s="170">
        <v>0</v>
      </c>
      <c r="F19" s="622">
        <v>0</v>
      </c>
      <c r="G19" s="621">
        <v>0</v>
      </c>
      <c r="H19" s="572">
        <v>6783</v>
      </c>
      <c r="I19" s="502">
        <f t="shared" si="3"/>
        <v>1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>
        <v>1.5</v>
      </c>
      <c r="C20" s="646">
        <v>7.8</v>
      </c>
      <c r="D20" s="170"/>
      <c r="E20" s="170" t="s">
        <v>422</v>
      </c>
      <c r="F20" s="170" t="s">
        <v>422</v>
      </c>
      <c r="G20" s="621"/>
      <c r="H20" s="572">
        <f t="shared" si="2"/>
        <v>6783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>
        <v>1.5</v>
      </c>
      <c r="C21" s="618">
        <v>7.8</v>
      </c>
      <c r="D21" s="170">
        <v>0</v>
      </c>
      <c r="E21" s="170">
        <v>0</v>
      </c>
      <c r="F21" s="622">
        <v>0</v>
      </c>
      <c r="G21" s="624">
        <v>0</v>
      </c>
      <c r="H21" s="572">
        <v>6784</v>
      </c>
      <c r="I21" s="502">
        <f t="shared" si="3"/>
        <v>1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>
        <v>1.5</v>
      </c>
      <c r="C22" s="589">
        <v>7.8</v>
      </c>
      <c r="D22" s="590">
        <v>0</v>
      </c>
      <c r="E22" s="589">
        <v>0</v>
      </c>
      <c r="F22" s="622">
        <v>0</v>
      </c>
      <c r="G22" s="621">
        <v>0</v>
      </c>
      <c r="H22" s="572">
        <v>6785</v>
      </c>
      <c r="I22" s="502">
        <f t="shared" si="3"/>
        <v>1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/>
      <c r="C23" s="619"/>
      <c r="D23" s="620"/>
      <c r="E23" s="619"/>
      <c r="F23" s="622"/>
      <c r="G23" s="621"/>
      <c r="H23" s="572">
        <f t="shared" si="2"/>
        <v>6785</v>
      </c>
      <c r="I23" s="502">
        <f t="shared" si="3"/>
        <v>0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/>
      <c r="C24" s="622"/>
      <c r="D24" s="623"/>
      <c r="E24" s="622"/>
      <c r="F24" s="622"/>
      <c r="G24" s="624"/>
      <c r="H24" s="572">
        <f t="shared" si="2"/>
        <v>6785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6785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/>
      <c r="C26" s="591"/>
      <c r="D26" s="592"/>
      <c r="E26" s="591"/>
      <c r="F26" s="591"/>
      <c r="G26" s="170"/>
      <c r="H26" s="572">
        <f t="shared" si="2"/>
        <v>6785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6785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3"/>
      <c r="E28" s="622"/>
      <c r="F28" s="622"/>
      <c r="G28" s="624"/>
      <c r="H28" s="572">
        <f t="shared" si="2"/>
        <v>6785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3"/>
      <c r="D29" s="594"/>
      <c r="E29" s="622"/>
      <c r="F29" s="622"/>
      <c r="G29" s="621"/>
      <c r="H29" s="572">
        <f t="shared" si="2"/>
        <v>6785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5"/>
      <c r="D30" s="596"/>
      <c r="E30" s="595"/>
      <c r="F30" s="595"/>
      <c r="G30" s="170"/>
      <c r="H30" s="572">
        <f t="shared" si="2"/>
        <v>6785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6785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6785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6785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6785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6785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40" t="s">
        <v>161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</row>
    <row r="2" spans="1:28" ht="19.5">
      <c r="A2" s="741"/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1"/>
      <c r="W2" s="741"/>
      <c r="X2" s="741"/>
    </row>
    <row r="3" spans="1:28" ht="19.5">
      <c r="A3" s="741" t="s">
        <v>162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1"/>
      <c r="X3" s="74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1" t="s">
        <v>408</v>
      </c>
      <c r="B5" s="741"/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741"/>
      <c r="P5" s="741"/>
      <c r="Q5" s="741"/>
      <c r="R5" s="741"/>
      <c r="S5" s="741"/>
      <c r="T5" s="741"/>
      <c r="U5" s="741"/>
      <c r="V5" s="741"/>
      <c r="W5" s="741"/>
      <c r="X5" s="741"/>
    </row>
    <row r="6" spans="1:28" ht="15.75" thickBot="1">
      <c r="A6" s="742"/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/>
      <c r="Q6" s="742"/>
      <c r="R6" s="742"/>
      <c r="S6" s="742"/>
      <c r="T6" s="742"/>
      <c r="U6" s="742"/>
      <c r="V6" s="742"/>
      <c r="W6" s="742"/>
      <c r="X6" s="742"/>
    </row>
    <row r="7" spans="1:28" ht="15.75" thickBot="1">
      <c r="A7" s="744" t="s">
        <v>163</v>
      </c>
      <c r="B7" s="745"/>
      <c r="C7" s="746" t="s">
        <v>164</v>
      </c>
      <c r="D7" s="747"/>
      <c r="E7" s="747"/>
      <c r="F7" s="747"/>
      <c r="G7" s="747"/>
      <c r="H7" s="747"/>
      <c r="I7" s="747"/>
      <c r="J7" s="747"/>
      <c r="K7" s="74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26</v>
      </c>
      <c r="W23" s="271">
        <f>'General information '!C19</f>
        <v>20</v>
      </c>
      <c r="X23" s="271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27</v>
      </c>
      <c r="W24" s="271">
        <f>'General information '!C20</f>
        <v>22</v>
      </c>
      <c r="X24" s="271">
        <f t="shared" si="2"/>
        <v>6.1999999999999993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27</v>
      </c>
      <c r="W25" s="271">
        <f>'General information '!C21</f>
        <v>23</v>
      </c>
      <c r="X25" s="271">
        <f t="shared" si="2"/>
        <v>6.6999999999999993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26</v>
      </c>
      <c r="W26" s="271">
        <f>'General information '!C22</f>
        <v>23</v>
      </c>
      <c r="X26" s="271">
        <f t="shared" si="2"/>
        <v>6.1999999999999993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0</v>
      </c>
      <c r="W27" s="271">
        <f>'General information '!C23</f>
        <v>0</v>
      </c>
      <c r="X27" s="271">
        <f t="shared" si="2"/>
        <v>-18.3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-237.90000000000006</v>
      </c>
      <c r="W43" s="119">
        <f>SUMIF(X10:X39,"&gt;0")</f>
        <v>103.90000000000002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9" t="s">
        <v>174</v>
      </c>
      <c r="O84" s="749" t="s">
        <v>175</v>
      </c>
      <c r="P84" s="134"/>
      <c r="T84" s="134"/>
      <c r="X84" s="134"/>
    </row>
    <row r="85" spans="1:24" ht="20.25" thickBot="1">
      <c r="D85" s="134"/>
      <c r="I85" s="751" t="s">
        <v>182</v>
      </c>
      <c r="J85" s="752"/>
      <c r="K85" s="752"/>
      <c r="L85" s="752"/>
      <c r="N85" s="750"/>
      <c r="O85" s="750"/>
      <c r="P85" s="134"/>
      <c r="R85" s="17"/>
      <c r="S85" s="17"/>
      <c r="T85" s="140"/>
      <c r="U85" s="141"/>
      <c r="X85" s="134"/>
    </row>
    <row r="86" spans="1:24" ht="18.75" thickBot="1">
      <c r="D86" s="134"/>
      <c r="I86" s="753" t="s">
        <v>183</v>
      </c>
      <c r="J86" s="753"/>
      <c r="K86" s="753"/>
      <c r="L86" s="753"/>
      <c r="N86" s="142">
        <f>B43+F43+J43+N43+R43+V43+B81+F81+J81+N81+R81+V81</f>
        <v>-3868.7000000000007</v>
      </c>
      <c r="O86" s="142">
        <f>C43+G43+K43+O43+S43+W43+C81+G81+K81+O81+S81+W81</f>
        <v>337.20000000000005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3"/>
      <c r="C88" s="743"/>
      <c r="D88" s="743"/>
      <c r="E88" s="743"/>
      <c r="F88" s="743"/>
      <c r="G88" s="743"/>
      <c r="H88" s="743"/>
      <c r="I88" s="743"/>
      <c r="J88" s="743"/>
      <c r="K88" s="743"/>
      <c r="L88" s="743"/>
      <c r="M88" s="743"/>
      <c r="N88" s="743"/>
      <c r="O88" s="743"/>
      <c r="P88" s="743"/>
      <c r="Q88" s="743"/>
      <c r="R88" s="743"/>
      <c r="S88" s="743"/>
      <c r="T88" s="743"/>
      <c r="U88" s="743"/>
      <c r="V88" s="743"/>
      <c r="W88" s="74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19" sqref="C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4" t="s">
        <v>216</v>
      </c>
      <c r="B2" s="754"/>
      <c r="C2" s="754"/>
      <c r="D2" s="754"/>
      <c r="E2" s="754"/>
      <c r="F2" s="754"/>
      <c r="G2" s="754"/>
      <c r="H2" s="754"/>
      <c r="I2" s="754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16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329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4373.333333333333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57335</v>
      </c>
      <c r="C8" s="486">
        <f>SUM(tanks!AU36)</f>
        <v>1.0265</v>
      </c>
      <c r="D8" s="191">
        <f>SUM(B8*C8)*D4</f>
        <v>88722974.081249997</v>
      </c>
      <c r="E8" s="192">
        <f>SUM(D8/D4/F4)</f>
        <v>3678.3985937499997</v>
      </c>
      <c r="F8" s="192">
        <f>SUM(E8*F4)</f>
        <v>58854.377499999995</v>
      </c>
      <c r="G8" s="503">
        <f>E8*$G$4</f>
        <v>110351.9578125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11025</v>
      </c>
      <c r="C10" s="181"/>
      <c r="D10" s="183">
        <f>'EDl log'!AB33</f>
        <v>8601197</v>
      </c>
      <c r="E10" s="182">
        <f>SUM(D10/D4/F4)</f>
        <v>356.60020729684908</v>
      </c>
      <c r="F10" s="182">
        <f>SUM(E10*F4)</f>
        <v>5705.6033167495852</v>
      </c>
      <c r="G10" s="503">
        <f>E10*$G$4</f>
        <v>10698.006218905472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4308.3321343801827</v>
      </c>
      <c r="F12" s="180">
        <f>SUM(F6:F10)</f>
        <v>68933.314150082922</v>
      </c>
      <c r="G12" s="179">
        <f>SUM(G6:G10)</f>
        <v>129249.96403140547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103.90000000000002</v>
      </c>
      <c r="C14" s="431">
        <f>'[17]Utility Cost '!B14</f>
        <v>182.99999999999997</v>
      </c>
      <c r="D14" s="170"/>
      <c r="E14" s="170">
        <f>B14-C14</f>
        <v>-79.099999999999952</v>
      </c>
      <c r="F14" s="502">
        <v>0</v>
      </c>
      <c r="G14" s="420"/>
      <c r="H14" s="421">
        <f>SUM(G12-H12)</f>
        <v>83910.96403140547</v>
      </c>
      <c r="I14" s="421">
        <f>SUM(G12-I12)</f>
        <v>83910.96403140547</v>
      </c>
    </row>
    <row r="15" spans="1:11">
      <c r="A15" s="446" t="s">
        <v>303</v>
      </c>
      <c r="B15" s="97">
        <f>'Degree Days 2020'!V43</f>
        <v>-237.90000000000006</v>
      </c>
      <c r="C15" s="431">
        <f>'[17]Utility Cost '!B15</f>
        <v>-18.3</v>
      </c>
      <c r="D15" s="170"/>
      <c r="E15" s="170">
        <f>B15-C15</f>
        <v>-219.60000000000005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25.9375</v>
      </c>
      <c r="C16" s="431">
        <f>'[17]Utility Cost '!B16</f>
        <v>24.4</v>
      </c>
      <c r="D16" s="430"/>
      <c r="E16" s="431">
        <f>B16-C16</f>
        <v>1.5375000000000014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2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304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122</v>
      </c>
      <c r="F18" s="521">
        <f>B18-D18</f>
        <v>101.33333333333334</v>
      </c>
    </row>
    <row r="19" spans="1:10">
      <c r="A19" s="515" t="s">
        <v>410</v>
      </c>
      <c r="B19" s="513">
        <f>SUM(B18/$F$4)</f>
        <v>19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2021-06-18T05:29:55Z</dcterms:modified>
</cp:coreProperties>
</file>