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<sst xmlns="http://schemas.openxmlformats.org/spreadsheetml/2006/main" count="107" uniqueCount="38">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</sst>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16" sqref="N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9543</v>
      </c>
      <c r="F9" s="22">
        <v>0.11799999999999999</v>
      </c>
      <c r="G9" s="24">
        <f>(('12 - 2020'!E15-'12 - 2020'!E14)+('12 - 2020'!F15-'12 - 2020'!F14)+('12 - 2020'!G15-'12 - 2020'!G14))*1.81</f>
        <v>72.03800000000362</v>
      </c>
      <c r="H9" s="22">
        <v>0.99</v>
      </c>
      <c r="I9" s="24">
        <f>'12 - 2020'!J15-'12 - 2020'!J14</f>
        <v>15972</v>
      </c>
      <c r="J9" s="22">
        <v>8.1000000000000003E-2</v>
      </c>
      <c r="K9" s="56">
        <f>'12 - 2020'!H15-'12 - 2020'!H14</f>
        <v>0</v>
      </c>
      <c r="L9" s="24">
        <f>'12 - 2020'!I15-'12 - 2020'!I14</f>
        <v>88</v>
      </c>
      <c r="M9" s="23">
        <v>4.393629424766913</v>
      </c>
      <c r="N9" s="48">
        <v>90</v>
      </c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9236</v>
      </c>
      <c r="F10" s="22">
        <v>0.11799999999999999</v>
      </c>
      <c r="G10" s="24">
        <f>(('12 - 2020'!E16-'12 - 2020'!E15)+('12 - 2020'!F16-'12 - 2020'!F15)+('12 - 2020'!G16-'12 - 2020'!G15))*1.81</f>
        <v>69.522100000000563</v>
      </c>
      <c r="H10" s="22">
        <v>0.99</v>
      </c>
      <c r="I10" s="24">
        <f>'12 - 2020'!J16-'12 - 2020'!J15</f>
        <v>13080</v>
      </c>
      <c r="J10" s="22">
        <v>8.1000000000000003E-2</v>
      </c>
      <c r="K10" s="56">
        <f>'12 - 2020'!H16-'12 - 2020'!H15</f>
        <v>0</v>
      </c>
      <c r="L10" s="24">
        <f>'12 - 2020'!I16-'12 - 2020'!I15</f>
        <v>117</v>
      </c>
      <c r="M10" s="23">
        <v>4.393629424766913</v>
      </c>
      <c r="N10" s="48">
        <v>96</v>
      </c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9705</v>
      </c>
      <c r="F11" s="22">
        <v>0.11799999999999999</v>
      </c>
      <c r="G11" s="24">
        <f>(('12 - 2020'!E17-'12 - 2020'!E16)+('12 - 2020'!F17-'12 - 2020'!F16)+('12 - 2020'!G17-'12 - 2020'!G16))*1.81</f>
        <v>89.73979999999905</v>
      </c>
      <c r="H11" s="22">
        <v>0.99</v>
      </c>
      <c r="I11" s="24">
        <f>'12 - 2020'!J17-'12 - 2020'!J16</f>
        <v>13927</v>
      </c>
      <c r="J11" s="22">
        <v>8.1000000000000003E-2</v>
      </c>
      <c r="K11" s="56">
        <f>'12 - 2020'!H17-'12 - 2020'!H16</f>
        <v>0</v>
      </c>
      <c r="L11" s="24">
        <f>'12 - 2020'!I17-'12 - 2020'!I16</f>
        <v>60</v>
      </c>
      <c r="M11" s="23">
        <v>4.393629424766913</v>
      </c>
      <c r="N11" s="48">
        <v>96</v>
      </c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9582</v>
      </c>
      <c r="F12" s="22">
        <v>0.11799999999999999</v>
      </c>
      <c r="G12" s="24">
        <f>(('12 - 2020'!E18-'12 - 2020'!E17)+('12 - 2020'!F18-'12 - 2020'!F17)+('12 - 2020'!G18-'12 - 2020'!G17))*1.81</f>
        <v>77.431800000001189</v>
      </c>
      <c r="H12" s="22">
        <v>0.99</v>
      </c>
      <c r="I12" s="24">
        <f>'12 - 2020'!J18-'12 - 2020'!J17</f>
        <v>13533</v>
      </c>
      <c r="J12" s="22">
        <v>8.1000000000000003E-2</v>
      </c>
      <c r="K12" s="56">
        <f>'12 - 2020'!H18-'12 - 2020'!H17</f>
        <v>0</v>
      </c>
      <c r="L12" s="24">
        <f>'12 - 2020'!I18-'12 - 2020'!I17</f>
        <v>80</v>
      </c>
      <c r="M12" s="23">
        <v>4.393629424766913</v>
      </c>
      <c r="N12" s="24">
        <v>88</v>
      </c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8834</v>
      </c>
      <c r="F13" s="22">
        <v>0.11799999999999999</v>
      </c>
      <c r="G13" s="24">
        <f>(('12 - 2020'!E19-'12 - 2020'!E18)+('12 - 2020'!F19-'12 - 2020'!F18)+('12 - 2020'!G19-'12 - 2020'!G18))*1.81</f>
        <v>72.400000000000006</v>
      </c>
      <c r="H13" s="22">
        <v>0.99</v>
      </c>
      <c r="I13" s="24">
        <f>'12 - 2020'!J19-'12 - 2020'!J18</f>
        <v>12183</v>
      </c>
      <c r="J13" s="22">
        <v>8.1000000000000003E-2</v>
      </c>
      <c r="K13" s="56">
        <f>'12 - 2020'!H19-'12 - 2020'!H18</f>
        <v>0</v>
      </c>
      <c r="L13" s="24">
        <f>'12 - 2020'!I19-'12 - 2020'!I18</f>
        <v>125</v>
      </c>
      <c r="M13" s="23">
        <v>4.393629424766913</v>
      </c>
      <c r="N13" s="24">
        <v>85</v>
      </c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9309</v>
      </c>
      <c r="F14" s="22">
        <v>0.11799999999999999</v>
      </c>
      <c r="G14" s="24">
        <f>(('12 - 2020'!E20-'12 - 2020'!E19)+('12 - 2020'!F20-'12 - 2020'!F19)+('12 - 2020'!G20-'12 - 2020'!G19))*1.81</f>
        <v>70.59</v>
      </c>
      <c r="H14" s="22">
        <v>0.99</v>
      </c>
      <c r="I14" s="24">
        <f>'12 - 2020'!J20-'12 - 2020'!J19</f>
        <v>11952</v>
      </c>
      <c r="J14" s="22">
        <v>8.1000000000000003E-2</v>
      </c>
      <c r="K14" s="56">
        <f>'12 - 2020'!H20-'12 - 2020'!H19</f>
        <v>0</v>
      </c>
      <c r="L14" s="24">
        <f>'12 - 2020'!I20-'12 - 2020'!I19</f>
        <v>90</v>
      </c>
      <c r="M14" s="23">
        <v>4.393629424766913</v>
      </c>
      <c r="N14" s="24">
        <v>76</v>
      </c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9397</v>
      </c>
      <c r="F15" s="22">
        <v>0.11799999999999999</v>
      </c>
      <c r="G15" s="24">
        <f>(('12 - 2020'!E21-'12 - 2020'!E20)+('12 - 2020'!F21-'12 - 2020'!F20)+('12 - 2020'!G21-'12 - 2020'!G20))*1.81</f>
        <v>77.0697999999974</v>
      </c>
      <c r="H15" s="22">
        <v>0.99</v>
      </c>
      <c r="I15" s="24">
        <f>'12 - 2020'!J21-'12 - 2020'!J20</f>
        <v>12318</v>
      </c>
      <c r="J15" s="22">
        <v>8.1000000000000003E-2</v>
      </c>
      <c r="K15" s="56">
        <f>'12 - 2020'!H21-'12 - 2020'!H20</f>
        <v>0</v>
      </c>
      <c r="L15" s="24">
        <f>'12 - 2020'!I21-'12 - 2020'!I20</f>
        <v>96</v>
      </c>
      <c r="M15" s="23">
        <v>4.393629424766913</v>
      </c>
      <c r="N15" s="24">
        <v>78</v>
      </c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v>0</v>
      </c>
      <c r="F16" s="22">
        <v>0.11799999999999999</v>
      </c>
      <c r="G16" s="24">
        <v>0</v>
      </c>
      <c r="H16" s="22">
        <v>0.99</v>
      </c>
      <c r="I16" s="24">
        <v>0</v>
      </c>
      <c r="J16" s="22">
        <v>8.1000000000000003E-2</v>
      </c>
      <c r="K16" s="56">
        <v>0</v>
      </c>
      <c r="L16" s="24"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0</v>
      </c>
      <c r="F17" s="22">
        <v>0.11799999999999999</v>
      </c>
      <c r="G17" s="24">
        <f>(('12 - 2020'!E23-'12 - 2020'!E22)+('12 - 2020'!F23-'12 - 2020'!F22)+('12 - 2020'!G23-'12 - 2020'!G22))*1.81</f>
        <v>0</v>
      </c>
      <c r="H17" s="22">
        <v>0.99</v>
      </c>
      <c r="I17" s="24">
        <f>'12 - 2020'!J23-'12 - 2020'!J22</f>
        <v>0</v>
      </c>
      <c r="J17" s="22">
        <v>8.1000000000000003E-2</v>
      </c>
      <c r="K17" s="56">
        <f>'12 - 2020'!H23-'12 - 2020'!H22</f>
        <v>0</v>
      </c>
      <c r="L17" s="24">
        <f>'12 - 2020'!I23-'12 - 2020'!I22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0</v>
      </c>
      <c r="F18" s="22">
        <v>0.11799999999999999</v>
      </c>
      <c r="G18" s="24">
        <f>(('12 - 2020'!E24-'12 - 2020'!E23)+('12 - 2020'!F24-'12 - 2020'!F23)+('12 - 2020'!G24-'12 - 2020'!G23))*1.81</f>
        <v>0</v>
      </c>
      <c r="H18" s="22">
        <v>0.99</v>
      </c>
      <c r="I18" s="24">
        <f>'12 - 2020'!J24-'12 - 2020'!J23</f>
        <v>0</v>
      </c>
      <c r="J18" s="22">
        <v>8.1000000000000003E-2</v>
      </c>
      <c r="K18" s="56">
        <f>'12 - 2020'!H24-'12 - 2020'!H23</f>
        <v>0</v>
      </c>
      <c r="L18" s="24">
        <f>'12 - 2020'!I24-'12 - 2020'!I23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0</v>
      </c>
      <c r="F19" s="22">
        <v>0.11799999999999999</v>
      </c>
      <c r="G19" s="24">
        <f>(('12 - 2020'!E25-'12 - 2020'!E24)+('12 - 2020'!F25-'12 - 2020'!F24)+('12 - 2020'!G25-'12 - 2020'!G24))*1.81</f>
        <v>0</v>
      </c>
      <c r="H19" s="22">
        <v>0.99</v>
      </c>
      <c r="I19" s="24">
        <f>'12 - 2020'!J25-'12 - 2020'!J24</f>
        <v>0</v>
      </c>
      <c r="J19" s="22">
        <v>8.1000000000000003E-2</v>
      </c>
      <c r="K19" s="56">
        <f>'12 - 2020'!H25-'12 - 2020'!H24</f>
        <v>0</v>
      </c>
      <c r="L19" s="24">
        <f>'12 - 2020'!I25-'12 - 2020'!I24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0</v>
      </c>
      <c r="F20" s="22">
        <v>0.11799999999999999</v>
      </c>
      <c r="G20" s="24">
        <f>(('12 - 2020'!E26-'12 - 2020'!E25)+('12 - 2020'!F26-'12 - 2020'!F25)+('12 - 2020'!G26-'12 - 2020'!G25))*1.81</f>
        <v>0</v>
      </c>
      <c r="H20" s="22">
        <v>0.99</v>
      </c>
      <c r="I20" s="24">
        <f>'12 - 2020'!J26-'12 - 2020'!J25</f>
        <v>0</v>
      </c>
      <c r="J20" s="22">
        <v>8.1000000000000003E-2</v>
      </c>
      <c r="K20" s="56">
        <f>'12 - 2020'!H26-'12 - 2020'!H25</f>
        <v>0</v>
      </c>
      <c r="L20" s="24">
        <f>'12 - 2020'!I26-'12 - 2020'!I25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0</v>
      </c>
      <c r="F21" s="22">
        <v>0.11799999999999999</v>
      </c>
      <c r="G21" s="24">
        <f>(('12 - 2020'!E27-'12 - 2020'!E26)+('12 - 2020'!F27-'12 - 2020'!F26)+('12 - 2020'!G27-'12 - 2020'!G26))*1.81</f>
        <v>0</v>
      </c>
      <c r="H21" s="22">
        <v>0.99</v>
      </c>
      <c r="I21" s="24">
        <f>'12 - 2020'!J27-'12 - 2020'!J26</f>
        <v>0</v>
      </c>
      <c r="J21" s="22">
        <v>8.1000000000000003E-2</v>
      </c>
      <c r="K21" s="56">
        <f>'12 - 2020'!H27-'12 - 2020'!H26</f>
        <v>0</v>
      </c>
      <c r="L21" s="24">
        <f>'12 - 2020'!I27-'12 - 2020'!I26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0</v>
      </c>
      <c r="F22" s="22">
        <v>0.11799999999999999</v>
      </c>
      <c r="G22" s="24">
        <f>(('12 - 2020'!E28-'12 - 2020'!E27)+('12 - 2020'!F28-'12 - 2020'!F27)+('12 - 2020'!G28-'12 - 2020'!G27))*1.81</f>
        <v>0</v>
      </c>
      <c r="H22" s="22">
        <v>0.99</v>
      </c>
      <c r="I22" s="24">
        <f>'12 - 2020'!J28-'12 - 2020'!J27</f>
        <v>0</v>
      </c>
      <c r="J22" s="22">
        <v>8.1000000000000003E-2</v>
      </c>
      <c r="K22" s="56">
        <f>'12 - 2020'!H28-'12 - 2020'!H27</f>
        <v>0</v>
      </c>
      <c r="L22" s="24">
        <f>'12 - 2020'!I28-'12 - 2020'!I27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0</v>
      </c>
      <c r="F23" s="22">
        <v>0.11799999999999999</v>
      </c>
      <c r="G23" s="24">
        <f>(('12 - 2020'!E29-'12 - 2020'!E28)+('12 - 2020'!F29-'12 - 2020'!F28)+('12 - 2020'!G29-'12 - 2020'!G28))*1.81</f>
        <v>0</v>
      </c>
      <c r="H23" s="22">
        <v>0.99</v>
      </c>
      <c r="I23" s="24">
        <f>'12 - 2020'!J29-'12 - 2020'!J28</f>
        <v>0</v>
      </c>
      <c r="J23" s="22">
        <v>8.1000000000000003E-2</v>
      </c>
      <c r="K23" s="56">
        <f>'12 - 2020'!H29-'12 - 2020'!H28</f>
        <v>0</v>
      </c>
      <c r="L23" s="24">
        <f>'12 - 2020'!I29-'12 - 2020'!I28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6" sqref="K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3774</v>
      </c>
      <c r="F9" s="24">
        <f>'12 - 2020'!C15-'12 - 2020'!C14</f>
        <v>5769</v>
      </c>
      <c r="G9" s="22">
        <v>0.11799999999999999</v>
      </c>
      <c r="H9" s="24">
        <f>'12 - 2020'!E15-'12 - 2020'!E14</f>
        <v>3.1700000000000728</v>
      </c>
      <c r="I9" s="24">
        <f>'12 - 2020'!F15-'12 - 2020'!F14</f>
        <v>4.5500000000001819</v>
      </c>
      <c r="J9" s="24">
        <f>'12 - 2020'!G15-'12 - 2020'!G14</f>
        <v>32.080000000001746</v>
      </c>
      <c r="K9" s="22">
        <v>0.74</v>
      </c>
      <c r="L9" s="48">
        <v>90</v>
      </c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3668</v>
      </c>
      <c r="F10" s="24">
        <f>'12 - 2020'!C16-'12 - 2020'!C15</f>
        <v>5568</v>
      </c>
      <c r="G10" s="22">
        <v>0.11799999999999999</v>
      </c>
      <c r="H10" s="24">
        <f>'12 - 2020'!E16-'12 - 2020'!E15</f>
        <v>1.7900000000008731</v>
      </c>
      <c r="I10" s="24">
        <f>'12 - 2020'!F16-'12 - 2020'!F15</f>
        <v>4.3899999999998727</v>
      </c>
      <c r="J10" s="24">
        <f>'12 - 2020'!G16-'12 - 2020'!G15</f>
        <v>32.229999999999563</v>
      </c>
      <c r="K10" s="22">
        <v>0.74</v>
      </c>
      <c r="L10" s="48">
        <v>96</v>
      </c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3711</v>
      </c>
      <c r="F11" s="24">
        <f>'12 - 2020'!C17-'12 - 2020'!C16</f>
        <v>5994</v>
      </c>
      <c r="G11" s="22">
        <v>0.11799999999999999</v>
      </c>
      <c r="H11" s="24">
        <f>'12 - 2020'!E17-'12 - 2020'!E16</f>
        <v>8.5399999999990541</v>
      </c>
      <c r="I11" s="24">
        <f>'12 - 2020'!F17-'12 - 2020'!F16</f>
        <v>4.5899999999996908</v>
      </c>
      <c r="J11" s="24">
        <f>'12 - 2020'!G17-'12 - 2020'!G16</f>
        <v>36.450000000000728</v>
      </c>
      <c r="K11" s="22">
        <v>0.74</v>
      </c>
      <c r="L11" s="48">
        <v>96</v>
      </c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3662</v>
      </c>
      <c r="F12" s="24">
        <f>'12 - 2020'!C18-'12 - 2020'!C17</f>
        <v>5920</v>
      </c>
      <c r="G12" s="22">
        <v>0.11799999999999999</v>
      </c>
      <c r="H12" s="24">
        <f>'12 - 2020'!E18-'12 - 2020'!E17</f>
        <v>3.2000000000007276</v>
      </c>
      <c r="I12" s="24">
        <f>'12 - 2020'!F18-'12 - 2020'!F17</f>
        <v>4.2600000000002183</v>
      </c>
      <c r="J12" s="24">
        <f>'12 - 2020'!G18-'12 - 2020'!G17</f>
        <v>35.319999999999709</v>
      </c>
      <c r="K12" s="22">
        <v>0.74</v>
      </c>
      <c r="L12" s="24">
        <v>88</v>
      </c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3490</v>
      </c>
      <c r="F13" s="24">
        <f>'12 - 2020'!C19-'12 - 2020'!C18</f>
        <v>5344</v>
      </c>
      <c r="G13" s="22">
        <v>0.11799999999999999</v>
      </c>
      <c r="H13" s="24">
        <f>'12 - 2020'!E19-'12 - 2020'!E18</f>
        <v>4</v>
      </c>
      <c r="I13" s="24">
        <f>'12 - 2020'!F19-'12 - 2020'!F18</f>
        <v>4</v>
      </c>
      <c r="J13" s="24">
        <f>'12 - 2020'!G19-'12 - 2020'!G18</f>
        <v>32</v>
      </c>
      <c r="K13" s="22">
        <v>0.74</v>
      </c>
      <c r="L13" s="24">
        <v>85</v>
      </c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3472</v>
      </c>
      <c r="F14" s="24">
        <f>'12 - 2020'!C20-'12 - 2020'!C19</f>
        <v>5837</v>
      </c>
      <c r="G14" s="22">
        <v>0.11799999999999999</v>
      </c>
      <c r="H14" s="24">
        <f>'12 - 2020'!E20-'12 - 2020'!E19</f>
        <v>3</v>
      </c>
      <c r="I14" s="24">
        <f>'12 - 2020'!F20-'12 - 2020'!F19</f>
        <v>4</v>
      </c>
      <c r="J14" s="24">
        <f>'12 - 2020'!G20-'12 - 2020'!G19</f>
        <v>32</v>
      </c>
      <c r="K14" s="22">
        <v>0.74</v>
      </c>
      <c r="L14" s="24">
        <v>76</v>
      </c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3437</v>
      </c>
      <c r="F15" s="24">
        <f>'12 - 2020'!C21-'12 - 2020'!C20</f>
        <v>5960</v>
      </c>
      <c r="G15" s="22">
        <v>0.11799999999999999</v>
      </c>
      <c r="H15" s="24">
        <f>'12 - 2020'!E21-'12 - 2020'!E20</f>
        <v>3.5200000000004366</v>
      </c>
      <c r="I15" s="24">
        <f>'12 - 2020'!F21-'12 - 2020'!F20</f>
        <v>6.1399999999998727</v>
      </c>
      <c r="J15" s="24">
        <f>'12 - 2020'!G21-'12 - 2020'!G20</f>
        <v>32.919999999998254</v>
      </c>
      <c r="K15" s="22">
        <v>0.74</v>
      </c>
      <c r="L15" s="24">
        <v>78</v>
      </c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v>0</v>
      </c>
      <c r="F16" s="24">
        <v>0</v>
      </c>
      <c r="G16" s="22">
        <v>0.11799999999999999</v>
      </c>
      <c r="H16" s="24">
        <v>0</v>
      </c>
      <c r="I16" s="24">
        <v>0</v>
      </c>
      <c r="J16" s="24"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0</v>
      </c>
      <c r="F17" s="24">
        <f>'12 - 2020'!C23-'12 - 2020'!C22</f>
        <v>0</v>
      </c>
      <c r="G17" s="22">
        <v>0.11799999999999999</v>
      </c>
      <c r="H17" s="24">
        <f>'12 - 2020'!E23-'12 - 2020'!E22</f>
        <v>0</v>
      </c>
      <c r="I17" s="24">
        <f>'12 - 2020'!F23-'12 - 2020'!F22</f>
        <v>0</v>
      </c>
      <c r="J17" s="24">
        <f>'12 - 2020'!G23-'12 - 2020'!G22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0</v>
      </c>
      <c r="F18" s="24">
        <f>'12 - 2020'!C24-'12 - 2020'!C23</f>
        <v>0</v>
      </c>
      <c r="G18" s="22">
        <v>0.11799999999999999</v>
      </c>
      <c r="H18" s="24">
        <f>'12 - 2020'!E24-'12 - 2020'!E23</f>
        <v>0</v>
      </c>
      <c r="I18" s="24">
        <f>'12 - 2020'!F24-'12 - 2020'!F23</f>
        <v>0</v>
      </c>
      <c r="J18" s="24">
        <f>'12 - 2020'!G24-'12 - 2020'!G23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0</v>
      </c>
      <c r="F19" s="24">
        <f>'12 - 2020'!C25-'12 - 2020'!C24</f>
        <v>0</v>
      </c>
      <c r="G19" s="22">
        <v>0.11799999999999999</v>
      </c>
      <c r="H19" s="24">
        <f>'12 - 2020'!E25-'12 - 2020'!E24</f>
        <v>0</v>
      </c>
      <c r="I19" s="24">
        <f>'12 - 2020'!F25-'12 - 2020'!F24</f>
        <v>0</v>
      </c>
      <c r="J19" s="24">
        <f>'12 - 2020'!G25-'12 - 2020'!G24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0</v>
      </c>
      <c r="F20" s="24">
        <f>'12 - 2020'!C26-'12 - 2020'!C25</f>
        <v>0</v>
      </c>
      <c r="G20" s="22">
        <v>0.11799999999999999</v>
      </c>
      <c r="H20" s="24">
        <f>'12 - 2020'!E26-'12 - 2020'!E25</f>
        <v>0</v>
      </c>
      <c r="I20" s="24">
        <f>'12 - 2020'!F26-'12 - 2020'!F25</f>
        <v>0</v>
      </c>
      <c r="J20" s="24">
        <f>'12 - 2020'!G26-'12 - 2020'!G25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0</v>
      </c>
      <c r="F21" s="24">
        <f>'12 - 2020'!C27-'12 - 2020'!C26</f>
        <v>0</v>
      </c>
      <c r="G21" s="22">
        <v>0.11799999999999999</v>
      </c>
      <c r="H21" s="24">
        <f>'12 - 2020'!E27-'12 - 2020'!E26</f>
        <v>0</v>
      </c>
      <c r="I21" s="24">
        <f>'12 - 2020'!F27-'12 - 2020'!F26</f>
        <v>0</v>
      </c>
      <c r="J21" s="24">
        <f>'12 - 2020'!G27-'12 - 2020'!G26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0</v>
      </c>
      <c r="F22" s="24">
        <f>'12 - 2020'!C28-'12 - 2020'!C27</f>
        <v>0</v>
      </c>
      <c r="G22" s="22">
        <v>0.11799999999999999</v>
      </c>
      <c r="H22" s="24">
        <f>'12 - 2020'!E28-'12 - 2020'!E27</f>
        <v>0</v>
      </c>
      <c r="I22" s="24">
        <f>'12 - 2020'!F28-'12 - 2020'!F27</f>
        <v>0</v>
      </c>
      <c r="J22" s="24">
        <f>'12 - 2020'!G28-'12 - 2020'!G27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0</v>
      </c>
      <c r="F23" s="24">
        <f>'12 - 2020'!C29-'12 - 2020'!C28</f>
        <v>0</v>
      </c>
      <c r="G23" s="22">
        <v>0.11799999999999999</v>
      </c>
      <c r="H23" s="24">
        <f>'12 - 2020'!E29-'12 - 2020'!E28</f>
        <v>0</v>
      </c>
      <c r="I23" s="24">
        <f>'12 - 2020'!F29-'12 - 2020'!F28</f>
        <v>0</v>
      </c>
      <c r="J23" s="24">
        <f>'12 - 2020'!G29-'12 - 2020'!G28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L14" sqref="L1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>
        <v>136457</v>
      </c>
      <c r="C15" s="15">
        <v>1838982</v>
      </c>
      <c r="D15" s="16">
        <v>0.57999999999999996</v>
      </c>
      <c r="E15" s="21">
        <v>13332.47</v>
      </c>
      <c r="F15" s="21">
        <v>2752.76</v>
      </c>
      <c r="G15" s="17">
        <v>23729</v>
      </c>
      <c r="H15" s="15">
        <v>14528</v>
      </c>
      <c r="I15" s="15">
        <v>103848</v>
      </c>
      <c r="J15" s="15">
        <v>43564004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>
        <v>140125</v>
      </c>
      <c r="C16" s="15">
        <v>1844550</v>
      </c>
      <c r="D16" s="16">
        <v>0.52</v>
      </c>
      <c r="E16" s="21">
        <v>13334.26</v>
      </c>
      <c r="F16" s="21">
        <v>2757.15</v>
      </c>
      <c r="G16" s="17">
        <v>23761.23</v>
      </c>
      <c r="H16" s="15">
        <v>14528</v>
      </c>
      <c r="I16" s="15">
        <v>103965</v>
      </c>
      <c r="J16" s="15">
        <v>43577084</v>
      </c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>
        <v>143836</v>
      </c>
      <c r="C17" s="17">
        <v>1850544</v>
      </c>
      <c r="D17" s="26">
        <v>0.46</v>
      </c>
      <c r="E17" s="21">
        <v>13342.8</v>
      </c>
      <c r="F17" s="21">
        <v>2761.74</v>
      </c>
      <c r="G17" s="17">
        <v>23797.68</v>
      </c>
      <c r="H17" s="15">
        <v>14528</v>
      </c>
      <c r="I17" s="17">
        <v>104025</v>
      </c>
      <c r="J17" s="17">
        <v>43591011</v>
      </c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>
        <v>147498</v>
      </c>
      <c r="C18" s="15">
        <v>1856464</v>
      </c>
      <c r="D18" s="16">
        <v>0.38</v>
      </c>
      <c r="E18" s="21">
        <v>13346</v>
      </c>
      <c r="F18" s="21">
        <v>2766</v>
      </c>
      <c r="G18" s="17">
        <v>23833</v>
      </c>
      <c r="H18" s="15">
        <v>14528</v>
      </c>
      <c r="I18" s="15">
        <v>104105</v>
      </c>
      <c r="J18" s="15">
        <v>43604544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>
        <v>150988</v>
      </c>
      <c r="C19" s="57">
        <v>1861808</v>
      </c>
      <c r="D19" s="16">
        <v>0.3</v>
      </c>
      <c r="E19" s="58">
        <v>13350</v>
      </c>
      <c r="F19" s="21">
        <v>2770</v>
      </c>
      <c r="G19" s="58">
        <v>23865</v>
      </c>
      <c r="H19" s="15">
        <v>14528</v>
      </c>
      <c r="I19" s="57">
        <v>104230</v>
      </c>
      <c r="J19" s="57">
        <v>43616727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>
        <v>154460</v>
      </c>
      <c r="C20" s="57">
        <v>1867645</v>
      </c>
      <c r="D20" s="16">
        <v>0.8</v>
      </c>
      <c r="E20" s="58">
        <v>13353</v>
      </c>
      <c r="F20" s="21">
        <v>2774</v>
      </c>
      <c r="G20" s="58">
        <v>23897</v>
      </c>
      <c r="H20" s="15">
        <v>14528</v>
      </c>
      <c r="I20" s="57">
        <v>104320</v>
      </c>
      <c r="J20" s="57">
        <v>43628679</v>
      </c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>
        <v>157897</v>
      </c>
      <c r="C21" s="57">
        <v>1873605</v>
      </c>
      <c r="D21" s="16">
        <v>0.75</v>
      </c>
      <c r="E21" s="58">
        <v>13356.52</v>
      </c>
      <c r="F21" s="21">
        <v>2780.14</v>
      </c>
      <c r="G21" s="58">
        <v>23929.919999999998</v>
      </c>
      <c r="H21" s="15">
        <v>14528</v>
      </c>
      <c r="I21" s="57">
        <v>104416</v>
      </c>
      <c r="J21" s="57">
        <v>43640997</v>
      </c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/>
      <c r="C25" s="58"/>
      <c r="D25" s="26"/>
      <c r="E25" s="58"/>
      <c r="F25" s="21"/>
      <c r="G25" s="58"/>
      <c r="H25" s="15"/>
      <c r="I25" s="57"/>
      <c r="J25" s="57"/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2020-12-14T04:43:46Z</dcterms:modified>
</cp:coreProperties>
</file>