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Four Seasons Files/Budapest/"/>
    </mc:Choice>
  </mc:AlternateContent>
  <xr:revisionPtr revIDLastSave="0" documentId="8_{2B5EBDC6-FBA3-41C5-9632-042A3E357F02}" xr6:coauthVersionLast="45" xr6:coauthVersionMax="45" xr10:uidLastSave="{00000000-0000-0000-0000-000000000000}"/>
  <bookViews>
    <workbookView xWindow="-110" yWindow="-110" windowWidth="19420" windowHeight="10420"/>
  </bookViews>
  <sheets>
    <sheet name="TOTAL" sheetId="5" r:id="rId1"/>
    <sheet name="Submetering" sheetId="7" r:id="rId2"/>
    <sheet name="FS Budapest" sheetId="6" r:id="rId3"/>
  </sheets>
  <externalReferences>
    <externalReference r:id="rId4"/>
    <externalReference r:id="rId5"/>
  </externalReferenc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F12" i="6" l="1"/>
  <c r="BF13" i="6"/>
  <c r="BG13" i="6" s="1"/>
  <c r="BH13" i="6" s="1"/>
  <c r="BF14" i="6"/>
  <c r="BG14" i="6"/>
  <c r="BH14" i="6" s="1"/>
  <c r="BF15" i="6"/>
  <c r="BG15" i="6" s="1"/>
  <c r="BH15" i="6" s="1"/>
  <c r="BF16" i="6"/>
  <c r="BF17" i="6"/>
  <c r="BG17" i="6" s="1"/>
  <c r="BH17" i="6" s="1"/>
  <c r="BF18" i="6"/>
  <c r="BG18" i="6" s="1"/>
  <c r="BH18" i="6" s="1"/>
  <c r="BF19" i="6"/>
  <c r="BG19" i="6" s="1"/>
  <c r="BH19" i="6" s="1"/>
  <c r="BF20" i="6"/>
  <c r="BG20" i="6"/>
  <c r="BH20" i="6" s="1"/>
  <c r="BF21" i="6"/>
  <c r="BG21" i="6" s="1"/>
  <c r="BH21" i="6" s="1"/>
  <c r="BF22" i="6"/>
  <c r="BG22" i="6"/>
  <c r="BH22" i="6" s="1"/>
  <c r="BF23" i="6"/>
  <c r="BG23" i="6" s="1"/>
  <c r="BH23" i="6" s="1"/>
  <c r="BF24" i="6"/>
  <c r="BG25" i="6"/>
  <c r="BH25" i="6" s="1"/>
  <c r="BF25" i="6"/>
  <c r="BF26" i="6"/>
  <c r="BG26" i="6"/>
  <c r="BH26" i="6" s="1"/>
  <c r="BF27" i="6"/>
  <c r="BG27" i="6" s="1"/>
  <c r="BH27" i="6" s="1"/>
  <c r="BF28" i="6"/>
  <c r="BF29" i="6"/>
  <c r="BG29" i="6" s="1"/>
  <c r="BH29" i="6" s="1"/>
  <c r="BF30" i="6"/>
  <c r="BF31" i="6"/>
  <c r="BG31" i="6" s="1"/>
  <c r="BH31" i="6" s="1"/>
  <c r="BF32" i="6"/>
  <c r="BG33" i="6"/>
  <c r="BH33" i="6" s="1"/>
  <c r="BF33" i="6"/>
  <c r="BF34" i="6"/>
  <c r="BG34" i="6"/>
  <c r="BH34" i="6" s="1"/>
  <c r="BF35" i="6"/>
  <c r="BG35" i="6" s="1"/>
  <c r="BH35" i="6" s="1"/>
  <c r="BB12" i="6"/>
  <c r="BC12" i="6"/>
  <c r="BD12" i="6" s="1"/>
  <c r="BE12" i="6" s="1"/>
  <c r="BB13" i="6"/>
  <c r="BC13" i="6"/>
  <c r="BD13" i="6" s="1"/>
  <c r="BE13" i="6" s="1"/>
  <c r="BB14" i="6"/>
  <c r="BC14" i="6"/>
  <c r="BD14" i="6" s="1"/>
  <c r="BE14" i="6" s="1"/>
  <c r="BB15" i="6"/>
  <c r="BC15" i="6"/>
  <c r="BD15" i="6" s="1"/>
  <c r="BE15" i="6" s="1"/>
  <c r="BB16" i="6"/>
  <c r="BC16" i="6"/>
  <c r="BD16" i="6" s="1"/>
  <c r="BE16" i="6" s="1"/>
  <c r="BB17" i="6"/>
  <c r="BC17" i="6"/>
  <c r="BD17" i="6" s="1"/>
  <c r="BE17" i="6" s="1"/>
  <c r="BB18" i="6"/>
  <c r="BC18" i="6"/>
  <c r="BD18" i="6" s="1"/>
  <c r="BE18" i="6" s="1"/>
  <c r="BB19" i="6"/>
  <c r="BC19" i="6"/>
  <c r="BD19" i="6" s="1"/>
  <c r="BE19" i="6" s="1"/>
  <c r="BB20" i="6"/>
  <c r="BC20" i="6"/>
  <c r="BD20" i="6" s="1"/>
  <c r="BE20" i="6" s="1"/>
  <c r="BB21" i="6"/>
  <c r="BC21" i="6"/>
  <c r="BD21" i="6" s="1"/>
  <c r="BE21" i="6" s="1"/>
  <c r="BB22" i="6"/>
  <c r="BC22" i="6"/>
  <c r="BD22" i="6" s="1"/>
  <c r="BE22" i="6" s="1"/>
  <c r="BB23" i="6"/>
  <c r="BC23" i="6"/>
  <c r="BD23" i="6" s="1"/>
  <c r="BE23" i="6" s="1"/>
  <c r="BB24" i="6"/>
  <c r="BC24" i="6"/>
  <c r="BD24" i="6" s="1"/>
  <c r="BE24" i="6" s="1"/>
  <c r="BB25" i="6"/>
  <c r="BC25" i="6"/>
  <c r="BD25" i="6" s="1"/>
  <c r="BE25" i="6" s="1"/>
  <c r="BB26" i="6"/>
  <c r="BC26" i="6"/>
  <c r="BD26" i="6" s="1"/>
  <c r="BE26" i="6" s="1"/>
  <c r="BB27" i="6"/>
  <c r="BC27" i="6"/>
  <c r="BD27" i="6" s="1"/>
  <c r="BE27" i="6" s="1"/>
  <c r="BB28" i="6"/>
  <c r="BC28" i="6"/>
  <c r="BD28" i="6" s="1"/>
  <c r="BE28" i="6" s="1"/>
  <c r="BB29" i="6"/>
  <c r="BC29" i="6"/>
  <c r="BD29" i="6" s="1"/>
  <c r="BE29" i="6" s="1"/>
  <c r="BB30" i="6"/>
  <c r="BC30" i="6"/>
  <c r="BD30" i="6" s="1"/>
  <c r="BE30" i="6" s="1"/>
  <c r="BB31" i="6"/>
  <c r="BC31" i="6"/>
  <c r="BD31" i="6" s="1"/>
  <c r="BE31" i="6" s="1"/>
  <c r="BB32" i="6"/>
  <c r="BC32" i="6"/>
  <c r="BD32" i="6" s="1"/>
  <c r="BE32" i="6" s="1"/>
  <c r="BB33" i="6"/>
  <c r="BC33" i="6"/>
  <c r="BD33" i="6" s="1"/>
  <c r="BE33" i="6" s="1"/>
  <c r="BB34" i="6"/>
  <c r="BC34" i="6"/>
  <c r="BD34" i="6" s="1"/>
  <c r="BE34" i="6" s="1"/>
  <c r="BB35" i="6"/>
  <c r="BC35" i="6"/>
  <c r="BD35" i="6" s="1"/>
  <c r="BE35" i="6" s="1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V29" i="6"/>
  <c r="AV30" i="6"/>
  <c r="AV31" i="6"/>
  <c r="AV32" i="6"/>
  <c r="AV33" i="6"/>
  <c r="AV34" i="6"/>
  <c r="AV35" i="6"/>
  <c r="BN36" i="6"/>
  <c r="BM36" i="6"/>
  <c r="AU36" i="6"/>
  <c r="AT36" i="6"/>
  <c r="AH36" i="6"/>
  <c r="H7" i="7"/>
  <c r="H8" i="7"/>
  <c r="H9" i="7"/>
  <c r="H10" i="7"/>
  <c r="H11" i="7"/>
  <c r="H12" i="7"/>
  <c r="H13" i="7"/>
  <c r="H14" i="7"/>
  <c r="E5" i="6"/>
  <c r="F5" i="6"/>
  <c r="J5" i="6"/>
  <c r="R5" i="6"/>
  <c r="T5" i="6"/>
  <c r="AF5" i="6"/>
  <c r="S2" i="7" s="1"/>
  <c r="W5" i="6"/>
  <c r="Y5" i="6"/>
  <c r="AB5" i="6"/>
  <c r="AE5" i="6"/>
  <c r="AG35" i="6"/>
  <c r="AE35" i="6"/>
  <c r="AB35" i="6"/>
  <c r="Q32" i="7" s="1"/>
  <c r="Y35" i="6"/>
  <c r="W35" i="6"/>
  <c r="T35" i="6"/>
  <c r="AF35" i="6" s="1"/>
  <c r="S32" i="7" s="1"/>
  <c r="R35" i="6"/>
  <c r="P35" i="6"/>
  <c r="N35" i="6"/>
  <c r="L35" i="6"/>
  <c r="J35" i="6"/>
  <c r="E35" i="6"/>
  <c r="AG34" i="6"/>
  <c r="AE34" i="6"/>
  <c r="AB34" i="6"/>
  <c r="Y34" i="6"/>
  <c r="W34" i="6"/>
  <c r="T34" i="6"/>
  <c r="R34" i="6"/>
  <c r="AF34" i="6" s="1"/>
  <c r="S31" i="7" s="1"/>
  <c r="P34" i="6"/>
  <c r="N34" i="6"/>
  <c r="L34" i="6"/>
  <c r="J34" i="6"/>
  <c r="E34" i="6"/>
  <c r="F34" i="6"/>
  <c r="AG33" i="6"/>
  <c r="AE33" i="6"/>
  <c r="AB33" i="6"/>
  <c r="Y33" i="6"/>
  <c r="W33" i="6"/>
  <c r="T33" i="6"/>
  <c r="R33" i="6"/>
  <c r="AF33" i="6" s="1"/>
  <c r="S30" i="7" s="1"/>
  <c r="P33" i="6"/>
  <c r="N33" i="6"/>
  <c r="L33" i="6"/>
  <c r="J33" i="6"/>
  <c r="E33" i="6"/>
  <c r="F33" i="6" s="1"/>
  <c r="AG32" i="6"/>
  <c r="AE32" i="6"/>
  <c r="AB32" i="6"/>
  <c r="Y32" i="6"/>
  <c r="W32" i="6"/>
  <c r="T32" i="6"/>
  <c r="R32" i="6"/>
  <c r="P32" i="6"/>
  <c r="N32" i="6"/>
  <c r="L32" i="6"/>
  <c r="J32" i="6"/>
  <c r="E32" i="6"/>
  <c r="F32" i="6" s="1"/>
  <c r="AG31" i="6"/>
  <c r="AE31" i="6"/>
  <c r="AB31" i="6"/>
  <c r="Y31" i="6"/>
  <c r="W31" i="6"/>
  <c r="T31" i="6"/>
  <c r="R31" i="6"/>
  <c r="P31" i="6"/>
  <c r="N31" i="6"/>
  <c r="L31" i="6"/>
  <c r="J31" i="6"/>
  <c r="E31" i="6"/>
  <c r="F31" i="6" s="1"/>
  <c r="AG30" i="6"/>
  <c r="AE30" i="6"/>
  <c r="AB30" i="6"/>
  <c r="Y30" i="6"/>
  <c r="W30" i="6"/>
  <c r="T30" i="6"/>
  <c r="R30" i="6"/>
  <c r="AF30" i="6" s="1"/>
  <c r="S27" i="7" s="1"/>
  <c r="P30" i="6"/>
  <c r="N30" i="6"/>
  <c r="L30" i="6"/>
  <c r="J30" i="6"/>
  <c r="E30" i="6"/>
  <c r="F30" i="6"/>
  <c r="AG29" i="6"/>
  <c r="AE29" i="6"/>
  <c r="AB29" i="6"/>
  <c r="Y29" i="6"/>
  <c r="W29" i="6"/>
  <c r="T29" i="6"/>
  <c r="R29" i="6"/>
  <c r="AF29" i="6" s="1"/>
  <c r="P29" i="6"/>
  <c r="N29" i="6"/>
  <c r="L29" i="6"/>
  <c r="J29" i="6"/>
  <c r="E29" i="6"/>
  <c r="F29" i="6" s="1"/>
  <c r="AG28" i="6"/>
  <c r="AE28" i="6"/>
  <c r="R25" i="7" s="1"/>
  <c r="AB28" i="6"/>
  <c r="Y28" i="6"/>
  <c r="W28" i="6"/>
  <c r="T28" i="6"/>
  <c r="R28" i="6"/>
  <c r="AF28" i="6" s="1"/>
  <c r="S25" i="7" s="1"/>
  <c r="P28" i="6"/>
  <c r="N28" i="6"/>
  <c r="L28" i="6"/>
  <c r="J28" i="6"/>
  <c r="E28" i="6"/>
  <c r="F28" i="6" s="1"/>
  <c r="AG27" i="6"/>
  <c r="AE27" i="6"/>
  <c r="AB27" i="6"/>
  <c r="Y27" i="6"/>
  <c r="W27" i="6"/>
  <c r="T27" i="6"/>
  <c r="R27" i="6"/>
  <c r="AF27" i="6" s="1"/>
  <c r="S24" i="7" s="1"/>
  <c r="P27" i="6"/>
  <c r="N27" i="6"/>
  <c r="L27" i="6"/>
  <c r="J27" i="6"/>
  <c r="E27" i="6"/>
  <c r="F27" i="6" s="1"/>
  <c r="AG26" i="6"/>
  <c r="AE26" i="6"/>
  <c r="AB26" i="6"/>
  <c r="Y26" i="6"/>
  <c r="W26" i="6"/>
  <c r="T26" i="6"/>
  <c r="R26" i="6"/>
  <c r="P26" i="6"/>
  <c r="N26" i="6"/>
  <c r="L26" i="6"/>
  <c r="J26" i="6"/>
  <c r="E26" i="6"/>
  <c r="F26" i="6" s="1"/>
  <c r="AG25" i="6"/>
  <c r="AE25" i="6"/>
  <c r="AB25" i="6"/>
  <c r="Y25" i="6"/>
  <c r="F25" i="6"/>
  <c r="W25" i="6"/>
  <c r="T25" i="6"/>
  <c r="R25" i="6"/>
  <c r="AF25" i="6"/>
  <c r="S22" i="7" s="1"/>
  <c r="P25" i="6"/>
  <c r="N25" i="6"/>
  <c r="L25" i="6"/>
  <c r="J25" i="6"/>
  <c r="E25" i="6"/>
  <c r="AG24" i="6"/>
  <c r="AE24" i="6"/>
  <c r="AB24" i="6"/>
  <c r="Y24" i="6"/>
  <c r="W24" i="6"/>
  <c r="AF24" i="6"/>
  <c r="S21" i="7" s="1"/>
  <c r="T24" i="6"/>
  <c r="R24" i="6"/>
  <c r="P24" i="6"/>
  <c r="N24" i="6"/>
  <c r="L24" i="6"/>
  <c r="J24" i="6"/>
  <c r="F24" i="6"/>
  <c r="E24" i="6"/>
  <c r="AG23" i="6"/>
  <c r="AE23" i="6"/>
  <c r="AB23" i="6"/>
  <c r="Y23" i="6"/>
  <c r="W23" i="6"/>
  <c r="T23" i="6"/>
  <c r="AF23" i="6"/>
  <c r="S20" i="7" s="1"/>
  <c r="R23" i="6"/>
  <c r="P23" i="6"/>
  <c r="N23" i="6"/>
  <c r="L23" i="6"/>
  <c r="J23" i="6"/>
  <c r="E23" i="6"/>
  <c r="F23" i="6"/>
  <c r="AG22" i="6"/>
  <c r="AE22" i="6"/>
  <c r="AB22" i="6"/>
  <c r="Y22" i="6"/>
  <c r="W22" i="6"/>
  <c r="T22" i="6"/>
  <c r="R22" i="6"/>
  <c r="AF22" i="6"/>
  <c r="S19" i="7" s="1"/>
  <c r="P22" i="6"/>
  <c r="N22" i="6"/>
  <c r="L22" i="6"/>
  <c r="J22" i="6"/>
  <c r="E22" i="6"/>
  <c r="AG21" i="6"/>
  <c r="AE21" i="6"/>
  <c r="AB21" i="6"/>
  <c r="Y21" i="6"/>
  <c r="W21" i="6"/>
  <c r="T21" i="6"/>
  <c r="R21" i="6"/>
  <c r="AF21" i="6" s="1"/>
  <c r="S18" i="7" s="1"/>
  <c r="P21" i="6"/>
  <c r="N21" i="6"/>
  <c r="L21" i="6"/>
  <c r="J21" i="6"/>
  <c r="E21" i="6"/>
  <c r="F21" i="6" s="1"/>
  <c r="AG20" i="6"/>
  <c r="AE20" i="6"/>
  <c r="R17" i="7" s="1"/>
  <c r="AB20" i="6"/>
  <c r="Y20" i="6"/>
  <c r="W20" i="6"/>
  <c r="T20" i="6"/>
  <c r="R20" i="6"/>
  <c r="P20" i="6"/>
  <c r="N20" i="6"/>
  <c r="L20" i="6"/>
  <c r="J20" i="6"/>
  <c r="F20" i="6"/>
  <c r="E20" i="6"/>
  <c r="AG19" i="6"/>
  <c r="AE19" i="6"/>
  <c r="AB19" i="6"/>
  <c r="Y19" i="6"/>
  <c r="W19" i="6"/>
  <c r="T19" i="6"/>
  <c r="AF19" i="6" s="1"/>
  <c r="S16" i="7" s="1"/>
  <c r="R19" i="6"/>
  <c r="P19" i="6"/>
  <c r="N19" i="6"/>
  <c r="L19" i="6"/>
  <c r="J19" i="6"/>
  <c r="E19" i="6"/>
  <c r="F19" i="6" s="1"/>
  <c r="AG18" i="6"/>
  <c r="AE18" i="6"/>
  <c r="R15" i="7"/>
  <c r="AB18" i="6"/>
  <c r="Y18" i="6"/>
  <c r="W18" i="6"/>
  <c r="T18" i="6"/>
  <c r="R18" i="6"/>
  <c r="P18" i="6"/>
  <c r="N18" i="6"/>
  <c r="L18" i="6"/>
  <c r="J18" i="6"/>
  <c r="E18" i="6"/>
  <c r="F18" i="6" s="1"/>
  <c r="AG17" i="6"/>
  <c r="AE17" i="6"/>
  <c r="AB17" i="6"/>
  <c r="Y17" i="6"/>
  <c r="W17" i="6"/>
  <c r="T17" i="6"/>
  <c r="R17" i="6"/>
  <c r="AF17" i="6" s="1"/>
  <c r="S14" i="7" s="1"/>
  <c r="P17" i="6"/>
  <c r="N17" i="6"/>
  <c r="L17" i="6"/>
  <c r="J17" i="6"/>
  <c r="E17" i="6"/>
  <c r="F17" i="6"/>
  <c r="AG16" i="6"/>
  <c r="AE16" i="6"/>
  <c r="AB16" i="6"/>
  <c r="Y16" i="6"/>
  <c r="W16" i="6"/>
  <c r="T16" i="6"/>
  <c r="R16" i="6"/>
  <c r="AF16" i="6"/>
  <c r="S13" i="7" s="1"/>
  <c r="P16" i="6"/>
  <c r="N16" i="6"/>
  <c r="L16" i="6"/>
  <c r="J16" i="6"/>
  <c r="E16" i="6"/>
  <c r="F16" i="6" s="1"/>
  <c r="AG15" i="6"/>
  <c r="AE15" i="6"/>
  <c r="AB15" i="6"/>
  <c r="Y15" i="6"/>
  <c r="W15" i="6"/>
  <c r="T15" i="6"/>
  <c r="R15" i="6"/>
  <c r="P15" i="6"/>
  <c r="N15" i="6"/>
  <c r="L15" i="6"/>
  <c r="J15" i="6"/>
  <c r="E15" i="6"/>
  <c r="F15" i="6" s="1"/>
  <c r="AG14" i="6"/>
  <c r="AE14" i="6"/>
  <c r="AB14" i="6"/>
  <c r="Y14" i="6"/>
  <c r="W14" i="6"/>
  <c r="T14" i="6"/>
  <c r="R14" i="6"/>
  <c r="AF14" i="6" s="1"/>
  <c r="S11" i="7" s="1"/>
  <c r="P14" i="6"/>
  <c r="N14" i="6"/>
  <c r="L14" i="6"/>
  <c r="J14" i="6"/>
  <c r="E14" i="6"/>
  <c r="F14" i="6" s="1"/>
  <c r="AG13" i="6"/>
  <c r="AE13" i="6"/>
  <c r="R10" i="7"/>
  <c r="AB13" i="6"/>
  <c r="Q10" i="7" s="1"/>
  <c r="Y13" i="6"/>
  <c r="W13" i="6"/>
  <c r="T13" i="6"/>
  <c r="AF13" i="6" s="1"/>
  <c r="S10" i="7" s="1"/>
  <c r="R13" i="6"/>
  <c r="P13" i="6"/>
  <c r="N13" i="6"/>
  <c r="L13" i="6"/>
  <c r="J13" i="6"/>
  <c r="E13" i="6"/>
  <c r="F13" i="6" s="1"/>
  <c r="AG12" i="6"/>
  <c r="AE12" i="6"/>
  <c r="R9" i="7" s="1"/>
  <c r="AB12" i="6"/>
  <c r="Y12" i="6"/>
  <c r="W12" i="6"/>
  <c r="T12" i="6"/>
  <c r="R12" i="6"/>
  <c r="P12" i="6"/>
  <c r="N12" i="6"/>
  <c r="L12" i="6"/>
  <c r="J12" i="6"/>
  <c r="F12" i="6"/>
  <c r="E12" i="6"/>
  <c r="AG11" i="6"/>
  <c r="AE11" i="6"/>
  <c r="AB11" i="6"/>
  <c r="Y11" i="6"/>
  <c r="W11" i="6"/>
  <c r="T11" i="6"/>
  <c r="AF11" i="6" s="1"/>
  <c r="S8" i="7" s="1"/>
  <c r="R11" i="6"/>
  <c r="P11" i="6"/>
  <c r="N11" i="6"/>
  <c r="L11" i="6"/>
  <c r="J11" i="6"/>
  <c r="E11" i="6"/>
  <c r="F11" i="6" s="1"/>
  <c r="AG10" i="6"/>
  <c r="AE10" i="6"/>
  <c r="AB10" i="6"/>
  <c r="Y10" i="6"/>
  <c r="W10" i="6"/>
  <c r="T10" i="6"/>
  <c r="R10" i="6"/>
  <c r="AF10" i="6" s="1"/>
  <c r="S7" i="7" s="1"/>
  <c r="P10" i="6"/>
  <c r="N10" i="6"/>
  <c r="L10" i="6"/>
  <c r="J10" i="6"/>
  <c r="E10" i="6"/>
  <c r="F10" i="6"/>
  <c r="AG9" i="6"/>
  <c r="AE9" i="6"/>
  <c r="AB9" i="6"/>
  <c r="Y9" i="6"/>
  <c r="W9" i="6"/>
  <c r="T9" i="6"/>
  <c r="R9" i="6"/>
  <c r="AF9" i="6"/>
  <c r="S6" i="7" s="1"/>
  <c r="P9" i="6"/>
  <c r="N9" i="6"/>
  <c r="L9" i="6"/>
  <c r="J9" i="6"/>
  <c r="E9" i="6"/>
  <c r="AG8" i="6"/>
  <c r="AE8" i="6"/>
  <c r="AB8" i="6"/>
  <c r="Q5" i="7" s="1"/>
  <c r="Y8" i="6"/>
  <c r="W8" i="6"/>
  <c r="T8" i="6"/>
  <c r="R8" i="6"/>
  <c r="AF8" i="6"/>
  <c r="S5" i="7" s="1"/>
  <c r="P8" i="6"/>
  <c r="N8" i="6"/>
  <c r="L8" i="6"/>
  <c r="J8" i="6"/>
  <c r="E8" i="6"/>
  <c r="F8" i="6" s="1"/>
  <c r="AG7" i="6"/>
  <c r="AE7" i="6"/>
  <c r="AB7" i="6"/>
  <c r="Y7" i="6"/>
  <c r="W7" i="6"/>
  <c r="T7" i="6"/>
  <c r="R7" i="6"/>
  <c r="P7" i="6"/>
  <c r="N7" i="6"/>
  <c r="L7" i="6"/>
  <c r="J7" i="6"/>
  <c r="E7" i="6"/>
  <c r="F7" i="6" s="1"/>
  <c r="AG6" i="6"/>
  <c r="AE6" i="6"/>
  <c r="AB6" i="6"/>
  <c r="Y6" i="6"/>
  <c r="W6" i="6"/>
  <c r="T6" i="6"/>
  <c r="R6" i="6"/>
  <c r="P6" i="6"/>
  <c r="N6" i="6"/>
  <c r="L6" i="6"/>
  <c r="J6" i="6"/>
  <c r="E6" i="6"/>
  <c r="F6" i="6" s="1"/>
  <c r="AG5" i="6"/>
  <c r="N5" i="6"/>
  <c r="L5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P32" i="6"/>
  <c r="AP33" i="6"/>
  <c r="AP34" i="6"/>
  <c r="AP35" i="6"/>
  <c r="AJ33" i="6"/>
  <c r="AJ34" i="6"/>
  <c r="AJ35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R31" i="6"/>
  <c r="AR32" i="6"/>
  <c r="AR33" i="6"/>
  <c r="AR34" i="6"/>
  <c r="AR35" i="6"/>
  <c r="AN28" i="6"/>
  <c r="AN29" i="6"/>
  <c r="AN30" i="6"/>
  <c r="AN31" i="6"/>
  <c r="AN32" i="6"/>
  <c r="AN33" i="6"/>
  <c r="AN34" i="6"/>
  <c r="AN35" i="6"/>
  <c r="AL28" i="6"/>
  <c r="AL29" i="6"/>
  <c r="AS29" i="6"/>
  <c r="AL30" i="6"/>
  <c r="AS30" i="6" s="1"/>
  <c r="AL31" i="6"/>
  <c r="AS31" i="6"/>
  <c r="AL32" i="6"/>
  <c r="AS32" i="6" s="1"/>
  <c r="AL33" i="6"/>
  <c r="AS33" i="6" s="1"/>
  <c r="AL34" i="6"/>
  <c r="AS34" i="6" s="1"/>
  <c r="AL35" i="6"/>
  <c r="AS35" i="6"/>
  <c r="AS28" i="6"/>
  <c r="AR12" i="6"/>
  <c r="AR13" i="6"/>
  <c r="AR14" i="6"/>
  <c r="AR15" i="6"/>
  <c r="AR16" i="6"/>
  <c r="AR17" i="6"/>
  <c r="AR18" i="6"/>
  <c r="AR19" i="6"/>
  <c r="AR20" i="6"/>
  <c r="AR21" i="6"/>
  <c r="AR22" i="6"/>
  <c r="AR23" i="6"/>
  <c r="AR24" i="6"/>
  <c r="AR25" i="6"/>
  <c r="AR26" i="6"/>
  <c r="AR27" i="6"/>
  <c r="AR28" i="6"/>
  <c r="AR29" i="6"/>
  <c r="AR30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L12" i="6"/>
  <c r="AS12" i="6" s="1"/>
  <c r="AL13" i="6"/>
  <c r="AS13" i="6" s="1"/>
  <c r="AL14" i="6"/>
  <c r="AS14" i="6" s="1"/>
  <c r="AL15" i="6"/>
  <c r="AS15" i="6" s="1"/>
  <c r="AL16" i="6"/>
  <c r="AS16" i="6"/>
  <c r="AL17" i="6"/>
  <c r="AS17" i="6" s="1"/>
  <c r="AL18" i="6"/>
  <c r="AS18" i="6"/>
  <c r="AL19" i="6"/>
  <c r="AS19" i="6" s="1"/>
  <c r="AL20" i="6"/>
  <c r="AS20" i="6" s="1"/>
  <c r="AL21" i="6"/>
  <c r="AS21" i="6" s="1"/>
  <c r="AL22" i="6"/>
  <c r="AS22" i="6" s="1"/>
  <c r="AL23" i="6"/>
  <c r="AS23" i="6" s="1"/>
  <c r="AL24" i="6"/>
  <c r="AS24" i="6"/>
  <c r="AL25" i="6"/>
  <c r="AS25" i="6" s="1"/>
  <c r="AL26" i="6"/>
  <c r="AS26" i="6"/>
  <c r="AL27" i="6"/>
  <c r="AS27" i="6" s="1"/>
  <c r="BT13" i="6"/>
  <c r="BT14" i="6"/>
  <c r="BT15" i="6"/>
  <c r="BT16" i="6"/>
  <c r="BT17" i="6"/>
  <c r="BT18" i="6"/>
  <c r="BT19" i="6"/>
  <c r="BT20" i="6"/>
  <c r="BT21" i="6"/>
  <c r="BT22" i="6"/>
  <c r="BT23" i="6"/>
  <c r="BT24" i="6"/>
  <c r="BT25" i="6"/>
  <c r="BT26" i="6"/>
  <c r="BT27" i="6"/>
  <c r="BT28" i="6"/>
  <c r="BT29" i="6"/>
  <c r="BT30" i="6"/>
  <c r="BT31" i="6"/>
  <c r="BT32" i="6"/>
  <c r="BT33" i="6"/>
  <c r="BT34" i="6"/>
  <c r="BT35" i="6"/>
  <c r="BO12" i="6"/>
  <c r="BO13" i="6"/>
  <c r="BO14" i="6"/>
  <c r="BO15" i="6"/>
  <c r="BO16" i="6"/>
  <c r="BO17" i="6"/>
  <c r="BO18" i="6"/>
  <c r="BO19" i="6"/>
  <c r="BO20" i="6"/>
  <c r="BO21" i="6"/>
  <c r="BO22" i="6"/>
  <c r="BO23" i="6"/>
  <c r="BO24" i="6"/>
  <c r="BO25" i="6"/>
  <c r="BO26" i="6"/>
  <c r="BO27" i="6"/>
  <c r="BO28" i="6"/>
  <c r="BO29" i="6"/>
  <c r="BO30" i="6"/>
  <c r="BO31" i="6"/>
  <c r="BO32" i="6"/>
  <c r="BO33" i="6"/>
  <c r="BO34" i="6"/>
  <c r="BO35" i="6"/>
  <c r="BL5" i="6"/>
  <c r="BL35" i="6"/>
  <c r="BL34" i="6"/>
  <c r="BL33" i="6"/>
  <c r="BL32" i="6"/>
  <c r="BL31" i="6"/>
  <c r="BL30" i="6"/>
  <c r="BL29" i="6"/>
  <c r="BL28" i="6"/>
  <c r="BL27" i="6"/>
  <c r="BL26" i="6"/>
  <c r="BL25" i="6"/>
  <c r="BL24" i="6"/>
  <c r="BL23" i="6"/>
  <c r="BL22" i="6"/>
  <c r="BL21" i="6"/>
  <c r="BL20" i="6"/>
  <c r="BL19" i="6"/>
  <c r="BL18" i="6"/>
  <c r="BL17" i="6"/>
  <c r="BL16" i="6"/>
  <c r="BL15" i="6"/>
  <c r="BL14" i="6"/>
  <c r="BL13" i="6"/>
  <c r="BL12" i="6"/>
  <c r="BL11" i="6"/>
  <c r="BL10" i="6"/>
  <c r="BL9" i="6"/>
  <c r="BL8" i="6"/>
  <c r="BL7" i="6"/>
  <c r="BL6" i="6"/>
  <c r="E32" i="7"/>
  <c r="F32" i="7"/>
  <c r="H32" i="7"/>
  <c r="I32" i="7"/>
  <c r="J32" i="7"/>
  <c r="K32" i="7"/>
  <c r="L32" i="7"/>
  <c r="M32" i="7"/>
  <c r="N32" i="7"/>
  <c r="O32" i="7"/>
  <c r="P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F3" i="7"/>
  <c r="AG3" i="7"/>
  <c r="AF4" i="7"/>
  <c r="AG4" i="7"/>
  <c r="AF5" i="7"/>
  <c r="AG5" i="7"/>
  <c r="AF6" i="7"/>
  <c r="AG6" i="7"/>
  <c r="AF7" i="7"/>
  <c r="AG7" i="7"/>
  <c r="AF8" i="7"/>
  <c r="AG8" i="7"/>
  <c r="AF9" i="7"/>
  <c r="AG9" i="7"/>
  <c r="AF10" i="7"/>
  <c r="AG10" i="7"/>
  <c r="AF11" i="7"/>
  <c r="AG11" i="7"/>
  <c r="AF12" i="7"/>
  <c r="AG12" i="7"/>
  <c r="AF13" i="7"/>
  <c r="AG13" i="7"/>
  <c r="AF14" i="7"/>
  <c r="AG14" i="7"/>
  <c r="AF15" i="7"/>
  <c r="AG15" i="7"/>
  <c r="AF16" i="7"/>
  <c r="AG16" i="7"/>
  <c r="AF17" i="7"/>
  <c r="AG17" i="7"/>
  <c r="AF18" i="7"/>
  <c r="AG18" i="7"/>
  <c r="AF19" i="7"/>
  <c r="AG19" i="7"/>
  <c r="AF20" i="7"/>
  <c r="AG20" i="7"/>
  <c r="AF21" i="7"/>
  <c r="AG21" i="7"/>
  <c r="AF22" i="7"/>
  <c r="AG22" i="7"/>
  <c r="AF23" i="7"/>
  <c r="AG23" i="7"/>
  <c r="AF24" i="7"/>
  <c r="AG24" i="7"/>
  <c r="AF25" i="7"/>
  <c r="AG25" i="7"/>
  <c r="AF26" i="7"/>
  <c r="AG26" i="7"/>
  <c r="AF27" i="7"/>
  <c r="AG27" i="7"/>
  <c r="AF28" i="7"/>
  <c r="AG28" i="7"/>
  <c r="AF29" i="7"/>
  <c r="AG29" i="7"/>
  <c r="AF30" i="7"/>
  <c r="AG30" i="7"/>
  <c r="AF31" i="7"/>
  <c r="AG31" i="7"/>
  <c r="AG2" i="7"/>
  <c r="AF2" i="7"/>
  <c r="X3" i="7"/>
  <c r="Y3" i="7"/>
  <c r="Z3" i="7"/>
  <c r="AB3" i="7"/>
  <c r="AD3" i="7"/>
  <c r="AE3" i="7"/>
  <c r="X4" i="7"/>
  <c r="Y4" i="7"/>
  <c r="Z4" i="7"/>
  <c r="AB4" i="7"/>
  <c r="AD4" i="7"/>
  <c r="AE4" i="7"/>
  <c r="X5" i="7"/>
  <c r="Y5" i="7"/>
  <c r="Z5" i="7"/>
  <c r="AB5" i="7"/>
  <c r="AD5" i="7"/>
  <c r="AE5" i="7"/>
  <c r="X6" i="7"/>
  <c r="Y6" i="7"/>
  <c r="Z6" i="7"/>
  <c r="AB6" i="7"/>
  <c r="AD6" i="7"/>
  <c r="AE6" i="7"/>
  <c r="X7" i="7"/>
  <c r="Y7" i="7"/>
  <c r="Z7" i="7"/>
  <c r="AB7" i="7"/>
  <c r="AD7" i="7"/>
  <c r="AE7" i="7"/>
  <c r="X8" i="7"/>
  <c r="Y8" i="7"/>
  <c r="Z8" i="7"/>
  <c r="AB8" i="7"/>
  <c r="AD8" i="7"/>
  <c r="AE8" i="7"/>
  <c r="X9" i="7"/>
  <c r="Y9" i="7"/>
  <c r="Z9" i="7"/>
  <c r="AB9" i="7"/>
  <c r="AC9" i="7"/>
  <c r="AD9" i="7"/>
  <c r="AE9" i="7"/>
  <c r="X10" i="7"/>
  <c r="Y10" i="7"/>
  <c r="Z10" i="7"/>
  <c r="AA10" i="7"/>
  <c r="AB10" i="7"/>
  <c r="AC10" i="7"/>
  <c r="AD10" i="7"/>
  <c r="AE10" i="7"/>
  <c r="X11" i="7"/>
  <c r="Y11" i="7"/>
  <c r="Z11" i="7"/>
  <c r="AA11" i="7"/>
  <c r="AB11" i="7"/>
  <c r="AC11" i="7"/>
  <c r="AD11" i="7"/>
  <c r="AE11" i="7"/>
  <c r="X12" i="7"/>
  <c r="Y12" i="7"/>
  <c r="Z12" i="7"/>
  <c r="AA12" i="7"/>
  <c r="AB12" i="7"/>
  <c r="AC12" i="7"/>
  <c r="AD12" i="7"/>
  <c r="AE12" i="7"/>
  <c r="X13" i="7"/>
  <c r="Y13" i="7"/>
  <c r="Z13" i="7"/>
  <c r="AA13" i="7"/>
  <c r="AB13" i="7"/>
  <c r="AC13" i="7"/>
  <c r="AD13" i="7"/>
  <c r="AE13" i="7"/>
  <c r="X14" i="7"/>
  <c r="Y14" i="7"/>
  <c r="Z14" i="7"/>
  <c r="AA14" i="7"/>
  <c r="AB14" i="7"/>
  <c r="AC14" i="7"/>
  <c r="AD14" i="7"/>
  <c r="AE14" i="7"/>
  <c r="X15" i="7"/>
  <c r="Y15" i="7"/>
  <c r="Z15" i="7"/>
  <c r="AA15" i="7"/>
  <c r="AB15" i="7"/>
  <c r="AC15" i="7"/>
  <c r="AD15" i="7"/>
  <c r="AE15" i="7"/>
  <c r="X16" i="7"/>
  <c r="Y16" i="7"/>
  <c r="Z16" i="7"/>
  <c r="AA16" i="7"/>
  <c r="AB16" i="7"/>
  <c r="AC16" i="7"/>
  <c r="AD16" i="7"/>
  <c r="AE16" i="7"/>
  <c r="X17" i="7"/>
  <c r="Y17" i="7"/>
  <c r="Z17" i="7"/>
  <c r="AA17" i="7"/>
  <c r="AB17" i="7"/>
  <c r="AC17" i="7"/>
  <c r="AD17" i="7"/>
  <c r="AE17" i="7"/>
  <c r="X18" i="7"/>
  <c r="Y18" i="7"/>
  <c r="Z18" i="7"/>
  <c r="AA18" i="7"/>
  <c r="AB18" i="7"/>
  <c r="AC18" i="7"/>
  <c r="AD18" i="7"/>
  <c r="AE18" i="7"/>
  <c r="X19" i="7"/>
  <c r="Y19" i="7"/>
  <c r="Z19" i="7"/>
  <c r="AA19" i="7"/>
  <c r="AB19" i="7"/>
  <c r="AC19" i="7"/>
  <c r="AD19" i="7"/>
  <c r="AE19" i="7"/>
  <c r="X20" i="7"/>
  <c r="Y20" i="7"/>
  <c r="Z20" i="7"/>
  <c r="AA20" i="7"/>
  <c r="AB20" i="7"/>
  <c r="AC20" i="7"/>
  <c r="AD20" i="7"/>
  <c r="AE20" i="7"/>
  <c r="X21" i="7"/>
  <c r="Y21" i="7"/>
  <c r="Z21" i="7"/>
  <c r="AA21" i="7"/>
  <c r="AB21" i="7"/>
  <c r="AC21" i="7"/>
  <c r="AD21" i="7"/>
  <c r="AE21" i="7"/>
  <c r="X22" i="7"/>
  <c r="Y22" i="7"/>
  <c r="Z22" i="7"/>
  <c r="AA22" i="7"/>
  <c r="AB22" i="7"/>
  <c r="AC22" i="7"/>
  <c r="AD22" i="7"/>
  <c r="AE22" i="7"/>
  <c r="X23" i="7"/>
  <c r="Y23" i="7"/>
  <c r="Z23" i="7"/>
  <c r="AA23" i="7"/>
  <c r="AB23" i="7"/>
  <c r="AC23" i="7"/>
  <c r="AD23" i="7"/>
  <c r="AE23" i="7"/>
  <c r="X24" i="7"/>
  <c r="Y24" i="7"/>
  <c r="Z24" i="7"/>
  <c r="AA24" i="7"/>
  <c r="AB24" i="7"/>
  <c r="AC24" i="7"/>
  <c r="AD24" i="7"/>
  <c r="AE24" i="7"/>
  <c r="X25" i="7"/>
  <c r="Y25" i="7"/>
  <c r="Z25" i="7"/>
  <c r="AA25" i="7"/>
  <c r="AB25" i="7"/>
  <c r="AC25" i="7"/>
  <c r="AD25" i="7"/>
  <c r="AE25" i="7"/>
  <c r="X26" i="7"/>
  <c r="Y26" i="7"/>
  <c r="Z26" i="7"/>
  <c r="AA26" i="7"/>
  <c r="AB26" i="7"/>
  <c r="AC26" i="7"/>
  <c r="AD26" i="7"/>
  <c r="AE26" i="7"/>
  <c r="X27" i="7"/>
  <c r="Y27" i="7"/>
  <c r="Z27" i="7"/>
  <c r="AA27" i="7"/>
  <c r="AB27" i="7"/>
  <c r="AC27" i="7"/>
  <c r="AD27" i="7"/>
  <c r="AE27" i="7"/>
  <c r="X28" i="7"/>
  <c r="Y28" i="7"/>
  <c r="Z28" i="7"/>
  <c r="AA28" i="7"/>
  <c r="AB28" i="7"/>
  <c r="AC28" i="7"/>
  <c r="AD28" i="7"/>
  <c r="AE28" i="7"/>
  <c r="X29" i="7"/>
  <c r="Y29" i="7"/>
  <c r="Z29" i="7"/>
  <c r="AA29" i="7"/>
  <c r="AB29" i="7"/>
  <c r="AC29" i="7"/>
  <c r="AD29" i="7"/>
  <c r="AE29" i="7"/>
  <c r="X30" i="7"/>
  <c r="Y30" i="7"/>
  <c r="Z30" i="7"/>
  <c r="AA30" i="7"/>
  <c r="AB30" i="7"/>
  <c r="AC30" i="7"/>
  <c r="AD30" i="7"/>
  <c r="AE30" i="7"/>
  <c r="X31" i="7"/>
  <c r="Y31" i="7"/>
  <c r="Z31" i="7"/>
  <c r="AA31" i="7"/>
  <c r="AB31" i="7"/>
  <c r="AC31" i="7"/>
  <c r="AD31" i="7"/>
  <c r="AE31" i="7"/>
  <c r="AE2" i="7"/>
  <c r="AD2" i="7"/>
  <c r="AB2" i="7"/>
  <c r="Z2" i="7"/>
  <c r="Y2" i="7"/>
  <c r="X2" i="7"/>
  <c r="BB5" i="6"/>
  <c r="M3" i="7"/>
  <c r="N3" i="7"/>
  <c r="O3" i="7"/>
  <c r="P3" i="7"/>
  <c r="Q3" i="7"/>
  <c r="R3" i="7"/>
  <c r="T3" i="7"/>
  <c r="U3" i="7"/>
  <c r="V3" i="7"/>
  <c r="W3" i="7"/>
  <c r="M4" i="7"/>
  <c r="N4" i="7"/>
  <c r="O4" i="7"/>
  <c r="P4" i="7"/>
  <c r="Q4" i="7"/>
  <c r="R4" i="7"/>
  <c r="T4" i="7"/>
  <c r="U4" i="7"/>
  <c r="V4" i="7"/>
  <c r="W4" i="7"/>
  <c r="M5" i="7"/>
  <c r="N5" i="7"/>
  <c r="O5" i="7"/>
  <c r="P5" i="7"/>
  <c r="R5" i="7"/>
  <c r="T5" i="7"/>
  <c r="U5" i="7"/>
  <c r="V5" i="7"/>
  <c r="W5" i="7"/>
  <c r="M6" i="7"/>
  <c r="N6" i="7"/>
  <c r="O6" i="7"/>
  <c r="P6" i="7"/>
  <c r="Q6" i="7"/>
  <c r="R6" i="7"/>
  <c r="T6" i="7"/>
  <c r="U6" i="7"/>
  <c r="V6" i="7"/>
  <c r="W6" i="7"/>
  <c r="M7" i="7"/>
  <c r="N7" i="7"/>
  <c r="O7" i="7"/>
  <c r="P7" i="7"/>
  <c r="Q7" i="7"/>
  <c r="R7" i="7"/>
  <c r="T7" i="7"/>
  <c r="U7" i="7"/>
  <c r="V7" i="7"/>
  <c r="W7" i="7"/>
  <c r="M8" i="7"/>
  <c r="N8" i="7"/>
  <c r="O8" i="7"/>
  <c r="P8" i="7"/>
  <c r="Q8" i="7"/>
  <c r="R8" i="7"/>
  <c r="T8" i="7"/>
  <c r="U8" i="7"/>
  <c r="V8" i="7"/>
  <c r="W8" i="7"/>
  <c r="M9" i="7"/>
  <c r="N9" i="7"/>
  <c r="O9" i="7"/>
  <c r="P9" i="7"/>
  <c r="Q9" i="7"/>
  <c r="T9" i="7"/>
  <c r="U9" i="7"/>
  <c r="V9" i="7"/>
  <c r="W9" i="7"/>
  <c r="M10" i="7"/>
  <c r="N10" i="7"/>
  <c r="O10" i="7"/>
  <c r="P10" i="7"/>
  <c r="T10" i="7"/>
  <c r="U10" i="7"/>
  <c r="V10" i="7"/>
  <c r="W10" i="7"/>
  <c r="M11" i="7"/>
  <c r="N11" i="7"/>
  <c r="O11" i="7"/>
  <c r="P11" i="7"/>
  <c r="Q11" i="7"/>
  <c r="R11" i="7"/>
  <c r="T11" i="7"/>
  <c r="U11" i="7"/>
  <c r="V11" i="7"/>
  <c r="W11" i="7"/>
  <c r="M12" i="7"/>
  <c r="N12" i="7"/>
  <c r="O12" i="7"/>
  <c r="P12" i="7"/>
  <c r="Q12" i="7"/>
  <c r="R12" i="7"/>
  <c r="T12" i="7"/>
  <c r="U12" i="7"/>
  <c r="V12" i="7"/>
  <c r="W12" i="7"/>
  <c r="M13" i="7"/>
  <c r="N13" i="7"/>
  <c r="O13" i="7"/>
  <c r="P13" i="7"/>
  <c r="Q13" i="7"/>
  <c r="R13" i="7"/>
  <c r="T13" i="7"/>
  <c r="U13" i="7"/>
  <c r="V13" i="7"/>
  <c r="W13" i="7"/>
  <c r="M14" i="7"/>
  <c r="N14" i="7"/>
  <c r="O14" i="7"/>
  <c r="P14" i="7"/>
  <c r="Q14" i="7"/>
  <c r="R14" i="7"/>
  <c r="T14" i="7"/>
  <c r="U14" i="7"/>
  <c r="V14" i="7"/>
  <c r="W14" i="7"/>
  <c r="M15" i="7"/>
  <c r="N15" i="7"/>
  <c r="O15" i="7"/>
  <c r="P15" i="7"/>
  <c r="Q15" i="7"/>
  <c r="T15" i="7"/>
  <c r="U15" i="7"/>
  <c r="V15" i="7"/>
  <c r="W15" i="7"/>
  <c r="M16" i="7"/>
  <c r="N16" i="7"/>
  <c r="O16" i="7"/>
  <c r="P16" i="7"/>
  <c r="Q16" i="7"/>
  <c r="R16" i="7"/>
  <c r="T16" i="7"/>
  <c r="U16" i="7"/>
  <c r="V16" i="7"/>
  <c r="W16" i="7"/>
  <c r="M17" i="7"/>
  <c r="N17" i="7"/>
  <c r="O17" i="7"/>
  <c r="P17" i="7"/>
  <c r="Q17" i="7"/>
  <c r="T17" i="7"/>
  <c r="U17" i="7"/>
  <c r="V17" i="7"/>
  <c r="W17" i="7"/>
  <c r="M18" i="7"/>
  <c r="N18" i="7"/>
  <c r="O18" i="7"/>
  <c r="P18" i="7"/>
  <c r="Q18" i="7"/>
  <c r="R18" i="7"/>
  <c r="T18" i="7"/>
  <c r="U18" i="7"/>
  <c r="V18" i="7"/>
  <c r="W18" i="7"/>
  <c r="M19" i="7"/>
  <c r="N19" i="7"/>
  <c r="O19" i="7"/>
  <c r="P19" i="7"/>
  <c r="Q19" i="7"/>
  <c r="R19" i="7"/>
  <c r="T19" i="7"/>
  <c r="U19" i="7"/>
  <c r="V19" i="7"/>
  <c r="W19" i="7"/>
  <c r="M20" i="7"/>
  <c r="N20" i="7"/>
  <c r="O20" i="7"/>
  <c r="P20" i="7"/>
  <c r="Q20" i="7"/>
  <c r="R20" i="7"/>
  <c r="T20" i="7"/>
  <c r="U20" i="7"/>
  <c r="V20" i="7"/>
  <c r="W20" i="7"/>
  <c r="M21" i="7"/>
  <c r="N21" i="7"/>
  <c r="O21" i="7"/>
  <c r="P21" i="7"/>
  <c r="Q21" i="7"/>
  <c r="R21" i="7"/>
  <c r="T21" i="7"/>
  <c r="U21" i="7"/>
  <c r="V21" i="7"/>
  <c r="W21" i="7"/>
  <c r="M22" i="7"/>
  <c r="N22" i="7"/>
  <c r="O22" i="7"/>
  <c r="P22" i="7"/>
  <c r="Q22" i="7"/>
  <c r="R22" i="7"/>
  <c r="T22" i="7"/>
  <c r="U22" i="7"/>
  <c r="V22" i="7"/>
  <c r="W22" i="7"/>
  <c r="M23" i="7"/>
  <c r="N23" i="7"/>
  <c r="O23" i="7"/>
  <c r="P23" i="7"/>
  <c r="Q23" i="7"/>
  <c r="R23" i="7"/>
  <c r="T23" i="7"/>
  <c r="U23" i="7"/>
  <c r="V23" i="7"/>
  <c r="W23" i="7"/>
  <c r="M24" i="7"/>
  <c r="N24" i="7"/>
  <c r="O24" i="7"/>
  <c r="P24" i="7"/>
  <c r="Q24" i="7"/>
  <c r="R24" i="7"/>
  <c r="T24" i="7"/>
  <c r="U24" i="7"/>
  <c r="V24" i="7"/>
  <c r="W24" i="7"/>
  <c r="M25" i="7"/>
  <c r="N25" i="7"/>
  <c r="O25" i="7"/>
  <c r="P25" i="7"/>
  <c r="Q25" i="7"/>
  <c r="T25" i="7"/>
  <c r="U25" i="7"/>
  <c r="V25" i="7"/>
  <c r="W25" i="7"/>
  <c r="M26" i="7"/>
  <c r="N26" i="7"/>
  <c r="O26" i="7"/>
  <c r="P26" i="7"/>
  <c r="Q26" i="7"/>
  <c r="R26" i="7"/>
  <c r="S26" i="7"/>
  <c r="T26" i="7"/>
  <c r="U26" i="7"/>
  <c r="V26" i="7"/>
  <c r="W26" i="7"/>
  <c r="M27" i="7"/>
  <c r="N27" i="7"/>
  <c r="O27" i="7"/>
  <c r="P27" i="7"/>
  <c r="Q27" i="7"/>
  <c r="R27" i="7"/>
  <c r="T27" i="7"/>
  <c r="U27" i="7"/>
  <c r="V27" i="7"/>
  <c r="W27" i="7"/>
  <c r="M28" i="7"/>
  <c r="N28" i="7"/>
  <c r="O28" i="7"/>
  <c r="P28" i="7"/>
  <c r="Q28" i="7"/>
  <c r="R28" i="7"/>
  <c r="T28" i="7"/>
  <c r="U28" i="7"/>
  <c r="V28" i="7"/>
  <c r="W28" i="7"/>
  <c r="M29" i="7"/>
  <c r="N29" i="7"/>
  <c r="O29" i="7"/>
  <c r="P29" i="7"/>
  <c r="Q29" i="7"/>
  <c r="R29" i="7"/>
  <c r="T29" i="7"/>
  <c r="U29" i="7"/>
  <c r="V29" i="7"/>
  <c r="W29" i="7"/>
  <c r="M30" i="7"/>
  <c r="N30" i="7"/>
  <c r="O30" i="7"/>
  <c r="P30" i="7"/>
  <c r="Q30" i="7"/>
  <c r="R30" i="7"/>
  <c r="T30" i="7"/>
  <c r="U30" i="7"/>
  <c r="V30" i="7"/>
  <c r="W30" i="7"/>
  <c r="M31" i="7"/>
  <c r="N31" i="7"/>
  <c r="O31" i="7"/>
  <c r="P31" i="7"/>
  <c r="Q31" i="7"/>
  <c r="R31" i="7"/>
  <c r="T31" i="7"/>
  <c r="U31" i="7"/>
  <c r="V31" i="7"/>
  <c r="W31" i="7"/>
  <c r="AP5" i="6"/>
  <c r="AR5" i="6"/>
  <c r="V2" i="7"/>
  <c r="W2" i="7"/>
  <c r="AN5" i="6"/>
  <c r="U2" i="7"/>
  <c r="AL5" i="6"/>
  <c r="AS5" i="6"/>
  <c r="T2" i="7"/>
  <c r="R2" i="7"/>
  <c r="Q2" i="7"/>
  <c r="P2" i="7"/>
  <c r="O2" i="7"/>
  <c r="N2" i="7"/>
  <c r="M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2" i="7"/>
  <c r="I3" i="7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2" i="7"/>
  <c r="H3" i="7"/>
  <c r="H4" i="7"/>
  <c r="H5" i="7"/>
  <c r="H6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2" i="7"/>
  <c r="G3" i="7"/>
  <c r="G4" i="7"/>
  <c r="G5" i="7"/>
  <c r="G6" i="7"/>
  <c r="G9" i="7"/>
  <c r="G10" i="7"/>
  <c r="G12" i="7"/>
  <c r="G13" i="7"/>
  <c r="G14" i="7"/>
  <c r="G16" i="7"/>
  <c r="G17" i="7"/>
  <c r="G18" i="7"/>
  <c r="G19" i="7"/>
  <c r="G20" i="7"/>
  <c r="G21" i="7"/>
  <c r="G22" i="7"/>
  <c r="G24" i="7"/>
  <c r="G25" i="7"/>
  <c r="G26" i="7"/>
  <c r="G27" i="7"/>
  <c r="G28" i="7"/>
  <c r="G29" i="7"/>
  <c r="G30" i="7"/>
  <c r="G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2" i="7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AI36" i="6"/>
  <c r="BT12" i="6"/>
  <c r="AA9" i="7"/>
  <c r="BT11" i="6"/>
  <c r="AA8" i="7"/>
  <c r="BF11" i="6"/>
  <c r="BG11" i="6"/>
  <c r="BH11" i="6" s="1"/>
  <c r="BC11" i="6"/>
  <c r="BD11" i="6" s="1"/>
  <c r="BE11" i="6" s="1"/>
  <c r="BB11" i="6"/>
  <c r="AR11" i="6"/>
  <c r="AP11" i="6"/>
  <c r="AN11" i="6"/>
  <c r="AL11" i="6"/>
  <c r="AV11" i="6"/>
  <c r="BF10" i="6"/>
  <c r="BC10" i="6"/>
  <c r="BD10" i="6" s="1"/>
  <c r="BE10" i="6" s="1"/>
  <c r="BB10" i="6"/>
  <c r="AR10" i="6"/>
  <c r="AP10" i="6"/>
  <c r="AN10" i="6"/>
  <c r="AL10" i="6"/>
  <c r="AS10" i="6"/>
  <c r="AJ10" i="6"/>
  <c r="BF9" i="6"/>
  <c r="BG9" i="6" s="1"/>
  <c r="BH9" i="6" s="1"/>
  <c r="BC9" i="6"/>
  <c r="BD9" i="6"/>
  <c r="BE9" i="6" s="1"/>
  <c r="BB9" i="6"/>
  <c r="AR9" i="6"/>
  <c r="AP9" i="6"/>
  <c r="AN9" i="6"/>
  <c r="AL9" i="6"/>
  <c r="AS9" i="6" s="1"/>
  <c r="BT8" i="6"/>
  <c r="BF8" i="6"/>
  <c r="BG8" i="6" s="1"/>
  <c r="BH8" i="6" s="1"/>
  <c r="BC8" i="6"/>
  <c r="BD8" i="6"/>
  <c r="BE8" i="6" s="1"/>
  <c r="BB8" i="6"/>
  <c r="AR8" i="6"/>
  <c r="AP8" i="6"/>
  <c r="AN8" i="6"/>
  <c r="AL8" i="6"/>
  <c r="AS8" i="6" s="1"/>
  <c r="BF7" i="6"/>
  <c r="BG7" i="6" s="1"/>
  <c r="BH7" i="6" s="1"/>
  <c r="BC7" i="6"/>
  <c r="BD7" i="6"/>
  <c r="BE7" i="6" s="1"/>
  <c r="BB7" i="6"/>
  <c r="AR7" i="6"/>
  <c r="AP7" i="6"/>
  <c r="AN7" i="6"/>
  <c r="AL7" i="6"/>
  <c r="AS7" i="6" s="1"/>
  <c r="BT6" i="6"/>
  <c r="BF6" i="6"/>
  <c r="BG6" i="6" s="1"/>
  <c r="BC6" i="6"/>
  <c r="BD6" i="6"/>
  <c r="BE6" i="6" s="1"/>
  <c r="BB6" i="6"/>
  <c r="AR6" i="6"/>
  <c r="AP6" i="6"/>
  <c r="AN6" i="6"/>
  <c r="AL6" i="6"/>
  <c r="AS6" i="6" s="1"/>
  <c r="BF5" i="6"/>
  <c r="BG5" i="6" s="1"/>
  <c r="BH5" i="6" s="1"/>
  <c r="BC5" i="6"/>
  <c r="BD5" i="6"/>
  <c r="BE5" i="6" s="1"/>
  <c r="AJ5" i="6"/>
  <c r="J3" i="5"/>
  <c r="J4" i="5"/>
  <c r="J5" i="5" s="1"/>
  <c r="J6" i="5" s="1"/>
  <c r="J7" i="5" s="1"/>
  <c r="J8" i="5" s="1"/>
  <c r="J9" i="5" s="1"/>
  <c r="J10" i="5" s="1"/>
  <c r="J11" i="5" s="1"/>
  <c r="J12" i="5" s="1"/>
  <c r="J13" i="5" s="1"/>
  <c r="J14" i="5" s="1"/>
  <c r="J15" i="5" s="1"/>
  <c r="J16" i="5" s="1"/>
  <c r="J17" i="5" s="1"/>
  <c r="J18" i="5" s="1"/>
  <c r="J19" i="5" s="1"/>
  <c r="J20" i="5" s="1"/>
  <c r="J21" i="5" s="1"/>
  <c r="J22" i="5" s="1"/>
  <c r="J23" i="5" s="1"/>
  <c r="J24" i="5" s="1"/>
  <c r="J25" i="5" s="1"/>
  <c r="J26" i="5" s="1"/>
  <c r="J27" i="5" s="1"/>
  <c r="J28" i="5" s="1"/>
  <c r="J29" i="5" s="1"/>
  <c r="J30" i="5" s="1"/>
  <c r="J31" i="5" s="1"/>
  <c r="J32" i="5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AV7" i="6"/>
  <c r="BT7" i="6"/>
  <c r="AJ8" i="6"/>
  <c r="BT9" i="6"/>
  <c r="BT10" i="6"/>
  <c r="AC7" i="7"/>
  <c r="AA3" i="7"/>
  <c r="AC3" i="7"/>
  <c r="AV5" i="6"/>
  <c r="BT5" i="6"/>
  <c r="AA2" i="7"/>
  <c r="AJ7" i="6"/>
  <c r="BO7" i="6"/>
  <c r="AV8" i="6"/>
  <c r="AJ9" i="6"/>
  <c r="AC6" i="7"/>
  <c r="AV10" i="6"/>
  <c r="BG10" i="6"/>
  <c r="BH10" i="6" s="1"/>
  <c r="AV9" i="6"/>
  <c r="BH6" i="6"/>
  <c r="AJ11" i="6"/>
  <c r="AJ6" i="6"/>
  <c r="AA5" i="7"/>
  <c r="AC5" i="7"/>
  <c r="BO8" i="6"/>
  <c r="AC2" i="7"/>
  <c r="AC8" i="7"/>
  <c r="BO11" i="6"/>
  <c r="BO6" i="6"/>
  <c r="AS11" i="6"/>
  <c r="AA7" i="7"/>
  <c r="AA4" i="7"/>
  <c r="AA6" i="7"/>
  <c r="AV6" i="6"/>
  <c r="BO5" i="6"/>
  <c r="BO10" i="6"/>
  <c r="AC4" i="7"/>
  <c r="BO9" i="6"/>
  <c r="G31" i="7"/>
  <c r="G23" i="7"/>
  <c r="G15" i="7"/>
  <c r="G7" i="7"/>
  <c r="BG32" i="6"/>
  <c r="BH32" i="6" s="1"/>
  <c r="BG28" i="6"/>
  <c r="BH28" i="6" s="1"/>
  <c r="BG24" i="6"/>
  <c r="BH24" i="6" s="1"/>
  <c r="BG16" i="6"/>
  <c r="BH16" i="6" s="1"/>
  <c r="AJ36" i="6" l="1"/>
  <c r="AF15" i="6"/>
  <c r="S12" i="7" s="1"/>
  <c r="G8" i="7"/>
  <c r="AF6" i="6"/>
  <c r="S3" i="7" s="1"/>
  <c r="AF7" i="6"/>
  <c r="S4" i="7" s="1"/>
  <c r="F9" i="6"/>
  <c r="AF20" i="6"/>
  <c r="S17" i="7" s="1"/>
  <c r="F22" i="6"/>
  <c r="AF26" i="6"/>
  <c r="S23" i="7" s="1"/>
  <c r="AF31" i="6"/>
  <c r="S28" i="7" s="1"/>
  <c r="AF32" i="6"/>
  <c r="S29" i="7" s="1"/>
  <c r="G32" i="7"/>
  <c r="F35" i="6"/>
  <c r="BO36" i="6"/>
  <c r="AV36" i="6"/>
  <c r="G11" i="7"/>
  <c r="AF12" i="6"/>
  <c r="S9" i="7" s="1"/>
  <c r="AF18" i="6"/>
  <c r="S15" i="7" s="1"/>
  <c r="BG12" i="6"/>
  <c r="BH12" i="6" s="1"/>
  <c r="BG30" i="6"/>
  <c r="BH30" i="6" s="1"/>
</calcChain>
</file>

<file path=xl/sharedStrings.xml><?xml version="1.0" encoding="utf-8"?>
<sst xmlns="http://schemas.openxmlformats.org/spreadsheetml/2006/main" count="328" uniqueCount="199">
  <si>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</si>
  <si>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</si>
  <si>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</si>
  <si>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</si>
  <si>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</si>
  <si>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</si>
  <si>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</si>
  <si>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</si>
  <si>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</si>
  <si>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</si>
  <si>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</si>
  <si>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Budapest</t>
  </si>
  <si>
    <t>WATER (Víz)&amp; SEWAGE</t>
  </si>
  <si>
    <t>GAS (Gáz)</t>
  </si>
  <si>
    <t xml:space="preserve">Villany / Electricity  </t>
  </si>
  <si>
    <t>1 mérő</t>
  </si>
  <si>
    <t>2 mérő</t>
  </si>
  <si>
    <t>B074 Nagy</t>
  </si>
  <si>
    <t>B074 Szálloda</t>
  </si>
  <si>
    <t>B074  szálloda napi+torony</t>
  </si>
  <si>
    <t>B074  szálloda napi-torony</t>
  </si>
  <si>
    <t>B057 Nagy</t>
  </si>
  <si>
    <t>B074 mosoda víz</t>
  </si>
  <si>
    <t>B074 mosoda víz napi</t>
  </si>
  <si>
    <t>B054 konyha</t>
  </si>
  <si>
    <t>B054 konyha napi</t>
  </si>
  <si>
    <t>HMV konyha</t>
  </si>
  <si>
    <t>ösz</t>
  </si>
  <si>
    <t>HMV szálloda</t>
  </si>
  <si>
    <t>B 105 Gőzakna</t>
  </si>
  <si>
    <t>/Pit/ Gőzakna össz</t>
  </si>
  <si>
    <t>Kazán hűtővíz</t>
  </si>
  <si>
    <t>Kazán hűtővíz össz</t>
  </si>
  <si>
    <t>kazán tápvíz ball</t>
  </si>
  <si>
    <t>kazán tápvíz jobb</t>
  </si>
  <si>
    <t>kazán tápvíz  össz</t>
  </si>
  <si>
    <t>CT-PÓTVÍZ</t>
  </si>
  <si>
    <t>CT-PÓTVÍZ össz</t>
  </si>
  <si>
    <t>Úszó medence</t>
  </si>
  <si>
    <t>Jakuczi medence</t>
  </si>
  <si>
    <t>SPA   össz</t>
  </si>
  <si>
    <t>Garázs kicsi</t>
  </si>
  <si>
    <t>Garázs nagy</t>
  </si>
  <si>
    <t>garázs össz</t>
  </si>
  <si>
    <t>Gőz össz.</t>
  </si>
  <si>
    <t>össz:</t>
  </si>
  <si>
    <t>[össz]</t>
  </si>
  <si>
    <t>Tervezett</t>
  </si>
  <si>
    <t>Megvalósult</t>
  </si>
  <si>
    <t>1-es mérő napi fogy.</t>
  </si>
  <si>
    <t>2-es mérő napi fogy.</t>
  </si>
  <si>
    <t>Gőzkazán 1</t>
  </si>
  <si>
    <t>Gőzkazán 2</t>
  </si>
  <si>
    <t>8.2</t>
  </si>
  <si>
    <t>1-es mérő napifogy.</t>
  </si>
  <si>
    <t>2-es mérő napifogy.</t>
  </si>
  <si>
    <t>8.2 össz</t>
  </si>
  <si>
    <t>ÉJSZAKAI INPULZUS       [8.2 össz]</t>
  </si>
  <si>
    <t>ÉJSZAKAI FOGYASZTÁS  KWh</t>
  </si>
  <si>
    <t>8.3 össz</t>
  </si>
  <si>
    <t>NAPPALI       INPULZUS        [8.3 össz]</t>
  </si>
  <si>
    <t>NAPPALI  FOGYASZTÁS KWh</t>
  </si>
  <si>
    <t>hotel absolut napi fogyasztás               KWh</t>
  </si>
  <si>
    <t>hotel absolut napi fogyasztás-hütők               KWh</t>
  </si>
  <si>
    <t>18 GARAGE</t>
  </si>
  <si>
    <t>GARAGE NAPI  FOGYASZTÁS KWh</t>
  </si>
  <si>
    <r>
      <t xml:space="preserve">GARAGE + PALACE     </t>
    </r>
    <r>
      <rPr>
        <b/>
        <sz val="14"/>
        <color indexed="10"/>
        <rFont val="Arial"/>
        <family val="2"/>
        <charset val="238"/>
      </rPr>
      <t>SUMMA DAYLI</t>
    </r>
    <r>
      <rPr>
        <b/>
        <sz val="14"/>
        <rFont val="Arial"/>
        <family val="2"/>
        <charset val="238"/>
      </rPr>
      <t xml:space="preserve">                              KWh</t>
    </r>
  </si>
  <si>
    <t xml:space="preserve">HŰTŐ 1 </t>
  </si>
  <si>
    <t>HŰTŐ 1 NAPI</t>
  </si>
  <si>
    <t>HŰTŐ 2</t>
  </si>
  <si>
    <t>HŰTŐ 2 NAPI</t>
  </si>
  <si>
    <t>HŰTŐ 1+2 NAPI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</si>
  <si>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</si>
  <si>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</si>
  <si>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</si>
  <si>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</si>
  <si>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</si>
  <si>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</si>
  <si>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</si>
  <si>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</si>
  <si>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</si>
  <si>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</si>
  <si>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</si>
  <si>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</si>
  <si>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</si>
  <si>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</si>
  <si>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</si>
  <si>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</si>
  <si>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</si>
  <si>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</si>
  <si>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</si>
  <si>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</si>
  <si>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</si>
  <si>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</si>
  <si>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</si>
  <si>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</si>
  <si>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</si>
  <si>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</si>
  <si>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</si>
  <si>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</si>
  <si>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</si>
  <si>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</si>
  <si>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</si>
  <si>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Elec supply1.</t>
  </si>
  <si>
    <t>Elec supply2.</t>
  </si>
  <si>
    <t>chiller1</t>
  </si>
  <si>
    <t>chiller2</t>
  </si>
  <si>
    <t>hotel</t>
  </si>
  <si>
    <t>2.supply</t>
  </si>
  <si>
    <t>laundry</t>
  </si>
  <si>
    <t>kitchen</t>
  </si>
  <si>
    <t>DHW kitchen</t>
  </si>
  <si>
    <t>DHW hotel</t>
  </si>
  <si>
    <t>steam pit</t>
  </si>
  <si>
    <t>boiler cooling</t>
  </si>
  <si>
    <t>left steam supply</t>
  </si>
  <si>
    <t>right steam supply</t>
  </si>
  <si>
    <t>tower</t>
  </si>
  <si>
    <t>pool</t>
  </si>
  <si>
    <t>jacuzzi</t>
  </si>
  <si>
    <t>1.garage supply</t>
  </si>
  <si>
    <t>2.garage supply</t>
  </si>
  <si>
    <t>1.gas supply</t>
  </si>
  <si>
    <t>2.gas supply</t>
  </si>
  <si>
    <t>steam boiler 1</t>
  </si>
  <si>
    <t>steam boiler 2</t>
  </si>
  <si>
    <t>garage</t>
  </si>
  <si>
    <t>1. supply water</t>
  </si>
  <si>
    <t xml:space="preserve"> </t>
  </si>
  <si>
    <t>B074 Nagy - m3</t>
  </si>
  <si>
    <t>B057 Nagy - m3</t>
  </si>
  <si>
    <t>B074 mosoda víz-m3</t>
  </si>
  <si>
    <t>B054 konyha -m3</t>
  </si>
  <si>
    <t>HMV konyha -m3</t>
  </si>
  <si>
    <t>Elec. Supply 1 - Kwh</t>
  </si>
  <si>
    <t>Elec. Supply 2 - Kwh</t>
  </si>
  <si>
    <t>18 GARAGE -KWh</t>
  </si>
  <si>
    <t>Room Nights</t>
  </si>
  <si>
    <t># Guests</t>
  </si>
  <si>
    <t xml:space="preserve">Total Guests </t>
  </si>
  <si>
    <t>0</t>
  </si>
  <si>
    <t>GARAGE + PALACE SUMMA DAYLI - KWh</t>
  </si>
  <si>
    <t>B 105 Gozakna -m3</t>
  </si>
  <si>
    <t>B074  Hotel napi+torony-m3</t>
  </si>
  <si>
    <t>B074  Hotel napi-torony -m3</t>
  </si>
  <si>
    <t>HMV Hotel -m3</t>
  </si>
  <si>
    <t>Boiler C. Water -m3</t>
  </si>
  <si>
    <t>kazan tapviz jobb -m3</t>
  </si>
  <si>
    <t>CT-Spare Water Total -m3</t>
  </si>
  <si>
    <t>SPA   Total -m3</t>
  </si>
  <si>
    <t>Garage Total -m3</t>
  </si>
  <si>
    <t>Steam Total -m3</t>
  </si>
  <si>
    <t>Meter #1 -m3</t>
  </si>
  <si>
    <t>Meter #2-m3</t>
  </si>
  <si>
    <t>Steam Boiler #1 -m3</t>
  </si>
  <si>
    <t>Steam Boiler #2 -m3</t>
  </si>
  <si>
    <t>Hotel Absolute Daily -KWh</t>
  </si>
  <si>
    <t>Chiller 1  -KWh</t>
  </si>
  <si>
    <t>Chiller 2  -KWh</t>
  </si>
  <si>
    <t>Hotel Absolut napi fogyasztas-hutok -KWh</t>
  </si>
  <si>
    <t>18172</t>
  </si>
  <si>
    <t>18788</t>
  </si>
  <si>
    <t>17952</t>
  </si>
  <si>
    <t>17160</t>
  </si>
  <si>
    <t>16456</t>
  </si>
  <si>
    <t>17336</t>
  </si>
  <si>
    <t>16632</t>
  </si>
  <si>
    <t>17204</t>
  </si>
  <si>
    <t>18084</t>
  </si>
  <si>
    <t>17644</t>
  </si>
  <si>
    <t>18128</t>
  </si>
  <si>
    <t>16324</t>
  </si>
  <si>
    <t>19228</t>
  </si>
  <si>
    <t>174</t>
  </si>
  <si>
    <t>188</t>
  </si>
  <si>
    <t>166</t>
  </si>
  <si>
    <t>170</t>
  </si>
  <si>
    <t>150</t>
  </si>
  <si>
    <t>161</t>
  </si>
  <si>
    <t>168</t>
  </si>
  <si>
    <t>178</t>
  </si>
  <si>
    <t>171</t>
  </si>
  <si>
    <t>185</t>
  </si>
  <si>
    <t>190</t>
  </si>
  <si>
    <t>184</t>
  </si>
  <si>
    <t>187</t>
  </si>
  <si>
    <t>1439</t>
  </si>
  <si>
    <t>1489</t>
  </si>
  <si>
    <t>1886</t>
  </si>
  <si>
    <t>1741</t>
  </si>
  <si>
    <t>1743</t>
  </si>
  <si>
    <t>1721</t>
  </si>
  <si>
    <t>1924</t>
  </si>
  <si>
    <t>1915</t>
  </si>
  <si>
    <t>1629</t>
  </si>
  <si>
    <t>1661</t>
  </si>
  <si>
    <t>1709</t>
  </si>
  <si>
    <t>1727</t>
  </si>
  <si>
    <t>1625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</si>
</sst>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92" formatCode="0.000"/>
    <numFmt numFmtId="194" formatCode="#,##0.00\ _F_t"/>
  </numFmts>
  <fonts count="29" x14ac:knownFonts="1">
    <font>
      <sz val="11"/>
      <color theme="1"/>
      <name val="Calibri"/>
      <family val="2"/>
      <scheme val="minor"/>
    </font>
    <font>
      <b/>
      <sz val="14"/>
      <name val="Arial"/>
      <family val="2"/>
      <charset val="238"/>
    </font>
    <font>
      <b/>
      <sz val="14"/>
      <color indexed="10"/>
      <name val="Arial"/>
      <family val="2"/>
      <charset val="238"/>
    </font>
    <font>
      <sz val="14"/>
      <color indexed="8"/>
      <name val="Calibri"/>
      <family val="2"/>
    </font>
    <font>
      <b/>
      <sz val="14"/>
      <color indexed="21"/>
      <name val="Arial"/>
      <family val="2"/>
      <charset val="238"/>
    </font>
    <font>
      <b/>
      <sz val="14"/>
      <color indexed="57"/>
      <name val="Arial"/>
      <family val="2"/>
      <charset val="238"/>
    </font>
    <font>
      <b/>
      <sz val="14"/>
      <color indexed="14"/>
      <name val="Arial"/>
      <family val="2"/>
      <charset val="238"/>
    </font>
    <font>
      <b/>
      <sz val="14"/>
      <color indexed="48"/>
      <name val="Arial"/>
      <family val="2"/>
      <charset val="238"/>
    </font>
    <font>
      <sz val="14"/>
      <color indexed="21"/>
      <name val="Arial"/>
      <family val="2"/>
      <charset val="238"/>
    </font>
    <font>
      <sz val="14"/>
      <color indexed="10"/>
      <name val="Arial"/>
      <family val="2"/>
      <charset val="238"/>
    </font>
    <font>
      <sz val="14"/>
      <color indexed="57"/>
      <name val="Arial"/>
      <family val="2"/>
      <charset val="238"/>
    </font>
    <font>
      <sz val="14"/>
      <color indexed="14"/>
      <name val="Arial"/>
      <family val="2"/>
      <charset val="238"/>
    </font>
    <font>
      <sz val="14"/>
      <name val="Arial"/>
      <family val="2"/>
      <charset val="238"/>
    </font>
    <font>
      <b/>
      <sz val="14"/>
      <color indexed="8"/>
      <name val="Arial"/>
      <family val="2"/>
      <charset val="238"/>
    </font>
    <font>
      <sz val="14"/>
      <color indexed="21"/>
      <name val="Calibri"/>
      <family val="2"/>
    </font>
    <font>
      <sz val="14"/>
      <color indexed="10"/>
      <name val="Calibri"/>
      <family val="2"/>
    </font>
    <font>
      <sz val="14"/>
      <name val="Arial"/>
      <family val="2"/>
    </font>
    <font>
      <b/>
      <sz val="16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FF000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2">
    <xf numFmtId="0" fontId="0" fillId="0" borderId="0" xfId="0"/>
    <xf numFmtId="0" fontId="19" fillId="0" borderId="0" xfId="0" applyFont="1"/>
    <xf numFmtId="0" fontId="0" fillId="0" borderId="0" xfId="0" applyAlignment="1">
      <alignment horizontal="center"/>
    </xf>
    <xf numFmtId="0" fontId="20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9" fillId="0" borderId="1" xfId="0" applyFont="1" applyBorder="1" applyAlignment="1">
      <alignment horizontal="center" vertical="top"/>
    </xf>
    <xf numFmtId="0" fontId="19" fillId="0" borderId="1" xfId="0" applyFont="1" applyBorder="1" applyAlignment="1">
      <alignment horizontal="center" vertical="top" wrapText="1"/>
    </xf>
    <xf numFmtId="1" fontId="19" fillId="0" borderId="1" xfId="0" applyNumberFormat="1" applyFont="1" applyBorder="1" applyAlignment="1">
      <alignment horizontal="center" vertical="top" wrapText="1"/>
    </xf>
    <xf numFmtId="1" fontId="21" fillId="0" borderId="1" xfId="0" applyNumberFormat="1" applyFont="1" applyBorder="1" applyAlignment="1">
      <alignment horizontal="center" vertical="top" wrapText="1"/>
    </xf>
    <xf numFmtId="1" fontId="22" fillId="0" borderId="0" xfId="0" applyNumberFormat="1" applyFont="1" applyAlignment="1">
      <alignment horizontal="center"/>
    </xf>
    <xf numFmtId="0" fontId="23" fillId="0" borderId="1" xfId="0" applyFont="1" applyBorder="1" applyAlignment="1">
      <alignment horizontal="center" vertical="top"/>
    </xf>
    <xf numFmtId="0" fontId="18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1" fontId="24" fillId="0" borderId="0" xfId="0" applyNumberFormat="1" applyFont="1" applyAlignment="1">
      <alignment horizontal="center"/>
    </xf>
    <xf numFmtId="0" fontId="24" fillId="0" borderId="0" xfId="0" applyFont="1"/>
    <xf numFmtId="0" fontId="25" fillId="0" borderId="0" xfId="0" applyFont="1" applyAlignment="1">
      <alignment horizontal="center"/>
    </xf>
    <xf numFmtId="0" fontId="25" fillId="0" borderId="0" xfId="0" applyFont="1"/>
    <xf numFmtId="192" fontId="0" fillId="0" borderId="0" xfId="0" applyNumberFormat="1" applyFill="1"/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26" fillId="6" borderId="4" xfId="0" applyFont="1" applyFill="1" applyBorder="1" applyAlignment="1">
      <alignment horizontal="center" vertical="center" wrapText="1"/>
    </xf>
    <xf numFmtId="0" fontId="1" fillId="6" borderId="4" xfId="0" applyNumberFormat="1" applyFont="1" applyFill="1" applyBorder="1" applyAlignment="1">
      <alignment horizontal="center" vertical="center" wrapText="1"/>
    </xf>
    <xf numFmtId="0" fontId="26" fillId="6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15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4" xfId="0" quotePrefix="1" applyFont="1" applyFill="1" applyBorder="1" applyAlignment="1">
      <alignment horizontal="center" vertical="center" wrapText="1"/>
    </xf>
    <xf numFmtId="2" fontId="1" fillId="10" borderId="4" xfId="0" quotePrefix="1" applyNumberFormat="1" applyFont="1" applyFill="1" applyBorder="1" applyAlignment="1">
      <alignment horizontal="center" vertical="center" wrapText="1"/>
    </xf>
    <xf numFmtId="2" fontId="1" fillId="10" borderId="4" xfId="0" applyNumberFormat="1" applyFont="1" applyFill="1" applyBorder="1" applyAlignment="1">
      <alignment horizontal="center" vertical="center" wrapText="1"/>
    </xf>
    <xf numFmtId="0" fontId="1" fillId="0" borderId="4" xfId="0" quotePrefix="1" applyFont="1" applyFill="1" applyBorder="1" applyAlignment="1">
      <alignment horizontal="center" vertical="center" wrapText="1"/>
    </xf>
    <xf numFmtId="194" fontId="2" fillId="2" borderId="4" xfId="0" quotePrefix="1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5" borderId="4" xfId="0" applyNumberFormat="1" applyFont="1" applyFill="1" applyBorder="1" applyAlignment="1">
      <alignment horizontal="center" vertical="center" wrapText="1"/>
    </xf>
    <xf numFmtId="49" fontId="1" fillId="14" borderId="6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27" fillId="8" borderId="7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2" fontId="12" fillId="10" borderId="7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94" fontId="9" fillId="2" borderId="7" xfId="0" applyNumberFormat="1" applyFont="1" applyFill="1" applyBorder="1" applyAlignment="1">
      <alignment horizontal="center" vertical="center"/>
    </xf>
    <xf numFmtId="4" fontId="9" fillId="2" borderId="7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3" fillId="12" borderId="7" xfId="0" applyFont="1" applyFill="1" applyBorder="1" applyAlignment="1">
      <alignment horizontal="center" vertical="center"/>
    </xf>
    <xf numFmtId="0" fontId="26" fillId="5" borderId="7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9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14" borderId="0" xfId="0" applyFont="1" applyFill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right"/>
    </xf>
    <xf numFmtId="194" fontId="1" fillId="2" borderId="10" xfId="0" applyNumberFormat="1" applyFont="1" applyFill="1" applyBorder="1" applyAlignment="1">
      <alignment horizontal="center"/>
    </xf>
    <xf numFmtId="2" fontId="1" fillId="2" borderId="10" xfId="0" applyNumberFormat="1" applyFont="1" applyFill="1" applyBorder="1" applyAlignment="1">
      <alignment horizontal="center"/>
    </xf>
    <xf numFmtId="0" fontId="3" fillId="0" borderId="10" xfId="0" applyFont="1" applyBorder="1"/>
    <xf numFmtId="0" fontId="3" fillId="0" borderId="0" xfId="0" applyFont="1"/>
    <xf numFmtId="0" fontId="3" fillId="0" borderId="11" xfId="0" applyFont="1" applyBorder="1" applyAlignment="1"/>
    <xf numFmtId="0" fontId="3" fillId="0" borderId="8" xfId="0" applyFont="1" applyBorder="1" applyAlignment="1"/>
    <xf numFmtId="0" fontId="3" fillId="0" borderId="12" xfId="0" applyFont="1" applyBorder="1" applyAlignment="1"/>
    <xf numFmtId="0" fontId="1" fillId="2" borderId="13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1" fontId="1" fillId="2" borderId="10" xfId="0" applyNumberFormat="1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10" fillId="13" borderId="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12" fillId="0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5" borderId="7" xfId="0" applyNumberFormat="1" applyFont="1" applyFill="1" applyBorder="1" applyAlignment="1">
      <alignment horizontal="center"/>
    </xf>
    <xf numFmtId="2" fontId="1" fillId="10" borderId="18" xfId="0" applyNumberFormat="1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3" fillId="10" borderId="18" xfId="0" applyFont="1" applyFill="1" applyBorder="1"/>
    <xf numFmtId="0" fontId="23" fillId="0" borderId="1" xfId="0" applyFont="1" applyBorder="1" applyAlignment="1">
      <alignment horizontal="center" vertical="top" wrapText="1"/>
    </xf>
    <xf numFmtId="0" fontId="19" fillId="0" borderId="0" xfId="0" applyFont="1" applyAlignment="1">
      <alignment wrapText="1"/>
    </xf>
    <xf numFmtId="0" fontId="3" fillId="16" borderId="18" xfId="0" applyFont="1" applyFill="1" applyBorder="1"/>
    <xf numFmtId="0" fontId="1" fillId="16" borderId="4" xfId="0" applyNumberFormat="1" applyFont="1" applyFill="1" applyBorder="1" applyAlignment="1">
      <alignment horizontal="center" vertical="center" wrapText="1"/>
    </xf>
    <xf numFmtId="0" fontId="26" fillId="16" borderId="7" xfId="0" applyNumberFormat="1" applyFont="1" applyFill="1" applyBorder="1" applyAlignment="1">
      <alignment horizontal="center" vertical="center"/>
    </xf>
    <xf numFmtId="49" fontId="26" fillId="14" borderId="19" xfId="0" applyNumberFormat="1" applyFont="1" applyFill="1" applyBorder="1" applyAlignment="1">
      <alignment horizontal="center"/>
    </xf>
    <xf numFmtId="1" fontId="1" fillId="10" borderId="7" xfId="0" applyNumberFormat="1" applyFont="1" applyFill="1" applyBorder="1" applyAlignment="1">
      <alignment horizontal="center" vertical="center"/>
    </xf>
    <xf numFmtId="0" fontId="26" fillId="5" borderId="7" xfId="0" applyNumberFormat="1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6" fillId="6" borderId="7" xfId="0" applyFont="1" applyFill="1" applyBorder="1" applyAlignment="1">
      <alignment horizontal="center"/>
    </xf>
    <xf numFmtId="0" fontId="17" fillId="6" borderId="7" xfId="0" applyNumberFormat="1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9" fillId="7" borderId="7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17" fillId="6" borderId="7" xfId="0" applyFont="1" applyFill="1" applyBorder="1" applyAlignment="1">
      <alignment horizontal="center"/>
    </xf>
    <xf numFmtId="0" fontId="17" fillId="17" borderId="7" xfId="0" applyNumberFormat="1" applyFont="1" applyFill="1" applyBorder="1" applyAlignment="1">
      <alignment horizontal="center" vertical="center"/>
    </xf>
    <xf numFmtId="0" fontId="17" fillId="17" borderId="7" xfId="0" applyFont="1" applyFill="1" applyBorder="1" applyAlignment="1">
      <alignment horizontal="center"/>
    </xf>
    <xf numFmtId="0" fontId="17" fillId="17" borderId="20" xfId="0" applyNumberFormat="1" applyFont="1" applyFill="1" applyBorder="1" applyAlignment="1">
      <alignment horizontal="center" vertical="center"/>
    </xf>
    <xf numFmtId="0" fontId="1" fillId="18" borderId="20" xfId="0" applyFont="1" applyFill="1" applyBorder="1" applyAlignment="1">
      <alignment horizontal="center"/>
    </xf>
    <xf numFmtId="0" fontId="26" fillId="18" borderId="21" xfId="0" applyFont="1" applyFill="1" applyBorder="1" applyAlignment="1">
      <alignment horizontal="center"/>
    </xf>
    <xf numFmtId="0" fontId="1" fillId="18" borderId="21" xfId="0" applyFont="1" applyFill="1" applyBorder="1" applyAlignment="1">
      <alignment horizontal="center"/>
    </xf>
    <xf numFmtId="0" fontId="26" fillId="18" borderId="7" xfId="0" applyFont="1" applyFill="1" applyBorder="1" applyAlignment="1">
      <alignment horizontal="center"/>
    </xf>
    <xf numFmtId="0" fontId="1" fillId="18" borderId="7" xfId="0" applyFont="1" applyFill="1" applyBorder="1" applyAlignment="1">
      <alignment horizontal="center"/>
    </xf>
    <xf numFmtId="0" fontId="12" fillId="18" borderId="21" xfId="0" applyFont="1" applyFill="1" applyBorder="1" applyAlignment="1">
      <alignment horizontal="center"/>
    </xf>
    <xf numFmtId="0" fontId="27" fillId="18" borderId="7" xfId="0" applyFont="1" applyFill="1" applyBorder="1" applyAlignment="1">
      <alignment horizontal="center"/>
    </xf>
    <xf numFmtId="0" fontId="12" fillId="18" borderId="7" xfId="0" applyFont="1" applyFill="1" applyBorder="1" applyAlignment="1">
      <alignment horizontal="center"/>
    </xf>
    <xf numFmtId="0" fontId="9" fillId="18" borderId="7" xfId="0" applyFont="1" applyFill="1" applyBorder="1" applyAlignment="1">
      <alignment horizontal="center"/>
    </xf>
    <xf numFmtId="0" fontId="10" fillId="18" borderId="7" xfId="0" applyFont="1" applyFill="1" applyBorder="1" applyAlignment="1">
      <alignment horizontal="center"/>
    </xf>
    <xf numFmtId="0" fontId="10" fillId="18" borderId="22" xfId="0" applyFont="1" applyFill="1" applyBorder="1" applyAlignment="1">
      <alignment horizontal="center"/>
    </xf>
    <xf numFmtId="0" fontId="10" fillId="18" borderId="21" xfId="0" applyFont="1" applyFill="1" applyBorder="1" applyAlignment="1">
      <alignment horizontal="center"/>
    </xf>
    <xf numFmtId="0" fontId="11" fillId="18" borderId="21" xfId="0" applyFont="1" applyFill="1" applyBorder="1" applyAlignment="1">
      <alignment horizontal="center"/>
    </xf>
    <xf numFmtId="0" fontId="11" fillId="18" borderId="23" xfId="0" applyFont="1" applyFill="1" applyBorder="1" applyAlignment="1">
      <alignment horizontal="center"/>
    </xf>
    <xf numFmtId="0" fontId="7" fillId="18" borderId="7" xfId="0" applyFont="1" applyFill="1" applyBorder="1" applyAlignment="1">
      <alignment horizontal="center"/>
    </xf>
    <xf numFmtId="0" fontId="13" fillId="18" borderId="7" xfId="0" applyFont="1" applyFill="1" applyBorder="1" applyAlignment="1">
      <alignment horizontal="center"/>
    </xf>
    <xf numFmtId="0" fontId="12" fillId="18" borderId="20" xfId="0" applyFont="1" applyFill="1" applyBorder="1" applyAlignment="1">
      <alignment horizontal="center"/>
    </xf>
    <xf numFmtId="2" fontId="12" fillId="18" borderId="7" xfId="0" applyNumberFormat="1" applyFont="1" applyFill="1" applyBorder="1" applyAlignment="1">
      <alignment horizontal="center"/>
    </xf>
    <xf numFmtId="0" fontId="12" fillId="18" borderId="7" xfId="0" applyFont="1" applyFill="1" applyBorder="1" applyAlignment="1"/>
    <xf numFmtId="0" fontId="1" fillId="18" borderId="7" xfId="0" applyFont="1" applyFill="1" applyBorder="1" applyAlignment="1"/>
    <xf numFmtId="194" fontId="12" fillId="18" borderId="7" xfId="0" applyNumberFormat="1" applyFont="1" applyFill="1" applyBorder="1" applyAlignment="1">
      <alignment horizontal="center"/>
    </xf>
    <xf numFmtId="0" fontId="12" fillId="18" borderId="7" xfId="0" applyFont="1" applyFill="1" applyBorder="1" applyAlignment="1">
      <alignment horizontal="right"/>
    </xf>
    <xf numFmtId="1" fontId="1" fillId="18" borderId="7" xfId="0" applyNumberFormat="1" applyFont="1" applyFill="1" applyBorder="1" applyAlignment="1">
      <alignment horizontal="center"/>
    </xf>
    <xf numFmtId="2" fontId="13" fillId="18" borderId="7" xfId="0" applyNumberFormat="1" applyFont="1" applyFill="1" applyBorder="1" applyAlignment="1">
      <alignment horizontal="center"/>
    </xf>
    <xf numFmtId="0" fontId="1" fillId="18" borderId="20" xfId="0" applyNumberFormat="1" applyFont="1" applyFill="1" applyBorder="1" applyAlignment="1">
      <alignment horizontal="center"/>
    </xf>
    <xf numFmtId="0" fontId="1" fillId="18" borderId="7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3" fillId="9" borderId="10" xfId="0" applyFont="1" applyFill="1" applyBorder="1" applyAlignment="1"/>
    <xf numFmtId="0" fontId="3" fillId="9" borderId="15" xfId="0" applyFont="1" applyFill="1" applyBorder="1" applyAlignment="1"/>
    <xf numFmtId="0" fontId="1" fillId="10" borderId="24" xfId="0" applyFont="1" applyFill="1" applyBorder="1" applyAlignment="1">
      <alignment horizontal="center"/>
    </xf>
    <xf numFmtId="0" fontId="3" fillId="10" borderId="18" xfId="0" applyFont="1" applyFill="1" applyBorder="1" applyAlignment="1"/>
    <xf numFmtId="0" fontId="3" fillId="10" borderId="25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stvan.racz\Downloads\2019%20energy%20log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OneDrive\EEG%20Docs\HEP\Four%20Seasons%20Files\Budapest\2019%20energ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ár2019"/>
      <sheetName val="Február2019"/>
      <sheetName val="Március 2019"/>
      <sheetName val="Április2019"/>
      <sheetName val="Május2019"/>
    </sheetNames>
    <sheetDataSet>
      <sheetData sheetId="0"/>
      <sheetData sheetId="1"/>
      <sheetData sheetId="2"/>
      <sheetData sheetId="3">
        <row r="33">
          <cell r="BF33">
            <v>11510.119999999999</v>
          </cell>
        </row>
      </sheetData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ár2019"/>
      <sheetName val="Február2019"/>
      <sheetName val="Március 2019"/>
      <sheetName val="Április2019"/>
      <sheetName val="Május2019"/>
      <sheetName val="Junius2019"/>
      <sheetName val="Julius2019"/>
      <sheetName val="Augusztus2018"/>
      <sheetName val="Szeptember2019"/>
      <sheetName val="Oktober2019"/>
      <sheetName val="November2019"/>
      <sheetName val="December2019"/>
    </sheetNames>
    <sheetDataSet>
      <sheetData sheetId="0"/>
      <sheetData sheetId="1"/>
      <sheetData sheetId="2"/>
      <sheetData sheetId="3">
        <row r="34">
          <cell r="K34"/>
          <cell r="M34"/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L32"/>
  <sheetViews>
    <sheetView tabSelected="1" zoomScale="85" zoomScaleNormal="85" workbookViewId="0">
      <selection activeCell="M16" sqref="M16"/>
    </sheetView>
  </sheetViews>
  <sheetFormatPr defaultColWidth="11.54296875" defaultRowHeight="14.5" x14ac:dyDescent="0.35"/>
  <cols>
    <col min="1" max="2" width="11.54296875" style="2"/>
    <col min="3" max="3" width="11.54296875" style="11"/>
    <col min="4" max="4" width="13.453125" style="2" customWidth="1"/>
    <col min="5" max="5" width="13" style="9" customWidth="1"/>
    <col min="6" max="6" width="12.54296875" style="2" customWidth="1"/>
    <col min="7" max="7" width="13" style="4" customWidth="1"/>
    <col min="8" max="11" width="11.54296875" style="2"/>
  </cols>
  <sheetData>
    <row r="1" spans="1:12" s="1" customFormat="1" ht="43.5" x14ac:dyDescent="0.3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6" t="s">
        <v>8</v>
      </c>
      <c r="G1" s="7" t="s">
        <v>5</v>
      </c>
      <c r="H1" s="6" t="s">
        <v>9</v>
      </c>
      <c r="I1" s="6" t="s">
        <v>6</v>
      </c>
      <c r="J1" s="6" t="s">
        <v>10</v>
      </c>
      <c r="K1" s="6" t="s">
        <v>7</v>
      </c>
      <c r="L1" s="6" t="s">
        <v>139</v>
      </c>
    </row>
    <row r="2" spans="1:12" s="14" customFormat="1" x14ac:dyDescent="0.35">
      <c r="A2" s="12" t="s">
        <v>11</v>
      </c>
      <c r="B2" s="12">
        <v>1</v>
      </c>
      <c r="C2" s="3">
        <v>10</v>
      </c>
      <c r="D2" s="12">
        <v>2019</v>
      </c>
      <c r="E2" s="13" t="s">
        <v>160</v>
      </c>
      <c r="F2" s="12">
        <v>7.7909227967643713E-2</v>
      </c>
      <c r="G2" s="13" t="s">
        <v>186</v>
      </c>
      <c r="H2" s="12">
        <v>0.24162482260951298</v>
      </c>
      <c r="I2" s="13" t="s">
        <v>173</v>
      </c>
      <c r="J2" s="17">
        <v>1.686569936015061</v>
      </c>
      <c r="K2" s="12">
        <v>172</v>
      </c>
      <c r="L2" s="12">
        <v>245</v>
      </c>
    </row>
    <row r="3" spans="1:12" s="16" customFormat="1" x14ac:dyDescent="0.35">
      <c r="A3" s="12" t="s">
        <v>11</v>
      </c>
      <c r="B3" s="15">
        <f>B2+1</f>
        <v>2</v>
      </c>
      <c r="C3" s="3">
        <v>10</v>
      </c>
      <c r="D3" s="12">
        <v>2019</v>
      </c>
      <c r="E3" s="13" t="s">
        <v>161</v>
      </c>
      <c r="F3" s="12">
        <v>7.7909227967643713E-2</v>
      </c>
      <c r="G3" s="13" t="s">
        <v>187</v>
      </c>
      <c r="H3" s="12">
        <v>0.24162482260951298</v>
      </c>
      <c r="I3" s="13" t="s">
        <v>174</v>
      </c>
      <c r="J3" s="17">
        <f>J2</f>
        <v>1.686569936015061</v>
      </c>
      <c r="K3" s="12">
        <v>164</v>
      </c>
      <c r="L3" s="12">
        <v>253</v>
      </c>
    </row>
    <row r="4" spans="1:12" s="16" customFormat="1" x14ac:dyDescent="0.35">
      <c r="A4" s="12" t="s">
        <v>11</v>
      </c>
      <c r="B4" s="15">
        <f t="shared" ref="B4:B32" si="0">B3+1</f>
        <v>3</v>
      </c>
      <c r="C4" s="3">
        <v>10</v>
      </c>
      <c r="D4" s="12">
        <v>2019</v>
      </c>
      <c r="E4" s="13" t="s">
        <v>162</v>
      </c>
      <c r="F4" s="12">
        <v>7.7909227967643713E-2</v>
      </c>
      <c r="G4" s="13" t="s">
        <v>188</v>
      </c>
      <c r="H4" s="12">
        <v>0.24162482260951298</v>
      </c>
      <c r="I4" s="13" t="s">
        <v>175</v>
      </c>
      <c r="J4" s="17">
        <f t="shared" ref="J4:J32" si="1">J3</f>
        <v>1.686569936015061</v>
      </c>
      <c r="K4" s="12">
        <v>134</v>
      </c>
      <c r="L4" s="12">
        <v>221</v>
      </c>
    </row>
    <row r="5" spans="1:12" s="16" customFormat="1" x14ac:dyDescent="0.35">
      <c r="A5" s="12" t="s">
        <v>11</v>
      </c>
      <c r="B5" s="15">
        <f t="shared" si="0"/>
        <v>4</v>
      </c>
      <c r="C5" s="3">
        <v>10</v>
      </c>
      <c r="D5" s="12">
        <v>2019</v>
      </c>
      <c r="E5" s="13" t="s">
        <v>163</v>
      </c>
      <c r="F5" s="12">
        <v>7.7909227967643713E-2</v>
      </c>
      <c r="G5" s="13" t="s">
        <v>189</v>
      </c>
      <c r="H5" s="12">
        <v>0.24162482260951298</v>
      </c>
      <c r="I5" s="13" t="s">
        <v>173</v>
      </c>
      <c r="J5" s="17">
        <f t="shared" si="1"/>
        <v>1.686569936015061</v>
      </c>
      <c r="K5" s="12">
        <v>151</v>
      </c>
      <c r="L5" s="12">
        <v>257</v>
      </c>
    </row>
    <row r="6" spans="1:12" s="16" customFormat="1" x14ac:dyDescent="0.35">
      <c r="A6" s="12" t="s">
        <v>11</v>
      </c>
      <c r="B6" s="15">
        <f t="shared" si="0"/>
        <v>5</v>
      </c>
      <c r="C6" s="3">
        <v>10</v>
      </c>
      <c r="D6" s="12">
        <v>2019</v>
      </c>
      <c r="E6" s="13" t="s">
        <v>164</v>
      </c>
      <c r="F6" s="12">
        <v>7.7909227967643713E-2</v>
      </c>
      <c r="G6" s="13" t="s">
        <v>190</v>
      </c>
      <c r="H6" s="12">
        <v>0.24162482260951298</v>
      </c>
      <c r="I6" s="13" t="s">
        <v>176</v>
      </c>
      <c r="J6" s="17">
        <f t="shared" si="1"/>
        <v>1.686569936015061</v>
      </c>
      <c r="K6" s="12">
        <v>133</v>
      </c>
      <c r="L6" s="12">
        <v>219</v>
      </c>
    </row>
    <row r="7" spans="1:12" s="16" customFormat="1" x14ac:dyDescent="0.35">
      <c r="A7" s="12" t="s">
        <v>11</v>
      </c>
      <c r="B7" s="15">
        <f t="shared" si="0"/>
        <v>6</v>
      </c>
      <c r="C7" s="3">
        <v>10</v>
      </c>
      <c r="D7" s="12">
        <v>2019</v>
      </c>
      <c r="E7" s="13" t="s">
        <v>165</v>
      </c>
      <c r="F7" s="12">
        <v>7.7909227967643713E-2</v>
      </c>
      <c r="G7" s="13" t="s">
        <v>191</v>
      </c>
      <c r="H7" s="12">
        <v>0.24162482260951298</v>
      </c>
      <c r="I7" s="13" t="s">
        <v>177</v>
      </c>
      <c r="J7" s="17">
        <f t="shared" si="1"/>
        <v>1.686569936015061</v>
      </c>
      <c r="K7" s="12">
        <v>116</v>
      </c>
      <c r="L7" s="12">
        <v>183</v>
      </c>
    </row>
    <row r="8" spans="1:12" s="16" customFormat="1" x14ac:dyDescent="0.35">
      <c r="A8" s="12" t="s">
        <v>11</v>
      </c>
      <c r="B8" s="15">
        <f t="shared" si="0"/>
        <v>7</v>
      </c>
      <c r="C8" s="3">
        <v>10</v>
      </c>
      <c r="D8" s="12">
        <v>2019</v>
      </c>
      <c r="E8" s="13" t="s">
        <v>166</v>
      </c>
      <c r="F8" s="12">
        <v>7.7909227967643713E-2</v>
      </c>
      <c r="G8" s="13" t="s">
        <v>192</v>
      </c>
      <c r="H8" s="12">
        <v>0.24162482260951298</v>
      </c>
      <c r="I8" s="13" t="s">
        <v>178</v>
      </c>
      <c r="J8" s="17">
        <f t="shared" si="1"/>
        <v>1.686569936015061</v>
      </c>
      <c r="K8" s="12">
        <v>150</v>
      </c>
      <c r="L8" s="12">
        <v>233</v>
      </c>
    </row>
    <row r="9" spans="1:12" s="16" customFormat="1" x14ac:dyDescent="0.35">
      <c r="A9" s="12" t="s">
        <v>11</v>
      </c>
      <c r="B9" s="15">
        <f t="shared" si="0"/>
        <v>8</v>
      </c>
      <c r="C9" s="3">
        <v>10</v>
      </c>
      <c r="D9" s="12">
        <v>2019</v>
      </c>
      <c r="E9" s="13" t="s">
        <v>167</v>
      </c>
      <c r="F9" s="12">
        <v>7.7909227967643713E-2</v>
      </c>
      <c r="G9" s="13" t="s">
        <v>193</v>
      </c>
      <c r="H9" s="12">
        <v>0.24162482260951298</v>
      </c>
      <c r="I9" s="13" t="s">
        <v>179</v>
      </c>
      <c r="J9" s="17">
        <f t="shared" si="1"/>
        <v>1.686569936015061</v>
      </c>
      <c r="K9" s="12">
        <v>158</v>
      </c>
      <c r="L9" s="12">
        <v>244</v>
      </c>
    </row>
    <row r="10" spans="1:12" s="16" customFormat="1" x14ac:dyDescent="0.35">
      <c r="A10" s="12" t="s">
        <v>11</v>
      </c>
      <c r="B10" s="15">
        <f t="shared" si="0"/>
        <v>9</v>
      </c>
      <c r="C10" s="3">
        <v>10</v>
      </c>
      <c r="D10" s="12">
        <v>2019</v>
      </c>
      <c r="E10" s="13" t="s">
        <v>168</v>
      </c>
      <c r="F10" s="12">
        <v>7.7909227967643713E-2</v>
      </c>
      <c r="G10" s="13" t="s">
        <v>194</v>
      </c>
      <c r="H10" s="12">
        <v>0.24162482260951298</v>
      </c>
      <c r="I10" s="13" t="s">
        <v>180</v>
      </c>
      <c r="J10" s="17">
        <f t="shared" si="1"/>
        <v>1.686569936015061</v>
      </c>
      <c r="K10" s="12">
        <v>154</v>
      </c>
      <c r="L10" s="12">
        <v>233</v>
      </c>
    </row>
    <row r="11" spans="1:12" s="16" customFormat="1" x14ac:dyDescent="0.35">
      <c r="A11" s="12" t="s">
        <v>11</v>
      </c>
      <c r="B11" s="15">
        <f t="shared" si="0"/>
        <v>10</v>
      </c>
      <c r="C11" s="3">
        <v>10</v>
      </c>
      <c r="D11" s="12">
        <v>2019</v>
      </c>
      <c r="E11" s="13" t="s">
        <v>169</v>
      </c>
      <c r="F11" s="12">
        <v>7.7909227967643713E-2</v>
      </c>
      <c r="G11" s="13" t="s">
        <v>195</v>
      </c>
      <c r="H11" s="12">
        <v>0.24162482260951298</v>
      </c>
      <c r="I11" s="13" t="s">
        <v>181</v>
      </c>
      <c r="J11" s="17">
        <f t="shared" si="1"/>
        <v>1.686569936015061</v>
      </c>
      <c r="K11" s="12">
        <v>175</v>
      </c>
      <c r="L11" s="12">
        <v>258</v>
      </c>
    </row>
    <row r="12" spans="1:12" s="16" customFormat="1" x14ac:dyDescent="0.35">
      <c r="A12" s="12" t="s">
        <v>11</v>
      </c>
      <c r="B12" s="15">
        <f t="shared" si="0"/>
        <v>11</v>
      </c>
      <c r="C12" s="3">
        <v>10</v>
      </c>
      <c r="D12" s="12">
        <v>2019</v>
      </c>
      <c r="E12" s="13" t="s">
        <v>170</v>
      </c>
      <c r="F12" s="12">
        <v>7.7909227967643713E-2</v>
      </c>
      <c r="G12" s="13" t="s">
        <v>196</v>
      </c>
      <c r="H12" s="12">
        <v>0.24162482260951298</v>
      </c>
      <c r="I12" s="13" t="s">
        <v>182</v>
      </c>
      <c r="J12" s="17">
        <f t="shared" si="1"/>
        <v>1.686569936015061</v>
      </c>
      <c r="K12" s="12">
        <v>160</v>
      </c>
      <c r="L12" s="12">
        <v>263</v>
      </c>
    </row>
    <row r="13" spans="1:12" s="16" customFormat="1" x14ac:dyDescent="0.35">
      <c r="A13" s="12" t="s">
        <v>11</v>
      </c>
      <c r="B13" s="15">
        <f t="shared" si="0"/>
        <v>12</v>
      </c>
      <c r="C13" s="3">
        <v>10</v>
      </c>
      <c r="D13" s="12">
        <v>2019</v>
      </c>
      <c r="E13" s="13" t="s">
        <v>162</v>
      </c>
      <c r="F13" s="12">
        <v>7.7909227967643713E-2</v>
      </c>
      <c r="G13" s="13" t="s">
        <v>197</v>
      </c>
      <c r="H13" s="12">
        <v>0.24162482260951298</v>
      </c>
      <c r="I13" s="13" t="s">
        <v>183</v>
      </c>
      <c r="J13" s="17">
        <f t="shared" si="1"/>
        <v>1.686569936015061</v>
      </c>
      <c r="K13" s="12">
        <v>143</v>
      </c>
      <c r="L13" s="12">
        <v>239</v>
      </c>
    </row>
    <row r="14" spans="1:12" s="16" customFormat="1" x14ac:dyDescent="0.35">
      <c r="A14" s="12" t="s">
        <v>11</v>
      </c>
      <c r="B14" s="15">
        <f t="shared" si="0"/>
        <v>13</v>
      </c>
      <c r="C14" s="3">
        <v>10</v>
      </c>
      <c r="D14" s="12">
        <v>2019</v>
      </c>
      <c r="E14" s="13" t="s">
        <v>171</v>
      </c>
      <c r="F14" s="12">
        <v>7.7909227967643713E-2</v>
      </c>
      <c r="G14" s="13" t="s">
        <v>198</v>
      </c>
      <c r="H14" s="12">
        <v>0.24162482260951298</v>
      </c>
      <c r="I14" s="13" t="s">
        <v>184</v>
      </c>
      <c r="J14" s="17">
        <f t="shared" si="1"/>
        <v>1.686569936015061</v>
      </c>
      <c r="K14" s="12">
        <v>161</v>
      </c>
      <c r="L14" s="12">
        <v>247</v>
      </c>
    </row>
    <row r="15" spans="1:12" s="16" customFormat="1" x14ac:dyDescent="0.35">
      <c r="A15" s="12" t="s">
        <v>11</v>
      </c>
      <c r="B15" s="15">
        <f t="shared" si="0"/>
        <v>14</v>
      </c>
      <c r="C15" s="3">
        <v>10</v>
      </c>
      <c r="D15" s="12">
        <v>2019</v>
      </c>
      <c r="E15" s="13" t="s">
        <v>172</v>
      </c>
      <c r="F15" s="12">
        <v>7.7909227967643713E-2</v>
      </c>
      <c r="G15" s="13" t="s">
        <v>194</v>
      </c>
      <c r="H15" s="12">
        <v>0.24162482260951298</v>
      </c>
      <c r="I15" s="13" t="s">
        <v>185</v>
      </c>
      <c r="J15" s="17">
        <f t="shared" si="1"/>
        <v>1.686569936015061</v>
      </c>
      <c r="K15" s="12">
        <v>173</v>
      </c>
      <c r="L15" s="12">
        <v>243</v>
      </c>
    </row>
    <row r="16" spans="1:12" s="16" customFormat="1" x14ac:dyDescent="0.35">
      <c r="A16" s="12" t="s">
        <v>11</v>
      </c>
      <c r="B16" s="15">
        <f t="shared" si="0"/>
        <v>15</v>
      </c>
      <c r="C16" s="3">
        <v>10</v>
      </c>
      <c r="D16" s="12">
        <v>2019</v>
      </c>
      <c r="E16" s="13" t="s">
        <v>168</v>
      </c>
      <c r="F16" s="12">
        <v>7.7909227967643713E-2</v>
      </c>
      <c r="G16" s="13" t="s">
        <v>194</v>
      </c>
      <c r="H16" s="12">
        <v>0.24162482260951298</v>
      </c>
      <c r="I16" s="13" t="s">
        <v>180</v>
      </c>
      <c r="J16" s="17">
        <f t="shared" si="1"/>
        <v>1.686569936015061</v>
      </c>
      <c r="K16" s="12">
        <v>154</v>
      </c>
      <c r="L16" s="12">
        <v>233</v>
      </c>
    </row>
    <row r="17" spans="1:12" s="16" customFormat="1" x14ac:dyDescent="0.35">
      <c r="A17" s="12" t="s">
        <v>11</v>
      </c>
      <c r="B17" s="15">
        <f t="shared" si="0"/>
        <v>16</v>
      </c>
      <c r="C17" s="3">
        <v>10</v>
      </c>
      <c r="D17" s="12">
        <v>2019</v>
      </c>
      <c r="E17" s="13" t="s">
        <v>169</v>
      </c>
      <c r="F17" s="12">
        <v>7.7909227967643713E-2</v>
      </c>
      <c r="G17" s="13" t="s">
        <v>195</v>
      </c>
      <c r="H17" s="12">
        <v>0.24162482260951298</v>
      </c>
      <c r="I17" s="13" t="s">
        <v>181</v>
      </c>
      <c r="J17" s="17">
        <f t="shared" si="1"/>
        <v>1.686569936015061</v>
      </c>
      <c r="K17" s="12">
        <v>175</v>
      </c>
      <c r="L17" s="12">
        <v>258</v>
      </c>
    </row>
    <row r="18" spans="1:12" s="16" customFormat="1" x14ac:dyDescent="0.35">
      <c r="A18" s="12" t="s">
        <v>11</v>
      </c>
      <c r="B18" s="15">
        <f t="shared" si="0"/>
        <v>17</v>
      </c>
      <c r="C18" s="3">
        <v>10</v>
      </c>
      <c r="D18" s="12">
        <v>2019</v>
      </c>
      <c r="E18" s="13" t="s">
        <v>170</v>
      </c>
      <c r="F18" s="12">
        <v>7.7909227967643713E-2</v>
      </c>
      <c r="G18" s="13" t="s">
        <v>196</v>
      </c>
      <c r="H18" s="12">
        <v>0.24162482260951298</v>
      </c>
      <c r="I18" s="13" t="s">
        <v>182</v>
      </c>
      <c r="J18" s="17">
        <f t="shared" si="1"/>
        <v>1.686569936015061</v>
      </c>
      <c r="K18" s="12">
        <v>160</v>
      </c>
      <c r="L18" s="12">
        <v>263</v>
      </c>
    </row>
    <row r="19" spans="1:12" s="16" customFormat="1" x14ac:dyDescent="0.35">
      <c r="A19" s="12" t="s">
        <v>11</v>
      </c>
      <c r="B19" s="15">
        <f t="shared" si="0"/>
        <v>18</v>
      </c>
      <c r="C19" s="3">
        <v>10</v>
      </c>
      <c r="D19" s="12">
        <v>2019</v>
      </c>
      <c r="E19" s="13" t="s">
        <v>162</v>
      </c>
      <c r="F19" s="12">
        <v>7.7909227967643713E-2</v>
      </c>
      <c r="G19" s="13" t="s">
        <v>197</v>
      </c>
      <c r="H19" s="12">
        <v>0.24162482260951298</v>
      </c>
      <c r="I19" s="13" t="s">
        <v>183</v>
      </c>
      <c r="J19" s="17">
        <f t="shared" si="1"/>
        <v>1.686569936015061</v>
      </c>
      <c r="K19" s="12">
        <v>143</v>
      </c>
      <c r="L19" s="12">
        <v>239</v>
      </c>
    </row>
    <row r="20" spans="1:12" s="16" customFormat="1" x14ac:dyDescent="0.35">
      <c r="A20" s="12" t="s">
        <v>11</v>
      </c>
      <c r="B20" s="15">
        <f t="shared" si="0"/>
        <v>19</v>
      </c>
      <c r="C20" s="3">
        <v>10</v>
      </c>
      <c r="D20" s="12">
        <v>2019</v>
      </c>
      <c r="E20" s="13" t="s">
        <v>171</v>
      </c>
      <c r="F20" s="12">
        <v>7.7909227967643713E-2</v>
      </c>
      <c r="G20" s="13" t="s">
        <v>198</v>
      </c>
      <c r="H20" s="12">
        <v>0.24162482260951298</v>
      </c>
      <c r="I20" s="13" t="s">
        <v>184</v>
      </c>
      <c r="J20" s="17">
        <f t="shared" si="1"/>
        <v>1.686569936015061</v>
      </c>
      <c r="K20" s="12">
        <v>161</v>
      </c>
      <c r="L20" s="12">
        <v>247</v>
      </c>
    </row>
    <row r="21" spans="1:12" s="16" customFormat="1" x14ac:dyDescent="0.35">
      <c r="A21" s="12" t="s">
        <v>11</v>
      </c>
      <c r="B21" s="15">
        <f t="shared" si="0"/>
        <v>20</v>
      </c>
      <c r="C21" s="3">
        <v>10</v>
      </c>
      <c r="D21" s="12">
        <v>2019</v>
      </c>
      <c r="E21" s="13" t="s">
        <v>172</v>
      </c>
      <c r="F21" s="12">
        <v>7.7909227967643713E-2</v>
      </c>
      <c r="G21" s="13" t="s">
        <v>194</v>
      </c>
      <c r="H21" s="12">
        <v>0.24162482260951298</v>
      </c>
      <c r="I21" s="13" t="s">
        <v>185</v>
      </c>
      <c r="J21" s="17">
        <f t="shared" si="1"/>
        <v>1.686569936015061</v>
      </c>
      <c r="K21" s="12">
        <v>173</v>
      </c>
      <c r="L21" s="12">
        <v>243</v>
      </c>
    </row>
    <row r="22" spans="1:12" s="16" customFormat="1" x14ac:dyDescent="0.35">
      <c r="A22" s="12" t="s">
        <v>11</v>
      </c>
      <c r="B22" s="15">
        <f t="shared" si="0"/>
        <v>21</v>
      </c>
      <c r="C22" s="3">
        <v>10</v>
      </c>
      <c r="D22" s="12">
        <v>2019</v>
      </c>
      <c r="E22" s="13">
        <v>0</v>
      </c>
      <c r="F22" s="12">
        <v>7.7909227967643713E-2</v>
      </c>
      <c r="G22" s="13">
        <v>0</v>
      </c>
      <c r="H22" s="12">
        <v>0.24162482260951298</v>
      </c>
      <c r="I22" s="13">
        <v>0</v>
      </c>
      <c r="J22" s="17">
        <f t="shared" si="1"/>
        <v>1.686569936015061</v>
      </c>
      <c r="K22" s="12">
        <v>0</v>
      </c>
      <c r="L22" s="12">
        <v>0</v>
      </c>
    </row>
    <row r="23" spans="1:12" s="16" customFormat="1" x14ac:dyDescent="0.35">
      <c r="A23" s="12" t="s">
        <v>11</v>
      </c>
      <c r="B23" s="15">
        <f t="shared" si="0"/>
        <v>22</v>
      </c>
      <c r="C23" s="3">
        <v>10</v>
      </c>
      <c r="D23" s="12">
        <v>2019</v>
      </c>
      <c r="E23" s="13">
        <v>0</v>
      </c>
      <c r="F23" s="12">
        <v>7.7909227967643713E-2</v>
      </c>
      <c r="G23" s="13">
        <v>0</v>
      </c>
      <c r="H23" s="12">
        <v>0.24162482260951298</v>
      </c>
      <c r="I23" s="13">
        <v>0</v>
      </c>
      <c r="J23" s="17">
        <f t="shared" si="1"/>
        <v>1.686569936015061</v>
      </c>
      <c r="K23" s="12">
        <v>0</v>
      </c>
      <c r="L23" s="12">
        <v>0</v>
      </c>
    </row>
    <row r="24" spans="1:12" s="16" customFormat="1" x14ac:dyDescent="0.35">
      <c r="A24" s="12" t="s">
        <v>11</v>
      </c>
      <c r="B24" s="15">
        <f t="shared" si="0"/>
        <v>23</v>
      </c>
      <c r="C24" s="3">
        <v>10</v>
      </c>
      <c r="D24" s="12">
        <v>2019</v>
      </c>
      <c r="E24" s="13">
        <v>0</v>
      </c>
      <c r="F24" s="12">
        <v>7.7909227967643713E-2</v>
      </c>
      <c r="G24" s="13">
        <v>0</v>
      </c>
      <c r="H24" s="12">
        <v>0.24162482260951298</v>
      </c>
      <c r="I24" s="13">
        <v>0</v>
      </c>
      <c r="J24" s="17">
        <f t="shared" si="1"/>
        <v>1.686569936015061</v>
      </c>
      <c r="K24" s="12">
        <v>0</v>
      </c>
      <c r="L24" s="12">
        <v>0</v>
      </c>
    </row>
    <row r="25" spans="1:12" s="16" customFormat="1" x14ac:dyDescent="0.35">
      <c r="A25" s="12" t="s">
        <v>11</v>
      </c>
      <c r="B25" s="15">
        <f t="shared" si="0"/>
        <v>24</v>
      </c>
      <c r="C25" s="3">
        <v>10</v>
      </c>
      <c r="D25" s="12">
        <v>2019</v>
      </c>
      <c r="E25" s="13">
        <v>0</v>
      </c>
      <c r="F25" s="12">
        <v>7.7909227967643713E-2</v>
      </c>
      <c r="G25" s="13">
        <v>0</v>
      </c>
      <c r="H25" s="12">
        <v>0.24162482260951298</v>
      </c>
      <c r="I25" s="13">
        <v>0</v>
      </c>
      <c r="J25" s="17">
        <f t="shared" si="1"/>
        <v>1.686569936015061</v>
      </c>
      <c r="K25" s="12">
        <v>0</v>
      </c>
      <c r="L25" s="12">
        <v>0</v>
      </c>
    </row>
    <row r="26" spans="1:12" s="16" customFormat="1" x14ac:dyDescent="0.35">
      <c r="A26" s="12" t="s">
        <v>11</v>
      </c>
      <c r="B26" s="15">
        <f>B25+1</f>
        <v>25</v>
      </c>
      <c r="C26" s="3">
        <v>10</v>
      </c>
      <c r="D26" s="12">
        <v>2019</v>
      </c>
      <c r="E26" s="13">
        <v>0</v>
      </c>
      <c r="F26" s="12">
        <v>7.7909227967643713E-2</v>
      </c>
      <c r="G26" s="13">
        <v>0</v>
      </c>
      <c r="H26" s="12">
        <v>0.24162482260951298</v>
      </c>
      <c r="I26" s="13">
        <v>0</v>
      </c>
      <c r="J26" s="17">
        <f t="shared" si="1"/>
        <v>1.686569936015061</v>
      </c>
      <c r="K26" s="12">
        <v>0</v>
      </c>
      <c r="L26" s="12">
        <v>0</v>
      </c>
    </row>
    <row r="27" spans="1:12" s="16" customFormat="1" x14ac:dyDescent="0.35">
      <c r="A27" s="12" t="s">
        <v>11</v>
      </c>
      <c r="B27" s="15">
        <f t="shared" si="0"/>
        <v>26</v>
      </c>
      <c r="C27" s="3">
        <v>10</v>
      </c>
      <c r="D27" s="12">
        <v>2019</v>
      </c>
      <c r="E27" s="13">
        <v>0</v>
      </c>
      <c r="F27" s="12">
        <v>7.7909227967643713E-2</v>
      </c>
      <c r="G27" s="13">
        <v>0</v>
      </c>
      <c r="H27" s="12">
        <v>0.24162482260951298</v>
      </c>
      <c r="I27" s="13">
        <v>0</v>
      </c>
      <c r="J27" s="17">
        <f t="shared" si="1"/>
        <v>1.686569936015061</v>
      </c>
      <c r="K27" s="12">
        <v>0</v>
      </c>
      <c r="L27" s="12">
        <v>0</v>
      </c>
    </row>
    <row r="28" spans="1:12" s="16" customFormat="1" x14ac:dyDescent="0.35">
      <c r="A28" s="12" t="s">
        <v>11</v>
      </c>
      <c r="B28" s="15">
        <f t="shared" si="0"/>
        <v>27</v>
      </c>
      <c r="C28" s="3">
        <v>10</v>
      </c>
      <c r="D28" s="12">
        <v>2019</v>
      </c>
      <c r="E28" s="13">
        <v>0</v>
      </c>
      <c r="F28" s="12">
        <v>7.7909227967643713E-2</v>
      </c>
      <c r="G28" s="13">
        <v>0</v>
      </c>
      <c r="H28" s="12">
        <v>0.24162482260951298</v>
      </c>
      <c r="I28" s="13">
        <v>0</v>
      </c>
      <c r="J28" s="17">
        <f t="shared" si="1"/>
        <v>1.686569936015061</v>
      </c>
      <c r="K28" s="12">
        <v>0</v>
      </c>
      <c r="L28" s="12">
        <v>0</v>
      </c>
    </row>
    <row r="29" spans="1:12" s="16" customFormat="1" x14ac:dyDescent="0.35">
      <c r="A29" s="12" t="s">
        <v>11</v>
      </c>
      <c r="B29" s="15">
        <f t="shared" si="0"/>
        <v>28</v>
      </c>
      <c r="C29" s="3">
        <v>10</v>
      </c>
      <c r="D29" s="12">
        <v>2019</v>
      </c>
      <c r="E29" s="13">
        <v>0</v>
      </c>
      <c r="F29" s="12">
        <v>7.7909227967643713E-2</v>
      </c>
      <c r="G29" s="13">
        <v>0</v>
      </c>
      <c r="H29" s="12">
        <v>0.24162482260951298</v>
      </c>
      <c r="I29" s="13">
        <v>0</v>
      </c>
      <c r="J29" s="17">
        <f t="shared" si="1"/>
        <v>1.686569936015061</v>
      </c>
      <c r="K29" s="12">
        <v>0</v>
      </c>
      <c r="L29" s="12">
        <v>0</v>
      </c>
    </row>
    <row r="30" spans="1:12" s="16" customFormat="1" x14ac:dyDescent="0.35">
      <c r="A30" s="12" t="s">
        <v>11</v>
      </c>
      <c r="B30" s="15">
        <f t="shared" si="0"/>
        <v>29</v>
      </c>
      <c r="C30" s="3">
        <v>10</v>
      </c>
      <c r="D30" s="12">
        <v>2019</v>
      </c>
      <c r="E30" s="13">
        <v>0</v>
      </c>
      <c r="F30" s="12">
        <v>7.7909227967643713E-2</v>
      </c>
      <c r="G30" s="13">
        <v>0</v>
      </c>
      <c r="H30" s="12">
        <v>0.24162482260951298</v>
      </c>
      <c r="I30" s="13">
        <v>0</v>
      </c>
      <c r="J30" s="17">
        <f t="shared" si="1"/>
        <v>1.686569936015061</v>
      </c>
      <c r="K30" s="12">
        <v>0</v>
      </c>
      <c r="L30" s="12">
        <v>0</v>
      </c>
    </row>
    <row r="31" spans="1:12" s="14" customFormat="1" x14ac:dyDescent="0.35">
      <c r="A31" s="12" t="s">
        <v>11</v>
      </c>
      <c r="B31" s="15">
        <f t="shared" si="0"/>
        <v>30</v>
      </c>
      <c r="C31" s="3">
        <v>10</v>
      </c>
      <c r="D31" s="12">
        <v>2019</v>
      </c>
      <c r="E31" s="13">
        <v>0</v>
      </c>
      <c r="F31" s="12">
        <v>7.7909227967643713E-2</v>
      </c>
      <c r="G31" s="13">
        <v>0</v>
      </c>
      <c r="H31" s="12">
        <v>0.24162482260951298</v>
      </c>
      <c r="I31" s="13">
        <v>0</v>
      </c>
      <c r="J31" s="17">
        <f t="shared" si="1"/>
        <v>1.686569936015061</v>
      </c>
      <c r="K31" s="12">
        <v>0</v>
      </c>
      <c r="L31" s="12">
        <v>0</v>
      </c>
    </row>
    <row r="32" spans="1:12" x14ac:dyDescent="0.35">
      <c r="A32" s="12" t="s">
        <v>11</v>
      </c>
      <c r="B32" s="15">
        <f t="shared" si="0"/>
        <v>31</v>
      </c>
      <c r="C32" s="3">
        <v>10</v>
      </c>
      <c r="D32" s="12">
        <v>2019</v>
      </c>
      <c r="E32" s="13">
        <v>0</v>
      </c>
      <c r="F32" s="12">
        <v>7.7909227967643713E-2</v>
      </c>
      <c r="G32" s="13">
        <v>0</v>
      </c>
      <c r="H32" s="12">
        <v>0.24162482260951298</v>
      </c>
      <c r="I32" s="13">
        <v>0</v>
      </c>
      <c r="J32" s="17">
        <f t="shared" si="1"/>
        <v>1.686569936015061</v>
      </c>
      <c r="K32" s="12">
        <v>0</v>
      </c>
      <c r="L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A1:AG57"/>
  <sheetViews>
    <sheetView workbookViewId="0">
      <selection activeCell="B2" sqref="B2"/>
    </sheetView>
  </sheetViews>
  <sheetFormatPr defaultColWidth="11.54296875" defaultRowHeight="14.5" x14ac:dyDescent="0.35"/>
  <cols>
    <col min="1" max="2" width="11.54296875" style="2"/>
    <col min="3" max="3" width="11.54296875" style="11"/>
    <col min="4" max="20" width="13.453125" style="2" customWidth="1"/>
    <col min="21" max="21" width="13" style="9" customWidth="1"/>
    <col min="22" max="22" width="12.54296875" style="2" customWidth="1"/>
    <col min="23" max="27" width="13" style="4" customWidth="1"/>
    <col min="28" max="32" width="11.54296875" style="2"/>
  </cols>
  <sheetData>
    <row r="1" spans="1:33" s="114" customFormat="1" ht="58" x14ac:dyDescent="0.35">
      <c r="A1" s="6" t="s">
        <v>0</v>
      </c>
      <c r="B1" s="6" t="s">
        <v>1</v>
      </c>
      <c r="C1" s="113" t="s">
        <v>2</v>
      </c>
      <c r="D1" s="6" t="s">
        <v>3</v>
      </c>
      <c r="E1" s="6" t="s">
        <v>129</v>
      </c>
      <c r="F1" s="6" t="s">
        <v>143</v>
      </c>
      <c r="G1" s="6" t="s">
        <v>144</v>
      </c>
      <c r="H1" s="6" t="s">
        <v>130</v>
      </c>
      <c r="I1" s="6" t="s">
        <v>131</v>
      </c>
      <c r="J1" s="6" t="s">
        <v>132</v>
      </c>
      <c r="K1" s="6" t="s">
        <v>133</v>
      </c>
      <c r="L1" s="6" t="s">
        <v>145</v>
      </c>
      <c r="M1" s="6" t="s">
        <v>142</v>
      </c>
      <c r="N1" s="6" t="s">
        <v>146</v>
      </c>
      <c r="O1" s="6" t="s">
        <v>147</v>
      </c>
      <c r="P1" s="6" t="s">
        <v>148</v>
      </c>
      <c r="Q1" s="6" t="s">
        <v>149</v>
      </c>
      <c r="R1" s="6" t="s">
        <v>150</v>
      </c>
      <c r="S1" s="6" t="s">
        <v>151</v>
      </c>
      <c r="T1" s="6" t="s">
        <v>152</v>
      </c>
      <c r="U1" s="6" t="s">
        <v>153</v>
      </c>
      <c r="V1" s="6" t="s">
        <v>154</v>
      </c>
      <c r="W1" s="7" t="s">
        <v>155</v>
      </c>
      <c r="X1" s="7" t="s">
        <v>134</v>
      </c>
      <c r="Y1" s="7" t="s">
        <v>135</v>
      </c>
      <c r="Z1" s="7" t="s">
        <v>156</v>
      </c>
      <c r="AA1" s="7" t="s">
        <v>159</v>
      </c>
      <c r="AB1" s="6" t="s">
        <v>136</v>
      </c>
      <c r="AC1" s="6" t="s">
        <v>141</v>
      </c>
      <c r="AD1" s="6" t="s">
        <v>157</v>
      </c>
      <c r="AE1" s="6" t="s">
        <v>158</v>
      </c>
      <c r="AF1" s="6" t="s">
        <v>7</v>
      </c>
      <c r="AG1" s="6" t="s">
        <v>139</v>
      </c>
    </row>
    <row r="2" spans="1:33" s="14" customFormat="1" ht="12.5" x14ac:dyDescent="0.25">
      <c r="A2" s="12" t="s">
        <v>11</v>
      </c>
      <c r="B2" s="12">
        <v>1</v>
      </c>
      <c r="C2" s="3">
        <v>5</v>
      </c>
      <c r="D2" s="12">
        <v>2019</v>
      </c>
      <c r="E2" s="12">
        <f>IF(('FS Budapest'!C5-'FS Budapest'!C4)&lt;0,"0",('FS Budapest'!C5-'FS Budapest'!C4))</f>
        <v>68</v>
      </c>
      <c r="F2" s="12">
        <f>IF(('FS Budapest'!D5-'FS Budapest'!D4)&lt;0,"0",('FS Budapest'!D5-'FS Budapest'!D4))</f>
        <v>83</v>
      </c>
      <c r="G2" s="12">
        <f>IF(('FS Budapest'!E5-'FS Budapest'!Y5)&lt;0,"0",('FS Budapest'!E5-'FS Budapest'!Y5))</f>
        <v>55</v>
      </c>
      <c r="H2" s="12">
        <f>IF(('FS Budapest'!H5-'FS Budapest'!H4)&lt;0,"0",('FS Budapest'!H5-'FS Budapest'!H4))</f>
        <v>58</v>
      </c>
      <c r="I2" s="12">
        <f>IF(('FS Budapest'!I5-'FS Budapest'!I4)&lt;0,"0",('FS Budapest'!I5-'FS Budapest'!I4))</f>
        <v>21</v>
      </c>
      <c r="J2" s="12">
        <f>IF(('FS Budapest'!K5-'FS Budapest'!K4)&lt;0,"0",('FS Budapest'!K5-'FS Budapest'!K4))</f>
        <v>6</v>
      </c>
      <c r="K2" s="12">
        <f>IF(('FS Budapest'!M5-'FS Budapest'!M4)&lt;0,"0",('FS Budapest'!M5-'FS Budapest'!M4))</f>
        <v>8</v>
      </c>
      <c r="L2" s="12">
        <f>IF(('FS Budapest'!O5-'FS Budapest'!O4)&lt;0,"0",('FS Budapest'!O5-'FS Budapest'!O4))</f>
        <v>13</v>
      </c>
      <c r="M2" s="12">
        <f>IF(('FS Budapest'!Q5-'FS Budapest'!Q4)&lt;0,"0",('FS Budapest'!Q5-'FS Budapest'!Q4))</f>
        <v>3</v>
      </c>
      <c r="N2" s="12">
        <f>IF(('FS Budapest'!S5-'FS Budapest'!S4)&lt;0,"0",('FS Budapest'!S5-'FS Budapest'!S4))</f>
        <v>1</v>
      </c>
      <c r="O2" s="12">
        <f>IF(('FS Budapest'!V5-'FS Budapest'!V4)&lt;0,"0",('FS Budapest'!V5-'FS Budapest'!V4))</f>
        <v>6</v>
      </c>
      <c r="P2" s="12">
        <f>IF(('FS Budapest'!X5-'FS Budapest'!X4)&lt;0,"0",('FS Budapest'!X5-'FS Budapest'!X4))</f>
        <v>28</v>
      </c>
      <c r="Q2" s="12">
        <f>'FS Budapest'!AB5</f>
        <v>4</v>
      </c>
      <c r="R2" s="12">
        <f>'FS Budapest'!AE5</f>
        <v>0</v>
      </c>
      <c r="S2" s="12">
        <f>'FS Budapest'!AF5</f>
        <v>10</v>
      </c>
      <c r="T2" s="12">
        <f>IF(('FS Budapest'!AK5-'FS Budapest'!AK4)&lt;0,"0",('FS Budapest'!AK5-'FS Budapest'!AK4))</f>
        <v>1683</v>
      </c>
      <c r="U2" s="12">
        <f>IF(('FS Budapest'!AM5-'FS Budapest'!AM4)&lt;0,"0",('FS Budapest'!AM5-'FS Budapest'!AM4))</f>
        <v>40</v>
      </c>
      <c r="V2" s="12">
        <f>IF(('FS Budapest'!AO5-'FS Budapest'!AO4)&lt;0,"0",('FS Budapest'!AO5-'FS Budapest'!AO4))</f>
        <v>0</v>
      </c>
      <c r="W2" s="12">
        <f>IF(('FS Budapest'!AQ5-'FS Budapest'!AQ4)&lt;0,"0",('FS Budapest'!AQ5-'FS Budapest'!AQ4))</f>
        <v>485</v>
      </c>
      <c r="X2" s="12">
        <f>'FS Budapest'!AY5</f>
        <v>0</v>
      </c>
      <c r="Y2" s="12">
        <f>IF(('FS Budapest'!BA5-'FS Budapest'!BA4)&lt;0,"0",('FS Budapest'!BA5-'FS Budapest'!BA4)*4400)</f>
        <v>18172.000000004482</v>
      </c>
      <c r="Z2" s="12">
        <f>'FS Budapest'!BI5</f>
        <v>18172.000000004482</v>
      </c>
      <c r="AA2" s="12">
        <f>'FS Budapest'!BJ5</f>
        <v>15379.000000004482</v>
      </c>
      <c r="AB2" s="12">
        <f>IF(('FS Budapest'!BK5-'FS Budapest'!BK4)&lt;0,"0",('FS Budapest'!BK5-'FS Budapest'!BK4)*100)</f>
        <v>461.00000000005821</v>
      </c>
      <c r="AC2" s="12">
        <f>'FS Budapest'!BM5</f>
        <v>18633.00000000454</v>
      </c>
      <c r="AD2" s="12">
        <f>IF(('FS Budapest'!BP5-'FS Budapest'!BP4)&lt;0,"0",('FS Budapest'!BP5-'FS Budapest'!BP4))</f>
        <v>19</v>
      </c>
      <c r="AE2" s="12">
        <f>IF(('FS Budapest'!BR5-'FS Budapest'!BR4)&lt;0,"0",('FS Budapest'!BR5-'FS Budapest'!BR4))</f>
        <v>2774</v>
      </c>
      <c r="AF2" s="12">
        <f>'FS Budapest'!BU5</f>
        <v>99</v>
      </c>
      <c r="AG2" s="12">
        <f>'FS Budapest'!BV5</f>
        <v>171</v>
      </c>
    </row>
    <row r="3" spans="1:33" s="16" customFormat="1" x14ac:dyDescent="0.35">
      <c r="A3" s="12" t="s">
        <v>11</v>
      </c>
      <c r="B3" s="15">
        <f>B2+1</f>
        <v>2</v>
      </c>
      <c r="C3" s="3">
        <v>5</v>
      </c>
      <c r="D3" s="12">
        <v>2019</v>
      </c>
      <c r="E3" s="12">
        <f>IF(('FS Budapest'!C6-'FS Budapest'!C5)&lt;0,"0",('FS Budapest'!C6-'FS Budapest'!C5))</f>
        <v>84</v>
      </c>
      <c r="F3" s="12">
        <f>IF(('FS Budapest'!D6-'FS Budapest'!D5)&lt;0,"0",('FS Budapest'!D6-'FS Budapest'!D5))</f>
        <v>105</v>
      </c>
      <c r="G3" s="12">
        <f>IF(('FS Budapest'!E6-'FS Budapest'!Y6)&lt;0,"0",('FS Budapest'!E6-'FS Budapest'!Y6))</f>
        <v>72</v>
      </c>
      <c r="H3" s="12">
        <f>IF(('FS Budapest'!H6-'FS Budapest'!H5)&lt;0,"0",('FS Budapest'!H6-'FS Budapest'!H5))</f>
        <v>108</v>
      </c>
      <c r="I3" s="12">
        <f>IF(('FS Budapest'!I6-'FS Budapest'!I5)&lt;0,"0",('FS Budapest'!I6-'FS Budapest'!I5))</f>
        <v>25</v>
      </c>
      <c r="J3" s="12">
        <f>IF(('FS Budapest'!K6-'FS Budapest'!K5)&lt;0,"0",('FS Budapest'!K6-'FS Budapest'!K5))</f>
        <v>8</v>
      </c>
      <c r="K3" s="12">
        <f>IF(('FS Budapest'!M6-'FS Budapest'!M5)&lt;0,"0",('FS Budapest'!M6-'FS Budapest'!M5))</f>
        <v>10</v>
      </c>
      <c r="L3" s="12">
        <f>IF(('FS Budapest'!O6-'FS Budapest'!O5)&lt;0,"0",('FS Budapest'!O6-'FS Budapest'!O5))</f>
        <v>19</v>
      </c>
      <c r="M3" s="12">
        <f>IF(('FS Budapest'!Q6-'FS Budapest'!Q5)&lt;0,"0",('FS Budapest'!Q6-'FS Budapest'!Q5))</f>
        <v>2</v>
      </c>
      <c r="N3" s="12">
        <f>IF(('FS Budapest'!S6-'FS Budapest'!S5)&lt;0,"0",('FS Budapest'!S6-'FS Budapest'!S5))</f>
        <v>1</v>
      </c>
      <c r="O3" s="12">
        <f>IF(('FS Budapest'!V6-'FS Budapest'!V5)&lt;0,"0",('FS Budapest'!V6-'FS Budapest'!V5))</f>
        <v>7</v>
      </c>
      <c r="P3" s="12">
        <f>IF(('FS Budapest'!X6-'FS Budapest'!X5)&lt;0,"0",('FS Budapest'!X6-'FS Budapest'!X5))</f>
        <v>33</v>
      </c>
      <c r="Q3" s="12">
        <f>'FS Budapest'!AB6</f>
        <v>3</v>
      </c>
      <c r="R3" s="12">
        <f>'FS Budapest'!AE6</f>
        <v>3</v>
      </c>
      <c r="S3" s="12">
        <f>'FS Budapest'!AF6</f>
        <v>10</v>
      </c>
      <c r="T3" s="12">
        <f>IF(('FS Budapest'!AK6-'FS Budapest'!AK5)&lt;0,"0",('FS Budapest'!AK6-'FS Budapest'!AK5))</f>
        <v>1491</v>
      </c>
      <c r="U3" s="12">
        <f>IF(('FS Budapest'!AM6-'FS Budapest'!AM5)&lt;0,"0",('FS Budapest'!AM6-'FS Budapest'!AM5))</f>
        <v>33</v>
      </c>
      <c r="V3" s="12">
        <f>IF(('FS Budapest'!AO6-'FS Budapest'!AO5)&lt;0,"0",('FS Budapest'!AO6-'FS Budapest'!AO5))</f>
        <v>0</v>
      </c>
      <c r="W3" s="12">
        <f>IF(('FS Budapest'!AQ6-'FS Budapest'!AQ5)&lt;0,"0",('FS Budapest'!AQ6-'FS Budapest'!AQ5))</f>
        <v>501</v>
      </c>
      <c r="X3" s="12">
        <f>'FS Budapest'!AY6</f>
        <v>0</v>
      </c>
      <c r="Y3" s="12">
        <f>IF(('FS Budapest'!BA6-'FS Budapest'!BA5)&lt;0,"0",('FS Budapest'!BA6-'FS Budapest'!BA5)*4400)</f>
        <v>19403.99999999936</v>
      </c>
      <c r="Z3" s="12">
        <f>'FS Budapest'!BI6</f>
        <v>19403.99999999936</v>
      </c>
      <c r="AA3" s="12">
        <f>'FS Budapest'!BJ6</f>
        <v>16711.99999999936</v>
      </c>
      <c r="AB3" s="12">
        <f>IF(('FS Budapest'!BK6-'FS Budapest'!BK5)&lt;0,"0",('FS Budapest'!BK6-'FS Budapest'!BK5)*100)</f>
        <v>584.00000000001455</v>
      </c>
      <c r="AC3" s="12">
        <f>'FS Budapest'!BM6</f>
        <v>19987.999999999374</v>
      </c>
      <c r="AD3" s="12">
        <f>IF(('FS Budapest'!BP6-'FS Budapest'!BP5)&lt;0,"0",('FS Budapest'!BP6-'FS Budapest'!BP5))</f>
        <v>19</v>
      </c>
      <c r="AE3" s="12">
        <f>IF(('FS Budapest'!BR6-'FS Budapest'!BR5)&lt;0,"0",('FS Budapest'!BR6-'FS Budapest'!BR5))</f>
        <v>2673</v>
      </c>
      <c r="AF3" s="12">
        <f>'FS Budapest'!BU6</f>
        <v>179</v>
      </c>
      <c r="AG3" s="12">
        <f>'FS Budapest'!BV6</f>
        <v>322</v>
      </c>
    </row>
    <row r="4" spans="1:33" s="16" customFormat="1" x14ac:dyDescent="0.35">
      <c r="A4" s="12" t="s">
        <v>11</v>
      </c>
      <c r="B4" s="15">
        <f t="shared" ref="B4:B32" si="0">B3+1</f>
        <v>3</v>
      </c>
      <c r="C4" s="3">
        <v>5</v>
      </c>
      <c r="D4" s="12">
        <v>2019</v>
      </c>
      <c r="E4" s="12">
        <f>IF(('FS Budapest'!C7-'FS Budapest'!C6)&lt;0,"0",('FS Budapest'!C7-'FS Budapest'!C6))</f>
        <v>84</v>
      </c>
      <c r="F4" s="12">
        <f>IF(('FS Budapest'!D7-'FS Budapest'!D6)&lt;0,"0",('FS Budapest'!D7-'FS Budapest'!D6))</f>
        <v>103</v>
      </c>
      <c r="G4" s="12">
        <f>IF(('FS Budapest'!E7-'FS Budapest'!Y7)&lt;0,"0",('FS Budapest'!E7-'FS Budapest'!Y7))</f>
        <v>78</v>
      </c>
      <c r="H4" s="12">
        <f>IF(('FS Budapest'!H7-'FS Budapest'!H6)&lt;0,"0",('FS Budapest'!H7-'FS Budapest'!H6))</f>
        <v>95</v>
      </c>
      <c r="I4" s="12">
        <f>IF(('FS Budapest'!I7-'FS Budapest'!I6)&lt;0,"0",('FS Budapest'!I7-'FS Budapest'!I6))</f>
        <v>24</v>
      </c>
      <c r="J4" s="12">
        <f>IF(('FS Budapest'!K7-'FS Budapest'!K6)&lt;0,"0",('FS Budapest'!K7-'FS Budapest'!K6))</f>
        <v>7</v>
      </c>
      <c r="K4" s="12">
        <f>IF(('FS Budapest'!M7-'FS Budapest'!M6)&lt;0,"0",('FS Budapest'!M7-'FS Budapest'!M6))</f>
        <v>8</v>
      </c>
      <c r="L4" s="12">
        <f>IF(('FS Budapest'!O7-'FS Budapest'!O6)&lt;0,"0",('FS Budapest'!O7-'FS Budapest'!O6))</f>
        <v>25</v>
      </c>
      <c r="M4" s="12">
        <f>IF(('FS Budapest'!Q7-'FS Budapest'!Q6)&lt;0,"0",('FS Budapest'!Q7-'FS Budapest'!Q6))</f>
        <v>3</v>
      </c>
      <c r="N4" s="12">
        <f>IF(('FS Budapest'!S7-'FS Budapest'!S6)&lt;0,"0",('FS Budapest'!S7-'FS Budapest'!S6))</f>
        <v>2</v>
      </c>
      <c r="O4" s="12">
        <f>IF(('FS Budapest'!V7-'FS Budapest'!V6)&lt;0,"0",('FS Budapest'!V7-'FS Budapest'!V6))</f>
        <v>7</v>
      </c>
      <c r="P4" s="12">
        <f>IF(('FS Budapest'!X7-'FS Budapest'!X6)&lt;0,"0",('FS Budapest'!X7-'FS Budapest'!X6))</f>
        <v>25</v>
      </c>
      <c r="Q4" s="12">
        <f>'FS Budapest'!AB7</f>
        <v>4</v>
      </c>
      <c r="R4" s="12">
        <f>'FS Budapest'!AE7</f>
        <v>1</v>
      </c>
      <c r="S4" s="12">
        <f>'FS Budapest'!AF7</f>
        <v>12</v>
      </c>
      <c r="T4" s="12">
        <f>IF(('FS Budapest'!AK7-'FS Budapest'!AK6)&lt;0,"0",('FS Budapest'!AK7-'FS Budapest'!AK6))</f>
        <v>1359</v>
      </c>
      <c r="U4" s="12">
        <f>IF(('FS Budapest'!AM7-'FS Budapest'!AM6)&lt;0,"0",('FS Budapest'!AM7-'FS Budapest'!AM6))</f>
        <v>39</v>
      </c>
      <c r="V4" s="12">
        <f>IF(('FS Budapest'!AO7-'FS Budapest'!AO6)&lt;0,"0",('FS Budapest'!AO7-'FS Budapest'!AO6))</f>
        <v>0</v>
      </c>
      <c r="W4" s="12">
        <f>IF(('FS Budapest'!AQ7-'FS Budapest'!AQ6)&lt;0,"0",('FS Budapest'!AQ7-'FS Budapest'!AQ6))</f>
        <v>514</v>
      </c>
      <c r="X4" s="12">
        <f>'FS Budapest'!AY7</f>
        <v>0</v>
      </c>
      <c r="Y4" s="12">
        <f>IF(('FS Budapest'!BA7-'FS Budapest'!BA6)&lt;0,"0",('FS Budapest'!BA7-'FS Budapest'!BA6)*4400)</f>
        <v>18259.999999998399</v>
      </c>
      <c r="Z4" s="12">
        <f>'FS Budapest'!BI7</f>
        <v>18259.999999998399</v>
      </c>
      <c r="AA4" s="12">
        <f>'FS Budapest'!BJ7</f>
        <v>15833.999999998399</v>
      </c>
      <c r="AB4" s="12">
        <f>IF(('FS Budapest'!BK7-'FS Budapest'!BK6)&lt;0,"0",('FS Budapest'!BK7-'FS Budapest'!BK6)*100)</f>
        <v>588.99999999994179</v>
      </c>
      <c r="AC4" s="12">
        <f>'FS Budapest'!BM7</f>
        <v>18848.999999998341</v>
      </c>
      <c r="AD4" s="12">
        <f>IF(('FS Budapest'!BP7-'FS Budapest'!BP6)&lt;0,"0",('FS Budapest'!BP7-'FS Budapest'!BP6))</f>
        <v>18</v>
      </c>
      <c r="AE4" s="12">
        <f>IF(('FS Budapest'!BR7-'FS Budapest'!BR6)&lt;0,"0",('FS Budapest'!BR7-'FS Budapest'!BR6))</f>
        <v>2408</v>
      </c>
      <c r="AF4" s="12">
        <f>'FS Budapest'!BU7</f>
        <v>171</v>
      </c>
      <c r="AG4" s="12">
        <f>'FS Budapest'!BV7</f>
        <v>316</v>
      </c>
    </row>
    <row r="5" spans="1:33" s="16" customFormat="1" x14ac:dyDescent="0.35">
      <c r="A5" s="12" t="s">
        <v>11</v>
      </c>
      <c r="B5" s="15">
        <f t="shared" si="0"/>
        <v>4</v>
      </c>
      <c r="C5" s="3">
        <v>5</v>
      </c>
      <c r="D5" s="12">
        <v>2019</v>
      </c>
      <c r="E5" s="12">
        <f>IF(('FS Budapest'!C8-'FS Budapest'!C7)&lt;0,"0",('FS Budapest'!C8-'FS Budapest'!C7))</f>
        <v>93</v>
      </c>
      <c r="F5" s="12">
        <f>IF(('FS Budapest'!D8-'FS Budapest'!D7)&lt;0,"0",('FS Budapest'!D8-'FS Budapest'!D7))</f>
        <v>105</v>
      </c>
      <c r="G5" s="12">
        <f>IF(('FS Budapest'!E8-'FS Budapest'!Y8)&lt;0,"0",('FS Budapest'!E8-'FS Budapest'!Y8))</f>
        <v>88</v>
      </c>
      <c r="H5" s="12">
        <f>IF(('FS Budapest'!H8-'FS Budapest'!H7)&lt;0,"0",('FS Budapest'!H8-'FS Budapest'!H7))</f>
        <v>88</v>
      </c>
      <c r="I5" s="12">
        <f>IF(('FS Budapest'!I8-'FS Budapest'!I7)&lt;0,"0",('FS Budapest'!I8-'FS Budapest'!I7))</f>
        <v>24</v>
      </c>
      <c r="J5" s="12">
        <f>IF(('FS Budapest'!K8-'FS Budapest'!K7)&lt;0,"0",('FS Budapest'!K8-'FS Budapest'!K7))</f>
        <v>7</v>
      </c>
      <c r="K5" s="12">
        <f>IF(('FS Budapest'!M8-'FS Budapest'!M7)&lt;0,"0",('FS Budapest'!M8-'FS Budapest'!M7))</f>
        <v>11</v>
      </c>
      <c r="L5" s="12">
        <f>IF(('FS Budapest'!O8-'FS Budapest'!O7)&lt;0,"0",('FS Budapest'!O8-'FS Budapest'!O7))</f>
        <v>33</v>
      </c>
      <c r="M5" s="12">
        <f>IF(('FS Budapest'!Q8-'FS Budapest'!Q7)&lt;0,"0",('FS Budapest'!Q8-'FS Budapest'!Q7))</f>
        <v>2</v>
      </c>
      <c r="N5" s="12">
        <f>IF(('FS Budapest'!S8-'FS Budapest'!S7)&lt;0,"0",('FS Budapest'!S8-'FS Budapest'!S7))</f>
        <v>2</v>
      </c>
      <c r="O5" s="12">
        <f>IF(('FS Budapest'!V8-'FS Budapest'!V7)&lt;0,"0",('FS Budapest'!V8-'FS Budapest'!V7))</f>
        <v>6</v>
      </c>
      <c r="P5" s="12">
        <f>IF(('FS Budapest'!X8-'FS Budapest'!X7)&lt;0,"0",('FS Budapest'!X8-'FS Budapest'!X7))</f>
        <v>17</v>
      </c>
      <c r="Q5" s="12">
        <f>'FS Budapest'!AB8</f>
        <v>3</v>
      </c>
      <c r="R5" s="12">
        <f>'FS Budapest'!AE8</f>
        <v>2</v>
      </c>
      <c r="S5" s="12">
        <f>'FS Budapest'!AF8</f>
        <v>10</v>
      </c>
      <c r="T5" s="12">
        <f>IF(('FS Budapest'!AK8-'FS Budapest'!AK7)&lt;0,"0",('FS Budapest'!AK8-'FS Budapest'!AK7))</f>
        <v>1570</v>
      </c>
      <c r="U5" s="12">
        <f>IF(('FS Budapest'!AM8-'FS Budapest'!AM7)&lt;0,"0",('FS Budapest'!AM8-'FS Budapest'!AM7))</f>
        <v>42</v>
      </c>
      <c r="V5" s="12">
        <f>IF(('FS Budapest'!AO8-'FS Budapest'!AO7)&lt;0,"0",('FS Budapest'!AO8-'FS Budapest'!AO7))</f>
        <v>0</v>
      </c>
      <c r="W5" s="12">
        <f>IF(('FS Budapest'!AQ8-'FS Budapest'!AQ7)&lt;0,"0",('FS Budapest'!AQ8-'FS Budapest'!AQ7))</f>
        <v>521</v>
      </c>
      <c r="X5" s="12">
        <f>'FS Budapest'!AY8</f>
        <v>0</v>
      </c>
      <c r="Y5" s="12">
        <f>IF(('FS Budapest'!BA8-'FS Budapest'!BA7)&lt;0,"0",('FS Budapest'!BA8-'FS Budapest'!BA7)*4400)</f>
        <v>18040.000000001601</v>
      </c>
      <c r="Z5" s="12">
        <f>'FS Budapest'!BI8</f>
        <v>18040.000000001601</v>
      </c>
      <c r="AA5" s="12">
        <f>'FS Budapest'!BJ8</f>
        <v>15805.000000001601</v>
      </c>
      <c r="AB5" s="12">
        <f>IF(('FS Budapest'!BK8-'FS Budapest'!BK7)&lt;0,"0",('FS Budapest'!BK8-'FS Budapest'!BK7)*100)</f>
        <v>511.00000000005821</v>
      </c>
      <c r="AC5" s="12">
        <f>'FS Budapest'!BM8</f>
        <v>18551.000000001659</v>
      </c>
      <c r="AD5" s="12">
        <f>IF(('FS Budapest'!BP8-'FS Budapest'!BP7)&lt;0,"0",('FS Budapest'!BP8-'FS Budapest'!BP7))</f>
        <v>20</v>
      </c>
      <c r="AE5" s="12">
        <f>IF(('FS Budapest'!BR8-'FS Budapest'!BR7)&lt;0,"0",('FS Budapest'!BR8-'FS Budapest'!BR7))</f>
        <v>2215</v>
      </c>
      <c r="AF5" s="12">
        <f>'FS Budapest'!BU8</f>
        <v>170</v>
      </c>
      <c r="AG5" s="12">
        <f>'FS Budapest'!BV8</f>
        <v>315</v>
      </c>
    </row>
    <row r="6" spans="1:33" s="16" customFormat="1" x14ac:dyDescent="0.35">
      <c r="A6" s="12" t="s">
        <v>11</v>
      </c>
      <c r="B6" s="15">
        <f t="shared" si="0"/>
        <v>5</v>
      </c>
      <c r="C6" s="3">
        <v>5</v>
      </c>
      <c r="D6" s="12">
        <v>2019</v>
      </c>
      <c r="E6" s="12">
        <f>IF(('FS Budapest'!C9-'FS Budapest'!C8)&lt;0,"0",('FS Budapest'!C9-'FS Budapest'!C8))</f>
        <v>85</v>
      </c>
      <c r="F6" s="12">
        <f>IF(('FS Budapest'!D9-'FS Budapest'!D8)&lt;0,"0",('FS Budapest'!D9-'FS Budapest'!D8))</f>
        <v>103</v>
      </c>
      <c r="G6" s="12">
        <f>IF(('FS Budapest'!E9-'FS Budapest'!Y9)&lt;0,"0",('FS Budapest'!E9-'FS Budapest'!Y9))</f>
        <v>86</v>
      </c>
      <c r="H6" s="12">
        <f>IF(('FS Budapest'!H9-'FS Budapest'!H8)&lt;0,"0",('FS Budapest'!H9-'FS Budapest'!H8))</f>
        <v>91</v>
      </c>
      <c r="I6" s="12">
        <f>IF(('FS Budapest'!I9-'FS Budapest'!I8)&lt;0,"0",('FS Budapest'!I9-'FS Budapest'!I8))</f>
        <v>26</v>
      </c>
      <c r="J6" s="12">
        <f>IF(('FS Budapest'!K9-'FS Budapest'!K8)&lt;0,"0",('FS Budapest'!K9-'FS Budapest'!K8))</f>
        <v>6</v>
      </c>
      <c r="K6" s="12">
        <f>IF(('FS Budapest'!M9-'FS Budapest'!M8)&lt;0,"0",('FS Budapest'!M9-'FS Budapest'!M8))</f>
        <v>8</v>
      </c>
      <c r="L6" s="12">
        <f>IF(('FS Budapest'!O9-'FS Budapest'!O8)&lt;0,"0",('FS Budapest'!O9-'FS Budapest'!O8))</f>
        <v>33</v>
      </c>
      <c r="M6" s="12">
        <f>IF(('FS Budapest'!Q9-'FS Budapest'!Q8)&lt;0,"0",('FS Budapest'!Q9-'FS Budapest'!Q8))</f>
        <v>2</v>
      </c>
      <c r="N6" s="12">
        <f>IF(('FS Budapest'!S9-'FS Budapest'!S8)&lt;0,"0",('FS Budapest'!S9-'FS Budapest'!S8))</f>
        <v>1</v>
      </c>
      <c r="O6" s="12">
        <f>IF(('FS Budapest'!V9-'FS Budapest'!V8)&lt;0,"0",('FS Budapest'!V9-'FS Budapest'!V8))</f>
        <v>7</v>
      </c>
      <c r="P6" s="12">
        <f>IF(('FS Budapest'!X9-'FS Budapest'!X8)&lt;0,"0",('FS Budapest'!X9-'FS Budapest'!X8))</f>
        <v>17</v>
      </c>
      <c r="Q6" s="12">
        <f>'FS Budapest'!AB9</f>
        <v>3</v>
      </c>
      <c r="R6" s="12">
        <f>'FS Budapest'!AE9</f>
        <v>2</v>
      </c>
      <c r="S6" s="12">
        <f>'FS Budapest'!AF9</f>
        <v>10</v>
      </c>
      <c r="T6" s="12">
        <f>IF(('FS Budapest'!AK9-'FS Budapest'!AK8)&lt;0,"0",('FS Budapest'!AK9-'FS Budapest'!AK8))</f>
        <v>1897</v>
      </c>
      <c r="U6" s="12">
        <f>IF(('FS Budapest'!AM9-'FS Budapest'!AM8)&lt;0,"0",('FS Budapest'!AM9-'FS Budapest'!AM8))</f>
        <v>51</v>
      </c>
      <c r="V6" s="12">
        <f>IF(('FS Budapest'!AO9-'FS Budapest'!AO8)&lt;0,"0",('FS Budapest'!AO9-'FS Budapest'!AO8))</f>
        <v>0</v>
      </c>
      <c r="W6" s="12">
        <f>IF(('FS Budapest'!AQ9-'FS Budapest'!AQ8)&lt;0,"0",('FS Budapest'!AQ9-'FS Budapest'!AQ8))</f>
        <v>519</v>
      </c>
      <c r="X6" s="12">
        <f>'FS Budapest'!AY9</f>
        <v>0</v>
      </c>
      <c r="Y6" s="12">
        <f>IF(('FS Budapest'!BA9-'FS Budapest'!BA8)&lt;0,"0",('FS Budapest'!BA9-'FS Budapest'!BA8)*4400)</f>
        <v>18171.999999996478</v>
      </c>
      <c r="Z6" s="12">
        <f>'FS Budapest'!BI9</f>
        <v>18171.999999996478</v>
      </c>
      <c r="AA6" s="12">
        <f>'FS Budapest'!BJ9</f>
        <v>15931.999999996478</v>
      </c>
      <c r="AB6" s="12">
        <f>IF(('FS Budapest'!BK9-'FS Budapest'!BK8)&lt;0,"0",('FS Budapest'!BK9-'FS Budapest'!BK8)*100)</f>
        <v>507.99999999981083</v>
      </c>
      <c r="AC6" s="12">
        <f>'FS Budapest'!BM9</f>
        <v>18679.999999996289</v>
      </c>
      <c r="AD6" s="12">
        <f>IF(('FS Budapest'!BP9-'FS Budapest'!BP8)&lt;0,"0",('FS Budapest'!BP9-'FS Budapest'!BP8))</f>
        <v>19</v>
      </c>
      <c r="AE6" s="12">
        <f>IF(('FS Budapest'!BR9-'FS Budapest'!BR8)&lt;0,"0",('FS Budapest'!BR9-'FS Budapest'!BR8))</f>
        <v>2221</v>
      </c>
      <c r="AF6" s="12">
        <f>'FS Budapest'!BU9</f>
        <v>167</v>
      </c>
      <c r="AG6" s="12">
        <f>'FS Budapest'!BV9</f>
        <v>841</v>
      </c>
    </row>
    <row r="7" spans="1:33" s="16" customFormat="1" x14ac:dyDescent="0.35">
      <c r="A7" s="12" t="s">
        <v>11</v>
      </c>
      <c r="B7" s="15">
        <f t="shared" si="0"/>
        <v>6</v>
      </c>
      <c r="C7" s="3">
        <v>5</v>
      </c>
      <c r="D7" s="12">
        <v>2019</v>
      </c>
      <c r="E7" s="12">
        <f>IF(('FS Budapest'!C10-'FS Budapest'!C9)&lt;0,"0",('FS Budapest'!C10-'FS Budapest'!C9))</f>
        <v>88</v>
      </c>
      <c r="F7" s="12">
        <f>IF(('FS Budapest'!D10-'FS Budapest'!D9)&lt;0,"0",('FS Budapest'!D10-'FS Budapest'!D9))</f>
        <v>105</v>
      </c>
      <c r="G7" s="12">
        <f>IF(('FS Budapest'!E10-'FS Budapest'!Y10)&lt;0,"0",('FS Budapest'!E10-'FS Budapest'!Y10))</f>
        <v>88</v>
      </c>
      <c r="H7" s="12">
        <f>IF(('FS Budapest'!H10-'FS Budapest'!H9)&lt;0,"0",('FS Budapest'!H10-'FS Budapest'!H9))</f>
        <v>100</v>
      </c>
      <c r="I7" s="12">
        <f>IF(('FS Budapest'!I10-'FS Budapest'!I9)&lt;0,"0",('FS Budapest'!I10-'FS Budapest'!I9))</f>
        <v>27</v>
      </c>
      <c r="J7" s="12">
        <f>IF(('FS Budapest'!K10-'FS Budapest'!K9)&lt;0,"0",('FS Budapest'!K10-'FS Budapest'!K9))</f>
        <v>8</v>
      </c>
      <c r="K7" s="12">
        <f>IF(('FS Budapest'!M10-'FS Budapest'!M9)&lt;0,"0",('FS Budapest'!M10-'FS Budapest'!M9))</f>
        <v>10</v>
      </c>
      <c r="L7" s="12">
        <f>IF(('FS Budapest'!O10-'FS Budapest'!O9)&lt;0,"0",('FS Budapest'!O10-'FS Budapest'!O9))</f>
        <v>31</v>
      </c>
      <c r="M7" s="12">
        <f>IF(('FS Budapest'!Q10-'FS Budapest'!Q9)&lt;0,"0",('FS Budapest'!Q10-'FS Budapest'!Q9))</f>
        <v>2</v>
      </c>
      <c r="N7" s="12">
        <f>IF(('FS Budapest'!S10-'FS Budapest'!S9)&lt;0,"0",('FS Budapest'!S10-'FS Budapest'!S9))</f>
        <v>1</v>
      </c>
      <c r="O7" s="12">
        <f>IF(('FS Budapest'!V10-'FS Budapest'!V9)&lt;0,"0",('FS Budapest'!V10-'FS Budapest'!V9))</f>
        <v>7</v>
      </c>
      <c r="P7" s="12">
        <f>IF(('FS Budapest'!X10-'FS Budapest'!X9)&lt;0,"0",('FS Budapest'!X10-'FS Budapest'!X9))</f>
        <v>17</v>
      </c>
      <c r="Q7" s="12">
        <f>'FS Budapest'!AB10</f>
        <v>4</v>
      </c>
      <c r="R7" s="12">
        <f>'FS Budapest'!AE10</f>
        <v>1</v>
      </c>
      <c r="S7" s="12">
        <f>'FS Budapest'!AF10</f>
        <v>10</v>
      </c>
      <c r="T7" s="12">
        <f>IF(('FS Budapest'!AK10-'FS Budapest'!AK9)&lt;0,"0",('FS Budapest'!AK10-'FS Budapest'!AK9))</f>
        <v>2527</v>
      </c>
      <c r="U7" s="12">
        <f>IF(('FS Budapest'!AM10-'FS Budapest'!AM9)&lt;0,"0",('FS Budapest'!AM10-'FS Budapest'!AM9))</f>
        <v>39</v>
      </c>
      <c r="V7" s="12">
        <f>IF(('FS Budapest'!AO10-'FS Budapest'!AO9)&lt;0,"0",('FS Budapest'!AO10-'FS Budapest'!AO9))</f>
        <v>0</v>
      </c>
      <c r="W7" s="12">
        <f>IF(('FS Budapest'!AQ10-'FS Budapest'!AQ9)&lt;0,"0",('FS Budapest'!AQ10-'FS Budapest'!AQ9))</f>
        <v>520</v>
      </c>
      <c r="X7" s="12">
        <f>'FS Budapest'!AY10</f>
        <v>0</v>
      </c>
      <c r="Y7" s="12">
        <f>IF(('FS Budapest'!BA10-'FS Budapest'!BA9)&lt;0,"0",('FS Budapest'!BA10-'FS Budapest'!BA9)*4400)</f>
        <v>19140.000000001601</v>
      </c>
      <c r="Z7" s="12">
        <f>'FS Budapest'!BI10</f>
        <v>19140.000000001601</v>
      </c>
      <c r="AA7" s="12">
        <f>'FS Budapest'!BJ10</f>
        <v>16866.000000001601</v>
      </c>
      <c r="AB7" s="12">
        <f>IF(('FS Budapest'!BK10-'FS Budapest'!BK9)&lt;0,"0",('FS Budapest'!BK10-'FS Budapest'!BK9)*100)</f>
        <v>502.00000000004366</v>
      </c>
      <c r="AC7" s="12">
        <f>'FS Budapest'!BM10</f>
        <v>19642.000000001644</v>
      </c>
      <c r="AD7" s="12">
        <f>IF(('FS Budapest'!BP10-'FS Budapest'!BP9)&lt;0,"0",('FS Budapest'!BP10-'FS Budapest'!BP9))</f>
        <v>19</v>
      </c>
      <c r="AE7" s="12">
        <f>IF(('FS Budapest'!BR10-'FS Budapest'!BR9)&lt;0,"0",('FS Budapest'!BR10-'FS Budapest'!BR9))</f>
        <v>2255</v>
      </c>
      <c r="AF7" s="12">
        <f>'FS Budapest'!BU10</f>
        <v>174</v>
      </c>
      <c r="AG7" s="12">
        <f>'FS Budapest'!BV10</f>
        <v>302</v>
      </c>
    </row>
    <row r="8" spans="1:33" s="16" customFormat="1" x14ac:dyDescent="0.35">
      <c r="A8" s="12" t="s">
        <v>11</v>
      </c>
      <c r="B8" s="15">
        <f t="shared" si="0"/>
        <v>7</v>
      </c>
      <c r="C8" s="3">
        <v>5</v>
      </c>
      <c r="D8" s="12">
        <v>2019</v>
      </c>
      <c r="E8" s="12">
        <f>IF(('FS Budapest'!C11-'FS Budapest'!C10)&lt;0,"0",('FS Budapest'!C11-'FS Budapest'!C10))</f>
        <v>69</v>
      </c>
      <c r="F8" s="12">
        <f>IF(('FS Budapest'!D11-'FS Budapest'!D10)&lt;0,"0",('FS Budapest'!D11-'FS Budapest'!D10))</f>
        <v>77</v>
      </c>
      <c r="G8" s="12">
        <f>IF(('FS Budapest'!E11-'FS Budapest'!Y11)&lt;0,"0",('FS Budapest'!E11-'FS Budapest'!Y11))</f>
        <v>58</v>
      </c>
      <c r="H8" s="12">
        <f>IF(('FS Budapest'!H11-'FS Budapest'!H10)&lt;0,"0",('FS Budapest'!H11-'FS Budapest'!H10))</f>
        <v>87</v>
      </c>
      <c r="I8" s="12">
        <f>IF(('FS Budapest'!I11-'FS Budapest'!I10)&lt;0,"0",('FS Budapest'!I11-'FS Budapest'!I10))</f>
        <v>27</v>
      </c>
      <c r="J8" s="12">
        <f>IF(('FS Budapest'!K11-'FS Budapest'!K10)&lt;0,"0",('FS Budapest'!K11-'FS Budapest'!K10))</f>
        <v>6</v>
      </c>
      <c r="K8" s="12">
        <f>IF(('FS Budapest'!M11-'FS Budapest'!M10)&lt;0,"0",('FS Budapest'!M11-'FS Budapest'!M10))</f>
        <v>9</v>
      </c>
      <c r="L8" s="12">
        <f>IF(('FS Budapest'!O11-'FS Budapest'!O10)&lt;0,"0",('FS Budapest'!O11-'FS Budapest'!O10))</f>
        <v>16</v>
      </c>
      <c r="M8" s="12">
        <f>IF(('FS Budapest'!Q11-'FS Budapest'!Q10)&lt;0,"0",('FS Budapest'!Q11-'FS Budapest'!Q10))</f>
        <v>1</v>
      </c>
      <c r="N8" s="12">
        <f>IF(('FS Budapest'!S11-'FS Budapest'!S10)&lt;0,"0",('FS Budapest'!S11-'FS Budapest'!S10))</f>
        <v>1</v>
      </c>
      <c r="O8" s="12">
        <f>IF(('FS Budapest'!V11-'FS Budapest'!V10)&lt;0,"0",('FS Budapest'!V11-'FS Budapest'!V10))</f>
        <v>7</v>
      </c>
      <c r="P8" s="12">
        <f>IF(('FS Budapest'!X11-'FS Budapest'!X10)&lt;0,"0",('FS Budapest'!X11-'FS Budapest'!X10))</f>
        <v>19</v>
      </c>
      <c r="Q8" s="12">
        <f>'FS Budapest'!AB11</f>
        <v>3</v>
      </c>
      <c r="R8" s="12">
        <f>'FS Budapest'!AE11</f>
        <v>0</v>
      </c>
      <c r="S8" s="12">
        <f>'FS Budapest'!AF11</f>
        <v>9</v>
      </c>
      <c r="T8" s="12">
        <f>IF(('FS Budapest'!AK11-'FS Budapest'!AK10)&lt;0,"0",('FS Budapest'!AK11-'FS Budapest'!AK10))</f>
        <v>1731</v>
      </c>
      <c r="U8" s="12">
        <f>IF(('FS Budapest'!AM11-'FS Budapest'!AM10)&lt;0,"0",('FS Budapest'!AM11-'FS Budapest'!AM10))</f>
        <v>35</v>
      </c>
      <c r="V8" s="12">
        <f>IF(('FS Budapest'!AO11-'FS Budapest'!AO10)&lt;0,"0",('FS Budapest'!AO11-'FS Budapest'!AO10))</f>
        <v>0</v>
      </c>
      <c r="W8" s="12">
        <f>IF(('FS Budapest'!AQ11-'FS Budapest'!AQ10)&lt;0,"0",('FS Budapest'!AQ11-'FS Budapest'!AQ10))</f>
        <v>627</v>
      </c>
      <c r="X8" s="12">
        <f>'FS Budapest'!AY11</f>
        <v>0</v>
      </c>
      <c r="Y8" s="12">
        <f>IF(('FS Budapest'!BA11-'FS Budapest'!BA10)&lt;0,"0",('FS Budapest'!BA11-'FS Budapest'!BA10)*4400)</f>
        <v>17468.000000005122</v>
      </c>
      <c r="Z8" s="12">
        <f>'FS Budapest'!BI11</f>
        <v>17468.000000005122</v>
      </c>
      <c r="AA8" s="12">
        <f>'FS Budapest'!BJ11</f>
        <v>15997.000000005122</v>
      </c>
      <c r="AB8" s="12">
        <f>IF(('FS Budapest'!BK11-'FS Budapest'!BK10)&lt;0,"0",('FS Budapest'!BK11-'FS Budapest'!BK10)*100)</f>
        <v>800.99999999983993</v>
      </c>
      <c r="AC8" s="12">
        <f>'FS Budapest'!BM11</f>
        <v>18269.000000004962</v>
      </c>
      <c r="AD8" s="12">
        <f>IF(('FS Budapest'!BP11-'FS Budapest'!BP10)&lt;0,"0",('FS Budapest'!BP11-'FS Budapest'!BP10))</f>
        <v>19</v>
      </c>
      <c r="AE8" s="12">
        <f>IF(('FS Budapest'!BR11-'FS Budapest'!BR10)&lt;0,"0",('FS Budapest'!BR11-'FS Budapest'!BR10))</f>
        <v>1452</v>
      </c>
      <c r="AF8" s="12">
        <f>'FS Budapest'!BU11</f>
        <v>113</v>
      </c>
      <c r="AG8" s="12">
        <f>'FS Budapest'!BV11</f>
        <v>163</v>
      </c>
    </row>
    <row r="9" spans="1:33" s="16" customFormat="1" x14ac:dyDescent="0.35">
      <c r="A9" s="12" t="s">
        <v>11</v>
      </c>
      <c r="B9" s="15">
        <f t="shared" si="0"/>
        <v>8</v>
      </c>
      <c r="C9" s="3">
        <v>5</v>
      </c>
      <c r="D9" s="12">
        <v>2019</v>
      </c>
      <c r="E9" s="12">
        <f>IF(('FS Budapest'!C12-'FS Budapest'!C11)&lt;0,"0",('FS Budapest'!C12-'FS Budapest'!C11))</f>
        <v>68</v>
      </c>
      <c r="F9" s="12">
        <f>IF(('FS Budapest'!D12-'FS Budapest'!D11)&lt;0,"0",('FS Budapest'!D12-'FS Budapest'!D11))</f>
        <v>81</v>
      </c>
      <c r="G9" s="12">
        <f>IF(('FS Budapest'!E12-'FS Budapest'!Y12)&lt;0,"0",('FS Budapest'!E12-'FS Budapest'!Y12))</f>
        <v>61</v>
      </c>
      <c r="H9" s="12">
        <f>IF(('FS Budapest'!H12-'FS Budapest'!H11)&lt;0,"0",('FS Budapest'!H12-'FS Budapest'!H11))</f>
        <v>93</v>
      </c>
      <c r="I9" s="12">
        <f>IF(('FS Budapest'!I12-'FS Budapest'!I11)&lt;0,"0",('FS Budapest'!I12-'FS Budapest'!I11))</f>
        <v>27</v>
      </c>
      <c r="J9" s="12">
        <f>IF(('FS Budapest'!K12-'FS Budapest'!K11)&lt;0,"0",('FS Budapest'!K12-'FS Budapest'!K11))</f>
        <v>6</v>
      </c>
      <c r="K9" s="12">
        <f>IF(('FS Budapest'!M12-'FS Budapest'!M11)&lt;0,"0",('FS Budapest'!M12-'FS Budapest'!M11))</f>
        <v>8</v>
      </c>
      <c r="L9" s="12">
        <f>IF(('FS Budapest'!O12-'FS Budapest'!O11)&lt;0,"0",('FS Budapest'!O12-'FS Budapest'!O11))</f>
        <v>16</v>
      </c>
      <c r="M9" s="12">
        <f>IF(('FS Budapest'!Q12-'FS Budapest'!Q11)&lt;0,"0",('FS Budapest'!Q12-'FS Budapest'!Q11))</f>
        <v>1</v>
      </c>
      <c r="N9" s="12">
        <f>IF(('FS Budapest'!S12-'FS Budapest'!S11)&lt;0,"0",('FS Budapest'!S12-'FS Budapest'!S11))</f>
        <v>2</v>
      </c>
      <c r="O9" s="12">
        <f>IF(('FS Budapest'!V12-'FS Budapest'!V11)&lt;0,"0",('FS Budapest'!V12-'FS Budapest'!V11))</f>
        <v>6</v>
      </c>
      <c r="P9" s="12">
        <f>IF(('FS Budapest'!X12-'FS Budapest'!X11)&lt;0,"0",('FS Budapest'!X12-'FS Budapest'!X11))</f>
        <v>20</v>
      </c>
      <c r="Q9" s="12">
        <f>'FS Budapest'!AB12</f>
        <v>4</v>
      </c>
      <c r="R9" s="12">
        <f>'FS Budapest'!AE12</f>
        <v>3</v>
      </c>
      <c r="S9" s="12">
        <f>'FS Budapest'!AF12</f>
        <v>9</v>
      </c>
      <c r="T9" s="12">
        <f>IF(('FS Budapest'!AK12-'FS Budapest'!AK11)&lt;0,"0",('FS Budapest'!AK12-'FS Budapest'!AK11))</f>
        <v>1366</v>
      </c>
      <c r="U9" s="12">
        <f>IF(('FS Budapest'!AM12-'FS Budapest'!AM11)&lt;0,"0",('FS Budapest'!AM12-'FS Budapest'!AM11))</f>
        <v>46</v>
      </c>
      <c r="V9" s="12">
        <f>IF(('FS Budapest'!AO12-'FS Budapest'!AO11)&lt;0,"0",('FS Budapest'!AO12-'FS Budapest'!AO11))</f>
        <v>0</v>
      </c>
      <c r="W9" s="12">
        <f>IF(('FS Budapest'!AQ12-'FS Budapest'!AQ11)&lt;0,"0",('FS Budapest'!AQ12-'FS Budapest'!AQ11))</f>
        <v>373</v>
      </c>
      <c r="X9" s="12">
        <f>'FS Budapest'!AY12</f>
        <v>0</v>
      </c>
      <c r="Y9" s="12">
        <f>IF(('FS Budapest'!BA12-'FS Budapest'!BA11)&lt;0,"0",('FS Budapest'!BA12-'FS Budapest'!BA11)*4400)</f>
        <v>17115.999999997439</v>
      </c>
      <c r="Z9" s="12">
        <f>'FS Budapest'!BI12</f>
        <v>17115.999999997439</v>
      </c>
      <c r="AA9" s="12">
        <f>'FS Budapest'!BJ12</f>
        <v>15298.999999997439</v>
      </c>
      <c r="AB9" s="12">
        <f>IF(('FS Budapest'!BK12-'FS Budapest'!BK11)&lt;0,"0",('FS Budapest'!BK12-'FS Budapest'!BK11)*100)</f>
        <v>612.00000000026193</v>
      </c>
      <c r="AC9" s="12">
        <f>'FS Budapest'!BM12</f>
        <v>17727.999999997701</v>
      </c>
      <c r="AD9" s="12">
        <f>IF(('FS Budapest'!BP12-'FS Budapest'!BP11)&lt;0,"0",('FS Budapest'!BP12-'FS Budapest'!BP11))</f>
        <v>19</v>
      </c>
      <c r="AE9" s="12">
        <f>IF(('FS Budapest'!BR12-'FS Budapest'!BR11)&lt;0,"0",('FS Budapest'!BR12-'FS Budapest'!BR11))</f>
        <v>1798</v>
      </c>
      <c r="AF9" s="12">
        <f>'FS Budapest'!BU12</f>
        <v>174</v>
      </c>
      <c r="AG9" s="12">
        <f>'FS Budapest'!BV12</f>
        <v>249</v>
      </c>
    </row>
    <row r="10" spans="1:33" s="16" customFormat="1" x14ac:dyDescent="0.35">
      <c r="A10" s="12" t="s">
        <v>11</v>
      </c>
      <c r="B10" s="15">
        <f t="shared" si="0"/>
        <v>9</v>
      </c>
      <c r="C10" s="3">
        <v>5</v>
      </c>
      <c r="D10" s="12">
        <v>2019</v>
      </c>
      <c r="E10" s="12">
        <f>IF(('FS Budapest'!C13-'FS Budapest'!C12)&lt;0,"0",('FS Budapest'!C13-'FS Budapest'!C12))</f>
        <v>68</v>
      </c>
      <c r="F10" s="12">
        <f>IF(('FS Budapest'!D13-'FS Budapest'!D12)&lt;0,"0",('FS Budapest'!D13-'FS Budapest'!D12))</f>
        <v>82</v>
      </c>
      <c r="G10" s="12">
        <f>IF(('FS Budapest'!E13-'FS Budapest'!Y13)&lt;0,"0",('FS Budapest'!E13-'FS Budapest'!Y13))</f>
        <v>68</v>
      </c>
      <c r="H10" s="12">
        <f>IF(('FS Budapest'!H13-'FS Budapest'!H12)&lt;0,"0",('FS Budapest'!H13-'FS Budapest'!H12))</f>
        <v>91</v>
      </c>
      <c r="I10" s="12">
        <f>IF(('FS Budapest'!I13-'FS Budapest'!I12)&lt;0,"0",('FS Budapest'!I13-'FS Budapest'!I12))</f>
        <v>24</v>
      </c>
      <c r="J10" s="12">
        <f>IF(('FS Budapest'!K13-'FS Budapest'!K12)&lt;0,"0",('FS Budapest'!K13-'FS Budapest'!K12))</f>
        <v>6</v>
      </c>
      <c r="K10" s="12">
        <f>IF(('FS Budapest'!M13-'FS Budapest'!M12)&lt;0,"0",('FS Budapest'!M13-'FS Budapest'!M12))</f>
        <v>10</v>
      </c>
      <c r="L10" s="12">
        <f>IF(('FS Budapest'!O13-'FS Budapest'!O12)&lt;0,"0",('FS Budapest'!O13-'FS Budapest'!O12))</f>
        <v>18</v>
      </c>
      <c r="M10" s="12">
        <f>IF(('FS Budapest'!Q13-'FS Budapest'!Q12)&lt;0,"0",('FS Budapest'!Q13-'FS Budapest'!Q12))</f>
        <v>2</v>
      </c>
      <c r="N10" s="12">
        <f>IF(('FS Budapest'!S13-'FS Budapest'!S12)&lt;0,"0",('FS Budapest'!S13-'FS Budapest'!S12))</f>
        <v>1</v>
      </c>
      <c r="O10" s="12">
        <f>IF(('FS Budapest'!V13-'FS Budapest'!V12)&lt;0,"0",('FS Budapest'!V13-'FS Budapest'!V12))</f>
        <v>7</v>
      </c>
      <c r="P10" s="12">
        <f>IF(('FS Budapest'!X13-'FS Budapest'!X12)&lt;0,"0",('FS Budapest'!X13-'FS Budapest'!X12))</f>
        <v>14</v>
      </c>
      <c r="Q10" s="12">
        <f>'FS Budapest'!AB13</f>
        <v>3</v>
      </c>
      <c r="R10" s="12">
        <f>'FS Budapest'!AE13</f>
        <v>1</v>
      </c>
      <c r="S10" s="12">
        <f>'FS Budapest'!AF13</f>
        <v>10</v>
      </c>
      <c r="T10" s="12">
        <f>IF(('FS Budapest'!AK13-'FS Budapest'!AK12)&lt;0,"0",('FS Budapest'!AK13-'FS Budapest'!AK12))</f>
        <v>1445</v>
      </c>
      <c r="U10" s="12">
        <f>IF(('FS Budapest'!AM13-'FS Budapest'!AM12)&lt;0,"0",('FS Budapest'!AM13-'FS Budapest'!AM12))</f>
        <v>36</v>
      </c>
      <c r="V10" s="12">
        <f>IF(('FS Budapest'!AO13-'FS Budapest'!AO12)&lt;0,"0",('FS Budapest'!AO13-'FS Budapest'!AO12))</f>
        <v>0</v>
      </c>
      <c r="W10" s="12">
        <f>IF(('FS Budapest'!AQ13-'FS Budapest'!AQ12)&lt;0,"0",('FS Budapest'!AQ13-'FS Budapest'!AQ12))</f>
        <v>532</v>
      </c>
      <c r="X10" s="12">
        <f>'FS Budapest'!AY13</f>
        <v>0</v>
      </c>
      <c r="Y10" s="12">
        <f>IF(('FS Budapest'!BA13-'FS Budapest'!BA12)&lt;0,"0",('FS Budapest'!BA13-'FS Budapest'!BA12)*4400)</f>
        <v>18127.999999995518</v>
      </c>
      <c r="Z10" s="12">
        <f>'FS Budapest'!BI13</f>
        <v>18127.999999995518</v>
      </c>
      <c r="AA10" s="12">
        <f>'FS Budapest'!BJ13</f>
        <v>16620.999999995518</v>
      </c>
      <c r="AB10" s="12">
        <f>IF(('FS Budapest'!BK13-'FS Budapest'!BK12)&lt;0,"0",('FS Budapest'!BK13-'FS Budapest'!BK12)*100)</f>
        <v>586.99999999989814</v>
      </c>
      <c r="AC10" s="12">
        <f>'FS Budapest'!BM13</f>
        <v>18714.999999995416</v>
      </c>
      <c r="AD10" s="12">
        <f>IF(('FS Budapest'!BP13-'FS Budapest'!BP12)&lt;0,"0",('FS Budapest'!BP13-'FS Budapest'!BP12))</f>
        <v>19</v>
      </c>
      <c r="AE10" s="12">
        <f>IF(('FS Budapest'!BR13-'FS Budapest'!BR12)&lt;0,"0",('FS Budapest'!BR13-'FS Budapest'!BR12))</f>
        <v>1488</v>
      </c>
      <c r="AF10" s="12">
        <f>'FS Budapest'!BU13</f>
        <v>162</v>
      </c>
      <c r="AG10" s="12">
        <f>'FS Budapest'!BV13</f>
        <v>241</v>
      </c>
    </row>
    <row r="11" spans="1:33" s="16" customFormat="1" x14ac:dyDescent="0.35">
      <c r="A11" s="12" t="s">
        <v>11</v>
      </c>
      <c r="B11" s="15">
        <f t="shared" si="0"/>
        <v>10</v>
      </c>
      <c r="C11" s="3">
        <v>5</v>
      </c>
      <c r="D11" s="12">
        <v>2019</v>
      </c>
      <c r="E11" s="12">
        <f>IF(('FS Budapest'!C14-'FS Budapest'!C13)&lt;0,"0",('FS Budapest'!C14-'FS Budapest'!C13))</f>
        <v>71</v>
      </c>
      <c r="F11" s="12">
        <f>IF(('FS Budapest'!D14-'FS Budapest'!D13)&lt;0,"0",('FS Budapest'!D14-'FS Budapest'!D13))</f>
        <v>84</v>
      </c>
      <c r="G11" s="12">
        <f>IF(('FS Budapest'!E14-'FS Budapest'!Y14)&lt;0,"0",('FS Budapest'!E14-'FS Budapest'!Y14))</f>
        <v>63</v>
      </c>
      <c r="H11" s="12">
        <f>IF(('FS Budapest'!H14-'FS Budapest'!H13)&lt;0,"0",('FS Budapest'!H14-'FS Budapest'!H13))</f>
        <v>95</v>
      </c>
      <c r="I11" s="12">
        <f>IF(('FS Budapest'!I14-'FS Budapest'!I13)&lt;0,"0",('FS Budapest'!I14-'FS Budapest'!I13))</f>
        <v>26</v>
      </c>
      <c r="J11" s="12">
        <f>IF(('FS Budapest'!K14-'FS Budapest'!K13)&lt;0,"0",('FS Budapest'!K14-'FS Budapest'!K13))</f>
        <v>6</v>
      </c>
      <c r="K11" s="12">
        <f>IF(('FS Budapest'!M14-'FS Budapest'!M13)&lt;0,"0",('FS Budapest'!M14-'FS Budapest'!M13))</f>
        <v>8</v>
      </c>
      <c r="L11" s="12">
        <f>IF(('FS Budapest'!O14-'FS Budapest'!O13)&lt;0,"0",('FS Budapest'!O14-'FS Budapest'!O13))</f>
        <v>21</v>
      </c>
      <c r="M11" s="12">
        <f>IF(('FS Budapest'!Q14-'FS Budapest'!Q13)&lt;0,"0",('FS Budapest'!Q14-'FS Budapest'!Q13))</f>
        <v>2</v>
      </c>
      <c r="N11" s="12">
        <f>IF(('FS Budapest'!S14-'FS Budapest'!S13)&lt;0,"0",('FS Budapest'!S14-'FS Budapest'!S13))</f>
        <v>1</v>
      </c>
      <c r="O11" s="12">
        <f>IF(('FS Budapest'!V14-'FS Budapest'!V13)&lt;0,"0",('FS Budapest'!V14-'FS Budapest'!V13))</f>
        <v>7</v>
      </c>
      <c r="P11" s="12">
        <f>IF(('FS Budapest'!X14-'FS Budapest'!X13)&lt;0,"0",('FS Budapest'!X14-'FS Budapest'!X13))</f>
        <v>21</v>
      </c>
      <c r="Q11" s="12">
        <f>'FS Budapest'!AB14</f>
        <v>4</v>
      </c>
      <c r="R11" s="12">
        <f>'FS Budapest'!AE14</f>
        <v>3</v>
      </c>
      <c r="S11" s="12">
        <f>'FS Budapest'!AF14</f>
        <v>10</v>
      </c>
      <c r="T11" s="12">
        <f>IF(('FS Budapest'!AK14-'FS Budapest'!AK13)&lt;0,"0",('FS Budapest'!AK14-'FS Budapest'!AK13))</f>
        <v>1339</v>
      </c>
      <c r="U11" s="12">
        <f>IF(('FS Budapest'!AM14-'FS Budapest'!AM13)&lt;0,"0",('FS Budapest'!AM14-'FS Budapest'!AM13))</f>
        <v>38</v>
      </c>
      <c r="V11" s="12">
        <f>IF(('FS Budapest'!AO14-'FS Budapest'!AO13)&lt;0,"0",('FS Budapest'!AO14-'FS Budapest'!AO13))</f>
        <v>0</v>
      </c>
      <c r="W11" s="12">
        <f>IF(('FS Budapest'!AQ14-'FS Budapest'!AQ13)&lt;0,"0",('FS Budapest'!AQ14-'FS Budapest'!AQ13))</f>
        <v>534</v>
      </c>
      <c r="X11" s="12">
        <f>'FS Budapest'!AY14</f>
        <v>0</v>
      </c>
      <c r="Y11" s="12">
        <f>IF(('FS Budapest'!BA14-'FS Budapest'!BA13)&lt;0,"0",('FS Budapest'!BA14-'FS Budapest'!BA13)*4400)</f>
        <v>17908.000000006723</v>
      </c>
      <c r="Z11" s="12">
        <f>'FS Budapest'!BI14</f>
        <v>17908.000000006723</v>
      </c>
      <c r="AA11" s="12">
        <f>'FS Budapest'!BJ14</f>
        <v>15709.000000006723</v>
      </c>
      <c r="AB11" s="12">
        <f>IF(('FS Budapest'!BK14-'FS Budapest'!BK13)&lt;0,"0",('FS Budapest'!BK14-'FS Budapest'!BK13)*100)</f>
        <v>599.00000000016007</v>
      </c>
      <c r="AC11" s="12">
        <f>'FS Budapest'!BM14</f>
        <v>18507.000000006883</v>
      </c>
      <c r="AD11" s="12">
        <f>IF(('FS Budapest'!BP14-'FS Budapest'!BP13)&lt;0,"0",('FS Budapest'!BP14-'FS Budapest'!BP13))</f>
        <v>19</v>
      </c>
      <c r="AE11" s="12">
        <f>IF(('FS Budapest'!BR14-'FS Budapest'!BR13)&lt;0,"0",('FS Budapest'!BR14-'FS Budapest'!BR13))</f>
        <v>2180</v>
      </c>
      <c r="AF11" s="12">
        <f>'FS Budapest'!BU14</f>
        <v>101</v>
      </c>
      <c r="AG11" s="12">
        <f>'FS Budapest'!BV14</f>
        <v>171</v>
      </c>
    </row>
    <row r="12" spans="1:33" s="16" customFormat="1" x14ac:dyDescent="0.35">
      <c r="A12" s="12" t="s">
        <v>11</v>
      </c>
      <c r="B12" s="15">
        <f t="shared" si="0"/>
        <v>11</v>
      </c>
      <c r="C12" s="3">
        <v>5</v>
      </c>
      <c r="D12" s="12">
        <v>2019</v>
      </c>
      <c r="E12" s="12">
        <f>IF(('FS Budapest'!C15-'FS Budapest'!C14)&lt;0,"0",('FS Budapest'!C15-'FS Budapest'!C14))</f>
        <v>66</v>
      </c>
      <c r="F12" s="12">
        <f>IF(('FS Budapest'!D15-'FS Budapest'!D14)&lt;0,"0",('FS Budapest'!D15-'FS Budapest'!D14))</f>
        <v>76</v>
      </c>
      <c r="G12" s="12">
        <f>IF(('FS Budapest'!E15-'FS Budapest'!Y15)&lt;0,"0",('FS Budapest'!E15-'FS Budapest'!Y15))</f>
        <v>48</v>
      </c>
      <c r="H12" s="12">
        <f>IF(('FS Budapest'!H15-'FS Budapest'!H14)&lt;0,"0",('FS Budapest'!H15-'FS Budapest'!H14))</f>
        <v>84</v>
      </c>
      <c r="I12" s="12">
        <f>IF(('FS Budapest'!I15-'FS Budapest'!I14)&lt;0,"0",('FS Budapest'!I15-'FS Budapest'!I14))</f>
        <v>22</v>
      </c>
      <c r="J12" s="12">
        <f>IF(('FS Budapest'!K15-'FS Budapest'!K14)&lt;0,"0",('FS Budapest'!K15-'FS Budapest'!K14))</f>
        <v>6</v>
      </c>
      <c r="K12" s="12">
        <f>IF(('FS Budapest'!M15-'FS Budapest'!M14)&lt;0,"0",('FS Budapest'!M15-'FS Budapest'!M14))</f>
        <v>9</v>
      </c>
      <c r="L12" s="12">
        <f>IF(('FS Budapest'!O15-'FS Budapest'!O14)&lt;0,"0",('FS Budapest'!O15-'FS Budapest'!O14))</f>
        <v>12</v>
      </c>
      <c r="M12" s="12">
        <f>IF(('FS Budapest'!Q15-'FS Budapest'!Q14)&lt;0,"0",('FS Budapest'!Q15-'FS Budapest'!Q14))</f>
        <v>2</v>
      </c>
      <c r="N12" s="12">
        <f>IF(('FS Budapest'!S15-'FS Budapest'!S14)&lt;0,"0",('FS Budapest'!S15-'FS Budapest'!S14))</f>
        <v>2</v>
      </c>
      <c r="O12" s="12">
        <f>IF(('FS Budapest'!V15-'FS Budapest'!V14)&lt;0,"0",('FS Budapest'!V15-'FS Budapest'!V14))</f>
        <v>6</v>
      </c>
      <c r="P12" s="12">
        <f>IF(('FS Budapest'!X15-'FS Budapest'!X14)&lt;0,"0",('FS Budapest'!X15-'FS Budapest'!X14))</f>
        <v>28</v>
      </c>
      <c r="Q12" s="12">
        <f>'FS Budapest'!AB15</f>
        <v>3</v>
      </c>
      <c r="R12" s="12">
        <f>'FS Budapest'!AE15</f>
        <v>2</v>
      </c>
      <c r="S12" s="12">
        <f>'FS Budapest'!AF15</f>
        <v>10</v>
      </c>
      <c r="T12" s="12">
        <f>IF(('FS Budapest'!AK15-'FS Budapest'!AK14)&lt;0,"0",('FS Budapest'!AK15-'FS Budapest'!AK14))</f>
        <v>1305</v>
      </c>
      <c r="U12" s="12">
        <f>IF(('FS Budapest'!AM15-'FS Budapest'!AM14)&lt;0,"0",('FS Budapest'!AM15-'FS Budapest'!AM14))</f>
        <v>39</v>
      </c>
      <c r="V12" s="12">
        <f>IF(('FS Budapest'!AO15-'FS Budapest'!AO14)&lt;0,"0",('FS Budapest'!AO15-'FS Budapest'!AO14))</f>
        <v>0</v>
      </c>
      <c r="W12" s="12">
        <f>IF(('FS Budapest'!AQ15-'FS Budapest'!AQ14)&lt;0,"0",('FS Budapest'!AQ15-'FS Budapest'!AQ14))</f>
        <v>535</v>
      </c>
      <c r="X12" s="12">
        <f>'FS Budapest'!AY15</f>
        <v>0</v>
      </c>
      <c r="Y12" s="12">
        <f>IF(('FS Budapest'!BA15-'FS Budapest'!BA14)&lt;0,"0",('FS Budapest'!BA15-'FS Budapest'!BA14)*4400)</f>
        <v>17555.99999999904</v>
      </c>
      <c r="Z12" s="12">
        <f>'FS Budapest'!BI15</f>
        <v>17555.99999999904</v>
      </c>
      <c r="AA12" s="12">
        <f>'FS Budapest'!BJ15</f>
        <v>14986.99999999904</v>
      </c>
      <c r="AB12" s="12">
        <f>IF(('FS Budapest'!BK15-'FS Budapest'!BK14)&lt;0,"0",('FS Budapest'!BK15-'FS Budapest'!BK14)*100)</f>
        <v>493.99999999986903</v>
      </c>
      <c r="AC12" s="12">
        <f>'FS Budapest'!BM15</f>
        <v>18049.999999998909</v>
      </c>
      <c r="AD12" s="12">
        <f>IF(('FS Budapest'!BP15-'FS Budapest'!BP14)&lt;0,"0",('FS Budapest'!BP15-'FS Budapest'!BP14))</f>
        <v>19</v>
      </c>
      <c r="AE12" s="12">
        <f>IF(('FS Budapest'!BR15-'FS Budapest'!BR14)&lt;0,"0",('FS Budapest'!BR15-'FS Budapest'!BR14))</f>
        <v>2550</v>
      </c>
      <c r="AF12" s="12">
        <f>'FS Budapest'!BU15</f>
        <v>92</v>
      </c>
      <c r="AG12" s="12">
        <f>'FS Budapest'!BV15</f>
        <v>163</v>
      </c>
    </row>
    <row r="13" spans="1:33" s="16" customFormat="1" x14ac:dyDescent="0.35">
      <c r="A13" s="12" t="s">
        <v>11</v>
      </c>
      <c r="B13" s="15">
        <f t="shared" si="0"/>
        <v>12</v>
      </c>
      <c r="C13" s="3">
        <v>5</v>
      </c>
      <c r="D13" s="12">
        <v>2019</v>
      </c>
      <c r="E13" s="12">
        <f>IF(('FS Budapest'!C16-'FS Budapest'!C15)&lt;0,"0",('FS Budapest'!C16-'FS Budapest'!C15))</f>
        <v>62</v>
      </c>
      <c r="F13" s="12">
        <f>IF(('FS Budapest'!D16-'FS Budapest'!D15)&lt;0,"0",('FS Budapest'!D16-'FS Budapest'!D15))</f>
        <v>79</v>
      </c>
      <c r="G13" s="12">
        <f>IF(('FS Budapest'!E16-'FS Budapest'!Y16)&lt;0,"0",('FS Budapest'!E16-'FS Budapest'!Y16))</f>
        <v>53</v>
      </c>
      <c r="H13" s="12">
        <f>IF(('FS Budapest'!H16-'FS Budapest'!H15)&lt;0,"0",('FS Budapest'!H16-'FS Budapest'!H15))</f>
        <v>93</v>
      </c>
      <c r="I13" s="12">
        <f>IF(('FS Budapest'!I16-'FS Budapest'!I15)&lt;0,"0",('FS Budapest'!I16-'FS Budapest'!I15))</f>
        <v>25</v>
      </c>
      <c r="J13" s="12">
        <f>IF(('FS Budapest'!K16-'FS Budapest'!K15)&lt;0,"0",('FS Budapest'!K16-'FS Budapest'!K15))</f>
        <v>5</v>
      </c>
      <c r="K13" s="12">
        <f>IF(('FS Budapest'!M16-'FS Budapest'!M15)&lt;0,"0",('FS Budapest'!M16-'FS Budapest'!M15))</f>
        <v>8</v>
      </c>
      <c r="L13" s="12">
        <f>IF(('FS Budapest'!O16-'FS Budapest'!O15)&lt;0,"0",('FS Budapest'!O16-'FS Budapest'!O15))</f>
        <v>13</v>
      </c>
      <c r="M13" s="12">
        <f>IF(('FS Budapest'!Q16-'FS Budapest'!Q15)&lt;0,"0",('FS Budapest'!Q16-'FS Budapest'!Q15))</f>
        <v>3</v>
      </c>
      <c r="N13" s="12">
        <f>IF(('FS Budapest'!S16-'FS Budapest'!S15)&lt;0,"0",('FS Budapest'!S16-'FS Budapest'!S15))</f>
        <v>2</v>
      </c>
      <c r="O13" s="12">
        <f>IF(('FS Budapest'!V16-'FS Budapest'!V15)&lt;0,"0",('FS Budapest'!V16-'FS Budapest'!V15))</f>
        <v>8</v>
      </c>
      <c r="P13" s="12">
        <f>IF(('FS Budapest'!X16-'FS Budapest'!X15)&lt;0,"0",('FS Budapest'!X16-'FS Budapest'!X15))</f>
        <v>26</v>
      </c>
      <c r="Q13" s="12">
        <f>'FS Budapest'!AB16</f>
        <v>3</v>
      </c>
      <c r="R13" s="12">
        <f>'FS Budapest'!AE16</f>
        <v>2</v>
      </c>
      <c r="S13" s="12">
        <f>'FS Budapest'!AF16</f>
        <v>13</v>
      </c>
      <c r="T13" s="12">
        <f>IF(('FS Budapest'!AK16-'FS Budapest'!AK15)&lt;0,"0",('FS Budapest'!AK16-'FS Budapest'!AK15))</f>
        <v>1237</v>
      </c>
      <c r="U13" s="12">
        <f>IF(('FS Budapest'!AM16-'FS Budapest'!AM15)&lt;0,"0",('FS Budapest'!AM16-'FS Budapest'!AM15))</f>
        <v>48</v>
      </c>
      <c r="V13" s="12">
        <f>IF(('FS Budapest'!AO16-'FS Budapest'!AO15)&lt;0,"0",('FS Budapest'!AO16-'FS Budapest'!AO15))</f>
        <v>0</v>
      </c>
      <c r="W13" s="12">
        <f>IF(('FS Budapest'!AQ16-'FS Budapest'!AQ15)&lt;0,"0",('FS Budapest'!AQ16-'FS Budapest'!AQ15))</f>
        <v>550</v>
      </c>
      <c r="X13" s="12">
        <f>'FS Budapest'!AY16</f>
        <v>0</v>
      </c>
      <c r="Y13" s="12">
        <f>IF(('FS Budapest'!BA16-'FS Budapest'!BA15)&lt;0,"0",('FS Budapest'!BA16-'FS Budapest'!BA15)*4400)</f>
        <v>17555.99999999904</v>
      </c>
      <c r="Z13" s="12">
        <f>'FS Budapest'!BI16</f>
        <v>17555.99999999904</v>
      </c>
      <c r="AA13" s="12">
        <f>'FS Budapest'!BJ16</f>
        <v>14944.99999999904</v>
      </c>
      <c r="AB13" s="12">
        <f>IF(('FS Budapest'!BK16-'FS Budapest'!BK15)&lt;0,"0",('FS Budapest'!BK16-'FS Budapest'!BK15)*100)</f>
        <v>541.99999999982538</v>
      </c>
      <c r="AC13" s="12">
        <f>'FS Budapest'!BM16</f>
        <v>18097.999999998865</v>
      </c>
      <c r="AD13" s="12">
        <f>IF(('FS Budapest'!BP16-'FS Budapest'!BP15)&lt;0,"0",('FS Budapest'!BP16-'FS Budapest'!BP15))</f>
        <v>19</v>
      </c>
      <c r="AE13" s="12">
        <f>IF(('FS Budapest'!BR16-'FS Budapest'!BR15)&lt;0,"0",('FS Budapest'!BR16-'FS Budapest'!BR15))</f>
        <v>2592</v>
      </c>
      <c r="AF13" s="12">
        <f>'FS Budapest'!BU16</f>
        <v>101</v>
      </c>
      <c r="AG13" s="12">
        <f>'FS Budapest'!BV16</f>
        <v>168</v>
      </c>
    </row>
    <row r="14" spans="1:33" s="16" customFormat="1" x14ac:dyDescent="0.35">
      <c r="A14" s="12" t="s">
        <v>11</v>
      </c>
      <c r="B14" s="15">
        <f t="shared" si="0"/>
        <v>13</v>
      </c>
      <c r="C14" s="3">
        <v>5</v>
      </c>
      <c r="D14" s="12">
        <v>2019</v>
      </c>
      <c r="E14" s="12">
        <f>IF(('FS Budapest'!C17-'FS Budapest'!C16)&lt;0,"0",('FS Budapest'!C17-'FS Budapest'!C16))</f>
        <v>49</v>
      </c>
      <c r="F14" s="12">
        <f>IF(('FS Budapest'!D17-'FS Budapest'!D16)&lt;0,"0",('FS Budapest'!D17-'FS Budapest'!D16))</f>
        <v>81</v>
      </c>
      <c r="G14" s="12">
        <f>IF(('FS Budapest'!E17-'FS Budapest'!Y17)&lt;0,"0",('FS Budapest'!E17-'FS Budapest'!Y17))</f>
        <v>58</v>
      </c>
      <c r="H14" s="12">
        <f>IF(('FS Budapest'!H17-'FS Budapest'!H16)&lt;0,"0",('FS Budapest'!H17-'FS Budapest'!H16))</f>
        <v>108</v>
      </c>
      <c r="I14" s="12">
        <f>IF(('FS Budapest'!I17-'FS Budapest'!I16)&lt;0,"0",('FS Budapest'!I17-'FS Budapest'!I16))</f>
        <v>26</v>
      </c>
      <c r="J14" s="12">
        <f>IF(('FS Budapest'!K17-'FS Budapest'!K16)&lt;0,"0",('FS Budapest'!K17-'FS Budapest'!K16))</f>
        <v>5</v>
      </c>
      <c r="K14" s="12">
        <f>IF(('FS Budapest'!M17-'FS Budapest'!M16)&lt;0,"0",('FS Budapest'!M17-'FS Budapest'!M16))</f>
        <v>10</v>
      </c>
      <c r="L14" s="12">
        <f>IF(('FS Budapest'!O17-'FS Budapest'!O16)&lt;0,"0",('FS Budapest'!O17-'FS Budapest'!O16))</f>
        <v>15</v>
      </c>
      <c r="M14" s="12">
        <f>IF(('FS Budapest'!Q17-'FS Budapest'!Q16)&lt;0,"0",('FS Budapest'!Q17-'FS Budapest'!Q16))</f>
        <v>0</v>
      </c>
      <c r="N14" s="12">
        <f>IF(('FS Budapest'!S17-'FS Budapest'!S16)&lt;0,"0",('FS Budapest'!S17-'FS Budapest'!S16))</f>
        <v>1</v>
      </c>
      <c r="O14" s="12">
        <f>IF(('FS Budapest'!V17-'FS Budapest'!V16)&lt;0,"0",('FS Budapest'!V17-'FS Budapest'!V16))</f>
        <v>6</v>
      </c>
      <c r="P14" s="12">
        <f>IF(('FS Budapest'!X17-'FS Budapest'!X16)&lt;0,"0",('FS Budapest'!X17-'FS Budapest'!X16))</f>
        <v>23</v>
      </c>
      <c r="Q14" s="12">
        <f>'FS Budapest'!AB17</f>
        <v>4</v>
      </c>
      <c r="R14" s="12">
        <f>'FS Budapest'!AE17</f>
        <v>2</v>
      </c>
      <c r="S14" s="12">
        <f>'FS Budapest'!AF17</f>
        <v>7</v>
      </c>
      <c r="T14" s="12">
        <f>IF(('FS Budapest'!AK17-'FS Budapest'!AK16)&lt;0,"0",('FS Budapest'!AK17-'FS Budapest'!AK16))</f>
        <v>1414</v>
      </c>
      <c r="U14" s="12">
        <f>IF(('FS Budapest'!AM17-'FS Budapest'!AM16)&lt;0,"0",('FS Budapest'!AM17-'FS Budapest'!AM16))</f>
        <v>40</v>
      </c>
      <c r="V14" s="12">
        <f>IF(('FS Budapest'!AO17-'FS Budapest'!AO16)&lt;0,"0",('FS Budapest'!AO17-'FS Budapest'!AO16))</f>
        <v>0</v>
      </c>
      <c r="W14" s="12">
        <f>IF(('FS Budapest'!AQ17-'FS Budapest'!AQ16)&lt;0,"0",('FS Budapest'!AQ17-'FS Budapest'!AQ16))</f>
        <v>569</v>
      </c>
      <c r="X14" s="12">
        <f>'FS Budapest'!AY17</f>
        <v>0</v>
      </c>
      <c r="Y14" s="12">
        <f>IF(('FS Budapest'!BA17-'FS Budapest'!BA16)&lt;0,"0",('FS Budapest'!BA17-'FS Budapest'!BA16)*4400)</f>
        <v>17027.999999995518</v>
      </c>
      <c r="Z14" s="12">
        <f>'FS Budapest'!BI17</f>
        <v>17027.999999995518</v>
      </c>
      <c r="AA14" s="12">
        <f>'FS Budapest'!BJ17</f>
        <v>14898.999999995518</v>
      </c>
      <c r="AB14" s="12">
        <f>IF(('FS Budapest'!BK17-'FS Budapest'!BK16)&lt;0,"0",('FS Budapest'!BK17-'FS Budapest'!BK16)*100)</f>
        <v>624.00000000016007</v>
      </c>
      <c r="AC14" s="12">
        <f>'FS Budapest'!BM17</f>
        <v>17651.999999995678</v>
      </c>
      <c r="AD14" s="12">
        <f>IF(('FS Budapest'!BP17-'FS Budapest'!BP16)&lt;0,"0",('FS Budapest'!BP17-'FS Budapest'!BP16))</f>
        <v>19</v>
      </c>
      <c r="AE14" s="12">
        <f>IF(('FS Budapest'!BR17-'FS Budapest'!BR16)&lt;0,"0",('FS Budapest'!BR17-'FS Budapest'!BR16))</f>
        <v>2110</v>
      </c>
      <c r="AF14" s="12">
        <f>'FS Budapest'!BU17</f>
        <v>131</v>
      </c>
      <c r="AG14" s="12">
        <f>'FS Budapest'!BV17</f>
        <v>194</v>
      </c>
    </row>
    <row r="15" spans="1:33" s="16" customFormat="1" x14ac:dyDescent="0.35">
      <c r="A15" s="12" t="s">
        <v>11</v>
      </c>
      <c r="B15" s="15">
        <f t="shared" si="0"/>
        <v>14</v>
      </c>
      <c r="C15" s="3">
        <v>5</v>
      </c>
      <c r="D15" s="12">
        <v>2019</v>
      </c>
      <c r="E15" s="12">
        <f>IF(('FS Budapest'!C18-'FS Budapest'!C17)&lt;0,"0",('FS Budapest'!C18-'FS Budapest'!C17))</f>
        <v>56</v>
      </c>
      <c r="F15" s="12">
        <f>IF(('FS Budapest'!D18-'FS Budapest'!D17)&lt;0,"0",('FS Budapest'!D18-'FS Budapest'!D17))</f>
        <v>69</v>
      </c>
      <c r="G15" s="12">
        <f>IF(('FS Budapest'!E18-'FS Budapest'!Y18)&lt;0,"0",('FS Budapest'!E18-'FS Budapest'!Y18))</f>
        <v>55</v>
      </c>
      <c r="H15" s="12">
        <f>IF(('FS Budapest'!H18-'FS Budapest'!H17)&lt;0,"0",('FS Budapest'!H18-'FS Budapest'!H17))</f>
        <v>92</v>
      </c>
      <c r="I15" s="12">
        <f>IF(('FS Budapest'!I18-'FS Budapest'!I17)&lt;0,"0",('FS Budapest'!I18-'FS Budapest'!I17))</f>
        <v>26</v>
      </c>
      <c r="J15" s="12">
        <f>IF(('FS Budapest'!K18-'FS Budapest'!K17)&lt;0,"0",('FS Budapest'!K18-'FS Budapest'!K17))</f>
        <v>6</v>
      </c>
      <c r="K15" s="12">
        <f>IF(('FS Budapest'!M18-'FS Budapest'!M17)&lt;0,"0",('FS Budapest'!M18-'FS Budapest'!M17))</f>
        <v>7</v>
      </c>
      <c r="L15" s="12">
        <f>IF(('FS Budapest'!O18-'FS Budapest'!O17)&lt;0,"0",('FS Budapest'!O18-'FS Budapest'!O17))</f>
        <v>18</v>
      </c>
      <c r="M15" s="12">
        <f>IF(('FS Budapest'!Q18-'FS Budapest'!Q17)&lt;0,"0",('FS Budapest'!Q18-'FS Budapest'!Q17))</f>
        <v>2</v>
      </c>
      <c r="N15" s="12">
        <f>IF(('FS Budapest'!S18-'FS Budapest'!S17)&lt;0,"0",('FS Budapest'!S18-'FS Budapest'!S17))</f>
        <v>1</v>
      </c>
      <c r="O15" s="12">
        <f>IF(('FS Budapest'!V18-'FS Budapest'!V17)&lt;0,"0",('FS Budapest'!V18-'FS Budapest'!V17))</f>
        <v>7</v>
      </c>
      <c r="P15" s="12">
        <f>IF(('FS Budapest'!X18-'FS Budapest'!X17)&lt;0,"0",('FS Budapest'!X18-'FS Budapest'!X17))</f>
        <v>14</v>
      </c>
      <c r="Q15" s="12">
        <f>'FS Budapest'!AB18</f>
        <v>3</v>
      </c>
      <c r="R15" s="12">
        <f>'FS Budapest'!AE18</f>
        <v>2</v>
      </c>
      <c r="S15" s="12">
        <f>'FS Budapest'!AF18</f>
        <v>10</v>
      </c>
      <c r="T15" s="12">
        <f>IF(('FS Budapest'!AK18-'FS Budapest'!AK17)&lt;0,"0",('FS Budapest'!AK18-'FS Budapest'!AK17))</f>
        <v>1998</v>
      </c>
      <c r="U15" s="12">
        <f>IF(('FS Budapest'!AM18-'FS Budapest'!AM17)&lt;0,"0",('FS Budapest'!AM18-'FS Budapest'!AM17))</f>
        <v>46</v>
      </c>
      <c r="V15" s="12">
        <f>IF(('FS Budapest'!AO18-'FS Budapest'!AO17)&lt;0,"0",('FS Budapest'!AO18-'FS Budapest'!AO17))</f>
        <v>0</v>
      </c>
      <c r="W15" s="12">
        <f>IF(('FS Budapest'!AQ18-'FS Budapest'!AQ17)&lt;0,"0",('FS Budapest'!AQ18-'FS Budapest'!AQ17))</f>
        <v>445</v>
      </c>
      <c r="X15" s="12">
        <f>'FS Budapest'!AY18</f>
        <v>0</v>
      </c>
      <c r="Y15" s="12">
        <f>IF(('FS Budapest'!BA18-'FS Budapest'!BA17)&lt;0,"0",('FS Budapest'!BA18-'FS Budapest'!BA17)*4400)</f>
        <v>16720.000000004802</v>
      </c>
      <c r="Z15" s="12">
        <f>'FS Budapest'!BI18</f>
        <v>16720.000000004802</v>
      </c>
      <c r="AA15" s="12">
        <f>'FS Budapest'!BJ18</f>
        <v>15610.000000004802</v>
      </c>
      <c r="AB15" s="12">
        <f>IF(('FS Budapest'!BK18-'FS Budapest'!BK17)&lt;0,"0",('FS Budapest'!BK18-'FS Budapest'!BK17)*100)</f>
        <v>590.00000000014552</v>
      </c>
      <c r="AC15" s="12">
        <f>'FS Budapest'!BM18</f>
        <v>17310.000000004948</v>
      </c>
      <c r="AD15" s="12">
        <f>IF(('FS Budapest'!BP18-'FS Budapest'!BP17)&lt;0,"0",('FS Budapest'!BP18-'FS Budapest'!BP17))</f>
        <v>19</v>
      </c>
      <c r="AE15" s="12">
        <f>IF(('FS Budapest'!BR18-'FS Budapest'!BR17)&lt;0,"0",('FS Budapest'!BR18-'FS Budapest'!BR17))</f>
        <v>1091</v>
      </c>
      <c r="AF15" s="12">
        <f>'FS Budapest'!BU18</f>
        <v>136</v>
      </c>
      <c r="AG15" s="12">
        <f>'FS Budapest'!BV18</f>
        <v>201</v>
      </c>
    </row>
    <row r="16" spans="1:33" s="16" customFormat="1" x14ac:dyDescent="0.35">
      <c r="A16" s="12" t="s">
        <v>11</v>
      </c>
      <c r="B16" s="15">
        <f t="shared" si="0"/>
        <v>15</v>
      </c>
      <c r="C16" s="3">
        <v>5</v>
      </c>
      <c r="D16" s="12">
        <v>2019</v>
      </c>
      <c r="E16" s="12">
        <f>IF(('FS Budapest'!C19-'FS Budapest'!C18)&lt;0,"0",('FS Budapest'!C19-'FS Budapest'!C18))</f>
        <v>65</v>
      </c>
      <c r="F16" s="12">
        <f>IF(('FS Budapest'!D19-'FS Budapest'!D18)&lt;0,"0",('FS Budapest'!D19-'FS Budapest'!D18))</f>
        <v>75</v>
      </c>
      <c r="G16" s="12">
        <f>IF(('FS Budapest'!E19-'FS Budapest'!Y19)&lt;0,"0",('FS Budapest'!E19-'FS Budapest'!Y19))</f>
        <v>62</v>
      </c>
      <c r="H16" s="12">
        <f>IF(('FS Budapest'!H19-'FS Budapest'!H18)&lt;0,"0",('FS Budapest'!H19-'FS Budapest'!H18))</f>
        <v>80</v>
      </c>
      <c r="I16" s="12">
        <f>IF(('FS Budapest'!I19-'FS Budapest'!I18)&lt;0,"0",('FS Budapest'!I19-'FS Budapest'!I18))</f>
        <v>25</v>
      </c>
      <c r="J16" s="12">
        <f>IF(('FS Budapest'!K19-'FS Budapest'!K18)&lt;0,"0",('FS Budapest'!K19-'FS Budapest'!K18))</f>
        <v>6</v>
      </c>
      <c r="K16" s="12">
        <f>IF(('FS Budapest'!M19-'FS Budapest'!M18)&lt;0,"0",('FS Budapest'!M19-'FS Budapest'!M18))</f>
        <v>9</v>
      </c>
      <c r="L16" s="12">
        <f>IF(('FS Budapest'!O19-'FS Budapest'!O18)&lt;0,"0",('FS Budapest'!O19-'FS Budapest'!O18))</f>
        <v>15</v>
      </c>
      <c r="M16" s="12">
        <f>IF(('FS Budapest'!Q19-'FS Budapest'!Q18)&lt;0,"0",('FS Budapest'!Q19-'FS Budapest'!Q18))</f>
        <v>1</v>
      </c>
      <c r="N16" s="12">
        <f>IF(('FS Budapest'!S19-'FS Budapest'!S18)&lt;0,"0",('FS Budapest'!S19-'FS Budapest'!S18))</f>
        <v>1</v>
      </c>
      <c r="O16" s="12">
        <f>IF(('FS Budapest'!V19-'FS Budapest'!V18)&lt;0,"0",('FS Budapest'!V19-'FS Budapest'!V18))</f>
        <v>6</v>
      </c>
      <c r="P16" s="12">
        <f>IF(('FS Budapest'!X19-'FS Budapest'!X18)&lt;0,"0",('FS Budapest'!X19-'FS Budapest'!X18))</f>
        <v>13</v>
      </c>
      <c r="Q16" s="12">
        <f>'FS Budapest'!AB19</f>
        <v>4</v>
      </c>
      <c r="R16" s="12">
        <f>'FS Budapest'!AE19</f>
        <v>2</v>
      </c>
      <c r="S16" s="12">
        <f>'FS Budapest'!AF19</f>
        <v>8</v>
      </c>
      <c r="T16" s="12">
        <f>IF(('FS Budapest'!AK19-'FS Budapest'!AK18)&lt;0,"0",('FS Budapest'!AK19-'FS Budapest'!AK18))</f>
        <v>1448</v>
      </c>
      <c r="U16" s="12">
        <f>IF(('FS Budapest'!AM19-'FS Budapest'!AM18)&lt;0,"0",('FS Budapest'!AM19-'FS Budapest'!AM18))</f>
        <v>50</v>
      </c>
      <c r="V16" s="12">
        <f>IF(('FS Budapest'!AO19-'FS Budapest'!AO18)&lt;0,"0",('FS Budapest'!AO19-'FS Budapest'!AO18))</f>
        <v>0</v>
      </c>
      <c r="W16" s="12">
        <f>IF(('FS Budapest'!AQ19-'FS Budapest'!AQ18)&lt;0,"0",('FS Budapest'!AQ19-'FS Budapest'!AQ18))</f>
        <v>507</v>
      </c>
      <c r="X16" s="12">
        <f>'FS Budapest'!AY19</f>
        <v>0</v>
      </c>
      <c r="Y16" s="12">
        <f>IF(('FS Budapest'!BA19-'FS Budapest'!BA18)&lt;0,"0",('FS Budapest'!BA19-'FS Budapest'!BA18)*4400)</f>
        <v>16588.000000001921</v>
      </c>
      <c r="Z16" s="12">
        <f>'FS Budapest'!BI19</f>
        <v>16588.000000001921</v>
      </c>
      <c r="AA16" s="12">
        <f>'FS Budapest'!BJ19</f>
        <v>15528.000000001921</v>
      </c>
      <c r="AB16" s="12">
        <f>IF(('FS Budapest'!BK19-'FS Budapest'!BK18)&lt;0,"0",('FS Budapest'!BK19-'FS Budapest'!BK18)*100)</f>
        <v>616.99999999982538</v>
      </c>
      <c r="AC16" s="12">
        <f>'FS Budapest'!BM19</f>
        <v>17205.000000001746</v>
      </c>
      <c r="AD16" s="12">
        <f>IF(('FS Budapest'!BP19-'FS Budapest'!BP18)&lt;0,"0",('FS Budapest'!BP19-'FS Budapest'!BP18))</f>
        <v>19</v>
      </c>
      <c r="AE16" s="12">
        <f>IF(('FS Budapest'!BR19-'FS Budapest'!BR18)&lt;0,"0",('FS Budapest'!BR19-'FS Budapest'!BR18))</f>
        <v>1041</v>
      </c>
      <c r="AF16" s="12">
        <f>'FS Budapest'!BU19</f>
        <v>142</v>
      </c>
      <c r="AG16" s="12">
        <f>'FS Budapest'!BV19</f>
        <v>204</v>
      </c>
    </row>
    <row r="17" spans="1:33" s="16" customFormat="1" x14ac:dyDescent="0.35">
      <c r="A17" s="12" t="s">
        <v>11</v>
      </c>
      <c r="B17" s="15">
        <f t="shared" si="0"/>
        <v>16</v>
      </c>
      <c r="C17" s="3">
        <v>5</v>
      </c>
      <c r="D17" s="12">
        <v>2019</v>
      </c>
      <c r="E17" s="12">
        <f>IF(('FS Budapest'!C20-'FS Budapest'!C19)&lt;0,"0",('FS Budapest'!C20-'FS Budapest'!C19))</f>
        <v>73</v>
      </c>
      <c r="F17" s="12">
        <f>IF(('FS Budapest'!D20-'FS Budapest'!D19)&lt;0,"0",('FS Budapest'!D20-'FS Budapest'!D19))</f>
        <v>90</v>
      </c>
      <c r="G17" s="12">
        <f>IF(('FS Budapest'!E20-'FS Budapest'!Y20)&lt;0,"0",('FS Budapest'!E20-'FS Budapest'!Y20))</f>
        <v>75</v>
      </c>
      <c r="H17" s="12">
        <f>IF(('FS Budapest'!H20-'FS Budapest'!H19)&lt;0,"0",('FS Budapest'!H20-'FS Budapest'!H19))</f>
        <v>85</v>
      </c>
      <c r="I17" s="12">
        <f>IF(('FS Budapest'!I20-'FS Budapest'!I19)&lt;0,"0",('FS Budapest'!I20-'FS Budapest'!I19))</f>
        <v>26</v>
      </c>
      <c r="J17" s="12">
        <f>IF(('FS Budapest'!K20-'FS Budapest'!K19)&lt;0,"0",('FS Budapest'!K20-'FS Budapest'!K19))</f>
        <v>6</v>
      </c>
      <c r="K17" s="12">
        <f>IF(('FS Budapest'!M20-'FS Budapest'!M19)&lt;0,"0",('FS Budapest'!M20-'FS Budapest'!M19))</f>
        <v>9</v>
      </c>
      <c r="L17" s="12">
        <f>IF(('FS Budapest'!O20-'FS Budapest'!O19)&lt;0,"0",('FS Budapest'!O20-'FS Budapest'!O19))</f>
        <v>15</v>
      </c>
      <c r="M17" s="12">
        <f>IF(('FS Budapest'!Q20-'FS Budapest'!Q19)&lt;0,"0",('FS Budapest'!Q20-'FS Budapest'!Q19))</f>
        <v>1</v>
      </c>
      <c r="N17" s="12">
        <f>IF(('FS Budapest'!S20-'FS Budapest'!S19)&lt;0,"0",('FS Budapest'!S20-'FS Budapest'!S19))</f>
        <v>2</v>
      </c>
      <c r="O17" s="12">
        <f>IF(('FS Budapest'!V20-'FS Budapest'!V19)&lt;0,"0",('FS Budapest'!V20-'FS Budapest'!V19))</f>
        <v>7</v>
      </c>
      <c r="P17" s="12">
        <f>IF(('FS Budapest'!X20-'FS Budapest'!X19)&lt;0,"0",('FS Budapest'!X20-'FS Budapest'!X19))</f>
        <v>15</v>
      </c>
      <c r="Q17" s="12">
        <f>'FS Budapest'!AB20</f>
        <v>4</v>
      </c>
      <c r="R17" s="12">
        <f>'FS Budapest'!AE20</f>
        <v>2</v>
      </c>
      <c r="S17" s="12">
        <f>'FS Budapest'!AF20</f>
        <v>10</v>
      </c>
      <c r="T17" s="12">
        <f>IF(('FS Budapest'!AK20-'FS Budapest'!AK19)&lt;0,"0",('FS Budapest'!AK20-'FS Budapest'!AK19))</f>
        <v>1619</v>
      </c>
      <c r="U17" s="12">
        <f>IF(('FS Budapest'!AM20-'FS Budapest'!AM19)&lt;0,"0",('FS Budapest'!AM20-'FS Budapest'!AM19))</f>
        <v>35</v>
      </c>
      <c r="V17" s="12">
        <f>IF(('FS Budapest'!AO20-'FS Budapest'!AO19)&lt;0,"0",('FS Budapest'!AO20-'FS Budapest'!AO19))</f>
        <v>0</v>
      </c>
      <c r="W17" s="12">
        <f>IF(('FS Budapest'!AQ20-'FS Budapest'!AQ19)&lt;0,"0",('FS Budapest'!AQ20-'FS Budapest'!AQ19))</f>
        <v>503</v>
      </c>
      <c r="X17" s="12">
        <f>'FS Budapest'!AY20</f>
        <v>0</v>
      </c>
      <c r="Y17" s="12">
        <f>IF(('FS Budapest'!BA20-'FS Budapest'!BA19)&lt;0,"0",('FS Budapest'!BA20-'FS Budapest'!BA19)*4400)</f>
        <v>17863.999999997759</v>
      </c>
      <c r="Z17" s="12">
        <f>'FS Budapest'!BI20</f>
        <v>17863.999999997759</v>
      </c>
      <c r="AA17" s="12">
        <f>'FS Budapest'!BJ20</f>
        <v>16327.999999997759</v>
      </c>
      <c r="AB17" s="12">
        <f>IF(('FS Budapest'!BK20-'FS Budapest'!BK19)&lt;0,"0",('FS Budapest'!BK20-'FS Budapest'!BK19)*100)</f>
        <v>627.00000000004366</v>
      </c>
      <c r="AC17" s="12">
        <f>'FS Budapest'!BM20</f>
        <v>18490.999999997803</v>
      </c>
      <c r="AD17" s="12">
        <f>IF(('FS Budapest'!BP20-'FS Budapest'!BP19)&lt;0,"0",('FS Budapest'!BP20-'FS Budapest'!BP19))</f>
        <v>19</v>
      </c>
      <c r="AE17" s="12">
        <f>IF(('FS Budapest'!BR20-'FS Budapest'!BR19)&lt;0,"0",('FS Budapest'!BR20-'FS Budapest'!BR19))</f>
        <v>1517</v>
      </c>
      <c r="AF17" s="12">
        <f>'FS Budapest'!BU20</f>
        <v>170</v>
      </c>
      <c r="AG17" s="12">
        <f>'FS Budapest'!BV20</f>
        <v>226</v>
      </c>
    </row>
    <row r="18" spans="1:33" s="16" customFormat="1" x14ac:dyDescent="0.35">
      <c r="A18" s="12" t="s">
        <v>11</v>
      </c>
      <c r="B18" s="15">
        <f t="shared" si="0"/>
        <v>17</v>
      </c>
      <c r="C18" s="3">
        <v>5</v>
      </c>
      <c r="D18" s="12">
        <v>2019</v>
      </c>
      <c r="E18" s="12">
        <f>IF(('FS Budapest'!C21-'FS Budapest'!C20)&lt;0,"0",('FS Budapest'!C21-'FS Budapest'!C20))</f>
        <v>82</v>
      </c>
      <c r="F18" s="12">
        <f>IF(('FS Budapest'!D21-'FS Budapest'!D20)&lt;0,"0",('FS Budapest'!D21-'FS Budapest'!D20))</f>
        <v>93</v>
      </c>
      <c r="G18" s="12">
        <f>IF(('FS Budapest'!E21-'FS Budapest'!Y21)&lt;0,"0",('FS Budapest'!E21-'FS Budapest'!Y21))</f>
        <v>76</v>
      </c>
      <c r="H18" s="12">
        <f>IF(('FS Budapest'!H21-'FS Budapest'!H20)&lt;0,"0",('FS Budapest'!H21-'FS Budapest'!H20))</f>
        <v>93</v>
      </c>
      <c r="I18" s="12">
        <f>IF(('FS Budapest'!I21-'FS Budapest'!I20)&lt;0,"0",('FS Budapest'!I21-'FS Budapest'!I20))</f>
        <v>29</v>
      </c>
      <c r="J18" s="12">
        <f>IF(('FS Budapest'!K21-'FS Budapest'!K20)&lt;0,"0",('FS Budapest'!K21-'FS Budapest'!K20))</f>
        <v>7</v>
      </c>
      <c r="K18" s="12">
        <f>IF(('FS Budapest'!M21-'FS Budapest'!M20)&lt;0,"0",('FS Budapest'!M21-'FS Budapest'!M20))</f>
        <v>9</v>
      </c>
      <c r="L18" s="12">
        <f>IF(('FS Budapest'!O21-'FS Budapest'!O20)&lt;0,"0",('FS Budapest'!O21-'FS Budapest'!O20))</f>
        <v>18</v>
      </c>
      <c r="M18" s="12">
        <f>IF(('FS Budapest'!Q21-'FS Budapest'!Q20)&lt;0,"0",('FS Budapest'!Q21-'FS Budapest'!Q20))</f>
        <v>3</v>
      </c>
      <c r="N18" s="12">
        <f>IF(('FS Budapest'!S21-'FS Budapest'!S20)&lt;0,"0",('FS Budapest'!S21-'FS Budapest'!S20))</f>
        <v>1</v>
      </c>
      <c r="O18" s="12">
        <f>IF(('FS Budapest'!V21-'FS Budapest'!V20)&lt;0,"0",('FS Budapest'!V21-'FS Budapest'!V20))</f>
        <v>8</v>
      </c>
      <c r="P18" s="12">
        <f>IF(('FS Budapest'!X21-'FS Budapest'!X20)&lt;0,"0",('FS Budapest'!X21-'FS Budapest'!X20))</f>
        <v>17</v>
      </c>
      <c r="Q18" s="12">
        <f>'FS Budapest'!AB21</f>
        <v>4</v>
      </c>
      <c r="R18" s="12">
        <f>'FS Budapest'!AE21</f>
        <v>6</v>
      </c>
      <c r="S18" s="12">
        <f>'FS Budapest'!AF21</f>
        <v>12</v>
      </c>
      <c r="T18" s="12">
        <f>IF(('FS Budapest'!AK21-'FS Budapest'!AK20)&lt;0,"0",('FS Budapest'!AK21-'FS Budapest'!AK20))</f>
        <v>1397</v>
      </c>
      <c r="U18" s="12">
        <f>IF(('FS Budapest'!AM21-'FS Budapest'!AM20)&lt;0,"0",('FS Budapest'!AM21-'FS Budapest'!AM20))</f>
        <v>45</v>
      </c>
      <c r="V18" s="12">
        <f>IF(('FS Budapest'!AO21-'FS Budapest'!AO20)&lt;0,"0",('FS Budapest'!AO21-'FS Budapest'!AO20))</f>
        <v>0</v>
      </c>
      <c r="W18" s="12">
        <f>IF(('FS Budapest'!AQ21-'FS Budapest'!AQ20)&lt;0,"0",('FS Budapest'!AQ21-'FS Budapest'!AQ20))</f>
        <v>596</v>
      </c>
      <c r="X18" s="12">
        <f>'FS Budapest'!AY21</f>
        <v>0</v>
      </c>
      <c r="Y18" s="12">
        <f>IF(('FS Budapest'!BA21-'FS Budapest'!BA20)&lt;0,"0",('FS Budapest'!BA21-'FS Budapest'!BA20)*4400)</f>
        <v>17467.999999997119</v>
      </c>
      <c r="Z18" s="12">
        <f>'FS Budapest'!BI21</f>
        <v>17467.999999997119</v>
      </c>
      <c r="AA18" s="12">
        <f>'FS Budapest'!BJ21</f>
        <v>15516.999999997119</v>
      </c>
      <c r="AB18" s="12">
        <f>IF(('FS Budapest'!BK21-'FS Budapest'!BK20)&lt;0,"0",('FS Budapest'!BK21-'FS Budapest'!BK20)*100)</f>
        <v>591.99999999982538</v>
      </c>
      <c r="AC18" s="12">
        <f>'FS Budapest'!BM21</f>
        <v>18059.999999996944</v>
      </c>
      <c r="AD18" s="12">
        <f>IF(('FS Budapest'!BP21-'FS Budapest'!BP20)&lt;0,"0",('FS Budapest'!BP21-'FS Budapest'!BP20))</f>
        <v>19</v>
      </c>
      <c r="AE18" s="12">
        <f>IF(('FS Budapest'!BR21-'FS Budapest'!BR20)&lt;0,"0",('FS Budapest'!BR21-'FS Budapest'!BR20))</f>
        <v>1932</v>
      </c>
      <c r="AF18" s="12">
        <f>'FS Budapest'!BU21</f>
        <v>157</v>
      </c>
      <c r="AG18" s="12">
        <f>'FS Budapest'!BV21</f>
        <v>234</v>
      </c>
    </row>
    <row r="19" spans="1:33" s="16" customFormat="1" x14ac:dyDescent="0.35">
      <c r="A19" s="12" t="s">
        <v>11</v>
      </c>
      <c r="B19" s="15">
        <f t="shared" si="0"/>
        <v>18</v>
      </c>
      <c r="C19" s="3">
        <v>5</v>
      </c>
      <c r="D19" s="12">
        <v>2019</v>
      </c>
      <c r="E19" s="12">
        <f>IF(('FS Budapest'!C22-'FS Budapest'!C21)&lt;0,"0",('FS Budapest'!C22-'FS Budapest'!C21))</f>
        <v>84</v>
      </c>
      <c r="F19" s="12">
        <f>IF(('FS Budapest'!D22-'FS Budapest'!D21)&lt;0,"0",('FS Budapest'!D22-'FS Budapest'!D21))</f>
        <v>110</v>
      </c>
      <c r="G19" s="12">
        <f>IF(('FS Budapest'!E22-'FS Budapest'!Y22)&lt;0,"0",('FS Budapest'!E22-'FS Budapest'!Y22))</f>
        <v>83</v>
      </c>
      <c r="H19" s="12">
        <f>IF(('FS Budapest'!H22-'FS Budapest'!H21)&lt;0,"0",('FS Budapest'!H22-'FS Budapest'!H21))</f>
        <v>92</v>
      </c>
      <c r="I19" s="12">
        <f>IF(('FS Budapest'!I22-'FS Budapest'!I21)&lt;0,"0",('FS Budapest'!I22-'FS Budapest'!I21))</f>
        <v>26</v>
      </c>
      <c r="J19" s="12">
        <f>IF(('FS Budapest'!K22-'FS Budapest'!K21)&lt;0,"0",('FS Budapest'!K22-'FS Budapest'!K21))</f>
        <v>6</v>
      </c>
      <c r="K19" s="12">
        <f>IF(('FS Budapest'!M22-'FS Budapest'!M21)&lt;0,"0",('FS Budapest'!M22-'FS Budapest'!M21))</f>
        <v>9</v>
      </c>
      <c r="L19" s="12">
        <f>IF(('FS Budapest'!O22-'FS Budapest'!O21)&lt;0,"0",('FS Budapest'!O22-'FS Budapest'!O21))</f>
        <v>18</v>
      </c>
      <c r="M19" s="12">
        <f>IF(('FS Budapest'!Q22-'FS Budapest'!Q21)&lt;0,"0",('FS Budapest'!Q22-'FS Budapest'!Q21))</f>
        <v>2</v>
      </c>
      <c r="N19" s="12">
        <f>IF(('FS Budapest'!S22-'FS Budapest'!S21)&lt;0,"0",('FS Budapest'!S22-'FS Budapest'!S21))</f>
        <v>2</v>
      </c>
      <c r="O19" s="12">
        <f>IF(('FS Budapest'!V22-'FS Budapest'!V21)&lt;0,"0",('FS Budapest'!V22-'FS Budapest'!V21))</f>
        <v>7</v>
      </c>
      <c r="P19" s="12">
        <f>IF(('FS Budapest'!X22-'FS Budapest'!X21)&lt;0,"0",('FS Budapest'!X22-'FS Budapest'!X21))</f>
        <v>27</v>
      </c>
      <c r="Q19" s="12">
        <f>'FS Budapest'!AB22</f>
        <v>3</v>
      </c>
      <c r="R19" s="12">
        <f>'FS Budapest'!AE22</f>
        <v>2</v>
      </c>
      <c r="S19" s="12">
        <f>'FS Budapest'!AF22</f>
        <v>13</v>
      </c>
      <c r="T19" s="12">
        <f>IF(('FS Budapest'!AK22-'FS Budapest'!AK21)&lt;0,"0",('FS Budapest'!AK22-'FS Budapest'!AK21))</f>
        <v>1388</v>
      </c>
      <c r="U19" s="12">
        <f>IF(('FS Budapest'!AM22-'FS Budapest'!AM21)&lt;0,"0",('FS Budapest'!AM22-'FS Budapest'!AM21))</f>
        <v>45</v>
      </c>
      <c r="V19" s="12">
        <f>IF(('FS Budapest'!AO22-'FS Budapest'!AO21)&lt;0,"0",('FS Budapest'!AO22-'FS Budapest'!AO21))</f>
        <v>0</v>
      </c>
      <c r="W19" s="12">
        <f>IF(('FS Budapest'!AQ22-'FS Budapest'!AQ21)&lt;0,"0",('FS Budapest'!AQ22-'FS Budapest'!AQ21))</f>
        <v>530</v>
      </c>
      <c r="X19" s="12">
        <f>'FS Budapest'!AY22</f>
        <v>0</v>
      </c>
      <c r="Y19" s="12">
        <f>IF(('FS Budapest'!BA22-'FS Budapest'!BA21)&lt;0,"0",('FS Budapest'!BA22-'FS Budapest'!BA21)*4400)</f>
        <v>17951.99999999968</v>
      </c>
      <c r="Z19" s="12">
        <f>'FS Budapest'!BI22</f>
        <v>17951.99999999968</v>
      </c>
      <c r="AA19" s="12">
        <f>'FS Budapest'!BJ22</f>
        <v>15386.99999999968</v>
      </c>
      <c r="AB19" s="12">
        <f>IF(('FS Budapest'!BK22-'FS Budapest'!BK21)&lt;0,"0",('FS Budapest'!BK22-'FS Budapest'!BK21)*100)</f>
        <v>540.99999999998545</v>
      </c>
      <c r="AC19" s="12">
        <f>'FS Budapest'!BM22</f>
        <v>18492.999999999665</v>
      </c>
      <c r="AD19" s="12">
        <f>IF(('FS Budapest'!BP22-'FS Budapest'!BP21)&lt;0,"0",('FS Budapest'!BP22-'FS Budapest'!BP21))</f>
        <v>19</v>
      </c>
      <c r="AE19" s="12">
        <f>IF(('FS Budapest'!BR22-'FS Budapest'!BR21)&lt;0,"0",('FS Budapest'!BR22-'FS Budapest'!BR21))</f>
        <v>2546</v>
      </c>
      <c r="AF19" s="12">
        <f>'FS Budapest'!BU22</f>
        <v>159</v>
      </c>
      <c r="AG19" s="12">
        <f>'FS Budapest'!BV22</f>
        <v>282</v>
      </c>
    </row>
    <row r="20" spans="1:33" s="16" customFormat="1" x14ac:dyDescent="0.35">
      <c r="A20" s="12" t="s">
        <v>11</v>
      </c>
      <c r="B20" s="15">
        <f t="shared" si="0"/>
        <v>19</v>
      </c>
      <c r="C20" s="3">
        <v>5</v>
      </c>
      <c r="D20" s="12">
        <v>2019</v>
      </c>
      <c r="E20" s="12">
        <f>IF(('FS Budapest'!C23-'FS Budapest'!C22)&lt;0,"0",('FS Budapest'!C23-'FS Budapest'!C22))</f>
        <v>83</v>
      </c>
      <c r="F20" s="12">
        <f>IF(('FS Budapest'!D23-'FS Budapest'!D22)&lt;0,"0",('FS Budapest'!D23-'FS Budapest'!D22))</f>
        <v>111</v>
      </c>
      <c r="G20" s="12">
        <f>IF(('FS Budapest'!E23-'FS Budapest'!Y23)&lt;0,"0",('FS Budapest'!E23-'FS Budapest'!Y23))</f>
        <v>85</v>
      </c>
      <c r="H20" s="12">
        <f>IF(('FS Budapest'!H23-'FS Budapest'!H22)&lt;0,"0",('FS Budapest'!H23-'FS Budapest'!H22))</f>
        <v>94</v>
      </c>
      <c r="I20" s="12">
        <f>IF(('FS Budapest'!I23-'FS Budapest'!I22)&lt;0,"0",('FS Budapest'!I23-'FS Budapest'!I22))</f>
        <v>28</v>
      </c>
      <c r="J20" s="12">
        <f>IF(('FS Budapest'!K23-'FS Budapest'!K22)&lt;0,"0",('FS Budapest'!K23-'FS Budapest'!K22))</f>
        <v>6</v>
      </c>
      <c r="K20" s="12">
        <f>IF(('FS Budapest'!M23-'FS Budapest'!M22)&lt;0,"0",('FS Budapest'!M23-'FS Budapest'!M22))</f>
        <v>8</v>
      </c>
      <c r="L20" s="12">
        <f>IF(('FS Budapest'!O23-'FS Budapest'!O22)&lt;0,"0",('FS Budapest'!O23-'FS Budapest'!O22))</f>
        <v>18</v>
      </c>
      <c r="M20" s="12">
        <f>IF(('FS Budapest'!Q23-'FS Budapest'!Q22)&lt;0,"0",('FS Budapest'!Q23-'FS Budapest'!Q22))</f>
        <v>4</v>
      </c>
      <c r="N20" s="12">
        <f>IF(('FS Budapest'!S23-'FS Budapest'!S22)&lt;0,"0",('FS Budapest'!S23-'FS Budapest'!S22))</f>
        <v>1</v>
      </c>
      <c r="O20" s="12">
        <f>IF(('FS Budapest'!V23-'FS Budapest'!V22)&lt;0,"0",('FS Budapest'!V23-'FS Budapest'!V22))</f>
        <v>7</v>
      </c>
      <c r="P20" s="12">
        <f>IF(('FS Budapest'!X23-'FS Budapest'!X22)&lt;0,"0",('FS Budapest'!X23-'FS Budapest'!X22))</f>
        <v>26</v>
      </c>
      <c r="Q20" s="12">
        <f>'FS Budapest'!AB23</f>
        <v>3</v>
      </c>
      <c r="R20" s="12">
        <f>'FS Budapest'!AE23</f>
        <v>1</v>
      </c>
      <c r="S20" s="12">
        <f>'FS Budapest'!AF23</f>
        <v>12</v>
      </c>
      <c r="T20" s="12">
        <f>IF(('FS Budapest'!AK23-'FS Budapest'!AK22)&lt;0,"0",('FS Budapest'!AK23-'FS Budapest'!AK22))</f>
        <v>1326</v>
      </c>
      <c r="U20" s="12">
        <f>IF(('FS Budapest'!AM23-'FS Budapest'!AM22)&lt;0,"0",('FS Budapest'!AM23-'FS Budapest'!AM22))</f>
        <v>49</v>
      </c>
      <c r="V20" s="12">
        <f>IF(('FS Budapest'!AO23-'FS Budapest'!AO22)&lt;0,"0",('FS Budapest'!AO23-'FS Budapest'!AO22))</f>
        <v>0</v>
      </c>
      <c r="W20" s="12">
        <f>IF(('FS Budapest'!AQ23-'FS Budapest'!AQ22)&lt;0,"0",('FS Budapest'!AQ23-'FS Budapest'!AQ22))</f>
        <v>540</v>
      </c>
      <c r="X20" s="12">
        <f>'FS Budapest'!AY23</f>
        <v>0</v>
      </c>
      <c r="Y20" s="12">
        <f>IF(('FS Budapest'!BA23-'FS Budapest'!BA22)&lt;0,"0",('FS Budapest'!BA23-'FS Budapest'!BA22)*4400)</f>
        <v>17820.000000004802</v>
      </c>
      <c r="Z20" s="12">
        <f>'FS Budapest'!BI23</f>
        <v>17820.000000004802</v>
      </c>
      <c r="AA20" s="12">
        <f>'FS Budapest'!BJ23</f>
        <v>15116.000000004802</v>
      </c>
      <c r="AB20" s="12">
        <f>IF(('FS Budapest'!BK23-'FS Budapest'!BK22)&lt;0,"0",('FS Budapest'!BK23-'FS Budapest'!BK22)*100)</f>
        <v>511.00000000005821</v>
      </c>
      <c r="AC20" s="12">
        <f>'FS Budapest'!BM23</f>
        <v>18331.00000000486</v>
      </c>
      <c r="AD20" s="12">
        <f>IF(('FS Budapest'!BP23-'FS Budapest'!BP22)&lt;0,"0",('FS Budapest'!BP23-'FS Budapest'!BP22))</f>
        <v>19</v>
      </c>
      <c r="AE20" s="12">
        <f>IF(('FS Budapest'!BR23-'FS Budapest'!BR22)&lt;0,"0",('FS Budapest'!BR23-'FS Budapest'!BR22))</f>
        <v>2685</v>
      </c>
      <c r="AF20" s="12">
        <f>'FS Budapest'!BU23</f>
        <v>153</v>
      </c>
      <c r="AG20" s="12">
        <f>'FS Budapest'!BV23</f>
        <v>251</v>
      </c>
    </row>
    <row r="21" spans="1:33" s="16" customFormat="1" x14ac:dyDescent="0.35">
      <c r="A21" s="12" t="s">
        <v>11</v>
      </c>
      <c r="B21" s="15">
        <f t="shared" si="0"/>
        <v>20</v>
      </c>
      <c r="C21" s="3">
        <v>5</v>
      </c>
      <c r="D21" s="12">
        <v>2019</v>
      </c>
      <c r="E21" s="12">
        <f>IF(('FS Budapest'!C24-'FS Budapest'!C23)&lt;0,"0",('FS Budapest'!C24-'FS Budapest'!C23))</f>
        <v>90</v>
      </c>
      <c r="F21" s="12">
        <f>IF(('FS Budapest'!D24-'FS Budapest'!D23)&lt;0,"0",('FS Budapest'!D24-'FS Budapest'!D23))</f>
        <v>104</v>
      </c>
      <c r="G21" s="12">
        <f>IF(('FS Budapest'!E24-'FS Budapest'!Y24)&lt;0,"0",('FS Budapest'!E24-'FS Budapest'!Y24))</f>
        <v>78</v>
      </c>
      <c r="H21" s="12">
        <f>IF(('FS Budapest'!H24-'FS Budapest'!H23)&lt;0,"0",('FS Budapest'!H24-'FS Budapest'!H23))</f>
        <v>92</v>
      </c>
      <c r="I21" s="12">
        <f>IF(('FS Budapest'!I24-'FS Budapest'!I23)&lt;0,"0",('FS Budapest'!I24-'FS Budapest'!I23))</f>
        <v>33</v>
      </c>
      <c r="J21" s="12">
        <f>IF(('FS Budapest'!K24-'FS Budapest'!K23)&lt;0,"0",('FS Budapest'!K24-'FS Budapest'!K23))</f>
        <v>7</v>
      </c>
      <c r="K21" s="12">
        <f>IF(('FS Budapest'!M24-'FS Budapest'!M23)&lt;0,"0",('FS Budapest'!M24-'FS Budapest'!M23))</f>
        <v>8</v>
      </c>
      <c r="L21" s="12">
        <f>IF(('FS Budapest'!O24-'FS Budapest'!O23)&lt;0,"0",('FS Budapest'!O24-'FS Budapest'!O23))</f>
        <v>20</v>
      </c>
      <c r="M21" s="12">
        <f>IF(('FS Budapest'!Q24-'FS Budapest'!Q23)&lt;0,"0",('FS Budapest'!Q24-'FS Budapest'!Q23))</f>
        <v>4</v>
      </c>
      <c r="N21" s="12">
        <f>IF(('FS Budapest'!S24-'FS Budapest'!S23)&lt;0,"0",('FS Budapest'!S24-'FS Budapest'!S23))</f>
        <v>1</v>
      </c>
      <c r="O21" s="12">
        <f>IF(('FS Budapest'!V24-'FS Budapest'!V23)&lt;0,"0",('FS Budapest'!V24-'FS Budapest'!V23))</f>
        <v>7</v>
      </c>
      <c r="P21" s="12">
        <f>IF(('FS Budapest'!X24-'FS Budapest'!X23)&lt;0,"0",('FS Budapest'!X24-'FS Budapest'!X23))</f>
        <v>26</v>
      </c>
      <c r="Q21" s="12">
        <f>'FS Budapest'!AB24</f>
        <v>3</v>
      </c>
      <c r="R21" s="12">
        <f>'FS Budapest'!AE24</f>
        <v>2</v>
      </c>
      <c r="S21" s="12">
        <f>'FS Budapest'!AF24</f>
        <v>12</v>
      </c>
      <c r="T21" s="12">
        <f>IF(('FS Budapest'!AK24-'FS Budapest'!AK23)&lt;0,"0",('FS Budapest'!AK24-'FS Budapest'!AK23))</f>
        <v>1396</v>
      </c>
      <c r="U21" s="12">
        <f>IF(('FS Budapest'!AM24-'FS Budapest'!AM23)&lt;0,"0",('FS Budapest'!AM24-'FS Budapest'!AM23))</f>
        <v>38</v>
      </c>
      <c r="V21" s="12">
        <f>IF(('FS Budapest'!AO24-'FS Budapest'!AO23)&lt;0,"0",('FS Budapest'!AO24-'FS Budapest'!AO23))</f>
        <v>0</v>
      </c>
      <c r="W21" s="12">
        <f>IF(('FS Budapest'!AQ24-'FS Budapest'!AQ23)&lt;0,"0",('FS Budapest'!AQ24-'FS Budapest'!AQ23))</f>
        <v>617</v>
      </c>
      <c r="X21" s="12">
        <f>'FS Budapest'!AY24</f>
        <v>0</v>
      </c>
      <c r="Y21" s="12">
        <f>IF(('FS Budapest'!BA24-'FS Budapest'!BA23)&lt;0,"0",('FS Budapest'!BA24-'FS Budapest'!BA23)*4400)</f>
        <v>17731.999999994878</v>
      </c>
      <c r="Z21" s="12">
        <f>'FS Budapest'!BI24</f>
        <v>17731.999999994878</v>
      </c>
      <c r="AA21" s="12">
        <f>'FS Budapest'!BJ24</f>
        <v>15154.999999994878</v>
      </c>
      <c r="AB21" s="12">
        <f>IF(('FS Budapest'!BK24-'FS Budapest'!BK23)&lt;0,"0",('FS Budapest'!BK24-'FS Budapest'!BK23)*100)</f>
        <v>628.00000000024738</v>
      </c>
      <c r="AC21" s="12">
        <f>'FS Budapest'!BM24</f>
        <v>18359.999999995125</v>
      </c>
      <c r="AD21" s="12">
        <f>IF(('FS Budapest'!BP24-'FS Budapest'!BP23)&lt;0,"0",('FS Budapest'!BP24-'FS Budapest'!BP23))</f>
        <v>19</v>
      </c>
      <c r="AE21" s="12">
        <f>IF(('FS Budapest'!BR24-'FS Budapest'!BR23)&lt;0,"0",('FS Budapest'!BR24-'FS Budapest'!BR23))</f>
        <v>2558</v>
      </c>
      <c r="AF21" s="12">
        <f>'FS Budapest'!BU24</f>
        <v>175</v>
      </c>
      <c r="AG21" s="12">
        <f>'FS Budapest'!BV24</f>
        <v>261</v>
      </c>
    </row>
    <row r="22" spans="1:33" s="16" customFormat="1" x14ac:dyDescent="0.35">
      <c r="A22" s="12" t="s">
        <v>11</v>
      </c>
      <c r="B22" s="15">
        <f t="shared" si="0"/>
        <v>21</v>
      </c>
      <c r="C22" s="3">
        <v>5</v>
      </c>
      <c r="D22" s="12">
        <v>2019</v>
      </c>
      <c r="E22" s="12">
        <f>IF(('FS Budapest'!C25-'FS Budapest'!C24)&lt;0,"0",('FS Budapest'!C25-'FS Budapest'!C24))</f>
        <v>82</v>
      </c>
      <c r="F22" s="12">
        <f>IF(('FS Budapest'!D25-'FS Budapest'!D24)&lt;0,"0",('FS Budapest'!D25-'FS Budapest'!D24))</f>
        <v>102</v>
      </c>
      <c r="G22" s="12">
        <f>IF(('FS Budapest'!E25-'FS Budapest'!Y25)&lt;0,"0",('FS Budapest'!E25-'FS Budapest'!Y25))</f>
        <v>78</v>
      </c>
      <c r="H22" s="12">
        <f>IF(('FS Budapest'!H25-'FS Budapest'!H24)&lt;0,"0",('FS Budapest'!H25-'FS Budapest'!H24))</f>
        <v>97</v>
      </c>
      <c r="I22" s="12">
        <f>IF(('FS Budapest'!I25-'FS Budapest'!I24)&lt;0,"0",('FS Budapest'!I25-'FS Budapest'!I24))</f>
        <v>31</v>
      </c>
      <c r="J22" s="12">
        <f>IF(('FS Budapest'!K25-'FS Budapest'!K24)&lt;0,"0",('FS Budapest'!K25-'FS Budapest'!K24))</f>
        <v>6</v>
      </c>
      <c r="K22" s="12">
        <f>IF(('FS Budapest'!M25-'FS Budapest'!M24)&lt;0,"0",('FS Budapest'!M25-'FS Budapest'!M24))</f>
        <v>9</v>
      </c>
      <c r="L22" s="12">
        <f>IF(('FS Budapest'!O25-'FS Budapest'!O24)&lt;0,"0",('FS Budapest'!O25-'FS Budapest'!O24))</f>
        <v>16</v>
      </c>
      <c r="M22" s="12">
        <f>IF(('FS Budapest'!Q25-'FS Budapest'!Q24)&lt;0,"0",('FS Budapest'!Q25-'FS Budapest'!Q24))</f>
        <v>5</v>
      </c>
      <c r="N22" s="12">
        <f>IF(('FS Budapest'!S25-'FS Budapest'!S24)&lt;0,"0",('FS Budapest'!S25-'FS Budapest'!S24))</f>
        <v>2</v>
      </c>
      <c r="O22" s="12">
        <f>IF(('FS Budapest'!V25-'FS Budapest'!V24)&lt;0,"0",('FS Budapest'!V25-'FS Budapest'!V24))</f>
        <v>8</v>
      </c>
      <c r="P22" s="12">
        <f>IF(('FS Budapest'!X25-'FS Budapest'!X24)&lt;0,"0",('FS Budapest'!X25-'FS Budapest'!X24))</f>
        <v>24</v>
      </c>
      <c r="Q22" s="12">
        <f>'FS Budapest'!AB25</f>
        <v>4</v>
      </c>
      <c r="R22" s="12">
        <f>'FS Budapest'!AE25</f>
        <v>4</v>
      </c>
      <c r="S22" s="12">
        <f>'FS Budapest'!AF25</f>
        <v>15</v>
      </c>
      <c r="T22" s="12">
        <f>IF(('FS Budapest'!AK25-'FS Budapest'!AK24)&lt;0,"0",('FS Budapest'!AK25-'FS Budapest'!AK24))</f>
        <v>1453</v>
      </c>
      <c r="U22" s="12">
        <f>IF(('FS Budapest'!AM25-'FS Budapest'!AM24)&lt;0,"0",('FS Budapest'!AM25-'FS Budapest'!AM24))</f>
        <v>41</v>
      </c>
      <c r="V22" s="12">
        <f>IF(('FS Budapest'!AO25-'FS Budapest'!AO24)&lt;0,"0",('FS Budapest'!AO25-'FS Budapest'!AO24))</f>
        <v>0</v>
      </c>
      <c r="W22" s="12">
        <f>IF(('FS Budapest'!AQ25-'FS Budapest'!AQ24)&lt;0,"0",('FS Budapest'!AQ25-'FS Budapest'!AQ24))</f>
        <v>622</v>
      </c>
      <c r="X22" s="12">
        <f>'FS Budapest'!AY25</f>
        <v>0</v>
      </c>
      <c r="Y22" s="12">
        <f>IF(('FS Budapest'!BA25-'FS Budapest'!BA24)&lt;0,"0",('FS Budapest'!BA25-'FS Budapest'!BA24)*4400)</f>
        <v>18084.000000002561</v>
      </c>
      <c r="Z22" s="12">
        <f>'FS Budapest'!BI25</f>
        <v>18084.000000002561</v>
      </c>
      <c r="AA22" s="12">
        <f>'FS Budapest'!BJ25</f>
        <v>15439.000000002561</v>
      </c>
      <c r="AB22" s="12">
        <f>IF(('FS Budapest'!BK25-'FS Budapest'!BK24)&lt;0,"0",('FS Budapest'!BK25-'FS Budapest'!BK24)*100)</f>
        <v>570.99999999991269</v>
      </c>
      <c r="AC22" s="12">
        <f>'FS Budapest'!BM25</f>
        <v>18655.000000002474</v>
      </c>
      <c r="AD22" s="12">
        <f>IF(('FS Budapest'!BP25-'FS Budapest'!BP24)&lt;0,"0",('FS Budapest'!BP25-'FS Budapest'!BP24))</f>
        <v>19</v>
      </c>
      <c r="AE22" s="12">
        <f>IF(('FS Budapest'!BR25-'FS Budapest'!BR24)&lt;0,"0",('FS Budapest'!BR25-'FS Budapest'!BR24))</f>
        <v>2626</v>
      </c>
      <c r="AF22" s="12">
        <f>'FS Budapest'!BU25</f>
        <v>176</v>
      </c>
      <c r="AG22" s="12">
        <f>'FS Budapest'!BV25</f>
        <v>256</v>
      </c>
    </row>
    <row r="23" spans="1:33" s="16" customFormat="1" x14ac:dyDescent="0.35">
      <c r="A23" s="12" t="s">
        <v>11</v>
      </c>
      <c r="B23" s="15">
        <f t="shared" si="0"/>
        <v>22</v>
      </c>
      <c r="C23" s="3">
        <v>5</v>
      </c>
      <c r="D23" s="12">
        <v>2019</v>
      </c>
      <c r="E23" s="12">
        <f>IF(('FS Budapest'!C26-'FS Budapest'!C25)&lt;0,"0",('FS Budapest'!C26-'FS Budapest'!C25))</f>
        <v>80</v>
      </c>
      <c r="F23" s="12">
        <f>IF(('FS Budapest'!D26-'FS Budapest'!D25)&lt;0,"0",('FS Budapest'!D26-'FS Budapest'!D25))</f>
        <v>95</v>
      </c>
      <c r="G23" s="12">
        <f>IF(('FS Budapest'!E26-'FS Budapest'!Y26)&lt;0,"0",('FS Budapest'!E26-'FS Budapest'!Y26))</f>
        <v>76</v>
      </c>
      <c r="H23" s="12">
        <f>IF(('FS Budapest'!H26-'FS Budapest'!H25)&lt;0,"0",('FS Budapest'!H26-'FS Budapest'!H25))</f>
        <v>91</v>
      </c>
      <c r="I23" s="12">
        <f>IF(('FS Budapest'!I26-'FS Budapest'!I25)&lt;0,"0",('FS Budapest'!I26-'FS Budapest'!I25))</f>
        <v>30</v>
      </c>
      <c r="J23" s="12">
        <f>IF(('FS Budapest'!K26-'FS Budapest'!K25)&lt;0,"0",('FS Budapest'!K26-'FS Budapest'!K25))</f>
        <v>7</v>
      </c>
      <c r="K23" s="12">
        <f>IF(('FS Budapest'!M26-'FS Budapest'!M25)&lt;0,"0",('FS Budapest'!M26-'FS Budapest'!M25))</f>
        <v>8</v>
      </c>
      <c r="L23" s="12">
        <f>IF(('FS Budapest'!O26-'FS Budapest'!O25)&lt;0,"0",('FS Budapest'!O26-'FS Budapest'!O25))</f>
        <v>17</v>
      </c>
      <c r="M23" s="12">
        <f>IF(('FS Budapest'!Q26-'FS Budapest'!Q25)&lt;0,"0",('FS Budapest'!Q26-'FS Budapest'!Q25))</f>
        <v>2</v>
      </c>
      <c r="N23" s="12">
        <f>IF(('FS Budapest'!S26-'FS Budapest'!S25)&lt;0,"0",('FS Budapest'!S26-'FS Budapest'!S25))</f>
        <v>1</v>
      </c>
      <c r="O23" s="12">
        <f>IF(('FS Budapest'!V26-'FS Budapest'!V25)&lt;0,"0",('FS Budapest'!V26-'FS Budapest'!V25))</f>
        <v>8</v>
      </c>
      <c r="P23" s="12">
        <f>IF(('FS Budapest'!X26-'FS Budapest'!X25)&lt;0,"0",('FS Budapest'!X26-'FS Budapest'!X25))</f>
        <v>19</v>
      </c>
      <c r="Q23" s="12">
        <f>'FS Budapest'!AB26</f>
        <v>4</v>
      </c>
      <c r="R23" s="12">
        <f>'FS Budapest'!AE26</f>
        <v>3</v>
      </c>
      <c r="S23" s="12">
        <f>'FS Budapest'!AF26</f>
        <v>11</v>
      </c>
      <c r="T23" s="12">
        <f>IF(('FS Budapest'!AK26-'FS Budapest'!AK25)&lt;0,"0",('FS Budapest'!AK26-'FS Budapest'!AK25))</f>
        <v>1402</v>
      </c>
      <c r="U23" s="12">
        <f>IF(('FS Budapest'!AM26-'FS Budapest'!AM25)&lt;0,"0",('FS Budapest'!AM26-'FS Budapest'!AM25))</f>
        <v>41</v>
      </c>
      <c r="V23" s="12">
        <f>IF(('FS Budapest'!AO26-'FS Budapest'!AO25)&lt;0,"0",('FS Budapest'!AO26-'FS Budapest'!AO25))</f>
        <v>0</v>
      </c>
      <c r="W23" s="12">
        <f>IF(('FS Budapest'!AQ26-'FS Budapest'!AQ25)&lt;0,"0",('FS Budapest'!AQ26-'FS Budapest'!AQ25))</f>
        <v>536</v>
      </c>
      <c r="X23" s="12">
        <f>'FS Budapest'!AY26</f>
        <v>0</v>
      </c>
      <c r="Y23" s="12">
        <f>IF(('FS Budapest'!BA26-'FS Budapest'!BA25)&lt;0,"0",('FS Budapest'!BA26-'FS Budapest'!BA25)*4400)</f>
        <v>18303.99999999936</v>
      </c>
      <c r="Z23" s="12">
        <f>'FS Budapest'!BI26</f>
        <v>18303.99999999936</v>
      </c>
      <c r="AA23" s="12">
        <f>'FS Budapest'!BJ26</f>
        <v>15952.99999999936</v>
      </c>
      <c r="AB23" s="12">
        <f>IF(('FS Budapest'!BK26-'FS Budapest'!BK25)&lt;0,"0",('FS Budapest'!BK26-'FS Budapest'!BK25)*100)</f>
        <v>539.99999999978172</v>
      </c>
      <c r="AC23" s="12">
        <f>'FS Budapest'!BM26</f>
        <v>18843.999999999141</v>
      </c>
      <c r="AD23" s="12">
        <f>IF(('FS Budapest'!BP26-'FS Budapest'!BP25)&lt;0,"0",('FS Budapest'!BP26-'FS Budapest'!BP25))</f>
        <v>19</v>
      </c>
      <c r="AE23" s="12">
        <f>IF(('FS Budapest'!BR26-'FS Budapest'!BR25)&lt;0,"0",('FS Budapest'!BR26-'FS Budapest'!BR25))</f>
        <v>2332</v>
      </c>
      <c r="AF23" s="12">
        <f>'FS Budapest'!BU26</f>
        <v>179</v>
      </c>
      <c r="AG23" s="12">
        <f>'FS Budapest'!BV26</f>
        <v>254</v>
      </c>
    </row>
    <row r="24" spans="1:33" s="16" customFormat="1" x14ac:dyDescent="0.35">
      <c r="A24" s="12" t="s">
        <v>11</v>
      </c>
      <c r="B24" s="15">
        <f t="shared" si="0"/>
        <v>23</v>
      </c>
      <c r="C24" s="3">
        <v>5</v>
      </c>
      <c r="D24" s="12">
        <v>2019</v>
      </c>
      <c r="E24" s="12">
        <f>IF(('FS Budapest'!C27-'FS Budapest'!C26)&lt;0,"0",('FS Budapest'!C27-'FS Budapest'!C26))</f>
        <v>83</v>
      </c>
      <c r="F24" s="12">
        <f>IF(('FS Budapest'!D27-'FS Budapest'!D26)&lt;0,"0",('FS Budapest'!D27-'FS Budapest'!D26))</f>
        <v>96</v>
      </c>
      <c r="G24" s="12">
        <f>IF(('FS Budapest'!E27-'FS Budapest'!Y27)&lt;0,"0",('FS Budapest'!E27-'FS Budapest'!Y27))</f>
        <v>80</v>
      </c>
      <c r="H24" s="12">
        <f>IF(('FS Budapest'!H27-'FS Budapest'!H26)&lt;0,"0",('FS Budapest'!H27-'FS Budapest'!H26))</f>
        <v>91</v>
      </c>
      <c r="I24" s="12">
        <f>IF(('FS Budapest'!I27-'FS Budapest'!I26)&lt;0,"0",('FS Budapest'!I27-'FS Budapest'!I26))</f>
        <v>30</v>
      </c>
      <c r="J24" s="12">
        <f>IF(('FS Budapest'!K27-'FS Budapest'!K26)&lt;0,"0",('FS Budapest'!K27-'FS Budapest'!K26))</f>
        <v>8</v>
      </c>
      <c r="K24" s="12">
        <f>IF(('FS Budapest'!M27-'FS Budapest'!M26)&lt;0,"0",('FS Budapest'!M27-'FS Budapest'!M26))</f>
        <v>10</v>
      </c>
      <c r="L24" s="12">
        <f>IF(('FS Budapest'!O27-'FS Budapest'!O26)&lt;0,"0",('FS Budapest'!O27-'FS Budapest'!O26))</f>
        <v>20</v>
      </c>
      <c r="M24" s="12">
        <f>IF(('FS Budapest'!Q27-'FS Budapest'!Q26)&lt;0,"0",('FS Budapest'!Q27-'FS Budapest'!Q26))</f>
        <v>2</v>
      </c>
      <c r="N24" s="12">
        <f>IF(('FS Budapest'!S27-'FS Budapest'!S26)&lt;0,"0",('FS Budapest'!S27-'FS Budapest'!S26))</f>
        <v>2</v>
      </c>
      <c r="O24" s="12">
        <f>IF(('FS Budapest'!V27-'FS Budapest'!V26)&lt;0,"0",('FS Budapest'!V27-'FS Budapest'!V26))</f>
        <v>6</v>
      </c>
      <c r="P24" s="12">
        <f>IF(('FS Budapest'!X27-'FS Budapest'!X26)&lt;0,"0",('FS Budapest'!X27-'FS Budapest'!X26))</f>
        <v>16</v>
      </c>
      <c r="Q24" s="12">
        <f>'FS Budapest'!AB27</f>
        <v>3</v>
      </c>
      <c r="R24" s="12">
        <f>'FS Budapest'!AE27</f>
        <v>2</v>
      </c>
      <c r="S24" s="12">
        <f>'FS Budapest'!AF27</f>
        <v>10</v>
      </c>
      <c r="T24" s="12">
        <f>IF(('FS Budapest'!AK27-'FS Budapest'!AK26)&lt;0,"0",('FS Budapest'!AK27-'FS Budapest'!AK26))</f>
        <v>1524</v>
      </c>
      <c r="U24" s="12">
        <f>IF(('FS Budapest'!AM27-'FS Budapest'!AM26)&lt;0,"0",('FS Budapest'!AM27-'FS Budapest'!AM26))</f>
        <v>42</v>
      </c>
      <c r="V24" s="12">
        <f>IF(('FS Budapest'!AO27-'FS Budapest'!AO26)&lt;0,"0",('FS Budapest'!AO27-'FS Budapest'!AO26))</f>
        <v>0</v>
      </c>
      <c r="W24" s="12">
        <f>IF(('FS Budapest'!AQ27-'FS Budapest'!AQ26)&lt;0,"0",('FS Budapest'!AQ27-'FS Budapest'!AQ26))</f>
        <v>549</v>
      </c>
      <c r="X24" s="12">
        <f>'FS Budapest'!AY27</f>
        <v>0</v>
      </c>
      <c r="Y24" s="12">
        <f>IF(('FS Budapest'!BA27-'FS Budapest'!BA26)&lt;0,"0",('FS Budapest'!BA27-'FS Budapest'!BA26)*4400)</f>
        <v>18084.000000002561</v>
      </c>
      <c r="Z24" s="12">
        <f>'FS Budapest'!BI27</f>
        <v>18084.000000002561</v>
      </c>
      <c r="AA24" s="12">
        <f>'FS Budapest'!BJ27</f>
        <v>16020.000000002561</v>
      </c>
      <c r="AB24" s="12">
        <f>IF(('FS Budapest'!BK27-'FS Budapest'!BK26)&lt;0,"0",('FS Budapest'!BK27-'FS Budapest'!BK26)*100)</f>
        <v>593.0000000000291</v>
      </c>
      <c r="AC24" s="12">
        <f>'FS Budapest'!BM27</f>
        <v>18677.00000000259</v>
      </c>
      <c r="AD24" s="12">
        <f>IF(('FS Budapest'!BP27-'FS Budapest'!BP26)&lt;0,"0",('FS Budapest'!BP27-'FS Budapest'!BP26))</f>
        <v>19</v>
      </c>
      <c r="AE24" s="12">
        <f>IF(('FS Budapest'!BR27-'FS Budapest'!BR26)&lt;0,"0",('FS Budapest'!BR27-'FS Budapest'!BR26))</f>
        <v>2045</v>
      </c>
      <c r="AF24" s="12">
        <f>'FS Budapest'!BU27</f>
        <v>179</v>
      </c>
      <c r="AG24" s="12">
        <f>'FS Budapest'!BV27</f>
        <v>273</v>
      </c>
    </row>
    <row r="25" spans="1:33" s="16" customFormat="1" x14ac:dyDescent="0.35">
      <c r="A25" s="12" t="s">
        <v>11</v>
      </c>
      <c r="B25" s="15">
        <f t="shared" si="0"/>
        <v>24</v>
      </c>
      <c r="C25" s="3">
        <v>5</v>
      </c>
      <c r="D25" s="12">
        <v>2019</v>
      </c>
      <c r="E25" s="12">
        <f>IF(('FS Budapest'!C28-'FS Budapest'!C27)&lt;0,"0",('FS Budapest'!C28-'FS Budapest'!C27))</f>
        <v>87</v>
      </c>
      <c r="F25" s="12">
        <f>IF(('FS Budapest'!D28-'FS Budapest'!D27)&lt;0,"0",('FS Budapest'!D28-'FS Budapest'!D27))</f>
        <v>110</v>
      </c>
      <c r="G25" s="12">
        <f>IF(('FS Budapest'!E28-'FS Budapest'!Y28)&lt;0,"0",('FS Budapest'!E28-'FS Budapest'!Y28))</f>
        <v>83</v>
      </c>
      <c r="H25" s="12">
        <f>IF(('FS Budapest'!H28-'FS Budapest'!H27)&lt;0,"0",('FS Budapest'!H28-'FS Budapest'!H27))</f>
        <v>96</v>
      </c>
      <c r="I25" s="12">
        <f>IF(('FS Budapest'!I28-'FS Budapest'!I27)&lt;0,"0",('FS Budapest'!I28-'FS Budapest'!I27))</f>
        <v>26</v>
      </c>
      <c r="J25" s="12">
        <f>IF(('FS Budapest'!K28-'FS Budapest'!K27)&lt;0,"0",('FS Budapest'!K28-'FS Budapest'!K27))</f>
        <v>7</v>
      </c>
      <c r="K25" s="12">
        <f>IF(('FS Budapest'!M28-'FS Budapest'!M27)&lt;0,"0",('FS Budapest'!M28-'FS Budapest'!M27))</f>
        <v>9</v>
      </c>
      <c r="L25" s="12">
        <f>IF(('FS Budapest'!O28-'FS Budapest'!O27)&lt;0,"0",('FS Budapest'!O28-'FS Budapest'!O27))</f>
        <v>20</v>
      </c>
      <c r="M25" s="12">
        <f>IF(('FS Budapest'!Q28-'FS Budapest'!Q27)&lt;0,"0",('FS Budapest'!Q28-'FS Budapest'!Q27))</f>
        <v>2</v>
      </c>
      <c r="N25" s="12">
        <f>IF(('FS Budapest'!S28-'FS Budapest'!S27)&lt;0,"0",('FS Budapest'!S28-'FS Budapest'!S27))</f>
        <v>1</v>
      </c>
      <c r="O25" s="12">
        <f>IF(('FS Budapest'!V28-'FS Budapest'!V27)&lt;0,"0",('FS Budapest'!V28-'FS Budapest'!V27))</f>
        <v>7</v>
      </c>
      <c r="P25" s="12">
        <f>IF(('FS Budapest'!X28-'FS Budapest'!X27)&lt;0,"0",('FS Budapest'!X28-'FS Budapest'!X27))</f>
        <v>27</v>
      </c>
      <c r="Q25" s="12">
        <f>'FS Budapest'!AB28</f>
        <v>3</v>
      </c>
      <c r="R25" s="12">
        <f>'FS Budapest'!AE28</f>
        <v>3</v>
      </c>
      <c r="S25" s="12">
        <f>'FS Budapest'!AF28</f>
        <v>10</v>
      </c>
      <c r="T25" s="12">
        <f>IF(('FS Budapest'!AK28-'FS Budapest'!AK27)&lt;0,"0",('FS Budapest'!AK28-'FS Budapest'!AK27))</f>
        <v>1361</v>
      </c>
      <c r="U25" s="12">
        <f>IF(('FS Budapest'!AM28-'FS Budapest'!AM27)&lt;0,"0",('FS Budapest'!AM28-'FS Budapest'!AM27))</f>
        <v>42</v>
      </c>
      <c r="V25" s="12">
        <f>IF(('FS Budapest'!AO28-'FS Budapest'!AO27)&lt;0,"0",('FS Budapest'!AO28-'FS Budapest'!AO27))</f>
        <v>0</v>
      </c>
      <c r="W25" s="12">
        <f>IF(('FS Budapest'!AQ28-'FS Budapest'!AQ27)&lt;0,"0",('FS Budapest'!AQ28-'FS Budapest'!AQ27))</f>
        <v>530</v>
      </c>
      <c r="X25" s="12">
        <f>'FS Budapest'!AY28</f>
        <v>0</v>
      </c>
      <c r="Y25" s="12">
        <f>IF(('FS Budapest'!BA28-'FS Budapest'!BA27)&lt;0,"0",('FS Budapest'!BA28-'FS Budapest'!BA27)*4400)</f>
        <v>18303.99999999936</v>
      </c>
      <c r="Z25" s="12">
        <f>'FS Budapest'!BI28</f>
        <v>18303.99999999936</v>
      </c>
      <c r="AA25" s="12">
        <f>'FS Budapest'!BJ28</f>
        <v>15622.99999999936</v>
      </c>
      <c r="AB25" s="12">
        <f>IF(('FS Budapest'!BK28-'FS Budapest'!BK27)&lt;0,"0",('FS Budapest'!BK28-'FS Budapest'!BK27)*100)</f>
        <v>578.00000000024738</v>
      </c>
      <c r="AC25" s="12">
        <f>'FS Budapest'!BM28</f>
        <v>18881.999999999607</v>
      </c>
      <c r="AD25" s="12">
        <f>IF(('FS Budapest'!BP28-'FS Budapest'!BP27)&lt;0,"0",('FS Budapest'!BP28-'FS Budapest'!BP27))</f>
        <v>19</v>
      </c>
      <c r="AE25" s="12">
        <f>IF(('FS Budapest'!BR28-'FS Budapest'!BR27)&lt;0,"0",('FS Budapest'!BR28-'FS Budapest'!BR27))</f>
        <v>2662</v>
      </c>
      <c r="AF25" s="12">
        <f>'FS Budapest'!BU28</f>
        <v>163</v>
      </c>
      <c r="AG25" s="12">
        <f>'FS Budapest'!BV28</f>
        <v>274</v>
      </c>
    </row>
    <row r="26" spans="1:33" s="16" customFormat="1" x14ac:dyDescent="0.35">
      <c r="A26" s="12" t="s">
        <v>11</v>
      </c>
      <c r="B26" s="15">
        <f>B25+1</f>
        <v>25</v>
      </c>
      <c r="C26" s="3">
        <v>5</v>
      </c>
      <c r="D26" s="12">
        <v>2019</v>
      </c>
      <c r="E26" s="12">
        <f>IF(('FS Budapest'!C29-'FS Budapest'!C28)&lt;0,"0",('FS Budapest'!C29-'FS Budapest'!C28))</f>
        <v>87</v>
      </c>
      <c r="F26" s="12">
        <f>IF(('FS Budapest'!D29-'FS Budapest'!D28)&lt;0,"0",('FS Budapest'!D29-'FS Budapest'!D28))</f>
        <v>115</v>
      </c>
      <c r="G26" s="12">
        <f>IF(('FS Budapest'!E29-'FS Budapest'!Y29)&lt;0,"0",('FS Budapest'!E29-'FS Budapest'!Y29))</f>
        <v>82</v>
      </c>
      <c r="H26" s="12">
        <f>IF(('FS Budapest'!H29-'FS Budapest'!H28)&lt;0,"0",('FS Budapest'!H29-'FS Budapest'!H28))</f>
        <v>100</v>
      </c>
      <c r="I26" s="12">
        <f>IF(('FS Budapest'!I29-'FS Budapest'!I28)&lt;0,"0",('FS Budapest'!I29-'FS Budapest'!I28))</f>
        <v>31</v>
      </c>
      <c r="J26" s="12">
        <f>IF(('FS Budapest'!K29-'FS Budapest'!K28)&lt;0,"0",('FS Budapest'!K29-'FS Budapest'!K28))</f>
        <v>6</v>
      </c>
      <c r="K26" s="12">
        <f>IF(('FS Budapest'!M29-'FS Budapest'!M28)&lt;0,"0",('FS Budapest'!M29-'FS Budapest'!M28))</f>
        <v>10</v>
      </c>
      <c r="L26" s="12">
        <f>IF(('FS Budapest'!O29-'FS Budapest'!O28)&lt;0,"0",('FS Budapest'!O29-'FS Budapest'!O28))</f>
        <v>18</v>
      </c>
      <c r="M26" s="12">
        <f>IF(('FS Budapest'!Q29-'FS Budapest'!Q28)&lt;0,"0",('FS Budapest'!Q29-'FS Budapest'!Q28))</f>
        <v>3</v>
      </c>
      <c r="N26" s="12">
        <f>IF(('FS Budapest'!S29-'FS Budapest'!S28)&lt;0,"0",('FS Budapest'!S29-'FS Budapest'!S28))</f>
        <v>1</v>
      </c>
      <c r="O26" s="12">
        <f>IF(('FS Budapest'!V29-'FS Budapest'!V28)&lt;0,"0",('FS Budapest'!V29-'FS Budapest'!V28))</f>
        <v>7</v>
      </c>
      <c r="P26" s="12">
        <f>IF(('FS Budapest'!X29-'FS Budapest'!X28)&lt;0,"0",('FS Budapest'!X29-'FS Budapest'!X28))</f>
        <v>33</v>
      </c>
      <c r="Q26" s="12">
        <f>'FS Budapest'!AB29</f>
        <v>4</v>
      </c>
      <c r="R26" s="12">
        <f>'FS Budapest'!AE29</f>
        <v>2</v>
      </c>
      <c r="S26" s="12">
        <f>'FS Budapest'!AF29</f>
        <v>11</v>
      </c>
      <c r="T26" s="12">
        <f>IF(('FS Budapest'!AK29-'FS Budapest'!AK28)&lt;0,"0",('FS Budapest'!AK29-'FS Budapest'!AK28))</f>
        <v>1387</v>
      </c>
      <c r="U26" s="12">
        <f>IF(('FS Budapest'!AM29-'FS Budapest'!AM28)&lt;0,"0",('FS Budapest'!AM29-'FS Budapest'!AM28))</f>
        <v>42</v>
      </c>
      <c r="V26" s="12">
        <f>IF(('FS Budapest'!AO29-'FS Budapest'!AO28)&lt;0,"0",('FS Budapest'!AO29-'FS Budapest'!AO28))</f>
        <v>0</v>
      </c>
      <c r="W26" s="12">
        <f>IF(('FS Budapest'!AQ29-'FS Budapest'!AQ28)&lt;0,"0",('FS Budapest'!AQ29-'FS Budapest'!AQ28))</f>
        <v>548</v>
      </c>
      <c r="X26" s="12">
        <f>'FS Budapest'!AY29</f>
        <v>0</v>
      </c>
      <c r="Y26" s="12">
        <f>IF(('FS Budapest'!BA29-'FS Budapest'!BA28)&lt;0,"0",('FS Budapest'!BA29-'FS Budapest'!BA28)*4400)</f>
        <v>18259.999999998399</v>
      </c>
      <c r="Z26" s="12">
        <f>'FS Budapest'!BI29</f>
        <v>18259.999999998399</v>
      </c>
      <c r="AA26" s="12">
        <f>'FS Budapest'!BJ29</f>
        <v>15363.999999998399</v>
      </c>
      <c r="AB26" s="12">
        <f>IF(('FS Budapest'!BK29-'FS Budapest'!BK28)&lt;0,"0",('FS Budapest'!BK29-'FS Budapest'!BK28)*100)</f>
        <v>518.99999999986903</v>
      </c>
      <c r="AC26" s="12">
        <f>'FS Budapest'!BM29</f>
        <v>18778.999999998268</v>
      </c>
      <c r="AD26" s="12">
        <f>IF(('FS Budapest'!BP29-'FS Budapest'!BP28)&lt;0,"0",('FS Budapest'!BP29-'FS Budapest'!BP28))</f>
        <v>19</v>
      </c>
      <c r="AE26" s="12">
        <f>IF(('FS Budapest'!BR29-'FS Budapest'!BR28)&lt;0,"0",('FS Budapest'!BR29-'FS Budapest'!BR28))</f>
        <v>2877</v>
      </c>
      <c r="AF26" s="12">
        <f>'FS Budapest'!BU29</f>
        <v>133</v>
      </c>
      <c r="AG26" s="12">
        <f>'FS Budapest'!BV29</f>
        <v>247</v>
      </c>
    </row>
    <row r="27" spans="1:33" s="16" customFormat="1" x14ac:dyDescent="0.35">
      <c r="A27" s="12" t="s">
        <v>11</v>
      </c>
      <c r="B27" s="15">
        <f t="shared" si="0"/>
        <v>26</v>
      </c>
      <c r="C27" s="3">
        <v>5</v>
      </c>
      <c r="D27" s="12">
        <v>2019</v>
      </c>
      <c r="E27" s="12">
        <f>IF(('FS Budapest'!C30-'FS Budapest'!C29)&lt;0,"0",('FS Budapest'!C30-'FS Budapest'!C29))</f>
        <v>86</v>
      </c>
      <c r="F27" s="12">
        <f>IF(('FS Budapest'!D30-'FS Budapest'!D29)&lt;0,"0",('FS Budapest'!D30-'FS Budapest'!D29))</f>
        <v>112</v>
      </c>
      <c r="G27" s="12">
        <f>IF(('FS Budapest'!E30-'FS Budapest'!Y30)&lt;0,"0",('FS Budapest'!E30-'FS Budapest'!Y30))</f>
        <v>86</v>
      </c>
      <c r="H27" s="12">
        <f>IF(('FS Budapest'!H30-'FS Budapest'!H29)&lt;0,"0",('FS Budapest'!H30-'FS Budapest'!H29))</f>
        <v>98</v>
      </c>
      <c r="I27" s="12">
        <f>IF(('FS Budapest'!I30-'FS Budapest'!I29)&lt;0,"0",('FS Budapest'!I30-'FS Budapest'!I29))</f>
        <v>29</v>
      </c>
      <c r="J27" s="12">
        <f>IF(('FS Budapest'!K30-'FS Budapest'!K29)&lt;0,"0",('FS Budapest'!K30-'FS Budapest'!K29))</f>
        <v>6</v>
      </c>
      <c r="K27" s="12">
        <f>IF(('FS Budapest'!M30-'FS Budapest'!M29)&lt;0,"0",('FS Budapest'!M30-'FS Budapest'!M29))</f>
        <v>8</v>
      </c>
      <c r="L27" s="12">
        <f>IF(('FS Budapest'!O30-'FS Budapest'!O29)&lt;0,"0",('FS Budapest'!O30-'FS Budapest'!O29))</f>
        <v>16</v>
      </c>
      <c r="M27" s="12">
        <f>IF(('FS Budapest'!Q30-'FS Budapest'!Q29)&lt;0,"0",('FS Budapest'!Q30-'FS Budapest'!Q29))</f>
        <v>2</v>
      </c>
      <c r="N27" s="12">
        <f>IF(('FS Budapest'!S30-'FS Budapest'!S29)&lt;0,"0",('FS Budapest'!S30-'FS Budapest'!S29))</f>
        <v>1</v>
      </c>
      <c r="O27" s="12">
        <f>IF(('FS Budapest'!V30-'FS Budapest'!V29)&lt;0,"0",('FS Budapest'!V30-'FS Budapest'!V29))</f>
        <v>7</v>
      </c>
      <c r="P27" s="12">
        <f>IF(('FS Budapest'!X30-'FS Budapest'!X29)&lt;0,"0",('FS Budapest'!X30-'FS Budapest'!X29))</f>
        <v>26</v>
      </c>
      <c r="Q27" s="12">
        <f>'FS Budapest'!AB30</f>
        <v>4</v>
      </c>
      <c r="R27" s="12">
        <f>'FS Budapest'!AE30</f>
        <v>2</v>
      </c>
      <c r="S27" s="12">
        <f>'FS Budapest'!AF30</f>
        <v>10</v>
      </c>
      <c r="T27" s="12">
        <f>IF(('FS Budapest'!AK30-'FS Budapest'!AK29)&lt;0,"0",('FS Budapest'!AK30-'FS Budapest'!AK29))</f>
        <v>1254</v>
      </c>
      <c r="U27" s="12">
        <f>IF(('FS Budapest'!AM30-'FS Budapest'!AM29)&lt;0,"0",('FS Budapest'!AM30-'FS Budapest'!AM29))</f>
        <v>43</v>
      </c>
      <c r="V27" s="12">
        <f>IF(('FS Budapest'!AO30-'FS Budapest'!AO29)&lt;0,"0",('FS Budapest'!AO30-'FS Budapest'!AO29))</f>
        <v>0</v>
      </c>
      <c r="W27" s="12">
        <f>IF(('FS Budapest'!AQ30-'FS Budapest'!AQ29)&lt;0,"0",('FS Budapest'!AQ30-'FS Budapest'!AQ29))</f>
        <v>530</v>
      </c>
      <c r="X27" s="12">
        <f>'FS Budapest'!AY30</f>
        <v>0</v>
      </c>
      <c r="Y27" s="12">
        <f>IF(('FS Budapest'!BA30-'FS Budapest'!BA29)&lt;0,"0",('FS Budapest'!BA30-'FS Budapest'!BA29)*4400)</f>
        <v>18040.000000001601</v>
      </c>
      <c r="Z27" s="12">
        <f>'FS Budapest'!BI30</f>
        <v>18040.000000001601</v>
      </c>
      <c r="AA27" s="12">
        <f>'FS Budapest'!BJ30</f>
        <v>14939.000000001601</v>
      </c>
      <c r="AB27" s="12">
        <f>IF(('FS Budapest'!BK30-'FS Budapest'!BK29)&lt;0,"0",('FS Budapest'!BK30-'FS Budapest'!BK29)*100)</f>
        <v>611.00000000005821</v>
      </c>
      <c r="AC27" s="12">
        <f>'FS Budapest'!BM30</f>
        <v>18651.000000001659</v>
      </c>
      <c r="AD27" s="12">
        <f>IF(('FS Budapest'!BP30-'FS Budapest'!BP29)&lt;0,"0",('FS Budapest'!BP30-'FS Budapest'!BP29))</f>
        <v>19</v>
      </c>
      <c r="AE27" s="12">
        <f>IF(('FS Budapest'!BR30-'FS Budapest'!BR29)&lt;0,"0",('FS Budapest'!BR30-'FS Budapest'!BR29))</f>
        <v>3082</v>
      </c>
      <c r="AF27" s="12">
        <f>'FS Budapest'!BU30</f>
        <v>119</v>
      </c>
      <c r="AG27" s="12">
        <f>'FS Budapest'!BV30</f>
        <v>210</v>
      </c>
    </row>
    <row r="28" spans="1:33" s="16" customFormat="1" x14ac:dyDescent="0.35">
      <c r="A28" s="12" t="s">
        <v>11</v>
      </c>
      <c r="B28" s="15">
        <f t="shared" si="0"/>
        <v>27</v>
      </c>
      <c r="C28" s="3">
        <v>5</v>
      </c>
      <c r="D28" s="12">
        <v>2019</v>
      </c>
      <c r="E28" s="12">
        <f>IF(('FS Budapest'!C31-'FS Budapest'!C30)&lt;0,"0",('FS Budapest'!C31-'FS Budapest'!C30))</f>
        <v>79</v>
      </c>
      <c r="F28" s="12">
        <f>IF(('FS Budapest'!D31-'FS Budapest'!D30)&lt;0,"0",('FS Budapest'!D31-'FS Budapest'!D30))</f>
        <v>93</v>
      </c>
      <c r="G28" s="12">
        <f>IF(('FS Budapest'!E31-'FS Budapest'!Y31)&lt;0,"0",('FS Budapest'!E31-'FS Budapest'!Y31))</f>
        <v>56</v>
      </c>
      <c r="H28" s="12">
        <f>IF(('FS Budapest'!H31-'FS Budapest'!H30)&lt;0,"0",('FS Budapest'!H31-'FS Budapest'!H30))</f>
        <v>87</v>
      </c>
      <c r="I28" s="12">
        <f>IF(('FS Budapest'!I31-'FS Budapest'!I30)&lt;0,"0",('FS Budapest'!I31-'FS Budapest'!I30))</f>
        <v>28</v>
      </c>
      <c r="J28" s="12">
        <f>IF(('FS Budapest'!K31-'FS Budapest'!K30)&lt;0,"0",('FS Budapest'!K31-'FS Budapest'!K30))</f>
        <v>7</v>
      </c>
      <c r="K28" s="12">
        <f>IF(('FS Budapest'!M31-'FS Budapest'!M30)&lt;0,"0",('FS Budapest'!M31-'FS Budapest'!M30))</f>
        <v>9</v>
      </c>
      <c r="L28" s="12">
        <f>IF(('FS Budapest'!O31-'FS Budapest'!O30)&lt;0,"0",('FS Budapest'!O31-'FS Budapest'!O30))</f>
        <v>13</v>
      </c>
      <c r="M28" s="12">
        <f>IF(('FS Budapest'!Q31-'FS Budapest'!Q30)&lt;0,"0",('FS Budapest'!Q31-'FS Budapest'!Q30))</f>
        <v>2</v>
      </c>
      <c r="N28" s="12">
        <f>IF(('FS Budapest'!S31-'FS Budapest'!S30)&lt;0,"0",('FS Budapest'!S31-'FS Budapest'!S30))</f>
        <v>3</v>
      </c>
      <c r="O28" s="12">
        <f>IF(('FS Budapest'!V31-'FS Budapest'!V30)&lt;0,"0",('FS Budapest'!V31-'FS Budapest'!V30))</f>
        <v>7</v>
      </c>
      <c r="P28" s="12">
        <f>IF(('FS Budapest'!X31-'FS Budapest'!X30)&lt;0,"0",('FS Budapest'!X31-'FS Budapest'!X30))</f>
        <v>37</v>
      </c>
      <c r="Q28" s="12">
        <f>'FS Budapest'!AB31</f>
        <v>4</v>
      </c>
      <c r="R28" s="12">
        <f>'FS Budapest'!AE31</f>
        <v>2</v>
      </c>
      <c r="S28" s="12">
        <f>'FS Budapest'!AF31</f>
        <v>12</v>
      </c>
      <c r="T28" s="12">
        <f>IF(('FS Budapest'!AK31-'FS Budapest'!AK30)&lt;0,"0",('FS Budapest'!AK31-'FS Budapest'!AK30))</f>
        <v>1257</v>
      </c>
      <c r="U28" s="12">
        <f>IF(('FS Budapest'!AM31-'FS Budapest'!AM30)&lt;0,"0",('FS Budapest'!AM31-'FS Budapest'!AM30))</f>
        <v>42</v>
      </c>
      <c r="V28" s="12">
        <f>IF(('FS Budapest'!AO31-'FS Budapest'!AO30)&lt;0,"0",('FS Budapest'!AO31-'FS Budapest'!AO30))</f>
        <v>0</v>
      </c>
      <c r="W28" s="12">
        <f>IF(('FS Budapest'!AQ31-'FS Budapest'!AQ30)&lt;0,"0",('FS Budapest'!AQ31-'FS Budapest'!AQ30))</f>
        <v>536</v>
      </c>
      <c r="X28" s="12">
        <f>'FS Budapest'!AY31</f>
        <v>0</v>
      </c>
      <c r="Y28" s="12">
        <f>IF(('FS Budapest'!BA31-'FS Budapest'!BA30)&lt;0,"0",('FS Budapest'!BA31-'FS Budapest'!BA30)*4400)</f>
        <v>17951.99999999968</v>
      </c>
      <c r="Z28" s="12">
        <f>'FS Budapest'!BI31</f>
        <v>17951.99999999968</v>
      </c>
      <c r="AA28" s="12">
        <f>'FS Budapest'!BJ31</f>
        <v>14879.99999999968</v>
      </c>
      <c r="AB28" s="12">
        <f>IF(('FS Budapest'!BK31-'FS Budapest'!BK30)&lt;0,"0",('FS Budapest'!BK31-'FS Budapest'!BK30)*100)</f>
        <v>602.99999999988358</v>
      </c>
      <c r="AC28" s="12">
        <f>'FS Budapest'!BM31</f>
        <v>18554.999999999563</v>
      </c>
      <c r="AD28" s="12">
        <f>IF(('FS Budapest'!BP31-'FS Budapest'!BP30)&lt;0,"0",('FS Budapest'!BP31-'FS Budapest'!BP30))</f>
        <v>21</v>
      </c>
      <c r="AE28" s="12">
        <f>IF(('FS Budapest'!BR31-'FS Budapest'!BR30)&lt;0,"0",('FS Budapest'!BR31-'FS Budapest'!BR30))</f>
        <v>3051</v>
      </c>
      <c r="AF28" s="12">
        <f>'FS Budapest'!BU31</f>
        <v>126</v>
      </c>
      <c r="AG28" s="12">
        <f>'FS Budapest'!BV31</f>
        <v>206</v>
      </c>
    </row>
    <row r="29" spans="1:33" s="16" customFormat="1" x14ac:dyDescent="0.35">
      <c r="A29" s="12" t="s">
        <v>11</v>
      </c>
      <c r="B29" s="15">
        <f t="shared" si="0"/>
        <v>28</v>
      </c>
      <c r="C29" s="3">
        <v>5</v>
      </c>
      <c r="D29" s="12">
        <v>2019</v>
      </c>
      <c r="E29" s="12">
        <f>IF(('FS Budapest'!C32-'FS Budapest'!C31)&lt;0,"0",('FS Budapest'!C32-'FS Budapest'!C31))</f>
        <v>93</v>
      </c>
      <c r="F29" s="12">
        <f>IF(('FS Budapest'!D32-'FS Budapest'!D31)&lt;0,"0",('FS Budapest'!D32-'FS Budapest'!D31))</f>
        <v>102</v>
      </c>
      <c r="G29" s="12">
        <f>IF(('FS Budapest'!E32-'FS Budapest'!Y32)&lt;0,"0",('FS Budapest'!E32-'FS Budapest'!Y32))</f>
        <v>73</v>
      </c>
      <c r="H29" s="12">
        <f>IF(('FS Budapest'!H32-'FS Budapest'!H31)&lt;0,"0",('FS Budapest'!H32-'FS Budapest'!H31))</f>
        <v>86</v>
      </c>
      <c r="I29" s="12">
        <f>IF(('FS Budapest'!I32-'FS Budapest'!I31)&lt;0,"0",('FS Budapest'!I32-'FS Budapest'!I31))</f>
        <v>32</v>
      </c>
      <c r="J29" s="12">
        <f>IF(('FS Budapest'!K32-'FS Budapest'!K31)&lt;0,"0",('FS Budapest'!K32-'FS Budapest'!K31))</f>
        <v>2</v>
      </c>
      <c r="K29" s="12">
        <f>IF(('FS Budapest'!M32-'FS Budapest'!M31)&lt;0,"0",('FS Budapest'!M32-'FS Budapest'!M31))</f>
        <v>8</v>
      </c>
      <c r="L29" s="12">
        <f>IF(('FS Budapest'!O32-'FS Budapest'!O31)&lt;0,"0",('FS Budapest'!O32-'FS Budapest'!O31))</f>
        <v>18</v>
      </c>
      <c r="M29" s="12">
        <f>IF(('FS Budapest'!Q32-'FS Budapest'!Q31)&lt;0,"0",('FS Budapest'!Q32-'FS Budapest'!Q31))</f>
        <v>2</v>
      </c>
      <c r="N29" s="12">
        <f>IF(('FS Budapest'!S32-'FS Budapest'!S31)&lt;0,"0",('FS Budapest'!S32-'FS Budapest'!S31))</f>
        <v>1</v>
      </c>
      <c r="O29" s="12">
        <f>IF(('FS Budapest'!V32-'FS Budapest'!V31)&lt;0,"0",('FS Budapest'!V32-'FS Budapest'!V31))</f>
        <v>8</v>
      </c>
      <c r="P29" s="12">
        <f>IF(('FS Budapest'!X32-'FS Budapest'!X31)&lt;0,"0",('FS Budapest'!X32-'FS Budapest'!X31))</f>
        <v>29</v>
      </c>
      <c r="Q29" s="12">
        <f>'FS Budapest'!AB32</f>
        <v>2</v>
      </c>
      <c r="R29" s="12">
        <f>'FS Budapest'!AE32</f>
        <v>0</v>
      </c>
      <c r="S29" s="12">
        <f>'FS Budapest'!AF32</f>
        <v>11</v>
      </c>
      <c r="T29" s="12">
        <f>IF(('FS Budapest'!AK32-'FS Budapest'!AK31)&lt;0,"0",('FS Budapest'!AK32-'FS Budapest'!AK31))</f>
        <v>1315</v>
      </c>
      <c r="U29" s="12">
        <f>IF(('FS Budapest'!AM32-'FS Budapest'!AM31)&lt;0,"0",('FS Budapest'!AM32-'FS Budapest'!AM31))</f>
        <v>43</v>
      </c>
      <c r="V29" s="12">
        <f>IF(('FS Budapest'!AO32-'FS Budapest'!AO31)&lt;0,"0",('FS Budapest'!AO32-'FS Budapest'!AO31))</f>
        <v>0</v>
      </c>
      <c r="W29" s="12">
        <f>IF(('FS Budapest'!AQ32-'FS Budapest'!AQ31)&lt;0,"0",('FS Budapest'!AQ32-'FS Budapest'!AQ31))</f>
        <v>558</v>
      </c>
      <c r="X29" s="12">
        <f>'FS Budapest'!AY32</f>
        <v>0</v>
      </c>
      <c r="Y29" s="12">
        <f>IF(('FS Budapest'!BA32-'FS Budapest'!BA31)&lt;0,"0",('FS Budapest'!BA32-'FS Budapest'!BA31)*4400)</f>
        <v>17907.999999998719</v>
      </c>
      <c r="Z29" s="12">
        <f>'FS Budapest'!BI32</f>
        <v>17907.999999998719</v>
      </c>
      <c r="AA29" s="12">
        <f>'FS Budapest'!BJ32</f>
        <v>14860.999999998719</v>
      </c>
      <c r="AB29" s="12">
        <f>IF(('FS Budapest'!BK32-'FS Budapest'!BK31)&lt;0,"0",('FS Budapest'!BK32-'FS Budapest'!BK31)*100)</f>
        <v>345.00000000007276</v>
      </c>
      <c r="AC29" s="12">
        <f>'FS Budapest'!BM32</f>
        <v>18252.999999998792</v>
      </c>
      <c r="AD29" s="12">
        <f>IF(('FS Budapest'!BP32-'FS Budapest'!BP31)&lt;0,"0",('FS Budapest'!BP32-'FS Budapest'!BP31))</f>
        <v>19</v>
      </c>
      <c r="AE29" s="12">
        <f>IF(('FS Budapest'!BR32-'FS Budapest'!BR31)&lt;0,"0",('FS Budapest'!BR32-'FS Budapest'!BR31))</f>
        <v>3028</v>
      </c>
      <c r="AF29" s="12">
        <f>'FS Budapest'!BU32</f>
        <v>129</v>
      </c>
      <c r="AG29" s="12">
        <f>'FS Budapest'!BV32</f>
        <v>203</v>
      </c>
    </row>
    <row r="30" spans="1:33" s="16" customFormat="1" x14ac:dyDescent="0.35">
      <c r="A30" s="12" t="s">
        <v>11</v>
      </c>
      <c r="B30" s="15">
        <f t="shared" si="0"/>
        <v>29</v>
      </c>
      <c r="C30" s="3">
        <v>5</v>
      </c>
      <c r="D30" s="12">
        <v>2019</v>
      </c>
      <c r="E30" s="12">
        <f>IF(('FS Budapest'!C33-'FS Budapest'!C32)&lt;0,"0",('FS Budapest'!C33-'FS Budapest'!C32))</f>
        <v>101</v>
      </c>
      <c r="F30" s="12">
        <f>IF(('FS Budapest'!D33-'FS Budapest'!D32)&lt;0,"0",('FS Budapest'!D33-'FS Budapest'!D32))</f>
        <v>116</v>
      </c>
      <c r="G30" s="12">
        <f>IF(('FS Budapest'!E33-'FS Budapest'!Y33)&lt;0,"0",('FS Budapest'!E33-'FS Budapest'!Y33))</f>
        <v>88</v>
      </c>
      <c r="H30" s="12">
        <f>IF(('FS Budapest'!H33-'FS Budapest'!H32)&lt;0,"0",('FS Budapest'!H33-'FS Budapest'!H32))</f>
        <v>92</v>
      </c>
      <c r="I30" s="12">
        <f>IF(('FS Budapest'!I33-'FS Budapest'!I32)&lt;0,"0",('FS Budapest'!I33-'FS Budapest'!I32))</f>
        <v>32</v>
      </c>
      <c r="J30" s="12">
        <f>IF(('FS Budapest'!K33-'FS Budapest'!K32)&lt;0,"0",('FS Budapest'!K33-'FS Budapest'!K32))</f>
        <v>13</v>
      </c>
      <c r="K30" s="12">
        <f>IF(('FS Budapest'!M33-'FS Budapest'!M32)&lt;0,"0",('FS Budapest'!M33-'FS Budapest'!M32))</f>
        <v>8</v>
      </c>
      <c r="L30" s="12">
        <f>IF(('FS Budapest'!O33-'FS Budapest'!O32)&lt;0,"0",('FS Budapest'!O33-'FS Budapest'!O32))</f>
        <v>16</v>
      </c>
      <c r="M30" s="12">
        <f>IF(('FS Budapest'!Q33-'FS Budapest'!Q32)&lt;0,"0",('FS Budapest'!Q33-'FS Budapest'!Q32))</f>
        <v>2</v>
      </c>
      <c r="N30" s="12">
        <f>IF(('FS Budapest'!S33-'FS Budapest'!S32)&lt;0,"0",('FS Budapest'!S33-'FS Budapest'!S32))</f>
        <v>1</v>
      </c>
      <c r="O30" s="12">
        <f>IF(('FS Budapest'!V33-'FS Budapest'!V32)&lt;0,"0",('FS Budapest'!V33-'FS Budapest'!V32))</f>
        <v>6</v>
      </c>
      <c r="P30" s="12">
        <f>IF(('FS Budapest'!X33-'FS Budapest'!X32)&lt;0,"0",('FS Budapest'!X33-'FS Budapest'!X32))</f>
        <v>28</v>
      </c>
      <c r="Q30" s="12">
        <f>'FS Budapest'!AB33</f>
        <v>3</v>
      </c>
      <c r="R30" s="12">
        <f>'FS Budapest'!AE33</f>
        <v>2</v>
      </c>
      <c r="S30" s="12">
        <f>'FS Budapest'!AF33</f>
        <v>9</v>
      </c>
      <c r="T30" s="12">
        <f>IF(('FS Budapest'!AK33-'FS Budapest'!AK32)&lt;0,"0",('FS Budapest'!AK33-'FS Budapest'!AK32))</f>
        <v>1497</v>
      </c>
      <c r="U30" s="12">
        <f>IF(('FS Budapest'!AM33-'FS Budapest'!AM32)&lt;0,"0",('FS Budapest'!AM33-'FS Budapest'!AM32))</f>
        <v>40</v>
      </c>
      <c r="V30" s="12">
        <f>IF(('FS Budapest'!AO33-'FS Budapest'!AO32)&lt;0,"0",('FS Budapest'!AO33-'FS Budapest'!AO32))</f>
        <v>0</v>
      </c>
      <c r="W30" s="12">
        <f>IF(('FS Budapest'!AQ33-'FS Budapest'!AQ32)&lt;0,"0",('FS Budapest'!AQ33-'FS Budapest'!AQ32))</f>
        <v>535</v>
      </c>
      <c r="X30" s="12">
        <f>'FS Budapest'!AY33</f>
        <v>0</v>
      </c>
      <c r="Y30" s="12">
        <f>IF(('FS Budapest'!BA33-'FS Budapest'!BA32)&lt;0,"0",('FS Budapest'!BA33-'FS Budapest'!BA32)*4400)</f>
        <v>19315.999999997439</v>
      </c>
      <c r="Z30" s="12">
        <f>'FS Budapest'!BI33</f>
        <v>19315.999999997439</v>
      </c>
      <c r="AA30" s="12">
        <f>'FS Budapest'!BJ33</f>
        <v>16311.999999997439</v>
      </c>
      <c r="AB30" s="12">
        <f>IF(('FS Budapest'!BK33-'FS Budapest'!BK32)&lt;0,"0",('FS Budapest'!BK33-'FS Budapest'!BK32)*100)</f>
        <v>465.00000000014552</v>
      </c>
      <c r="AC30" s="12">
        <f>'FS Budapest'!BM33</f>
        <v>19780.999999997584</v>
      </c>
      <c r="AD30" s="12">
        <f>IF(('FS Budapest'!BP33-'FS Budapest'!BP32)&lt;0,"0",('FS Budapest'!BP33-'FS Budapest'!BP32))</f>
        <v>2627</v>
      </c>
      <c r="AE30" s="12">
        <f>IF(('FS Budapest'!BR33-'FS Budapest'!BR32)&lt;0,"0",('FS Budapest'!BR33-'FS Budapest'!BR32))</f>
        <v>377</v>
      </c>
      <c r="AF30" s="12">
        <f>'FS Budapest'!BU33</f>
        <v>179</v>
      </c>
      <c r="AG30" s="12">
        <f>'FS Budapest'!BV33</f>
        <v>314</v>
      </c>
    </row>
    <row r="31" spans="1:33" s="14" customFormat="1" x14ac:dyDescent="0.35">
      <c r="A31" s="12" t="s">
        <v>11</v>
      </c>
      <c r="B31" s="15">
        <f t="shared" si="0"/>
        <v>30</v>
      </c>
      <c r="C31" s="3">
        <v>5</v>
      </c>
      <c r="D31" s="12">
        <v>2019</v>
      </c>
      <c r="E31" s="12">
        <f>IF(('FS Budapest'!C34-'FS Budapest'!C33)&lt;0,"0",('FS Budapest'!C34-'FS Budapest'!C33))</f>
        <v>105</v>
      </c>
      <c r="F31" s="12">
        <f>IF(('FS Budapest'!D34-'FS Budapest'!D33)&lt;0,"0",('FS Budapest'!D34-'FS Budapest'!D33))</f>
        <v>106</v>
      </c>
      <c r="G31" s="12">
        <f>IF(('FS Budapest'!E34-'FS Budapest'!Y34)&lt;0,"0",('FS Budapest'!E34-'FS Budapest'!Y34))</f>
        <v>87</v>
      </c>
      <c r="H31" s="12">
        <f>IF(('FS Budapest'!H34-'FS Budapest'!H33)&lt;0,"0",('FS Budapest'!H34-'FS Budapest'!H33))</f>
        <v>82</v>
      </c>
      <c r="I31" s="12">
        <f>IF(('FS Budapest'!I34-'FS Budapest'!I33)&lt;0,"0",('FS Budapest'!I34-'FS Budapest'!I33))</f>
        <v>30</v>
      </c>
      <c r="J31" s="12">
        <f>IF(('FS Budapest'!K34-'FS Budapest'!K33)&lt;0,"0",('FS Budapest'!K34-'FS Budapest'!K33))</f>
        <v>7</v>
      </c>
      <c r="K31" s="12">
        <f>IF(('FS Budapest'!M34-'FS Budapest'!M33)&lt;0,"0",('FS Budapest'!M34-'FS Budapest'!M33))</f>
        <v>11</v>
      </c>
      <c r="L31" s="12">
        <f>IF(('FS Budapest'!O34-'FS Budapest'!O33)&lt;0,"0",('FS Budapest'!O34-'FS Budapest'!O33))</f>
        <v>31</v>
      </c>
      <c r="M31" s="12">
        <f>IF(('FS Budapest'!Q34-'FS Budapest'!Q33)&lt;0,"0",('FS Budapest'!Q34-'FS Budapest'!Q33))</f>
        <v>2</v>
      </c>
      <c r="N31" s="12">
        <f>IF(('FS Budapest'!S34-'FS Budapest'!S33)&lt;0,"0",('FS Budapest'!S34-'FS Budapest'!S33))</f>
        <v>2</v>
      </c>
      <c r="O31" s="12">
        <f>IF(('FS Budapest'!V34-'FS Budapest'!V33)&lt;0,"0",('FS Budapest'!V34-'FS Budapest'!V33))</f>
        <v>9</v>
      </c>
      <c r="P31" s="12">
        <f>IF(('FS Budapest'!X34-'FS Budapest'!X33)&lt;0,"0",('FS Budapest'!X34-'FS Budapest'!X33))</f>
        <v>19</v>
      </c>
      <c r="Q31" s="12">
        <f>'FS Budapest'!AB34</f>
        <v>4</v>
      </c>
      <c r="R31" s="12">
        <f>'FS Budapest'!AE34</f>
        <v>3</v>
      </c>
      <c r="S31" s="12">
        <f>'FS Budapest'!AF34</f>
        <v>13</v>
      </c>
      <c r="T31" s="12">
        <f>IF(('FS Budapest'!AK34-'FS Budapest'!AK33)&lt;0,"0",('FS Budapest'!AK34-'FS Budapest'!AK33))</f>
        <v>1498</v>
      </c>
      <c r="U31" s="12">
        <f>IF(('FS Budapest'!AM34-'FS Budapest'!AM33)&lt;0,"0",('FS Budapest'!AM34-'FS Budapest'!AM33))</f>
        <v>40</v>
      </c>
      <c r="V31" s="12">
        <f>IF(('FS Budapest'!AO34-'FS Budapest'!AO33)&lt;0,"0",('FS Budapest'!AO34-'FS Budapest'!AO33))</f>
        <v>0</v>
      </c>
      <c r="W31" s="12">
        <f>IF(('FS Budapest'!AQ34-'FS Budapest'!AQ33)&lt;0,"0",('FS Budapest'!AQ34-'FS Budapest'!AQ33))</f>
        <v>593</v>
      </c>
      <c r="X31" s="12">
        <f>'FS Budapest'!AY34</f>
        <v>0</v>
      </c>
      <c r="Y31" s="12">
        <f>IF(('FS Budapest'!BA34-'FS Budapest'!BA33)&lt;0,"0",('FS Budapest'!BA34-'FS Budapest'!BA33)*4400)</f>
        <v>18040.000000001601</v>
      </c>
      <c r="Z31" s="12">
        <f>'FS Budapest'!BI34</f>
        <v>18040.000000001601</v>
      </c>
      <c r="AA31" s="12">
        <f>'FS Budapest'!BJ34</f>
        <v>15647.000000001601</v>
      </c>
      <c r="AB31" s="12">
        <f>IF(('FS Budapest'!BK34-'FS Budapest'!BK33)&lt;0,"0",('FS Budapest'!BK34-'FS Budapest'!BK33)*100)</f>
        <v>627.99999999988358</v>
      </c>
      <c r="AC31" s="12">
        <f>'FS Budapest'!BM34</f>
        <v>18668.000000001484</v>
      </c>
      <c r="AD31" s="12">
        <f>IF(('FS Budapest'!BP34-'FS Budapest'!BP33)&lt;0,"0",('FS Budapest'!BP34-'FS Budapest'!BP33))</f>
        <v>2381</v>
      </c>
      <c r="AE31" s="12">
        <f>IF(('FS Budapest'!BR34-'FS Budapest'!BR33)&lt;0,"0",('FS Budapest'!BR34-'FS Budapest'!BR33))</f>
        <v>12</v>
      </c>
      <c r="AF31" s="12">
        <f>'FS Budapest'!BU34</f>
        <v>171</v>
      </c>
      <c r="AG31" s="12">
        <f>'FS Budapest'!BV34</f>
        <v>301</v>
      </c>
    </row>
    <row r="32" spans="1:33" x14ac:dyDescent="0.35">
      <c r="A32" s="12" t="s">
        <v>11</v>
      </c>
      <c r="B32" s="15">
        <f t="shared" si="0"/>
        <v>31</v>
      </c>
      <c r="C32" s="3">
        <v>5</v>
      </c>
      <c r="D32" s="12">
        <v>2019</v>
      </c>
      <c r="E32" s="12">
        <f>IF(('FS Budapest'!C35-'FS Budapest'!C34)&lt;0,"0",('FS Budapest'!C35-'FS Budapest'!C34))</f>
        <v>99</v>
      </c>
      <c r="F32" s="12">
        <f>IF(('FS Budapest'!D35-'FS Budapest'!D34)&lt;0,"0",('FS Budapest'!D35-'FS Budapest'!D34))</f>
        <v>116</v>
      </c>
      <c r="G32" s="12">
        <f>IF(('FS Budapest'!E35-'FS Budapest'!Y35)&lt;0,"0",('FS Budapest'!E35-'FS Budapest'!Y35))</f>
        <v>85</v>
      </c>
      <c r="H32" s="12">
        <f>IF(('FS Budapest'!H35-'FS Budapest'!H34)&lt;0,"0",('FS Budapest'!H35-'FS Budapest'!H34))</f>
        <v>91</v>
      </c>
      <c r="I32" s="12">
        <f>IF(('FS Budapest'!I35-'FS Budapest'!I34)&lt;0,"0",('FS Budapest'!I35-'FS Budapest'!I34))</f>
        <v>29</v>
      </c>
      <c r="J32" s="12">
        <f>IF(('FS Budapest'!K35-'FS Budapest'!K34)&lt;0,"0",('FS Budapest'!K35-'FS Budapest'!K34))</f>
        <v>6</v>
      </c>
      <c r="K32" s="12">
        <f>IF(('FS Budapest'!M35-'FS Budapest'!M34)&lt;0,"0",('FS Budapest'!M35-'FS Budapest'!M34))</f>
        <v>8</v>
      </c>
      <c r="L32" s="12">
        <f>IF(('FS Budapest'!O35-'FS Budapest'!O34)&lt;0,"0",('FS Budapest'!O35-'FS Budapest'!O34))</f>
        <v>23</v>
      </c>
      <c r="M32" s="12">
        <f>IF(('FS Budapest'!Q35-'FS Budapest'!Q34)&lt;0,"0",('FS Budapest'!Q35-'FS Budapest'!Q34))</f>
        <v>2</v>
      </c>
      <c r="N32" s="12">
        <f>IF(('FS Budapest'!S35-'FS Budapest'!S34)&lt;0,"0",('FS Budapest'!S35-'FS Budapest'!S34))</f>
        <v>1</v>
      </c>
      <c r="O32" s="12">
        <f>IF(('FS Budapest'!V35-'FS Budapest'!V34)&lt;0,"0",('FS Budapest'!V35-'FS Budapest'!V34))</f>
        <v>6</v>
      </c>
      <c r="P32" s="12">
        <f>IF(('FS Budapest'!X35-'FS Budapest'!X34)&lt;0,"0",('FS Budapest'!X35-'FS Budapest'!X34))</f>
        <v>31</v>
      </c>
      <c r="Q32" s="12">
        <f>'FS Budapest'!AB35</f>
        <v>4</v>
      </c>
      <c r="R32" s="12">
        <f>'FS Budapest'!AE35</f>
        <v>4</v>
      </c>
      <c r="S32" s="12">
        <f>'FS Budapest'!AF35</f>
        <v>9</v>
      </c>
      <c r="T32" s="12">
        <f>IF(('FS Budapest'!AK35-'FS Budapest'!AK34)&lt;0,"0",('FS Budapest'!AK35-'FS Budapest'!AK34))</f>
        <v>1318</v>
      </c>
      <c r="U32" s="12">
        <f>IF(('FS Budapest'!AM35-'FS Budapest'!AM34)&lt;0,"0",('FS Budapest'!AM35-'FS Budapest'!AM34))</f>
        <v>37</v>
      </c>
      <c r="V32" s="12">
        <f>IF(('FS Budapest'!AO35-'FS Budapest'!AO34)&lt;0,"0",('FS Budapest'!AO35-'FS Budapest'!AO34))</f>
        <v>0</v>
      </c>
      <c r="W32" s="12">
        <f>IF(('FS Budapest'!AQ35-'FS Budapest'!AQ34)&lt;0,"0",('FS Budapest'!AQ35-'FS Budapest'!AQ34))</f>
        <v>512</v>
      </c>
      <c r="X32" s="12">
        <f>'FS Budapest'!AY35</f>
        <v>0</v>
      </c>
      <c r="Y32" s="12">
        <f>IF(('FS Budapest'!BA35-'FS Budapest'!BA34)&lt;0,"0",('FS Budapest'!BA35-'FS Budapest'!BA34)*4400)</f>
        <v>18744.00000000096</v>
      </c>
      <c r="Z32" s="12">
        <f>'FS Budapest'!BI35</f>
        <v>18744.00000000096</v>
      </c>
      <c r="AA32" s="12">
        <f>'FS Budapest'!BJ35</f>
        <v>15732.00000000096</v>
      </c>
      <c r="AB32" s="12">
        <f>IF(('FS Budapest'!BK35-'FS Budapest'!BK34)&lt;0,"0",('FS Budapest'!BK35-'FS Budapest'!BK34)*100)</f>
        <v>613.00000000010186</v>
      </c>
      <c r="AC32" s="12">
        <f>'FS Budapest'!BM35</f>
        <v>19357.000000001062</v>
      </c>
      <c r="AD32" s="12">
        <f>IF(('FS Budapest'!BP35-'FS Budapest'!BP34)&lt;0,"0",('FS Budapest'!BP35-'FS Budapest'!BP34))</f>
        <v>441</v>
      </c>
      <c r="AE32" s="12">
        <f>IF(('FS Budapest'!BR35-'FS Budapest'!BR34)&lt;0,"0",('FS Budapest'!BR35-'FS Budapest'!BR34))</f>
        <v>2571</v>
      </c>
      <c r="AF32" s="12">
        <f>'FS Budapest'!BU35</f>
        <v>175</v>
      </c>
      <c r="AG32" s="12">
        <f>'FS Budapest'!BV35</f>
        <v>317</v>
      </c>
    </row>
    <row r="33" spans="4:4" x14ac:dyDescent="0.35">
      <c r="D33" s="12"/>
    </row>
    <row r="34" spans="4:4" x14ac:dyDescent="0.35">
      <c r="D34" s="12"/>
    </row>
    <row r="35" spans="4:4" x14ac:dyDescent="0.35">
      <c r="D35" s="12"/>
    </row>
    <row r="36" spans="4:4" x14ac:dyDescent="0.35">
      <c r="D36" s="12"/>
    </row>
    <row r="37" spans="4:4" x14ac:dyDescent="0.35">
      <c r="D37" s="12"/>
    </row>
    <row r="38" spans="4:4" x14ac:dyDescent="0.35">
      <c r="D38" s="12"/>
    </row>
    <row r="39" spans="4:4" x14ac:dyDescent="0.35">
      <c r="D39" s="12"/>
    </row>
    <row r="40" spans="4:4" x14ac:dyDescent="0.35">
      <c r="D40" s="12"/>
    </row>
    <row r="41" spans="4:4" x14ac:dyDescent="0.35">
      <c r="D41" s="12"/>
    </row>
    <row r="42" spans="4:4" x14ac:dyDescent="0.35">
      <c r="D42" s="12"/>
    </row>
    <row r="43" spans="4:4" x14ac:dyDescent="0.35">
      <c r="D43" s="12"/>
    </row>
    <row r="44" spans="4:4" x14ac:dyDescent="0.35">
      <c r="D44" s="12"/>
    </row>
    <row r="45" spans="4:4" x14ac:dyDescent="0.35">
      <c r="D45" s="12"/>
    </row>
    <row r="46" spans="4:4" x14ac:dyDescent="0.35">
      <c r="D46" s="12"/>
    </row>
    <row r="47" spans="4:4" x14ac:dyDescent="0.35">
      <c r="D47" s="12"/>
    </row>
    <row r="48" spans="4:4" x14ac:dyDescent="0.35">
      <c r="D48" s="12"/>
    </row>
    <row r="49" spans="4:4" x14ac:dyDescent="0.35">
      <c r="D49" s="12"/>
    </row>
    <row r="50" spans="4:4" x14ac:dyDescent="0.35">
      <c r="D50" s="12"/>
    </row>
    <row r="51" spans="4:4" x14ac:dyDescent="0.35">
      <c r="D51" s="12"/>
    </row>
    <row r="52" spans="4:4" x14ac:dyDescent="0.35">
      <c r="D52" s="12"/>
    </row>
    <row r="53" spans="4:4" x14ac:dyDescent="0.35">
      <c r="D53" s="12"/>
    </row>
    <row r="54" spans="4:4" x14ac:dyDescent="0.35">
      <c r="D54" s="12"/>
    </row>
    <row r="55" spans="4:4" x14ac:dyDescent="0.35">
      <c r="D55" s="12"/>
    </row>
    <row r="56" spans="4:4" x14ac:dyDescent="0.35">
      <c r="D56" s="12"/>
    </row>
    <row r="57" spans="4:4" x14ac:dyDescent="0.35">
      <c r="D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BV36"/>
  <sheetViews>
    <sheetView topLeftCell="BP1" zoomScale="70" zoomScaleNormal="70" workbookViewId="0">
      <selection activeCell="BT8" sqref="BT8"/>
    </sheetView>
  </sheetViews>
  <sheetFormatPr defaultColWidth="9.1796875" defaultRowHeight="18.5" x14ac:dyDescent="0.35"/>
  <cols>
    <col min="1" max="1" width="4.453125" style="73" customWidth="1"/>
    <col min="2" max="2" width="15" style="19" customWidth="1"/>
    <col min="3" max="3" width="18.81640625" style="19" customWidth="1"/>
    <col min="4" max="4" width="20.1796875" style="19" customWidth="1"/>
    <col min="5" max="5" width="20.26953125" style="19" customWidth="1"/>
    <col min="6" max="6" width="28.1796875" style="19" customWidth="1"/>
    <col min="7" max="8" width="15" style="19" customWidth="1"/>
    <col min="9" max="10" width="23.54296875" style="19" customWidth="1"/>
    <col min="11" max="11" width="18.1796875" style="19" customWidth="1"/>
    <col min="12" max="12" width="24.81640625" style="19" customWidth="1"/>
    <col min="13" max="13" width="17.7265625" style="19" customWidth="1"/>
    <col min="14" max="14" width="6" style="74" customWidth="1"/>
    <col min="15" max="15" width="19.26953125" style="75" customWidth="1"/>
    <col min="16" max="16" width="6" style="74" customWidth="1"/>
    <col min="17" max="17" width="21" style="76" customWidth="1"/>
    <col min="18" max="18" width="25.7265625" style="19" customWidth="1"/>
    <col min="19" max="19" width="20.1796875" style="19" customWidth="1"/>
    <col min="20" max="20" width="26.81640625" style="19" customWidth="1"/>
    <col min="21" max="21" width="24" style="19" customWidth="1"/>
    <col min="22" max="22" width="24.81640625" style="19" customWidth="1"/>
    <col min="23" max="23" width="25.453125" style="19" customWidth="1"/>
    <col min="24" max="24" width="15.453125" style="19" customWidth="1"/>
    <col min="25" max="25" width="22" style="19" customWidth="1"/>
    <col min="26" max="26" width="20.7265625" style="19" customWidth="1"/>
    <col min="27" max="27" width="24.54296875" style="19" customWidth="1"/>
    <col min="28" max="28" width="15.54296875" style="19" customWidth="1"/>
    <col min="29" max="30" width="19.54296875" style="19" customWidth="1"/>
    <col min="31" max="31" width="16.453125" style="19" customWidth="1"/>
    <col min="32" max="32" width="13.81640625" style="19" customWidth="1"/>
    <col min="33" max="33" width="10.81640625" style="19" customWidth="1"/>
    <col min="34" max="34" width="9.26953125" style="19" bestFit="1" customWidth="1"/>
    <col min="35" max="35" width="13.453125" style="19" customWidth="1"/>
    <col min="36" max="36" width="17.1796875" style="19" customWidth="1"/>
    <col min="37" max="37" width="17" style="19" customWidth="1"/>
    <col min="38" max="38" width="18.1796875" style="19" customWidth="1"/>
    <col min="39" max="39" width="17" style="19" customWidth="1"/>
    <col min="40" max="40" width="15.81640625" style="19" customWidth="1"/>
    <col min="41" max="41" width="19" style="19" customWidth="1"/>
    <col min="42" max="42" width="2.81640625" style="19" customWidth="1"/>
    <col min="43" max="43" width="19" style="19" customWidth="1"/>
    <col min="44" max="44" width="6" style="19" customWidth="1"/>
    <col min="45" max="45" width="12.453125" style="19" customWidth="1"/>
    <col min="46" max="46" width="9.26953125" style="19" bestFit="1" customWidth="1"/>
    <col min="47" max="47" width="13.453125" style="19" customWidth="1"/>
    <col min="48" max="48" width="17.1796875" style="19" customWidth="1"/>
    <col min="49" max="49" width="5.1796875" style="19" customWidth="1"/>
    <col min="50" max="50" width="11" style="19" customWidth="1"/>
    <col min="51" max="51" width="14.26953125" style="19" customWidth="1"/>
    <col min="52" max="52" width="5.1796875" style="19" customWidth="1"/>
    <col min="53" max="53" width="14.1796875" style="19" customWidth="1"/>
    <col min="54" max="54" width="23.54296875" style="19" customWidth="1"/>
    <col min="55" max="55" width="11.453125" style="19" customWidth="1"/>
    <col min="56" max="56" width="39.54296875" style="19" customWidth="1"/>
    <col min="57" max="57" width="41.7265625" style="19" customWidth="1"/>
    <col min="58" max="58" width="17.26953125" style="78" customWidth="1"/>
    <col min="59" max="59" width="44.453125" style="79" customWidth="1"/>
    <col min="60" max="60" width="40.7265625" style="79" customWidth="1"/>
    <col min="61" max="61" width="40.26953125" style="19" bestFit="1" customWidth="1"/>
    <col min="62" max="62" width="48.7265625" style="19" bestFit="1" customWidth="1"/>
    <col min="63" max="63" width="17.26953125" style="19" customWidth="1"/>
    <col min="64" max="64" width="26.81640625" style="19" bestFit="1" customWidth="1"/>
    <col min="65" max="65" width="28.1796875" style="19" bestFit="1" customWidth="1"/>
    <col min="66" max="66" width="13.453125" style="19" customWidth="1"/>
    <col min="67" max="67" width="10.7265625" style="19" customWidth="1"/>
    <col min="68" max="68" width="12.453125" style="19" customWidth="1"/>
    <col min="69" max="69" width="18.54296875" style="19" bestFit="1" customWidth="1"/>
    <col min="70" max="70" width="12.453125" style="19" customWidth="1"/>
    <col min="71" max="71" width="18.54296875" style="19" bestFit="1" customWidth="1"/>
    <col min="72" max="72" width="21.54296875" style="19" bestFit="1" customWidth="1"/>
    <col min="73" max="73" width="18.54296875" style="19" bestFit="1" customWidth="1"/>
    <col min="74" max="74" width="15.7265625" style="19" bestFit="1" customWidth="1"/>
    <col min="75" max="84" width="75.7265625" style="19" customWidth="1"/>
    <col min="85" max="16384" width="9.1796875" style="19"/>
  </cols>
  <sheetData>
    <row r="1" spans="1:74" s="88" customFormat="1" ht="30" customHeight="1" thickBot="1" x14ac:dyDescent="0.5">
      <c r="A1" s="80"/>
      <c r="B1" s="163" t="s">
        <v>12</v>
      </c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5"/>
      <c r="AK1" s="166" t="s">
        <v>13</v>
      </c>
      <c r="AL1" s="167"/>
      <c r="AM1" s="167"/>
      <c r="AN1" s="167"/>
      <c r="AO1" s="167"/>
      <c r="AP1" s="167"/>
      <c r="AQ1" s="167"/>
      <c r="AR1" s="167"/>
      <c r="AS1" s="167"/>
      <c r="AT1" s="167"/>
      <c r="AU1" s="167"/>
      <c r="AV1" s="168"/>
      <c r="AW1" s="169" t="s">
        <v>14</v>
      </c>
      <c r="AX1" s="170"/>
      <c r="AY1" s="170"/>
      <c r="AZ1" s="170"/>
      <c r="BA1" s="170"/>
      <c r="BB1" s="170"/>
      <c r="BC1" s="170"/>
      <c r="BD1" s="170"/>
      <c r="BE1" s="170"/>
      <c r="BF1" s="170"/>
      <c r="BG1" s="170"/>
      <c r="BH1" s="170"/>
      <c r="BI1" s="170"/>
      <c r="BJ1" s="170"/>
      <c r="BK1" s="170"/>
      <c r="BL1" s="170"/>
      <c r="BM1" s="170"/>
      <c r="BN1" s="171"/>
      <c r="BO1" s="110"/>
      <c r="BP1" s="111"/>
      <c r="BQ1" s="111"/>
      <c r="BR1" s="111"/>
      <c r="BS1" s="111"/>
      <c r="BT1" s="112"/>
      <c r="BU1" s="115" t="s">
        <v>137</v>
      </c>
      <c r="BV1" s="115" t="s">
        <v>137</v>
      </c>
    </row>
    <row r="2" spans="1:74" s="88" customFormat="1" ht="30" customHeight="1" thickBot="1" x14ac:dyDescent="0.5">
      <c r="A2" s="80"/>
      <c r="B2" s="89"/>
      <c r="C2" s="90" t="s">
        <v>127</v>
      </c>
      <c r="D2" s="90"/>
      <c r="E2" s="90" t="s">
        <v>107</v>
      </c>
      <c r="F2" s="90"/>
      <c r="G2" s="90"/>
      <c r="H2" s="90" t="s">
        <v>108</v>
      </c>
      <c r="I2" s="90" t="s">
        <v>109</v>
      </c>
      <c r="J2" s="90"/>
      <c r="K2" s="90" t="s">
        <v>110</v>
      </c>
      <c r="L2" s="90"/>
      <c r="M2" s="90" t="s">
        <v>111</v>
      </c>
      <c r="N2" s="90"/>
      <c r="O2" s="90" t="s">
        <v>112</v>
      </c>
      <c r="P2" s="90"/>
      <c r="Q2" s="90" t="s">
        <v>113</v>
      </c>
      <c r="R2" s="90"/>
      <c r="S2" s="90" t="s">
        <v>114</v>
      </c>
      <c r="T2" s="90"/>
      <c r="U2" s="90" t="s">
        <v>115</v>
      </c>
      <c r="V2" s="90" t="s">
        <v>116</v>
      </c>
      <c r="W2" s="90"/>
      <c r="X2" s="90" t="s">
        <v>117</v>
      </c>
      <c r="Y2" s="90"/>
      <c r="Z2" s="90" t="s">
        <v>118</v>
      </c>
      <c r="AA2" s="90" t="s">
        <v>119</v>
      </c>
      <c r="AB2" s="90"/>
      <c r="AC2" s="90" t="s">
        <v>120</v>
      </c>
      <c r="AD2" s="90" t="s">
        <v>121</v>
      </c>
      <c r="AE2" s="90"/>
      <c r="AF2" s="90"/>
      <c r="AG2" s="90"/>
      <c r="AH2" s="91"/>
      <c r="AI2" s="92"/>
      <c r="AJ2" s="18"/>
      <c r="AK2" s="93" t="s">
        <v>122</v>
      </c>
      <c r="AL2" s="93"/>
      <c r="AM2" s="93" t="s">
        <v>123</v>
      </c>
      <c r="AN2" s="93"/>
      <c r="AO2" s="93" t="s">
        <v>124</v>
      </c>
      <c r="AP2" s="93"/>
      <c r="AQ2" s="93" t="s">
        <v>125</v>
      </c>
      <c r="AR2" s="18"/>
      <c r="AS2" s="20"/>
      <c r="AT2" s="20"/>
      <c r="AU2" s="81"/>
      <c r="AV2" s="81"/>
      <c r="AW2" s="160" t="s">
        <v>103</v>
      </c>
      <c r="AX2" s="161"/>
      <c r="AY2" s="162"/>
      <c r="AZ2" s="160" t="s">
        <v>104</v>
      </c>
      <c r="BA2" s="161"/>
      <c r="BB2" s="162"/>
      <c r="BC2" s="82"/>
      <c r="BD2" s="83"/>
      <c r="BE2" s="84"/>
      <c r="BF2" s="85"/>
      <c r="BG2" s="83"/>
      <c r="BH2" s="94"/>
      <c r="BI2" s="95"/>
      <c r="BJ2" s="95"/>
      <c r="BK2" s="96" t="s">
        <v>126</v>
      </c>
      <c r="BL2" s="97"/>
      <c r="BM2" s="82"/>
      <c r="BN2" s="98"/>
      <c r="BO2" s="86"/>
      <c r="BP2" s="83" t="s">
        <v>105</v>
      </c>
      <c r="BQ2" s="83"/>
      <c r="BR2" s="83" t="s">
        <v>106</v>
      </c>
      <c r="BS2" s="83"/>
      <c r="BT2" s="87"/>
    </row>
    <row r="3" spans="1:74" ht="63.75" customHeight="1" thickBot="1" x14ac:dyDescent="0.4">
      <c r="A3" s="21"/>
      <c r="B3" s="22"/>
      <c r="C3" s="23" t="s">
        <v>17</v>
      </c>
      <c r="D3" s="23" t="s">
        <v>18</v>
      </c>
      <c r="E3" s="24" t="s">
        <v>19</v>
      </c>
      <c r="F3" s="24" t="s">
        <v>20</v>
      </c>
      <c r="G3" s="23"/>
      <c r="H3" s="23" t="s">
        <v>21</v>
      </c>
      <c r="I3" s="25" t="s">
        <v>22</v>
      </c>
      <c r="J3" s="25" t="s">
        <v>23</v>
      </c>
      <c r="K3" s="26" t="s">
        <v>24</v>
      </c>
      <c r="L3" s="26" t="s">
        <v>25</v>
      </c>
      <c r="M3" s="26" t="s">
        <v>26</v>
      </c>
      <c r="N3" s="27" t="s">
        <v>27</v>
      </c>
      <c r="O3" s="28" t="s">
        <v>28</v>
      </c>
      <c r="P3" s="29" t="s">
        <v>27</v>
      </c>
      <c r="Q3" s="30" t="s">
        <v>29</v>
      </c>
      <c r="R3" s="31" t="s">
        <v>30</v>
      </c>
      <c r="S3" s="32" t="s">
        <v>31</v>
      </c>
      <c r="T3" s="33" t="s">
        <v>32</v>
      </c>
      <c r="U3" s="34" t="s">
        <v>33</v>
      </c>
      <c r="V3" s="34" t="s">
        <v>34</v>
      </c>
      <c r="W3" s="31" t="s">
        <v>35</v>
      </c>
      <c r="X3" s="32" t="s">
        <v>36</v>
      </c>
      <c r="Y3" s="33" t="s">
        <v>37</v>
      </c>
      <c r="Z3" s="35" t="s">
        <v>38</v>
      </c>
      <c r="AA3" s="36" t="s">
        <v>39</v>
      </c>
      <c r="AB3" s="35" t="s">
        <v>40</v>
      </c>
      <c r="AC3" s="32" t="s">
        <v>41</v>
      </c>
      <c r="AD3" s="32" t="s">
        <v>42</v>
      </c>
      <c r="AE3" s="33" t="s">
        <v>43</v>
      </c>
      <c r="AF3" s="37" t="s">
        <v>44</v>
      </c>
      <c r="AG3" s="38" t="s">
        <v>45</v>
      </c>
      <c r="AH3" s="26" t="s">
        <v>46</v>
      </c>
      <c r="AI3" s="38" t="s">
        <v>47</v>
      </c>
      <c r="AJ3" s="38" t="s">
        <v>48</v>
      </c>
      <c r="AK3" s="39" t="s">
        <v>15</v>
      </c>
      <c r="AL3" s="39" t="s">
        <v>49</v>
      </c>
      <c r="AM3" s="39" t="s">
        <v>16</v>
      </c>
      <c r="AN3" s="39" t="s">
        <v>50</v>
      </c>
      <c r="AO3" s="40" t="s">
        <v>51</v>
      </c>
      <c r="AP3" s="40"/>
      <c r="AQ3" s="40" t="s">
        <v>52</v>
      </c>
      <c r="AR3" s="40"/>
      <c r="AS3" s="40" t="s">
        <v>45</v>
      </c>
      <c r="AT3" s="41" t="s">
        <v>46</v>
      </c>
      <c r="AU3" s="38" t="s">
        <v>47</v>
      </c>
      <c r="AV3" s="38" t="s">
        <v>48</v>
      </c>
      <c r="AW3" s="42" t="s">
        <v>53</v>
      </c>
      <c r="AX3" s="43">
        <v>18</v>
      </c>
      <c r="AY3" s="44" t="s">
        <v>54</v>
      </c>
      <c r="AZ3" s="42" t="s">
        <v>53</v>
      </c>
      <c r="BA3" s="43">
        <v>18</v>
      </c>
      <c r="BB3" s="44" t="s">
        <v>55</v>
      </c>
      <c r="BC3" s="45" t="s">
        <v>56</v>
      </c>
      <c r="BD3" s="40" t="s">
        <v>57</v>
      </c>
      <c r="BE3" s="40" t="s">
        <v>58</v>
      </c>
      <c r="BF3" s="46" t="s">
        <v>59</v>
      </c>
      <c r="BG3" s="47" t="s">
        <v>60</v>
      </c>
      <c r="BH3" s="47" t="s">
        <v>61</v>
      </c>
      <c r="BI3" s="48" t="s">
        <v>62</v>
      </c>
      <c r="BJ3" s="49" t="s">
        <v>63</v>
      </c>
      <c r="BK3" s="40" t="s">
        <v>64</v>
      </c>
      <c r="BL3" s="40" t="s">
        <v>65</v>
      </c>
      <c r="BM3" s="50" t="s">
        <v>66</v>
      </c>
      <c r="BN3" s="38" t="s">
        <v>47</v>
      </c>
      <c r="BO3" s="38" t="s">
        <v>48</v>
      </c>
      <c r="BP3" s="51" t="s">
        <v>67</v>
      </c>
      <c r="BQ3" s="51" t="s">
        <v>68</v>
      </c>
      <c r="BR3" s="51" t="s">
        <v>69</v>
      </c>
      <c r="BS3" s="51" t="s">
        <v>70</v>
      </c>
      <c r="BT3" s="51" t="s">
        <v>71</v>
      </c>
      <c r="BU3" s="116" t="s">
        <v>137</v>
      </c>
      <c r="BV3" s="116" t="s">
        <v>138</v>
      </c>
    </row>
    <row r="4" spans="1:74" s="88" customFormat="1" ht="30" customHeight="1" thickBot="1" x14ac:dyDescent="0.5">
      <c r="A4" s="118" t="s">
        <v>140</v>
      </c>
      <c r="B4" s="134"/>
      <c r="C4" s="135">
        <v>44909</v>
      </c>
      <c r="D4" s="136">
        <v>201111</v>
      </c>
      <c r="E4" s="137" t="s">
        <v>128</v>
      </c>
      <c r="F4" s="137" t="s">
        <v>128</v>
      </c>
      <c r="G4" s="138"/>
      <c r="H4" s="135">
        <v>99265</v>
      </c>
      <c r="I4" s="136">
        <v>69512</v>
      </c>
      <c r="J4" s="138" t="s">
        <v>128</v>
      </c>
      <c r="K4" s="136">
        <v>12675</v>
      </c>
      <c r="L4" s="137" t="s">
        <v>128</v>
      </c>
      <c r="M4" s="134">
        <v>9378</v>
      </c>
      <c r="N4" s="137" t="s">
        <v>128</v>
      </c>
      <c r="O4" s="134">
        <v>17741</v>
      </c>
      <c r="P4" s="137" t="s">
        <v>128</v>
      </c>
      <c r="Q4" s="139">
        <v>55452</v>
      </c>
      <c r="R4" s="140" t="s">
        <v>128</v>
      </c>
      <c r="S4" s="141">
        <v>24895</v>
      </c>
      <c r="T4" s="142" t="s">
        <v>128</v>
      </c>
      <c r="U4" s="143">
        <v>8750</v>
      </c>
      <c r="V4" s="144">
        <v>281</v>
      </c>
      <c r="W4" s="142" t="s">
        <v>128</v>
      </c>
      <c r="X4" s="145">
        <v>23950</v>
      </c>
      <c r="Y4" s="142" t="s">
        <v>128</v>
      </c>
      <c r="Z4" s="146">
        <v>7330</v>
      </c>
      <c r="AA4" s="147">
        <v>6650</v>
      </c>
      <c r="AB4" s="142" t="s">
        <v>128</v>
      </c>
      <c r="AC4" s="143">
        <v>1803</v>
      </c>
      <c r="AD4" s="143">
        <v>1241</v>
      </c>
      <c r="AE4" s="142" t="s">
        <v>128</v>
      </c>
      <c r="AF4" s="148" t="s">
        <v>128</v>
      </c>
      <c r="AG4" s="141">
        <v>144174</v>
      </c>
      <c r="AH4" s="138" t="s">
        <v>128</v>
      </c>
      <c r="AI4" s="149">
        <v>170</v>
      </c>
      <c r="AJ4" s="149">
        <v>-18</v>
      </c>
      <c r="AK4" s="150">
        <v>1099926</v>
      </c>
      <c r="AL4" s="142" t="s">
        <v>128</v>
      </c>
      <c r="AM4" s="141">
        <v>46015</v>
      </c>
      <c r="AN4" s="142" t="s">
        <v>128</v>
      </c>
      <c r="AO4" s="141">
        <v>50698</v>
      </c>
      <c r="AP4" s="142" t="s">
        <v>128</v>
      </c>
      <c r="AQ4" s="141">
        <v>21909</v>
      </c>
      <c r="AR4" s="142" t="s">
        <v>128</v>
      </c>
      <c r="AS4" s="141">
        <v>1147545</v>
      </c>
      <c r="AT4" s="141" t="s">
        <v>128</v>
      </c>
      <c r="AU4" s="149">
        <v>1700</v>
      </c>
      <c r="AV4" s="149">
        <v>64</v>
      </c>
      <c r="AW4" s="141"/>
      <c r="AX4" s="141">
        <v>27.49</v>
      </c>
      <c r="AY4" s="141" t="s">
        <v>128</v>
      </c>
      <c r="AZ4" s="141"/>
      <c r="BA4" s="151">
        <v>11482.63</v>
      </c>
      <c r="BB4" s="151" t="s">
        <v>128</v>
      </c>
      <c r="BC4" s="152">
        <v>0</v>
      </c>
      <c r="BD4" s="152">
        <v>0</v>
      </c>
      <c r="BE4" s="153">
        <v>0</v>
      </c>
      <c r="BF4" s="154">
        <v>11510.119999999999</v>
      </c>
      <c r="BG4" s="155">
        <v>4.1999999999989086</v>
      </c>
      <c r="BH4" s="138" t="s">
        <v>128</v>
      </c>
      <c r="BI4" s="156" t="s">
        <v>128</v>
      </c>
      <c r="BJ4" s="156" t="s">
        <v>128</v>
      </c>
      <c r="BK4" s="138">
        <v>22121.86</v>
      </c>
      <c r="BL4" s="138" t="s">
        <v>128</v>
      </c>
      <c r="BM4" s="149" t="s">
        <v>128</v>
      </c>
      <c r="BN4" s="149" t="s">
        <v>128</v>
      </c>
      <c r="BO4" s="157" t="s">
        <v>128</v>
      </c>
      <c r="BP4" s="158">
        <v>2529698</v>
      </c>
      <c r="BQ4" s="159" t="s">
        <v>128</v>
      </c>
      <c r="BR4" s="158">
        <v>3476834</v>
      </c>
      <c r="BS4" s="159" t="s">
        <v>128</v>
      </c>
      <c r="BT4" s="159">
        <v>2320</v>
      </c>
      <c r="BU4" s="159" t="s">
        <v>128</v>
      </c>
      <c r="BV4" s="159" t="s">
        <v>128</v>
      </c>
    </row>
    <row r="5" spans="1:74" ht="25" customHeight="1" x14ac:dyDescent="0.4">
      <c r="A5" s="52" t="s">
        <v>72</v>
      </c>
      <c r="B5" s="53"/>
      <c r="C5" s="99">
        <v>44977</v>
      </c>
      <c r="D5" s="99">
        <v>201194</v>
      </c>
      <c r="E5" s="121">
        <f t="shared" ref="E5:E35" si="0">D5-D4</f>
        <v>83</v>
      </c>
      <c r="F5" s="121">
        <f t="shared" ref="F5:F35" si="1">E5-Y5</f>
        <v>55</v>
      </c>
      <c r="G5" s="99"/>
      <c r="H5" s="99">
        <v>99323</v>
      </c>
      <c r="I5" s="100">
        <v>69533</v>
      </c>
      <c r="J5" s="122">
        <f t="shared" ref="J5:J35" si="2">I5-I4</f>
        <v>21</v>
      </c>
      <c r="K5" s="106">
        <v>12681</v>
      </c>
      <c r="L5" s="123">
        <f>K5-[2]Április2019!K34</f>
        <v>12681</v>
      </c>
      <c r="M5" s="106">
        <v>9386</v>
      </c>
      <c r="N5" s="124">
        <f>M5-[2]Április2019!M34</f>
        <v>9386</v>
      </c>
      <c r="O5" s="125">
        <v>17754</v>
      </c>
      <c r="P5" s="124">
        <v>14</v>
      </c>
      <c r="Q5" s="126">
        <v>55455</v>
      </c>
      <c r="R5" s="102">
        <f t="shared" ref="R5:R35" si="3">Q5-Q4</f>
        <v>3</v>
      </c>
      <c r="S5" s="127">
        <v>24896</v>
      </c>
      <c r="T5" s="128">
        <f t="shared" ref="T5:T35" si="4">S5-S4</f>
        <v>1</v>
      </c>
      <c r="U5" s="101">
        <v>8750</v>
      </c>
      <c r="V5" s="101">
        <v>287</v>
      </c>
      <c r="W5" s="102">
        <f t="shared" ref="W5:W35" si="5">(U5+V5)-(U4+V4)</f>
        <v>6</v>
      </c>
      <c r="X5" s="103">
        <v>23978</v>
      </c>
      <c r="Y5" s="128">
        <f t="shared" ref="Y5:Y35" si="6">X5-X4</f>
        <v>28</v>
      </c>
      <c r="Z5" s="129">
        <v>7333</v>
      </c>
      <c r="AA5" s="129">
        <v>6651</v>
      </c>
      <c r="AB5" s="102">
        <f t="shared" ref="AB5:AB35" si="7">(Z5+AA5)-(Z4+AA4)</f>
        <v>4</v>
      </c>
      <c r="AC5" s="103">
        <v>1803</v>
      </c>
      <c r="AD5" s="103">
        <v>1241</v>
      </c>
      <c r="AE5" s="128">
        <f t="shared" ref="AE5:AE35" si="8">AC5+AD5-AC4-AD4</f>
        <v>0</v>
      </c>
      <c r="AF5" s="104">
        <f t="shared" ref="AF5:AF35" si="9">R5+T5+W5</f>
        <v>10</v>
      </c>
      <c r="AG5" s="105">
        <f t="shared" ref="AG5:AG35" si="10">B5+C5+G5+H5</f>
        <v>144300</v>
      </c>
      <c r="AH5" s="54">
        <v>126</v>
      </c>
      <c r="AI5" s="56">
        <v>165</v>
      </c>
      <c r="AJ5" s="56">
        <f t="shared" ref="AJ5:AJ11" si="11">AI5-AH5</f>
        <v>39</v>
      </c>
      <c r="AK5" s="57">
        <v>1101609</v>
      </c>
      <c r="AL5" s="58">
        <f t="shared" ref="AL5:AL35" si="12">AK5-AK4</f>
        <v>1683</v>
      </c>
      <c r="AM5" s="57">
        <v>46055</v>
      </c>
      <c r="AN5" s="59">
        <f t="shared" ref="AN5:AN35" si="13">AM5-AM4</f>
        <v>40</v>
      </c>
      <c r="AO5" s="107">
        <v>50698</v>
      </c>
      <c r="AP5" s="61">
        <f t="shared" ref="AP5:AP35" si="14">AO5-AO4</f>
        <v>0</v>
      </c>
      <c r="AQ5" s="60">
        <v>22394</v>
      </c>
      <c r="AR5" s="61">
        <f t="shared" ref="AR5:AR35" si="15">AQ5-AQ4</f>
        <v>485</v>
      </c>
      <c r="AS5" s="60">
        <f>SUM(AK5:AL5)</f>
        <v>1103292</v>
      </c>
      <c r="AT5" s="62">
        <v>1723</v>
      </c>
      <c r="AU5" s="56">
        <v>1400</v>
      </c>
      <c r="AV5" s="56">
        <f t="shared" ref="AV5:AV11" si="16">AU5-AT5</f>
        <v>-323</v>
      </c>
      <c r="AW5" s="63"/>
      <c r="AX5" s="63">
        <v>27.49</v>
      </c>
      <c r="AY5" s="63">
        <v>0</v>
      </c>
      <c r="AZ5" s="63">
        <v>0</v>
      </c>
      <c r="BA5" s="64">
        <v>11486.76</v>
      </c>
      <c r="BB5" s="64">
        <f t="shared" ref="BB5:BB11" si="17">(BA5-BA4)*4400</f>
        <v>18172.000000004482</v>
      </c>
      <c r="BC5" s="55">
        <f>(AW5+AZ5)</f>
        <v>0</v>
      </c>
      <c r="BD5" s="60">
        <f>BC5-AW5</f>
        <v>0</v>
      </c>
      <c r="BE5" s="65">
        <f>BD5*4400</f>
        <v>0</v>
      </c>
      <c r="BF5" s="66">
        <f>AX5+BA5</f>
        <v>11514.25</v>
      </c>
      <c r="BG5" s="67">
        <f>BF5-[1]Április2019!BF33</f>
        <v>4.1300000000010186</v>
      </c>
      <c r="BH5" s="68">
        <f t="shared" ref="BH5:BH11" si="18">BG5*4400</f>
        <v>18172.000000004482</v>
      </c>
      <c r="BI5" s="119">
        <v>18172.000000004482</v>
      </c>
      <c r="BJ5" s="69">
        <v>15379.000000004482</v>
      </c>
      <c r="BK5" s="108">
        <v>22126.47</v>
      </c>
      <c r="BL5" s="108">
        <f t="shared" ref="BL5:BL35" si="19">(BK5-BK4)*100</f>
        <v>461.00000000005821</v>
      </c>
      <c r="BM5" s="70">
        <v>18633.00000000454</v>
      </c>
      <c r="BN5" s="56">
        <v>18000</v>
      </c>
      <c r="BO5" s="56">
        <f t="shared" ref="BO5:BO11" si="20">BN5-BM5</f>
        <v>-633.0000000045402</v>
      </c>
      <c r="BP5" s="109">
        <v>2529717</v>
      </c>
      <c r="BQ5" s="120">
        <v>19</v>
      </c>
      <c r="BR5" s="109">
        <v>3479608</v>
      </c>
      <c r="BS5" s="120">
        <v>2774</v>
      </c>
      <c r="BT5" s="71">
        <f t="shared" ref="BT5:BT35" si="21">BQ5+BS5</f>
        <v>2793</v>
      </c>
      <c r="BU5" s="117">
        <v>99</v>
      </c>
      <c r="BV5" s="117">
        <v>171</v>
      </c>
    </row>
    <row r="6" spans="1:74" ht="25" customHeight="1" x14ac:dyDescent="0.4">
      <c r="A6" s="52" t="s">
        <v>73</v>
      </c>
      <c r="B6" s="53"/>
      <c r="C6" s="99">
        <v>45061</v>
      </c>
      <c r="D6" s="99">
        <v>201299</v>
      </c>
      <c r="E6" s="121">
        <f t="shared" si="0"/>
        <v>105</v>
      </c>
      <c r="F6" s="121">
        <f t="shared" si="1"/>
        <v>72</v>
      </c>
      <c r="G6" s="99"/>
      <c r="H6" s="99">
        <v>99431</v>
      </c>
      <c r="I6" s="100">
        <v>69558</v>
      </c>
      <c r="J6" s="122">
        <f t="shared" si="2"/>
        <v>25</v>
      </c>
      <c r="K6" s="106">
        <v>12689</v>
      </c>
      <c r="L6" s="123">
        <f t="shared" ref="L6:L35" si="22">K6-K5</f>
        <v>8</v>
      </c>
      <c r="M6" s="106">
        <v>9396</v>
      </c>
      <c r="N6" s="124">
        <f t="shared" ref="N6:N35" si="23">M6-M5</f>
        <v>10</v>
      </c>
      <c r="O6" s="125">
        <v>17773</v>
      </c>
      <c r="P6" s="124">
        <f>O6-O5</f>
        <v>19</v>
      </c>
      <c r="Q6" s="126">
        <v>55457</v>
      </c>
      <c r="R6" s="102">
        <f t="shared" si="3"/>
        <v>2</v>
      </c>
      <c r="S6" s="127">
        <v>24897</v>
      </c>
      <c r="T6" s="128">
        <f t="shared" si="4"/>
        <v>1</v>
      </c>
      <c r="U6" s="101">
        <v>8750</v>
      </c>
      <c r="V6" s="101">
        <v>294</v>
      </c>
      <c r="W6" s="102">
        <f t="shared" si="5"/>
        <v>7</v>
      </c>
      <c r="X6" s="103">
        <v>24011</v>
      </c>
      <c r="Y6" s="128">
        <f t="shared" si="6"/>
        <v>33</v>
      </c>
      <c r="Z6" s="129">
        <v>7335</v>
      </c>
      <c r="AA6" s="129">
        <v>6652</v>
      </c>
      <c r="AB6" s="102">
        <f t="shared" si="7"/>
        <v>3</v>
      </c>
      <c r="AC6" s="103">
        <v>1804</v>
      </c>
      <c r="AD6" s="103">
        <v>1243</v>
      </c>
      <c r="AE6" s="128">
        <f t="shared" si="8"/>
        <v>3</v>
      </c>
      <c r="AF6" s="104">
        <f t="shared" si="9"/>
        <v>10</v>
      </c>
      <c r="AG6" s="105">
        <f t="shared" si="10"/>
        <v>144492</v>
      </c>
      <c r="AH6" s="54">
        <v>192</v>
      </c>
      <c r="AI6" s="56">
        <v>165</v>
      </c>
      <c r="AJ6" s="56">
        <f t="shared" si="11"/>
        <v>-27</v>
      </c>
      <c r="AK6" s="57">
        <v>1103100</v>
      </c>
      <c r="AL6" s="58">
        <f t="shared" si="12"/>
        <v>1491</v>
      </c>
      <c r="AM6" s="57">
        <v>46088</v>
      </c>
      <c r="AN6" s="59">
        <f t="shared" si="13"/>
        <v>33</v>
      </c>
      <c r="AO6" s="107">
        <v>50698</v>
      </c>
      <c r="AP6" s="61">
        <f t="shared" si="14"/>
        <v>0</v>
      </c>
      <c r="AQ6" s="60">
        <v>22895</v>
      </c>
      <c r="AR6" s="61">
        <f t="shared" si="15"/>
        <v>501</v>
      </c>
      <c r="AS6" s="60">
        <f t="shared" ref="AS6:AS35" si="24">SUM(AK6:AM6)</f>
        <v>1150679</v>
      </c>
      <c r="AT6" s="62">
        <v>1531</v>
      </c>
      <c r="AU6" s="56">
        <v>1400</v>
      </c>
      <c r="AV6" s="56">
        <f t="shared" si="16"/>
        <v>-131</v>
      </c>
      <c r="AW6" s="63"/>
      <c r="AX6" s="63">
        <v>27.49</v>
      </c>
      <c r="AY6" s="63">
        <v>0</v>
      </c>
      <c r="AZ6" s="63">
        <v>0</v>
      </c>
      <c r="BA6" s="64">
        <v>11491.17</v>
      </c>
      <c r="BB6" s="64">
        <f t="shared" si="17"/>
        <v>19403.99999999936</v>
      </c>
      <c r="BC6" s="55">
        <f t="shared" ref="BC6:BC11" si="25">(AW6+AZ6)</f>
        <v>0</v>
      </c>
      <c r="BD6" s="60">
        <f t="shared" ref="BD6:BD11" si="26">BC6-AW6</f>
        <v>0</v>
      </c>
      <c r="BE6" s="65">
        <f t="shared" ref="BE6:BE11" si="27">BD6*4400</f>
        <v>0</v>
      </c>
      <c r="BF6" s="66">
        <f t="shared" ref="BF6:BF11" si="28">AX6+BA6</f>
        <v>11518.66</v>
      </c>
      <c r="BG6" s="72">
        <f t="shared" ref="BG6:BG11" si="29">BF6-BF5</f>
        <v>4.4099999999998545</v>
      </c>
      <c r="BH6" s="68">
        <f t="shared" si="18"/>
        <v>19403.99999999936</v>
      </c>
      <c r="BI6" s="119">
        <v>19403.99999999936</v>
      </c>
      <c r="BJ6" s="69">
        <v>16711.99999999936</v>
      </c>
      <c r="BK6" s="108">
        <v>22132.31</v>
      </c>
      <c r="BL6" s="108">
        <f t="shared" si="19"/>
        <v>584.00000000001455</v>
      </c>
      <c r="BM6" s="70">
        <v>19987.999999999374</v>
      </c>
      <c r="BN6" s="56">
        <v>18000</v>
      </c>
      <c r="BO6" s="56">
        <f t="shared" si="20"/>
        <v>-1987.9999999993743</v>
      </c>
      <c r="BP6" s="109">
        <v>2529736</v>
      </c>
      <c r="BQ6" s="120">
        <v>19</v>
      </c>
      <c r="BR6" s="109">
        <v>3482281</v>
      </c>
      <c r="BS6" s="120">
        <v>2673</v>
      </c>
      <c r="BT6" s="71">
        <f t="shared" si="21"/>
        <v>2692</v>
      </c>
      <c r="BU6" s="117">
        <v>179</v>
      </c>
      <c r="BV6" s="117">
        <v>322</v>
      </c>
    </row>
    <row r="7" spans="1:74" ht="25" customHeight="1" x14ac:dyDescent="0.4">
      <c r="A7" s="52" t="s">
        <v>74</v>
      </c>
      <c r="B7" s="53"/>
      <c r="C7" s="99">
        <v>45145</v>
      </c>
      <c r="D7" s="99">
        <v>201402</v>
      </c>
      <c r="E7" s="121">
        <f t="shared" si="0"/>
        <v>103</v>
      </c>
      <c r="F7" s="121">
        <f t="shared" si="1"/>
        <v>78</v>
      </c>
      <c r="G7" s="99"/>
      <c r="H7" s="99">
        <v>99526</v>
      </c>
      <c r="I7" s="100">
        <v>69582</v>
      </c>
      <c r="J7" s="122">
        <f t="shared" si="2"/>
        <v>24</v>
      </c>
      <c r="K7" s="106">
        <v>12696</v>
      </c>
      <c r="L7" s="123">
        <f t="shared" si="22"/>
        <v>7</v>
      </c>
      <c r="M7" s="130">
        <v>9404</v>
      </c>
      <c r="N7" s="124">
        <f t="shared" si="23"/>
        <v>8</v>
      </c>
      <c r="O7" s="125">
        <v>17798</v>
      </c>
      <c r="P7" s="124">
        <f t="shared" ref="P7:P35" si="30">O7-O6</f>
        <v>25</v>
      </c>
      <c r="Q7" s="126">
        <v>55460</v>
      </c>
      <c r="R7" s="102">
        <f t="shared" si="3"/>
        <v>3</v>
      </c>
      <c r="S7" s="127">
        <v>24899</v>
      </c>
      <c r="T7" s="128">
        <f t="shared" si="4"/>
        <v>2</v>
      </c>
      <c r="U7" s="101">
        <v>8750</v>
      </c>
      <c r="V7" s="101">
        <v>301</v>
      </c>
      <c r="W7" s="102">
        <f t="shared" si="5"/>
        <v>7</v>
      </c>
      <c r="X7" s="127">
        <v>24036</v>
      </c>
      <c r="Y7" s="128">
        <f t="shared" si="6"/>
        <v>25</v>
      </c>
      <c r="Z7" s="129">
        <v>7338</v>
      </c>
      <c r="AA7" s="129">
        <v>6653</v>
      </c>
      <c r="AB7" s="102">
        <f t="shared" si="7"/>
        <v>4</v>
      </c>
      <c r="AC7" s="127">
        <v>1805</v>
      </c>
      <c r="AD7" s="103">
        <v>1243</v>
      </c>
      <c r="AE7" s="128">
        <f t="shared" si="8"/>
        <v>1</v>
      </c>
      <c r="AF7" s="104">
        <f t="shared" si="9"/>
        <v>12</v>
      </c>
      <c r="AG7" s="105">
        <f t="shared" si="10"/>
        <v>144671</v>
      </c>
      <c r="AH7" s="54">
        <v>179</v>
      </c>
      <c r="AI7" s="56">
        <v>165</v>
      </c>
      <c r="AJ7" s="56">
        <f t="shared" si="11"/>
        <v>-14</v>
      </c>
      <c r="AK7" s="57">
        <v>1104459</v>
      </c>
      <c r="AL7" s="58">
        <f t="shared" si="12"/>
        <v>1359</v>
      </c>
      <c r="AM7" s="57">
        <v>46127</v>
      </c>
      <c r="AN7" s="59">
        <f t="shared" si="13"/>
        <v>39</v>
      </c>
      <c r="AO7" s="107">
        <v>50698</v>
      </c>
      <c r="AP7" s="61">
        <f t="shared" si="14"/>
        <v>0</v>
      </c>
      <c r="AQ7" s="60">
        <v>23409</v>
      </c>
      <c r="AR7" s="61">
        <f t="shared" si="15"/>
        <v>514</v>
      </c>
      <c r="AS7" s="60">
        <f t="shared" si="24"/>
        <v>1151945</v>
      </c>
      <c r="AT7" s="62">
        <v>1392</v>
      </c>
      <c r="AU7" s="56">
        <v>1400</v>
      </c>
      <c r="AV7" s="56">
        <f t="shared" si="16"/>
        <v>8</v>
      </c>
      <c r="AW7" s="63"/>
      <c r="AX7" s="63">
        <v>27.49</v>
      </c>
      <c r="AY7" s="63">
        <v>0</v>
      </c>
      <c r="AZ7" s="63">
        <v>0</v>
      </c>
      <c r="BA7" s="63">
        <v>11495.32</v>
      </c>
      <c r="BB7" s="64">
        <f t="shared" si="17"/>
        <v>18259.999999998399</v>
      </c>
      <c r="BC7" s="55">
        <f t="shared" si="25"/>
        <v>0</v>
      </c>
      <c r="BD7" s="60">
        <f t="shared" si="26"/>
        <v>0</v>
      </c>
      <c r="BE7" s="65">
        <f t="shared" si="27"/>
        <v>0</v>
      </c>
      <c r="BF7" s="66">
        <f t="shared" si="28"/>
        <v>11522.81</v>
      </c>
      <c r="BG7" s="72">
        <f t="shared" si="29"/>
        <v>4.1499999999996362</v>
      </c>
      <c r="BH7" s="68">
        <f t="shared" si="18"/>
        <v>18259.999999998399</v>
      </c>
      <c r="BI7" s="119">
        <v>18259.999999998399</v>
      </c>
      <c r="BJ7" s="69">
        <v>15833.999999998399</v>
      </c>
      <c r="BK7" s="108">
        <v>22138.2</v>
      </c>
      <c r="BL7" s="108">
        <f t="shared" si="19"/>
        <v>588.99999999994179</v>
      </c>
      <c r="BM7" s="70">
        <v>18848.999999998341</v>
      </c>
      <c r="BN7" s="56">
        <v>18000</v>
      </c>
      <c r="BO7" s="56">
        <f t="shared" si="20"/>
        <v>-848.99999999834108</v>
      </c>
      <c r="BP7" s="109">
        <v>2529754</v>
      </c>
      <c r="BQ7" s="120">
        <v>18</v>
      </c>
      <c r="BR7" s="109">
        <v>3484689</v>
      </c>
      <c r="BS7" s="120">
        <v>2408</v>
      </c>
      <c r="BT7" s="71">
        <f t="shared" si="21"/>
        <v>2426</v>
      </c>
      <c r="BU7" s="117">
        <v>171</v>
      </c>
      <c r="BV7" s="117">
        <v>316</v>
      </c>
    </row>
    <row r="8" spans="1:74" ht="25" customHeight="1" x14ac:dyDescent="0.4">
      <c r="A8" s="52" t="s">
        <v>75</v>
      </c>
      <c r="B8" s="53"/>
      <c r="C8" s="99">
        <v>45238</v>
      </c>
      <c r="D8" s="99">
        <v>201507</v>
      </c>
      <c r="E8" s="121">
        <f t="shared" si="0"/>
        <v>105</v>
      </c>
      <c r="F8" s="121">
        <f t="shared" si="1"/>
        <v>88</v>
      </c>
      <c r="G8" s="99"/>
      <c r="H8" s="99">
        <v>99614</v>
      </c>
      <c r="I8" s="100">
        <v>69606</v>
      </c>
      <c r="J8" s="122">
        <f t="shared" si="2"/>
        <v>24</v>
      </c>
      <c r="K8" s="106">
        <v>12703</v>
      </c>
      <c r="L8" s="123">
        <f t="shared" si="22"/>
        <v>7</v>
      </c>
      <c r="M8" s="130">
        <v>9415</v>
      </c>
      <c r="N8" s="124">
        <f t="shared" si="23"/>
        <v>11</v>
      </c>
      <c r="O8" s="125">
        <v>17831</v>
      </c>
      <c r="P8" s="124">
        <f t="shared" si="30"/>
        <v>33</v>
      </c>
      <c r="Q8" s="126">
        <v>55462</v>
      </c>
      <c r="R8" s="102">
        <f t="shared" si="3"/>
        <v>2</v>
      </c>
      <c r="S8" s="127">
        <v>24901</v>
      </c>
      <c r="T8" s="128">
        <f t="shared" si="4"/>
        <v>2</v>
      </c>
      <c r="U8" s="101">
        <v>8750</v>
      </c>
      <c r="V8" s="101">
        <v>307</v>
      </c>
      <c r="W8" s="102">
        <f t="shared" si="5"/>
        <v>6</v>
      </c>
      <c r="X8" s="127">
        <v>24053</v>
      </c>
      <c r="Y8" s="128">
        <f t="shared" si="6"/>
        <v>17</v>
      </c>
      <c r="Z8" s="129">
        <v>7340</v>
      </c>
      <c r="AA8" s="129">
        <v>6654</v>
      </c>
      <c r="AB8" s="102">
        <f t="shared" si="7"/>
        <v>3</v>
      </c>
      <c r="AC8" s="127">
        <v>1806</v>
      </c>
      <c r="AD8" s="103">
        <v>1244</v>
      </c>
      <c r="AE8" s="128">
        <f t="shared" si="8"/>
        <v>2</v>
      </c>
      <c r="AF8" s="104">
        <f t="shared" si="9"/>
        <v>10</v>
      </c>
      <c r="AG8" s="105">
        <f t="shared" si="10"/>
        <v>144852</v>
      </c>
      <c r="AH8" s="54">
        <v>181</v>
      </c>
      <c r="AI8" s="56">
        <v>165</v>
      </c>
      <c r="AJ8" s="56">
        <f t="shared" si="11"/>
        <v>-16</v>
      </c>
      <c r="AK8" s="57">
        <v>1106029</v>
      </c>
      <c r="AL8" s="58">
        <f t="shared" si="12"/>
        <v>1570</v>
      </c>
      <c r="AM8" s="57">
        <v>46169</v>
      </c>
      <c r="AN8" s="59">
        <f t="shared" si="13"/>
        <v>42</v>
      </c>
      <c r="AO8" s="107">
        <v>50698</v>
      </c>
      <c r="AP8" s="61">
        <f t="shared" si="14"/>
        <v>0</v>
      </c>
      <c r="AQ8" s="60">
        <v>23930</v>
      </c>
      <c r="AR8" s="61">
        <f t="shared" si="15"/>
        <v>521</v>
      </c>
      <c r="AS8" s="60">
        <f t="shared" si="24"/>
        <v>1153768</v>
      </c>
      <c r="AT8" s="62">
        <v>1609</v>
      </c>
      <c r="AU8" s="56">
        <v>1400</v>
      </c>
      <c r="AV8" s="56">
        <f t="shared" si="16"/>
        <v>-209</v>
      </c>
      <c r="AW8" s="63"/>
      <c r="AX8" s="63">
        <v>27.49</v>
      </c>
      <c r="AY8" s="63">
        <v>0</v>
      </c>
      <c r="AZ8" s="63">
        <v>0</v>
      </c>
      <c r="BA8" s="64">
        <v>11499.42</v>
      </c>
      <c r="BB8" s="64">
        <f t="shared" si="17"/>
        <v>18040.000000001601</v>
      </c>
      <c r="BC8" s="55">
        <f t="shared" si="25"/>
        <v>0</v>
      </c>
      <c r="BD8" s="60">
        <f t="shared" si="26"/>
        <v>0</v>
      </c>
      <c r="BE8" s="65">
        <f t="shared" si="27"/>
        <v>0</v>
      </c>
      <c r="BF8" s="66">
        <f t="shared" si="28"/>
        <v>11526.91</v>
      </c>
      <c r="BG8" s="72">
        <f t="shared" si="29"/>
        <v>4.1000000000003638</v>
      </c>
      <c r="BH8" s="68">
        <f t="shared" si="18"/>
        <v>18040.000000001601</v>
      </c>
      <c r="BI8" s="119">
        <v>18040.000000001601</v>
      </c>
      <c r="BJ8" s="69">
        <v>15805.000000001601</v>
      </c>
      <c r="BK8" s="108">
        <v>22143.31</v>
      </c>
      <c r="BL8" s="108">
        <f t="shared" si="19"/>
        <v>511.00000000005821</v>
      </c>
      <c r="BM8" s="70">
        <v>18551.000000001659</v>
      </c>
      <c r="BN8" s="56">
        <v>18000</v>
      </c>
      <c r="BO8" s="56">
        <f t="shared" si="20"/>
        <v>-551.00000000165892</v>
      </c>
      <c r="BP8" s="109">
        <v>2529774</v>
      </c>
      <c r="BQ8" s="120">
        <v>20</v>
      </c>
      <c r="BR8" s="109">
        <v>3486904</v>
      </c>
      <c r="BS8" s="120">
        <v>2215</v>
      </c>
      <c r="BT8" s="71">
        <f t="shared" si="21"/>
        <v>2235</v>
      </c>
      <c r="BU8" s="117">
        <v>170</v>
      </c>
      <c r="BV8" s="117">
        <v>315</v>
      </c>
    </row>
    <row r="9" spans="1:74" ht="25" customHeight="1" x14ac:dyDescent="0.4">
      <c r="A9" s="52" t="s">
        <v>76</v>
      </c>
      <c r="B9" s="53"/>
      <c r="C9" s="99">
        <v>45323</v>
      </c>
      <c r="D9" s="99">
        <v>201610</v>
      </c>
      <c r="E9" s="121">
        <f t="shared" si="0"/>
        <v>103</v>
      </c>
      <c r="F9" s="121">
        <f t="shared" si="1"/>
        <v>86</v>
      </c>
      <c r="G9" s="99"/>
      <c r="H9" s="99">
        <v>99705</v>
      </c>
      <c r="I9" s="100">
        <v>69632</v>
      </c>
      <c r="J9" s="122">
        <f t="shared" si="2"/>
        <v>26</v>
      </c>
      <c r="K9" s="106">
        <v>12709</v>
      </c>
      <c r="L9" s="123">
        <f t="shared" si="22"/>
        <v>6</v>
      </c>
      <c r="M9" s="130">
        <v>9423</v>
      </c>
      <c r="N9" s="124">
        <f t="shared" si="23"/>
        <v>8</v>
      </c>
      <c r="O9" s="125">
        <v>17864</v>
      </c>
      <c r="P9" s="124">
        <f t="shared" si="30"/>
        <v>33</v>
      </c>
      <c r="Q9" s="126">
        <v>55464</v>
      </c>
      <c r="R9" s="102">
        <f t="shared" si="3"/>
        <v>2</v>
      </c>
      <c r="S9" s="127">
        <v>24902</v>
      </c>
      <c r="T9" s="128">
        <f t="shared" si="4"/>
        <v>1</v>
      </c>
      <c r="U9" s="101">
        <v>8750</v>
      </c>
      <c r="V9" s="101">
        <v>314</v>
      </c>
      <c r="W9" s="102">
        <f t="shared" si="5"/>
        <v>7</v>
      </c>
      <c r="X9" s="127">
        <v>24070</v>
      </c>
      <c r="Y9" s="128">
        <f t="shared" si="6"/>
        <v>17</v>
      </c>
      <c r="Z9" s="129">
        <v>7342</v>
      </c>
      <c r="AA9" s="129">
        <v>6655</v>
      </c>
      <c r="AB9" s="102">
        <f t="shared" si="7"/>
        <v>3</v>
      </c>
      <c r="AC9" s="127">
        <v>1807</v>
      </c>
      <c r="AD9" s="103">
        <v>1245</v>
      </c>
      <c r="AE9" s="128">
        <f t="shared" si="8"/>
        <v>2</v>
      </c>
      <c r="AF9" s="104">
        <f t="shared" si="9"/>
        <v>10</v>
      </c>
      <c r="AG9" s="105">
        <f t="shared" si="10"/>
        <v>145028</v>
      </c>
      <c r="AH9" s="54">
        <v>176</v>
      </c>
      <c r="AI9" s="56">
        <v>165</v>
      </c>
      <c r="AJ9" s="56">
        <f t="shared" si="11"/>
        <v>-11</v>
      </c>
      <c r="AK9" s="57">
        <v>1107926</v>
      </c>
      <c r="AL9" s="58">
        <f t="shared" si="12"/>
        <v>1897</v>
      </c>
      <c r="AM9" s="57">
        <v>46220</v>
      </c>
      <c r="AN9" s="59">
        <f t="shared" si="13"/>
        <v>51</v>
      </c>
      <c r="AO9" s="107">
        <v>50698</v>
      </c>
      <c r="AP9" s="61">
        <f t="shared" si="14"/>
        <v>0</v>
      </c>
      <c r="AQ9" s="60">
        <v>24449</v>
      </c>
      <c r="AR9" s="61">
        <f t="shared" si="15"/>
        <v>519</v>
      </c>
      <c r="AS9" s="60">
        <f t="shared" si="24"/>
        <v>1156043</v>
      </c>
      <c r="AT9" s="62">
        <v>1939</v>
      </c>
      <c r="AU9" s="56">
        <v>1400</v>
      </c>
      <c r="AV9" s="56">
        <f t="shared" si="16"/>
        <v>-539</v>
      </c>
      <c r="AW9" s="63"/>
      <c r="AX9" s="63">
        <v>27.49</v>
      </c>
      <c r="AY9" s="63">
        <v>0</v>
      </c>
      <c r="AZ9" s="63">
        <v>0</v>
      </c>
      <c r="BA9" s="63">
        <v>11503.55</v>
      </c>
      <c r="BB9" s="64">
        <f t="shared" si="17"/>
        <v>18171.999999996478</v>
      </c>
      <c r="BC9" s="55">
        <f t="shared" si="25"/>
        <v>0</v>
      </c>
      <c r="BD9" s="60">
        <f t="shared" si="26"/>
        <v>0</v>
      </c>
      <c r="BE9" s="65">
        <f t="shared" si="27"/>
        <v>0</v>
      </c>
      <c r="BF9" s="66">
        <f t="shared" si="28"/>
        <v>11531.039999999999</v>
      </c>
      <c r="BG9" s="72">
        <f t="shared" si="29"/>
        <v>4.1299999999991996</v>
      </c>
      <c r="BH9" s="68">
        <f t="shared" si="18"/>
        <v>18171.999999996478</v>
      </c>
      <c r="BI9" s="119">
        <v>18171.999999996478</v>
      </c>
      <c r="BJ9" s="69">
        <v>15931.999999996478</v>
      </c>
      <c r="BK9" s="108">
        <v>22148.39</v>
      </c>
      <c r="BL9" s="108">
        <f t="shared" si="19"/>
        <v>507.99999999981083</v>
      </c>
      <c r="BM9" s="70">
        <v>18679.999999996289</v>
      </c>
      <c r="BN9" s="56">
        <v>18000</v>
      </c>
      <c r="BO9" s="56">
        <f t="shared" si="20"/>
        <v>-679.99999999628926</v>
      </c>
      <c r="BP9" s="109">
        <v>2529793</v>
      </c>
      <c r="BQ9" s="120">
        <v>19</v>
      </c>
      <c r="BR9" s="109">
        <v>3489125</v>
      </c>
      <c r="BS9" s="120">
        <v>2221</v>
      </c>
      <c r="BT9" s="71">
        <f t="shared" si="21"/>
        <v>2240</v>
      </c>
      <c r="BU9" s="117">
        <v>167</v>
      </c>
      <c r="BV9" s="117">
        <v>841</v>
      </c>
    </row>
    <row r="10" spans="1:74" ht="25" customHeight="1" x14ac:dyDescent="0.4">
      <c r="A10" s="52" t="s">
        <v>77</v>
      </c>
      <c r="B10" s="53"/>
      <c r="C10" s="99">
        <v>45411</v>
      </c>
      <c r="D10" s="99">
        <v>201715</v>
      </c>
      <c r="E10" s="121">
        <f t="shared" si="0"/>
        <v>105</v>
      </c>
      <c r="F10" s="121">
        <f t="shared" si="1"/>
        <v>88</v>
      </c>
      <c r="G10" s="99"/>
      <c r="H10" s="99">
        <v>99805</v>
      </c>
      <c r="I10" s="100">
        <v>69659</v>
      </c>
      <c r="J10" s="122">
        <f t="shared" si="2"/>
        <v>27</v>
      </c>
      <c r="K10" s="106">
        <v>12717</v>
      </c>
      <c r="L10" s="123">
        <f t="shared" si="22"/>
        <v>8</v>
      </c>
      <c r="M10" s="130">
        <v>9433</v>
      </c>
      <c r="N10" s="124">
        <f t="shared" si="23"/>
        <v>10</v>
      </c>
      <c r="O10" s="125">
        <v>17895</v>
      </c>
      <c r="P10" s="124">
        <f t="shared" si="30"/>
        <v>31</v>
      </c>
      <c r="Q10" s="126">
        <v>55466</v>
      </c>
      <c r="R10" s="102">
        <f t="shared" si="3"/>
        <v>2</v>
      </c>
      <c r="S10" s="127">
        <v>24903</v>
      </c>
      <c r="T10" s="128">
        <f t="shared" si="4"/>
        <v>1</v>
      </c>
      <c r="U10" s="101">
        <v>8750</v>
      </c>
      <c r="V10" s="101">
        <v>321</v>
      </c>
      <c r="W10" s="102">
        <f t="shared" si="5"/>
        <v>7</v>
      </c>
      <c r="X10" s="127">
        <v>24087</v>
      </c>
      <c r="Y10" s="128">
        <f t="shared" si="6"/>
        <v>17</v>
      </c>
      <c r="Z10" s="129">
        <v>7345</v>
      </c>
      <c r="AA10" s="129">
        <v>6656</v>
      </c>
      <c r="AB10" s="102">
        <f t="shared" si="7"/>
        <v>4</v>
      </c>
      <c r="AC10" s="127">
        <v>1807</v>
      </c>
      <c r="AD10" s="103">
        <v>1246</v>
      </c>
      <c r="AE10" s="128">
        <f t="shared" si="8"/>
        <v>1</v>
      </c>
      <c r="AF10" s="104">
        <f t="shared" si="9"/>
        <v>10</v>
      </c>
      <c r="AG10" s="105">
        <f t="shared" si="10"/>
        <v>145216</v>
      </c>
      <c r="AH10" s="54">
        <v>188</v>
      </c>
      <c r="AI10" s="56">
        <v>165</v>
      </c>
      <c r="AJ10" s="56">
        <f t="shared" si="11"/>
        <v>-23</v>
      </c>
      <c r="AK10" s="57">
        <v>1110453</v>
      </c>
      <c r="AL10" s="58">
        <f t="shared" si="12"/>
        <v>2527</v>
      </c>
      <c r="AM10" s="57">
        <v>46259</v>
      </c>
      <c r="AN10" s="59">
        <f t="shared" si="13"/>
        <v>39</v>
      </c>
      <c r="AO10" s="107">
        <v>50698</v>
      </c>
      <c r="AP10" s="61">
        <f t="shared" si="14"/>
        <v>0</v>
      </c>
      <c r="AQ10" s="60">
        <v>24969</v>
      </c>
      <c r="AR10" s="61">
        <f t="shared" si="15"/>
        <v>520</v>
      </c>
      <c r="AS10" s="60">
        <f t="shared" si="24"/>
        <v>1159239</v>
      </c>
      <c r="AT10" s="62">
        <v>2578</v>
      </c>
      <c r="AU10" s="56">
        <v>1400</v>
      </c>
      <c r="AV10" s="56">
        <f t="shared" si="16"/>
        <v>-1178</v>
      </c>
      <c r="AW10" s="63"/>
      <c r="AX10" s="63">
        <v>27.49</v>
      </c>
      <c r="AY10" s="63">
        <v>0</v>
      </c>
      <c r="AZ10" s="63">
        <v>0</v>
      </c>
      <c r="BA10" s="64">
        <v>11507.9</v>
      </c>
      <c r="BB10" s="64">
        <f t="shared" si="17"/>
        <v>19140.000000001601</v>
      </c>
      <c r="BC10" s="55">
        <f t="shared" si="25"/>
        <v>0</v>
      </c>
      <c r="BD10" s="60">
        <f t="shared" si="26"/>
        <v>0</v>
      </c>
      <c r="BE10" s="65">
        <f t="shared" si="27"/>
        <v>0</v>
      </c>
      <c r="BF10" s="66">
        <f t="shared" si="28"/>
        <v>11535.39</v>
      </c>
      <c r="BG10" s="72">
        <f t="shared" si="29"/>
        <v>4.3500000000003638</v>
      </c>
      <c r="BH10" s="68">
        <f t="shared" si="18"/>
        <v>19140.000000001601</v>
      </c>
      <c r="BI10" s="119">
        <v>19140.000000001601</v>
      </c>
      <c r="BJ10" s="69">
        <v>16866.000000001601</v>
      </c>
      <c r="BK10" s="108">
        <v>22153.41</v>
      </c>
      <c r="BL10" s="108">
        <f t="shared" si="19"/>
        <v>502.00000000004366</v>
      </c>
      <c r="BM10" s="70">
        <v>19642.000000001644</v>
      </c>
      <c r="BN10" s="56">
        <v>18000</v>
      </c>
      <c r="BO10" s="56">
        <f t="shared" si="20"/>
        <v>-1642.0000000016444</v>
      </c>
      <c r="BP10" s="109">
        <v>2529812</v>
      </c>
      <c r="BQ10" s="120">
        <v>19</v>
      </c>
      <c r="BR10" s="109">
        <v>3491380</v>
      </c>
      <c r="BS10" s="120">
        <v>2255</v>
      </c>
      <c r="BT10" s="71">
        <f t="shared" si="21"/>
        <v>2274</v>
      </c>
      <c r="BU10" s="117">
        <v>174</v>
      </c>
      <c r="BV10" s="117">
        <v>302</v>
      </c>
    </row>
    <row r="11" spans="1:74" ht="25" customHeight="1" x14ac:dyDescent="0.4">
      <c r="A11" s="52" t="s">
        <v>78</v>
      </c>
      <c r="B11" s="53"/>
      <c r="C11" s="99">
        <v>45480</v>
      </c>
      <c r="D11" s="99">
        <v>201792</v>
      </c>
      <c r="E11" s="121">
        <f t="shared" si="0"/>
        <v>77</v>
      </c>
      <c r="F11" s="121">
        <f t="shared" si="1"/>
        <v>58</v>
      </c>
      <c r="G11" s="99"/>
      <c r="H11" s="99">
        <v>99892</v>
      </c>
      <c r="I11" s="100">
        <v>69686</v>
      </c>
      <c r="J11" s="122">
        <f t="shared" si="2"/>
        <v>27</v>
      </c>
      <c r="K11" s="106">
        <v>12723</v>
      </c>
      <c r="L11" s="123">
        <f t="shared" si="22"/>
        <v>6</v>
      </c>
      <c r="M11" s="130">
        <v>9442</v>
      </c>
      <c r="N11" s="124">
        <f t="shared" si="23"/>
        <v>9</v>
      </c>
      <c r="O11" s="125">
        <v>17911</v>
      </c>
      <c r="P11" s="124">
        <f t="shared" si="30"/>
        <v>16</v>
      </c>
      <c r="Q11" s="126">
        <v>55467</v>
      </c>
      <c r="R11" s="102">
        <f t="shared" si="3"/>
        <v>1</v>
      </c>
      <c r="S11" s="127">
        <v>24904</v>
      </c>
      <c r="T11" s="128">
        <f t="shared" si="4"/>
        <v>1</v>
      </c>
      <c r="U11" s="101">
        <v>8750</v>
      </c>
      <c r="V11" s="101">
        <v>328</v>
      </c>
      <c r="W11" s="102">
        <f t="shared" si="5"/>
        <v>7</v>
      </c>
      <c r="X11" s="127">
        <v>24106</v>
      </c>
      <c r="Y11" s="128">
        <f t="shared" si="6"/>
        <v>19</v>
      </c>
      <c r="Z11" s="129">
        <v>7347</v>
      </c>
      <c r="AA11" s="129">
        <v>6657</v>
      </c>
      <c r="AB11" s="102">
        <f t="shared" si="7"/>
        <v>3</v>
      </c>
      <c r="AC11" s="127">
        <v>1807</v>
      </c>
      <c r="AD11" s="103">
        <v>1246</v>
      </c>
      <c r="AE11" s="128">
        <f t="shared" si="8"/>
        <v>0</v>
      </c>
      <c r="AF11" s="104">
        <f t="shared" si="9"/>
        <v>9</v>
      </c>
      <c r="AG11" s="105">
        <f t="shared" si="10"/>
        <v>145372</v>
      </c>
      <c r="AH11" s="54">
        <v>156</v>
      </c>
      <c r="AI11" s="56">
        <v>165</v>
      </c>
      <c r="AJ11" s="56">
        <f t="shared" si="11"/>
        <v>9</v>
      </c>
      <c r="AK11" s="57">
        <v>1112184</v>
      </c>
      <c r="AL11" s="58">
        <f t="shared" si="12"/>
        <v>1731</v>
      </c>
      <c r="AM11" s="57">
        <v>46294</v>
      </c>
      <c r="AN11" s="59">
        <f t="shared" si="13"/>
        <v>35</v>
      </c>
      <c r="AO11" s="107">
        <v>50698</v>
      </c>
      <c r="AP11" s="61">
        <f t="shared" si="14"/>
        <v>0</v>
      </c>
      <c r="AQ11" s="60">
        <v>25596</v>
      </c>
      <c r="AR11" s="61">
        <f t="shared" si="15"/>
        <v>627</v>
      </c>
      <c r="AS11" s="60">
        <f t="shared" si="24"/>
        <v>1160209</v>
      </c>
      <c r="AT11" s="62">
        <v>1770</v>
      </c>
      <c r="AU11" s="56">
        <v>1400</v>
      </c>
      <c r="AV11" s="56">
        <f t="shared" si="16"/>
        <v>-370</v>
      </c>
      <c r="AW11" s="63"/>
      <c r="AX11" s="63">
        <v>27.49</v>
      </c>
      <c r="AY11" s="63">
        <v>0</v>
      </c>
      <c r="AZ11" s="63">
        <v>0</v>
      </c>
      <c r="BA11" s="64">
        <v>11511.87</v>
      </c>
      <c r="BB11" s="64">
        <f t="shared" si="17"/>
        <v>17468.000000005122</v>
      </c>
      <c r="BC11" s="55">
        <f t="shared" si="25"/>
        <v>0</v>
      </c>
      <c r="BD11" s="60">
        <f t="shared" si="26"/>
        <v>0</v>
      </c>
      <c r="BE11" s="65">
        <f t="shared" si="27"/>
        <v>0</v>
      </c>
      <c r="BF11" s="66">
        <f t="shared" si="28"/>
        <v>11539.36</v>
      </c>
      <c r="BG11" s="72">
        <f t="shared" si="29"/>
        <v>3.9700000000011642</v>
      </c>
      <c r="BH11" s="68">
        <f t="shared" si="18"/>
        <v>17468.000000005122</v>
      </c>
      <c r="BI11" s="119">
        <v>17468.000000005122</v>
      </c>
      <c r="BJ11" s="69">
        <v>15997.000000005122</v>
      </c>
      <c r="BK11" s="108">
        <v>22161.42</v>
      </c>
      <c r="BL11" s="108">
        <f t="shared" si="19"/>
        <v>800.99999999983993</v>
      </c>
      <c r="BM11" s="70">
        <v>18269.000000004962</v>
      </c>
      <c r="BN11" s="56">
        <v>18000</v>
      </c>
      <c r="BO11" s="56">
        <f t="shared" si="20"/>
        <v>-269.0000000049622</v>
      </c>
      <c r="BP11" s="109">
        <v>2529831</v>
      </c>
      <c r="BQ11" s="120">
        <v>19</v>
      </c>
      <c r="BR11" s="109">
        <v>3492832</v>
      </c>
      <c r="BS11" s="120">
        <v>1452</v>
      </c>
      <c r="BT11" s="71">
        <f t="shared" si="21"/>
        <v>1471</v>
      </c>
      <c r="BU11" s="117">
        <v>113</v>
      </c>
      <c r="BV11" s="117">
        <v>163</v>
      </c>
    </row>
    <row r="12" spans="1:74" ht="25" customHeight="1" x14ac:dyDescent="0.4">
      <c r="A12" s="52" t="s">
        <v>79</v>
      </c>
      <c r="B12" s="53"/>
      <c r="C12" s="99">
        <v>45548</v>
      </c>
      <c r="D12" s="99">
        <v>201873</v>
      </c>
      <c r="E12" s="121">
        <f t="shared" si="0"/>
        <v>81</v>
      </c>
      <c r="F12" s="121">
        <f t="shared" si="1"/>
        <v>61</v>
      </c>
      <c r="G12" s="99"/>
      <c r="H12" s="99">
        <v>99985</v>
      </c>
      <c r="I12" s="100">
        <v>69713</v>
      </c>
      <c r="J12" s="122">
        <f t="shared" si="2"/>
        <v>27</v>
      </c>
      <c r="K12" s="106">
        <v>12729</v>
      </c>
      <c r="L12" s="123">
        <f t="shared" si="22"/>
        <v>6</v>
      </c>
      <c r="M12" s="130">
        <v>9450</v>
      </c>
      <c r="N12" s="124">
        <f t="shared" si="23"/>
        <v>8</v>
      </c>
      <c r="O12" s="125">
        <v>17927</v>
      </c>
      <c r="P12" s="124">
        <f t="shared" si="30"/>
        <v>16</v>
      </c>
      <c r="Q12" s="126">
        <v>55468</v>
      </c>
      <c r="R12" s="102">
        <f t="shared" si="3"/>
        <v>1</v>
      </c>
      <c r="S12" s="127">
        <v>24906</v>
      </c>
      <c r="T12" s="128">
        <f t="shared" si="4"/>
        <v>2</v>
      </c>
      <c r="U12" s="101">
        <v>8750</v>
      </c>
      <c r="V12" s="101">
        <v>334</v>
      </c>
      <c r="W12" s="102">
        <f t="shared" si="5"/>
        <v>6</v>
      </c>
      <c r="X12" s="127">
        <v>24126</v>
      </c>
      <c r="Y12" s="128">
        <f t="shared" si="6"/>
        <v>20</v>
      </c>
      <c r="Z12" s="129">
        <v>7350</v>
      </c>
      <c r="AA12" s="129">
        <v>6658</v>
      </c>
      <c r="AB12" s="102">
        <f t="shared" si="7"/>
        <v>4</v>
      </c>
      <c r="AC12" s="127">
        <v>1809</v>
      </c>
      <c r="AD12" s="103">
        <v>1247</v>
      </c>
      <c r="AE12" s="128">
        <f t="shared" si="8"/>
        <v>3</v>
      </c>
      <c r="AF12" s="104">
        <f t="shared" si="9"/>
        <v>9</v>
      </c>
      <c r="AG12" s="105">
        <f t="shared" si="10"/>
        <v>145533</v>
      </c>
      <c r="AH12" s="54">
        <v>161</v>
      </c>
      <c r="AI12" s="56">
        <v>166</v>
      </c>
      <c r="AJ12" s="56">
        <f t="shared" ref="AJ12:AJ32" si="31">AI12-AH12</f>
        <v>5</v>
      </c>
      <c r="AK12" s="57">
        <v>1113550</v>
      </c>
      <c r="AL12" s="58">
        <f t="shared" si="12"/>
        <v>1366</v>
      </c>
      <c r="AM12" s="57">
        <v>46340</v>
      </c>
      <c r="AN12" s="59">
        <f t="shared" si="13"/>
        <v>46</v>
      </c>
      <c r="AO12" s="107">
        <v>50698</v>
      </c>
      <c r="AP12" s="61">
        <f t="shared" si="14"/>
        <v>0</v>
      </c>
      <c r="AQ12" s="60">
        <v>25969</v>
      </c>
      <c r="AR12" s="61">
        <f t="shared" si="15"/>
        <v>373</v>
      </c>
      <c r="AS12" s="60">
        <f t="shared" si="24"/>
        <v>1161256</v>
      </c>
      <c r="AT12" s="62">
        <v>1401</v>
      </c>
      <c r="AU12" s="56">
        <v>1401</v>
      </c>
      <c r="AV12" s="56">
        <f t="shared" ref="AV12:AV35" si="32">AU12-AT12</f>
        <v>0</v>
      </c>
      <c r="AW12" s="63"/>
      <c r="AX12" s="63">
        <v>27.49</v>
      </c>
      <c r="AY12" s="63"/>
      <c r="AZ12" s="63"/>
      <c r="BA12" s="64">
        <v>11515.76</v>
      </c>
      <c r="BB12" s="64">
        <f t="shared" ref="BB12:BB35" si="33">(BA12-BA11)*4400</f>
        <v>17115.999999997439</v>
      </c>
      <c r="BC12" s="55">
        <f t="shared" ref="BC12:BC35" si="34">(AW12+AZ12)</f>
        <v>0</v>
      </c>
      <c r="BD12" s="60">
        <f t="shared" ref="BD12:BD35" si="35">BC12-AW12</f>
        <v>0</v>
      </c>
      <c r="BE12" s="65">
        <f t="shared" ref="BE12:BE35" si="36">BD12*4400</f>
        <v>0</v>
      </c>
      <c r="BF12" s="66">
        <f t="shared" ref="BF12:BF35" si="37">AX12+BA12</f>
        <v>11543.25</v>
      </c>
      <c r="BG12" s="72">
        <f t="shared" ref="BG12:BG35" si="38">BF12-BF11</f>
        <v>3.8899999999994179</v>
      </c>
      <c r="BH12" s="68">
        <f t="shared" ref="BH12:BH35" si="39">BG12*4400</f>
        <v>17115.999999997439</v>
      </c>
      <c r="BI12" s="119">
        <v>17115.999999997439</v>
      </c>
      <c r="BJ12" s="69">
        <v>15298.999999997439</v>
      </c>
      <c r="BK12" s="108">
        <v>22167.54</v>
      </c>
      <c r="BL12" s="108">
        <f t="shared" si="19"/>
        <v>612.00000000026193</v>
      </c>
      <c r="BM12" s="70">
        <v>17727.999999997701</v>
      </c>
      <c r="BN12" s="56">
        <v>18001</v>
      </c>
      <c r="BO12" s="56">
        <f t="shared" ref="BO12:BO35" si="40">BN12-BM12</f>
        <v>273.0000000022992</v>
      </c>
      <c r="BP12" s="109">
        <v>2529850</v>
      </c>
      <c r="BQ12" s="120">
        <v>19</v>
      </c>
      <c r="BR12" s="109">
        <v>3494630</v>
      </c>
      <c r="BS12" s="120">
        <v>1798</v>
      </c>
      <c r="BT12" s="71">
        <f t="shared" si="21"/>
        <v>1817</v>
      </c>
      <c r="BU12" s="117">
        <v>174</v>
      </c>
      <c r="BV12" s="117">
        <v>249</v>
      </c>
    </row>
    <row r="13" spans="1:74" ht="25" customHeight="1" x14ac:dyDescent="0.4">
      <c r="A13" s="52" t="s">
        <v>80</v>
      </c>
      <c r="B13" s="53"/>
      <c r="C13" s="99">
        <v>45616</v>
      </c>
      <c r="D13" s="99">
        <v>201955</v>
      </c>
      <c r="E13" s="121">
        <f t="shared" si="0"/>
        <v>82</v>
      </c>
      <c r="F13" s="121">
        <f t="shared" si="1"/>
        <v>68</v>
      </c>
      <c r="G13" s="99"/>
      <c r="H13" s="99">
        <v>100076</v>
      </c>
      <c r="I13" s="100">
        <v>69737</v>
      </c>
      <c r="J13" s="122">
        <f t="shared" si="2"/>
        <v>24</v>
      </c>
      <c r="K13" s="106">
        <v>12735</v>
      </c>
      <c r="L13" s="123">
        <f t="shared" si="22"/>
        <v>6</v>
      </c>
      <c r="M13" s="130">
        <v>9460</v>
      </c>
      <c r="N13" s="124">
        <f t="shared" si="23"/>
        <v>10</v>
      </c>
      <c r="O13" s="125">
        <v>17945</v>
      </c>
      <c r="P13" s="124">
        <f t="shared" si="30"/>
        <v>18</v>
      </c>
      <c r="Q13" s="126">
        <v>55470</v>
      </c>
      <c r="R13" s="102">
        <f t="shared" si="3"/>
        <v>2</v>
      </c>
      <c r="S13" s="127">
        <v>24907</v>
      </c>
      <c r="T13" s="128">
        <f t="shared" si="4"/>
        <v>1</v>
      </c>
      <c r="U13" s="101">
        <v>8750</v>
      </c>
      <c r="V13" s="101">
        <v>341</v>
      </c>
      <c r="W13" s="102">
        <f t="shared" si="5"/>
        <v>7</v>
      </c>
      <c r="X13" s="127">
        <v>24140</v>
      </c>
      <c r="Y13" s="128">
        <f t="shared" si="6"/>
        <v>14</v>
      </c>
      <c r="Z13" s="129">
        <v>7352</v>
      </c>
      <c r="AA13" s="129">
        <v>6659</v>
      </c>
      <c r="AB13" s="102">
        <f t="shared" si="7"/>
        <v>3</v>
      </c>
      <c r="AC13" s="127">
        <v>1809</v>
      </c>
      <c r="AD13" s="103">
        <v>1248</v>
      </c>
      <c r="AE13" s="128">
        <f t="shared" si="8"/>
        <v>1</v>
      </c>
      <c r="AF13" s="104">
        <f t="shared" si="9"/>
        <v>10</v>
      </c>
      <c r="AG13" s="105">
        <f t="shared" si="10"/>
        <v>145692</v>
      </c>
      <c r="AH13" s="54">
        <v>159</v>
      </c>
      <c r="AI13" s="56">
        <v>167</v>
      </c>
      <c r="AJ13" s="56">
        <f t="shared" si="31"/>
        <v>8</v>
      </c>
      <c r="AK13" s="57">
        <v>1114995</v>
      </c>
      <c r="AL13" s="58">
        <f t="shared" si="12"/>
        <v>1445</v>
      </c>
      <c r="AM13" s="57">
        <v>46376</v>
      </c>
      <c r="AN13" s="59">
        <f t="shared" si="13"/>
        <v>36</v>
      </c>
      <c r="AO13" s="107">
        <v>50698</v>
      </c>
      <c r="AP13" s="61">
        <f t="shared" si="14"/>
        <v>0</v>
      </c>
      <c r="AQ13" s="60">
        <v>26501</v>
      </c>
      <c r="AR13" s="61">
        <f t="shared" si="15"/>
        <v>532</v>
      </c>
      <c r="AS13" s="60">
        <f t="shared" si="24"/>
        <v>1162816</v>
      </c>
      <c r="AT13" s="62">
        <v>1491</v>
      </c>
      <c r="AU13" s="56">
        <v>1402</v>
      </c>
      <c r="AV13" s="56">
        <f t="shared" si="32"/>
        <v>-89</v>
      </c>
      <c r="AW13" s="63"/>
      <c r="AX13" s="63">
        <v>27.49</v>
      </c>
      <c r="AY13" s="63"/>
      <c r="AZ13" s="63"/>
      <c r="BA13" s="64">
        <v>11519.88</v>
      </c>
      <c r="BB13" s="64">
        <f t="shared" si="33"/>
        <v>18127.999999995518</v>
      </c>
      <c r="BC13" s="55">
        <f t="shared" si="34"/>
        <v>0</v>
      </c>
      <c r="BD13" s="60">
        <f t="shared" si="35"/>
        <v>0</v>
      </c>
      <c r="BE13" s="65">
        <f t="shared" si="36"/>
        <v>0</v>
      </c>
      <c r="BF13" s="66">
        <f t="shared" si="37"/>
        <v>11547.369999999999</v>
      </c>
      <c r="BG13" s="72">
        <f t="shared" si="38"/>
        <v>4.1199999999989814</v>
      </c>
      <c r="BH13" s="68">
        <f t="shared" si="39"/>
        <v>18127.999999995518</v>
      </c>
      <c r="BI13" s="119">
        <v>18127.999999995518</v>
      </c>
      <c r="BJ13" s="69">
        <v>16620.999999995518</v>
      </c>
      <c r="BK13" s="108">
        <v>22173.41</v>
      </c>
      <c r="BL13" s="108">
        <f t="shared" si="19"/>
        <v>586.99999999989814</v>
      </c>
      <c r="BM13" s="70">
        <v>18714.999999995416</v>
      </c>
      <c r="BN13" s="56">
        <v>18002</v>
      </c>
      <c r="BO13" s="56">
        <f t="shared" si="40"/>
        <v>-712.99999999541615</v>
      </c>
      <c r="BP13" s="109">
        <v>2529869</v>
      </c>
      <c r="BQ13" s="120">
        <v>19</v>
      </c>
      <c r="BR13" s="109">
        <v>3496118</v>
      </c>
      <c r="BS13" s="120">
        <v>1488</v>
      </c>
      <c r="BT13" s="71">
        <f t="shared" si="21"/>
        <v>1507</v>
      </c>
      <c r="BU13" s="117">
        <v>162</v>
      </c>
      <c r="BV13" s="117">
        <v>241</v>
      </c>
    </row>
    <row r="14" spans="1:74" ht="25" customHeight="1" x14ac:dyDescent="0.4">
      <c r="A14" s="52" t="s">
        <v>81</v>
      </c>
      <c r="B14" s="53"/>
      <c r="C14" s="99">
        <v>45687</v>
      </c>
      <c r="D14" s="99">
        <v>202039</v>
      </c>
      <c r="E14" s="121">
        <f t="shared" si="0"/>
        <v>84</v>
      </c>
      <c r="F14" s="121">
        <f t="shared" si="1"/>
        <v>63</v>
      </c>
      <c r="G14" s="99"/>
      <c r="H14" s="99">
        <v>100171</v>
      </c>
      <c r="I14" s="100">
        <v>69763</v>
      </c>
      <c r="J14" s="122">
        <f t="shared" si="2"/>
        <v>26</v>
      </c>
      <c r="K14" s="106">
        <v>12741</v>
      </c>
      <c r="L14" s="123">
        <f t="shared" si="22"/>
        <v>6</v>
      </c>
      <c r="M14" s="130">
        <v>9468</v>
      </c>
      <c r="N14" s="124">
        <f t="shared" si="23"/>
        <v>8</v>
      </c>
      <c r="O14" s="125">
        <v>17966</v>
      </c>
      <c r="P14" s="124">
        <f t="shared" si="30"/>
        <v>21</v>
      </c>
      <c r="Q14" s="126">
        <v>55472</v>
      </c>
      <c r="R14" s="102">
        <f t="shared" si="3"/>
        <v>2</v>
      </c>
      <c r="S14" s="127">
        <v>24908</v>
      </c>
      <c r="T14" s="128">
        <f t="shared" si="4"/>
        <v>1</v>
      </c>
      <c r="U14" s="101">
        <v>8750</v>
      </c>
      <c r="V14" s="101">
        <v>348</v>
      </c>
      <c r="W14" s="102">
        <f t="shared" si="5"/>
        <v>7</v>
      </c>
      <c r="X14" s="127">
        <v>24161</v>
      </c>
      <c r="Y14" s="128">
        <f t="shared" si="6"/>
        <v>21</v>
      </c>
      <c r="Z14" s="129">
        <v>7355</v>
      </c>
      <c r="AA14" s="129">
        <v>6660</v>
      </c>
      <c r="AB14" s="102">
        <f t="shared" si="7"/>
        <v>4</v>
      </c>
      <c r="AC14" s="127">
        <v>1811</v>
      </c>
      <c r="AD14" s="103">
        <v>1249</v>
      </c>
      <c r="AE14" s="128">
        <f t="shared" si="8"/>
        <v>3</v>
      </c>
      <c r="AF14" s="104">
        <f t="shared" si="9"/>
        <v>10</v>
      </c>
      <c r="AG14" s="105">
        <f t="shared" si="10"/>
        <v>145858</v>
      </c>
      <c r="AH14" s="54">
        <v>166</v>
      </c>
      <c r="AI14" s="56">
        <v>168</v>
      </c>
      <c r="AJ14" s="56">
        <f t="shared" si="31"/>
        <v>2</v>
      </c>
      <c r="AK14" s="57">
        <v>1116334</v>
      </c>
      <c r="AL14" s="58">
        <f t="shared" si="12"/>
        <v>1339</v>
      </c>
      <c r="AM14" s="57">
        <v>46414</v>
      </c>
      <c r="AN14" s="59">
        <f t="shared" si="13"/>
        <v>38</v>
      </c>
      <c r="AO14" s="107">
        <v>50698</v>
      </c>
      <c r="AP14" s="61">
        <f t="shared" si="14"/>
        <v>0</v>
      </c>
      <c r="AQ14" s="60">
        <v>27035</v>
      </c>
      <c r="AR14" s="61">
        <f t="shared" si="15"/>
        <v>534</v>
      </c>
      <c r="AS14" s="60">
        <f t="shared" si="24"/>
        <v>1164087</v>
      </c>
      <c r="AT14" s="62">
        <v>1375</v>
      </c>
      <c r="AU14" s="56">
        <v>1403</v>
      </c>
      <c r="AV14" s="56">
        <f t="shared" si="32"/>
        <v>28</v>
      </c>
      <c r="AW14" s="63"/>
      <c r="AX14" s="63">
        <v>27.49</v>
      </c>
      <c r="AY14" s="63"/>
      <c r="AZ14" s="63"/>
      <c r="BA14" s="64">
        <v>11523.95</v>
      </c>
      <c r="BB14" s="64">
        <f t="shared" si="33"/>
        <v>17908.000000006723</v>
      </c>
      <c r="BC14" s="55">
        <f t="shared" si="34"/>
        <v>0</v>
      </c>
      <c r="BD14" s="60">
        <f t="shared" si="35"/>
        <v>0</v>
      </c>
      <c r="BE14" s="65">
        <f t="shared" si="36"/>
        <v>0</v>
      </c>
      <c r="BF14" s="66">
        <f t="shared" si="37"/>
        <v>11551.44</v>
      </c>
      <c r="BG14" s="72">
        <f t="shared" si="38"/>
        <v>4.070000000001528</v>
      </c>
      <c r="BH14" s="68">
        <f t="shared" si="39"/>
        <v>17908.000000006723</v>
      </c>
      <c r="BI14" s="119">
        <v>17908.000000006723</v>
      </c>
      <c r="BJ14" s="69">
        <v>15709.000000006723</v>
      </c>
      <c r="BK14" s="108">
        <v>22179.4</v>
      </c>
      <c r="BL14" s="108">
        <f t="shared" si="19"/>
        <v>599.00000000016007</v>
      </c>
      <c r="BM14" s="70">
        <v>18507.000000006883</v>
      </c>
      <c r="BN14" s="56">
        <v>18003</v>
      </c>
      <c r="BO14" s="56">
        <f t="shared" si="40"/>
        <v>-504.00000000688306</v>
      </c>
      <c r="BP14" s="109">
        <v>2529888</v>
      </c>
      <c r="BQ14" s="120">
        <v>19</v>
      </c>
      <c r="BR14" s="109">
        <v>3498298</v>
      </c>
      <c r="BS14" s="120">
        <v>2180</v>
      </c>
      <c r="BT14" s="71">
        <f t="shared" si="21"/>
        <v>2199</v>
      </c>
      <c r="BU14" s="117">
        <v>101</v>
      </c>
      <c r="BV14" s="117">
        <v>171</v>
      </c>
    </row>
    <row r="15" spans="1:74" ht="25" customHeight="1" x14ac:dyDescent="0.4">
      <c r="A15" s="52" t="s">
        <v>82</v>
      </c>
      <c r="B15" s="53"/>
      <c r="C15" s="99">
        <v>45753</v>
      </c>
      <c r="D15" s="99">
        <v>202115</v>
      </c>
      <c r="E15" s="121">
        <f t="shared" si="0"/>
        <v>76</v>
      </c>
      <c r="F15" s="121">
        <f t="shared" si="1"/>
        <v>48</v>
      </c>
      <c r="G15" s="99"/>
      <c r="H15" s="99">
        <v>100255</v>
      </c>
      <c r="I15" s="100">
        <v>69785</v>
      </c>
      <c r="J15" s="122">
        <f t="shared" si="2"/>
        <v>22</v>
      </c>
      <c r="K15" s="106">
        <v>12747</v>
      </c>
      <c r="L15" s="123">
        <f t="shared" si="22"/>
        <v>6</v>
      </c>
      <c r="M15" s="130">
        <v>9477</v>
      </c>
      <c r="N15" s="124">
        <f t="shared" si="23"/>
        <v>9</v>
      </c>
      <c r="O15" s="125">
        <v>17978</v>
      </c>
      <c r="P15" s="124">
        <f t="shared" si="30"/>
        <v>12</v>
      </c>
      <c r="Q15" s="126">
        <v>55474</v>
      </c>
      <c r="R15" s="102">
        <f t="shared" si="3"/>
        <v>2</v>
      </c>
      <c r="S15" s="127">
        <v>24910</v>
      </c>
      <c r="T15" s="128">
        <f t="shared" si="4"/>
        <v>2</v>
      </c>
      <c r="U15" s="101">
        <v>8750</v>
      </c>
      <c r="V15" s="101">
        <v>354</v>
      </c>
      <c r="W15" s="102">
        <f t="shared" si="5"/>
        <v>6</v>
      </c>
      <c r="X15" s="127">
        <v>24189</v>
      </c>
      <c r="Y15" s="128">
        <f t="shared" si="6"/>
        <v>28</v>
      </c>
      <c r="Z15" s="129">
        <v>7357</v>
      </c>
      <c r="AA15" s="129">
        <v>6661</v>
      </c>
      <c r="AB15" s="102">
        <f t="shared" si="7"/>
        <v>3</v>
      </c>
      <c r="AC15" s="127">
        <v>1812</v>
      </c>
      <c r="AD15" s="103">
        <v>1250</v>
      </c>
      <c r="AE15" s="128">
        <f t="shared" si="8"/>
        <v>2</v>
      </c>
      <c r="AF15" s="104">
        <f t="shared" si="9"/>
        <v>10</v>
      </c>
      <c r="AG15" s="105">
        <f t="shared" si="10"/>
        <v>146008</v>
      </c>
      <c r="AH15" s="54">
        <v>150</v>
      </c>
      <c r="AI15" s="56">
        <v>169</v>
      </c>
      <c r="AJ15" s="56">
        <f t="shared" si="31"/>
        <v>19</v>
      </c>
      <c r="AK15" s="57">
        <v>1117639</v>
      </c>
      <c r="AL15" s="58">
        <f t="shared" si="12"/>
        <v>1305</v>
      </c>
      <c r="AM15" s="57">
        <v>46453</v>
      </c>
      <c r="AN15" s="59">
        <f t="shared" si="13"/>
        <v>39</v>
      </c>
      <c r="AO15" s="107">
        <v>50698</v>
      </c>
      <c r="AP15" s="61">
        <f t="shared" si="14"/>
        <v>0</v>
      </c>
      <c r="AQ15" s="60">
        <v>27570</v>
      </c>
      <c r="AR15" s="61">
        <f t="shared" si="15"/>
        <v>535</v>
      </c>
      <c r="AS15" s="60">
        <f t="shared" si="24"/>
        <v>1165397</v>
      </c>
      <c r="AT15" s="62">
        <v>1343</v>
      </c>
      <c r="AU15" s="56">
        <v>1404</v>
      </c>
      <c r="AV15" s="56">
        <f t="shared" si="32"/>
        <v>61</v>
      </c>
      <c r="AW15" s="63"/>
      <c r="AX15" s="63">
        <v>27.49</v>
      </c>
      <c r="AY15" s="63"/>
      <c r="AZ15" s="63"/>
      <c r="BA15" s="64">
        <v>11527.94</v>
      </c>
      <c r="BB15" s="64">
        <f t="shared" si="33"/>
        <v>17555.99999999904</v>
      </c>
      <c r="BC15" s="55">
        <f t="shared" si="34"/>
        <v>0</v>
      </c>
      <c r="BD15" s="60">
        <f t="shared" si="35"/>
        <v>0</v>
      </c>
      <c r="BE15" s="65">
        <f t="shared" si="36"/>
        <v>0</v>
      </c>
      <c r="BF15" s="66">
        <f t="shared" si="37"/>
        <v>11555.43</v>
      </c>
      <c r="BG15" s="72">
        <f t="shared" si="38"/>
        <v>3.9899999999997817</v>
      </c>
      <c r="BH15" s="68">
        <f t="shared" si="39"/>
        <v>17555.99999999904</v>
      </c>
      <c r="BI15" s="119">
        <v>17555.99999999904</v>
      </c>
      <c r="BJ15" s="69">
        <v>14986.99999999904</v>
      </c>
      <c r="BK15" s="108">
        <v>22184.34</v>
      </c>
      <c r="BL15" s="108">
        <f t="shared" si="19"/>
        <v>493.99999999986903</v>
      </c>
      <c r="BM15" s="70">
        <v>18049.999999998909</v>
      </c>
      <c r="BN15" s="56">
        <v>18004</v>
      </c>
      <c r="BO15" s="56">
        <f t="shared" si="40"/>
        <v>-45.999999998908606</v>
      </c>
      <c r="BP15" s="109">
        <v>2529907</v>
      </c>
      <c r="BQ15" s="120">
        <v>19</v>
      </c>
      <c r="BR15" s="109">
        <v>3500848</v>
      </c>
      <c r="BS15" s="120">
        <v>2550</v>
      </c>
      <c r="BT15" s="71">
        <f t="shared" si="21"/>
        <v>2569</v>
      </c>
      <c r="BU15" s="117">
        <v>92</v>
      </c>
      <c r="BV15" s="117">
        <v>163</v>
      </c>
    </row>
    <row r="16" spans="1:74" ht="25" customHeight="1" x14ac:dyDescent="0.4">
      <c r="A16" s="52" t="s">
        <v>83</v>
      </c>
      <c r="B16" s="53"/>
      <c r="C16" s="99">
        <v>45815</v>
      </c>
      <c r="D16" s="99">
        <v>202194</v>
      </c>
      <c r="E16" s="121">
        <f t="shared" si="0"/>
        <v>79</v>
      </c>
      <c r="F16" s="121">
        <f t="shared" si="1"/>
        <v>53</v>
      </c>
      <c r="G16" s="99"/>
      <c r="H16" s="99">
        <v>100348</v>
      </c>
      <c r="I16" s="100">
        <v>69810</v>
      </c>
      <c r="J16" s="122">
        <f t="shared" si="2"/>
        <v>25</v>
      </c>
      <c r="K16" s="106">
        <v>12752</v>
      </c>
      <c r="L16" s="123">
        <f t="shared" si="22"/>
        <v>5</v>
      </c>
      <c r="M16" s="130">
        <v>9485</v>
      </c>
      <c r="N16" s="124">
        <f t="shared" si="23"/>
        <v>8</v>
      </c>
      <c r="O16" s="125">
        <v>17991</v>
      </c>
      <c r="P16" s="124">
        <f t="shared" si="30"/>
        <v>13</v>
      </c>
      <c r="Q16" s="126">
        <v>55477</v>
      </c>
      <c r="R16" s="102">
        <f t="shared" si="3"/>
        <v>3</v>
      </c>
      <c r="S16" s="127">
        <v>24912</v>
      </c>
      <c r="T16" s="128">
        <f t="shared" si="4"/>
        <v>2</v>
      </c>
      <c r="U16" s="101">
        <v>8750</v>
      </c>
      <c r="V16" s="101">
        <v>362</v>
      </c>
      <c r="W16" s="102">
        <f t="shared" si="5"/>
        <v>8</v>
      </c>
      <c r="X16" s="127">
        <v>24215</v>
      </c>
      <c r="Y16" s="128">
        <f t="shared" si="6"/>
        <v>26</v>
      </c>
      <c r="Z16" s="129">
        <v>7359</v>
      </c>
      <c r="AA16" s="129">
        <v>6662</v>
      </c>
      <c r="AB16" s="102">
        <f t="shared" si="7"/>
        <v>3</v>
      </c>
      <c r="AC16" s="127">
        <v>1813</v>
      </c>
      <c r="AD16" s="103">
        <v>1251</v>
      </c>
      <c r="AE16" s="128">
        <f t="shared" si="8"/>
        <v>2</v>
      </c>
      <c r="AF16" s="104">
        <f t="shared" si="9"/>
        <v>13</v>
      </c>
      <c r="AG16" s="105">
        <f t="shared" si="10"/>
        <v>146163</v>
      </c>
      <c r="AH16" s="54">
        <v>155</v>
      </c>
      <c r="AI16" s="56">
        <v>170</v>
      </c>
      <c r="AJ16" s="56">
        <f t="shared" si="31"/>
        <v>15</v>
      </c>
      <c r="AK16" s="57">
        <v>1118876</v>
      </c>
      <c r="AL16" s="58">
        <f t="shared" si="12"/>
        <v>1237</v>
      </c>
      <c r="AM16" s="57">
        <v>46501</v>
      </c>
      <c r="AN16" s="59">
        <f t="shared" si="13"/>
        <v>48</v>
      </c>
      <c r="AO16" s="107">
        <v>50698</v>
      </c>
      <c r="AP16" s="61">
        <f t="shared" si="14"/>
        <v>0</v>
      </c>
      <c r="AQ16" s="60">
        <v>28120</v>
      </c>
      <c r="AR16" s="61">
        <f t="shared" si="15"/>
        <v>550</v>
      </c>
      <c r="AS16" s="60">
        <f t="shared" si="24"/>
        <v>1166614</v>
      </c>
      <c r="AT16" s="62">
        <v>1276</v>
      </c>
      <c r="AU16" s="56">
        <v>1405</v>
      </c>
      <c r="AV16" s="56">
        <f t="shared" si="32"/>
        <v>129</v>
      </c>
      <c r="AW16" s="63"/>
      <c r="AX16" s="63">
        <v>27.49</v>
      </c>
      <c r="AY16" s="63"/>
      <c r="AZ16" s="63"/>
      <c r="BA16" s="64">
        <v>11531.93</v>
      </c>
      <c r="BB16" s="64">
        <f t="shared" si="33"/>
        <v>17555.99999999904</v>
      </c>
      <c r="BC16" s="55">
        <f t="shared" si="34"/>
        <v>0</v>
      </c>
      <c r="BD16" s="60">
        <f t="shared" si="35"/>
        <v>0</v>
      </c>
      <c r="BE16" s="65">
        <f t="shared" si="36"/>
        <v>0</v>
      </c>
      <c r="BF16" s="66">
        <f t="shared" si="37"/>
        <v>11559.42</v>
      </c>
      <c r="BG16" s="72">
        <f t="shared" si="38"/>
        <v>3.9899999999997817</v>
      </c>
      <c r="BH16" s="68">
        <f t="shared" si="39"/>
        <v>17555.99999999904</v>
      </c>
      <c r="BI16" s="119">
        <v>17555.99999999904</v>
      </c>
      <c r="BJ16" s="69">
        <v>14944.99999999904</v>
      </c>
      <c r="BK16" s="108">
        <v>22189.759999999998</v>
      </c>
      <c r="BL16" s="108">
        <f t="shared" si="19"/>
        <v>541.99999999982538</v>
      </c>
      <c r="BM16" s="70">
        <v>18097.999999998865</v>
      </c>
      <c r="BN16" s="56">
        <v>18005</v>
      </c>
      <c r="BO16" s="56">
        <f t="shared" si="40"/>
        <v>-92.999999998864951</v>
      </c>
      <c r="BP16" s="109">
        <v>2529926</v>
      </c>
      <c r="BQ16" s="120">
        <v>19</v>
      </c>
      <c r="BR16" s="109">
        <v>3503440</v>
      </c>
      <c r="BS16" s="120">
        <v>2592</v>
      </c>
      <c r="BT16" s="71">
        <f t="shared" si="21"/>
        <v>2611</v>
      </c>
      <c r="BU16" s="117">
        <v>101</v>
      </c>
      <c r="BV16" s="117">
        <v>168</v>
      </c>
    </row>
    <row r="17" spans="1:74" ht="25" customHeight="1" x14ac:dyDescent="0.4">
      <c r="A17" s="52" t="s">
        <v>84</v>
      </c>
      <c r="B17" s="53"/>
      <c r="C17" s="99">
        <v>45864</v>
      </c>
      <c r="D17" s="99">
        <v>202275</v>
      </c>
      <c r="E17" s="121">
        <f t="shared" si="0"/>
        <v>81</v>
      </c>
      <c r="F17" s="121">
        <f t="shared" si="1"/>
        <v>58</v>
      </c>
      <c r="G17" s="99"/>
      <c r="H17" s="99">
        <v>100456</v>
      </c>
      <c r="I17" s="100">
        <v>69836</v>
      </c>
      <c r="J17" s="122">
        <f t="shared" si="2"/>
        <v>26</v>
      </c>
      <c r="K17" s="106">
        <v>12757</v>
      </c>
      <c r="L17" s="123">
        <f t="shared" si="22"/>
        <v>5</v>
      </c>
      <c r="M17" s="130">
        <v>9495</v>
      </c>
      <c r="N17" s="124">
        <f t="shared" si="23"/>
        <v>10</v>
      </c>
      <c r="O17" s="125">
        <v>18006</v>
      </c>
      <c r="P17" s="124">
        <f t="shared" si="30"/>
        <v>15</v>
      </c>
      <c r="Q17" s="126">
        <v>55477</v>
      </c>
      <c r="R17" s="102">
        <f t="shared" si="3"/>
        <v>0</v>
      </c>
      <c r="S17" s="127">
        <v>24913</v>
      </c>
      <c r="T17" s="128">
        <f t="shared" si="4"/>
        <v>1</v>
      </c>
      <c r="U17" s="101">
        <v>8750</v>
      </c>
      <c r="V17" s="101">
        <v>368</v>
      </c>
      <c r="W17" s="102">
        <f t="shared" si="5"/>
        <v>6</v>
      </c>
      <c r="X17" s="127">
        <v>24238</v>
      </c>
      <c r="Y17" s="128">
        <f t="shared" si="6"/>
        <v>23</v>
      </c>
      <c r="Z17" s="129">
        <v>7362</v>
      </c>
      <c r="AA17" s="129">
        <v>6663</v>
      </c>
      <c r="AB17" s="102">
        <f t="shared" si="7"/>
        <v>4</v>
      </c>
      <c r="AC17" s="127">
        <v>1814</v>
      </c>
      <c r="AD17" s="103">
        <v>1252</v>
      </c>
      <c r="AE17" s="128">
        <f t="shared" si="8"/>
        <v>2</v>
      </c>
      <c r="AF17" s="104">
        <f t="shared" si="9"/>
        <v>7</v>
      </c>
      <c r="AG17" s="105">
        <f t="shared" si="10"/>
        <v>146320</v>
      </c>
      <c r="AH17" s="54">
        <v>157</v>
      </c>
      <c r="AI17" s="56">
        <v>171</v>
      </c>
      <c r="AJ17" s="56">
        <f t="shared" si="31"/>
        <v>14</v>
      </c>
      <c r="AK17" s="57">
        <v>1120290</v>
      </c>
      <c r="AL17" s="58">
        <f t="shared" si="12"/>
        <v>1414</v>
      </c>
      <c r="AM17" s="57">
        <v>46541</v>
      </c>
      <c r="AN17" s="59">
        <f t="shared" si="13"/>
        <v>40</v>
      </c>
      <c r="AO17" s="107">
        <v>50698</v>
      </c>
      <c r="AP17" s="61">
        <f t="shared" si="14"/>
        <v>0</v>
      </c>
      <c r="AQ17" s="60">
        <v>28689</v>
      </c>
      <c r="AR17" s="61">
        <f t="shared" si="15"/>
        <v>569</v>
      </c>
      <c r="AS17" s="60">
        <f t="shared" si="24"/>
        <v>1168245</v>
      </c>
      <c r="AT17" s="62">
        <v>1462</v>
      </c>
      <c r="AU17" s="56">
        <v>1406</v>
      </c>
      <c r="AV17" s="56">
        <f t="shared" si="32"/>
        <v>-56</v>
      </c>
      <c r="AW17" s="63"/>
      <c r="AX17" s="63">
        <v>27.49</v>
      </c>
      <c r="AY17" s="63"/>
      <c r="AZ17" s="63"/>
      <c r="BA17" s="64">
        <v>11535.8</v>
      </c>
      <c r="BB17" s="64">
        <f t="shared" si="33"/>
        <v>17027.999999995518</v>
      </c>
      <c r="BC17" s="55">
        <f t="shared" si="34"/>
        <v>0</v>
      </c>
      <c r="BD17" s="60">
        <f t="shared" si="35"/>
        <v>0</v>
      </c>
      <c r="BE17" s="65">
        <f t="shared" si="36"/>
        <v>0</v>
      </c>
      <c r="BF17" s="66">
        <f t="shared" si="37"/>
        <v>11563.289999999999</v>
      </c>
      <c r="BG17" s="72">
        <f t="shared" si="38"/>
        <v>3.8699999999989814</v>
      </c>
      <c r="BH17" s="68">
        <f t="shared" si="39"/>
        <v>17027.999999995518</v>
      </c>
      <c r="BI17" s="119">
        <v>17027.999999995518</v>
      </c>
      <c r="BJ17" s="69">
        <v>14898.999999995518</v>
      </c>
      <c r="BK17" s="108">
        <v>22196</v>
      </c>
      <c r="BL17" s="108">
        <f t="shared" si="19"/>
        <v>624.00000000016007</v>
      </c>
      <c r="BM17" s="70">
        <v>17651.999999995678</v>
      </c>
      <c r="BN17" s="56">
        <v>18006</v>
      </c>
      <c r="BO17" s="56">
        <f t="shared" si="40"/>
        <v>354.00000000432192</v>
      </c>
      <c r="BP17" s="109">
        <v>2529945</v>
      </c>
      <c r="BQ17" s="120">
        <v>19</v>
      </c>
      <c r="BR17" s="109">
        <v>3505550</v>
      </c>
      <c r="BS17" s="120">
        <v>2110</v>
      </c>
      <c r="BT17" s="71">
        <f t="shared" si="21"/>
        <v>2129</v>
      </c>
      <c r="BU17" s="117">
        <v>131</v>
      </c>
      <c r="BV17" s="117">
        <v>194</v>
      </c>
    </row>
    <row r="18" spans="1:74" ht="25" customHeight="1" x14ac:dyDescent="0.4">
      <c r="A18" s="52" t="s">
        <v>85</v>
      </c>
      <c r="B18" s="53"/>
      <c r="C18" s="99">
        <v>45920</v>
      </c>
      <c r="D18" s="99">
        <v>202344</v>
      </c>
      <c r="E18" s="121">
        <f t="shared" si="0"/>
        <v>69</v>
      </c>
      <c r="F18" s="121">
        <f t="shared" si="1"/>
        <v>55</v>
      </c>
      <c r="G18" s="99"/>
      <c r="H18" s="99">
        <v>100548</v>
      </c>
      <c r="I18" s="100">
        <v>69862</v>
      </c>
      <c r="J18" s="122">
        <f t="shared" si="2"/>
        <v>26</v>
      </c>
      <c r="K18" s="106">
        <v>12763</v>
      </c>
      <c r="L18" s="123">
        <f t="shared" si="22"/>
        <v>6</v>
      </c>
      <c r="M18" s="130">
        <v>9502</v>
      </c>
      <c r="N18" s="124">
        <f t="shared" si="23"/>
        <v>7</v>
      </c>
      <c r="O18" s="125">
        <v>18024</v>
      </c>
      <c r="P18" s="124">
        <f t="shared" si="30"/>
        <v>18</v>
      </c>
      <c r="Q18" s="126">
        <v>55479</v>
      </c>
      <c r="R18" s="102">
        <f t="shared" si="3"/>
        <v>2</v>
      </c>
      <c r="S18" s="127">
        <v>24914</v>
      </c>
      <c r="T18" s="128">
        <f t="shared" si="4"/>
        <v>1</v>
      </c>
      <c r="U18" s="101">
        <v>8750</v>
      </c>
      <c r="V18" s="101">
        <v>375</v>
      </c>
      <c r="W18" s="102">
        <f t="shared" si="5"/>
        <v>7</v>
      </c>
      <c r="X18" s="127">
        <v>24252</v>
      </c>
      <c r="Y18" s="128">
        <f t="shared" si="6"/>
        <v>14</v>
      </c>
      <c r="Z18" s="129">
        <v>7364</v>
      </c>
      <c r="AA18" s="129">
        <v>6664</v>
      </c>
      <c r="AB18" s="102">
        <f t="shared" si="7"/>
        <v>3</v>
      </c>
      <c r="AC18" s="127">
        <v>1815</v>
      </c>
      <c r="AD18" s="103">
        <v>1253</v>
      </c>
      <c r="AE18" s="128">
        <f t="shared" si="8"/>
        <v>2</v>
      </c>
      <c r="AF18" s="104">
        <f t="shared" si="9"/>
        <v>10</v>
      </c>
      <c r="AG18" s="105">
        <f t="shared" si="10"/>
        <v>146468</v>
      </c>
      <c r="AH18" s="54">
        <v>148</v>
      </c>
      <c r="AI18" s="56">
        <v>172</v>
      </c>
      <c r="AJ18" s="56">
        <f t="shared" si="31"/>
        <v>24</v>
      </c>
      <c r="AK18" s="57">
        <v>1122288</v>
      </c>
      <c r="AL18" s="58">
        <f t="shared" si="12"/>
        <v>1998</v>
      </c>
      <c r="AM18" s="57">
        <v>46587</v>
      </c>
      <c r="AN18" s="59">
        <f t="shared" si="13"/>
        <v>46</v>
      </c>
      <c r="AO18" s="107">
        <v>50698</v>
      </c>
      <c r="AP18" s="61">
        <f t="shared" si="14"/>
        <v>0</v>
      </c>
      <c r="AQ18" s="60">
        <v>29134</v>
      </c>
      <c r="AR18" s="61">
        <f t="shared" si="15"/>
        <v>445</v>
      </c>
      <c r="AS18" s="60">
        <f t="shared" si="24"/>
        <v>1170873</v>
      </c>
      <c r="AT18" s="62">
        <v>2038</v>
      </c>
      <c r="AU18" s="56">
        <v>1407</v>
      </c>
      <c r="AV18" s="56">
        <f t="shared" si="32"/>
        <v>-631</v>
      </c>
      <c r="AW18" s="63"/>
      <c r="AX18" s="63">
        <v>27.49</v>
      </c>
      <c r="AY18" s="63"/>
      <c r="AZ18" s="63"/>
      <c r="BA18" s="64">
        <v>11539.6</v>
      </c>
      <c r="BB18" s="64">
        <f t="shared" si="33"/>
        <v>16720.000000004802</v>
      </c>
      <c r="BC18" s="55">
        <f t="shared" si="34"/>
        <v>0</v>
      </c>
      <c r="BD18" s="60">
        <f t="shared" si="35"/>
        <v>0</v>
      </c>
      <c r="BE18" s="65">
        <f t="shared" si="36"/>
        <v>0</v>
      </c>
      <c r="BF18" s="66">
        <f t="shared" si="37"/>
        <v>11567.09</v>
      </c>
      <c r="BG18" s="72">
        <f t="shared" si="38"/>
        <v>3.8000000000010914</v>
      </c>
      <c r="BH18" s="68">
        <f t="shared" si="39"/>
        <v>16720.000000004802</v>
      </c>
      <c r="BI18" s="119">
        <v>16720.000000004802</v>
      </c>
      <c r="BJ18" s="69">
        <v>15610.000000004802</v>
      </c>
      <c r="BK18" s="108">
        <v>22201.9</v>
      </c>
      <c r="BL18" s="108">
        <f t="shared" si="19"/>
        <v>590.00000000014552</v>
      </c>
      <c r="BM18" s="70">
        <v>17310.000000004948</v>
      </c>
      <c r="BN18" s="56">
        <v>18007</v>
      </c>
      <c r="BO18" s="56">
        <f t="shared" si="40"/>
        <v>696.99999999505235</v>
      </c>
      <c r="BP18" s="109">
        <v>2529964</v>
      </c>
      <c r="BQ18" s="120">
        <v>19</v>
      </c>
      <c r="BR18" s="109">
        <v>3506641</v>
      </c>
      <c r="BS18" s="120">
        <v>1091</v>
      </c>
      <c r="BT18" s="71">
        <f t="shared" si="21"/>
        <v>1110</v>
      </c>
      <c r="BU18" s="117">
        <v>136</v>
      </c>
      <c r="BV18" s="117">
        <v>201</v>
      </c>
    </row>
    <row r="19" spans="1:74" ht="25" customHeight="1" x14ac:dyDescent="0.4">
      <c r="A19" s="52" t="s">
        <v>86</v>
      </c>
      <c r="B19" s="53"/>
      <c r="C19" s="99">
        <v>45985</v>
      </c>
      <c r="D19" s="99">
        <v>202419</v>
      </c>
      <c r="E19" s="121">
        <f t="shared" si="0"/>
        <v>75</v>
      </c>
      <c r="F19" s="121">
        <f t="shared" si="1"/>
        <v>62</v>
      </c>
      <c r="G19" s="99"/>
      <c r="H19" s="99">
        <v>100628</v>
      </c>
      <c r="I19" s="100">
        <v>69887</v>
      </c>
      <c r="J19" s="122">
        <f t="shared" si="2"/>
        <v>25</v>
      </c>
      <c r="K19" s="106">
        <v>12769</v>
      </c>
      <c r="L19" s="123">
        <f t="shared" si="22"/>
        <v>6</v>
      </c>
      <c r="M19" s="130">
        <v>9511</v>
      </c>
      <c r="N19" s="124">
        <f t="shared" si="23"/>
        <v>9</v>
      </c>
      <c r="O19" s="125">
        <v>18039</v>
      </c>
      <c r="P19" s="124">
        <f t="shared" si="30"/>
        <v>15</v>
      </c>
      <c r="Q19" s="126">
        <v>55480</v>
      </c>
      <c r="R19" s="102">
        <f t="shared" si="3"/>
        <v>1</v>
      </c>
      <c r="S19" s="127">
        <v>24915</v>
      </c>
      <c r="T19" s="128">
        <f t="shared" si="4"/>
        <v>1</v>
      </c>
      <c r="U19" s="101">
        <v>8750</v>
      </c>
      <c r="V19" s="101">
        <v>381</v>
      </c>
      <c r="W19" s="102">
        <f t="shared" si="5"/>
        <v>6</v>
      </c>
      <c r="X19" s="127">
        <v>24265</v>
      </c>
      <c r="Y19" s="128">
        <f t="shared" si="6"/>
        <v>13</v>
      </c>
      <c r="Z19" s="129">
        <v>7367</v>
      </c>
      <c r="AA19" s="129">
        <v>6665</v>
      </c>
      <c r="AB19" s="102">
        <f t="shared" si="7"/>
        <v>4</v>
      </c>
      <c r="AC19" s="127">
        <v>1816</v>
      </c>
      <c r="AD19" s="103">
        <v>1254</v>
      </c>
      <c r="AE19" s="128">
        <f t="shared" si="8"/>
        <v>2</v>
      </c>
      <c r="AF19" s="104">
        <f t="shared" si="9"/>
        <v>8</v>
      </c>
      <c r="AG19" s="105">
        <f t="shared" si="10"/>
        <v>146613</v>
      </c>
      <c r="AH19" s="54">
        <v>145</v>
      </c>
      <c r="AI19" s="56">
        <v>173</v>
      </c>
      <c r="AJ19" s="56">
        <f t="shared" si="31"/>
        <v>28</v>
      </c>
      <c r="AK19" s="57">
        <v>1123736</v>
      </c>
      <c r="AL19" s="58">
        <f t="shared" si="12"/>
        <v>1448</v>
      </c>
      <c r="AM19" s="57">
        <v>46637</v>
      </c>
      <c r="AN19" s="59">
        <f t="shared" si="13"/>
        <v>50</v>
      </c>
      <c r="AO19" s="107">
        <v>50698</v>
      </c>
      <c r="AP19" s="61">
        <f t="shared" si="14"/>
        <v>0</v>
      </c>
      <c r="AQ19" s="60">
        <v>29641</v>
      </c>
      <c r="AR19" s="61">
        <f t="shared" si="15"/>
        <v>507</v>
      </c>
      <c r="AS19" s="60">
        <f t="shared" si="24"/>
        <v>1171821</v>
      </c>
      <c r="AT19" s="62">
        <v>1494</v>
      </c>
      <c r="AU19" s="56">
        <v>1408</v>
      </c>
      <c r="AV19" s="56">
        <f t="shared" si="32"/>
        <v>-86</v>
      </c>
      <c r="AW19" s="63"/>
      <c r="AX19" s="63">
        <v>27.49</v>
      </c>
      <c r="AY19" s="63"/>
      <c r="AZ19" s="63"/>
      <c r="BA19" s="64">
        <v>11543.37</v>
      </c>
      <c r="BB19" s="64">
        <f t="shared" si="33"/>
        <v>16588.000000001921</v>
      </c>
      <c r="BC19" s="55">
        <f t="shared" si="34"/>
        <v>0</v>
      </c>
      <c r="BD19" s="60">
        <f t="shared" si="35"/>
        <v>0</v>
      </c>
      <c r="BE19" s="65">
        <f t="shared" si="36"/>
        <v>0</v>
      </c>
      <c r="BF19" s="66">
        <f t="shared" si="37"/>
        <v>11570.86</v>
      </c>
      <c r="BG19" s="72">
        <f t="shared" si="38"/>
        <v>3.7700000000004366</v>
      </c>
      <c r="BH19" s="68">
        <f t="shared" si="39"/>
        <v>16588.000000001921</v>
      </c>
      <c r="BI19" s="119">
        <v>16588.000000001921</v>
      </c>
      <c r="BJ19" s="69">
        <v>15528.000000001921</v>
      </c>
      <c r="BK19" s="108">
        <v>22208.07</v>
      </c>
      <c r="BL19" s="108">
        <f t="shared" si="19"/>
        <v>616.99999999982538</v>
      </c>
      <c r="BM19" s="70">
        <v>17205.000000001746</v>
      </c>
      <c r="BN19" s="56">
        <v>18008</v>
      </c>
      <c r="BO19" s="56">
        <f t="shared" si="40"/>
        <v>802.99999999825377</v>
      </c>
      <c r="BP19" s="109">
        <v>2529983</v>
      </c>
      <c r="BQ19" s="120">
        <v>19</v>
      </c>
      <c r="BR19" s="109">
        <v>3507682</v>
      </c>
      <c r="BS19" s="120">
        <v>1041</v>
      </c>
      <c r="BT19" s="71">
        <f t="shared" si="21"/>
        <v>1060</v>
      </c>
      <c r="BU19" s="117">
        <v>142</v>
      </c>
      <c r="BV19" s="117">
        <v>204</v>
      </c>
    </row>
    <row r="20" spans="1:74" ht="25" customHeight="1" x14ac:dyDescent="0.4">
      <c r="A20" s="52" t="s">
        <v>87</v>
      </c>
      <c r="B20" s="53"/>
      <c r="C20" s="99">
        <v>46058</v>
      </c>
      <c r="D20" s="99">
        <v>202509</v>
      </c>
      <c r="E20" s="121">
        <f t="shared" si="0"/>
        <v>90</v>
      </c>
      <c r="F20" s="121">
        <f t="shared" si="1"/>
        <v>75</v>
      </c>
      <c r="G20" s="99"/>
      <c r="H20" s="99">
        <v>100713</v>
      </c>
      <c r="I20" s="100">
        <v>69913</v>
      </c>
      <c r="J20" s="122">
        <f t="shared" si="2"/>
        <v>26</v>
      </c>
      <c r="K20" s="106">
        <v>12775</v>
      </c>
      <c r="L20" s="123">
        <f t="shared" si="22"/>
        <v>6</v>
      </c>
      <c r="M20" s="130">
        <v>9520</v>
      </c>
      <c r="N20" s="124">
        <f t="shared" si="23"/>
        <v>9</v>
      </c>
      <c r="O20" s="125">
        <v>18054</v>
      </c>
      <c r="P20" s="124">
        <f t="shared" si="30"/>
        <v>15</v>
      </c>
      <c r="Q20" s="126">
        <v>55481</v>
      </c>
      <c r="R20" s="102">
        <f t="shared" si="3"/>
        <v>1</v>
      </c>
      <c r="S20" s="127">
        <v>24917</v>
      </c>
      <c r="T20" s="128">
        <f t="shared" si="4"/>
        <v>2</v>
      </c>
      <c r="U20" s="101">
        <v>8750</v>
      </c>
      <c r="V20" s="101">
        <v>388</v>
      </c>
      <c r="W20" s="102">
        <f t="shared" si="5"/>
        <v>7</v>
      </c>
      <c r="X20" s="127">
        <v>24280</v>
      </c>
      <c r="Y20" s="128">
        <f t="shared" si="6"/>
        <v>15</v>
      </c>
      <c r="Z20" s="129">
        <v>7369</v>
      </c>
      <c r="AA20" s="129">
        <v>6667</v>
      </c>
      <c r="AB20" s="102">
        <f t="shared" si="7"/>
        <v>4</v>
      </c>
      <c r="AC20" s="127">
        <v>1817</v>
      </c>
      <c r="AD20" s="127">
        <v>1255</v>
      </c>
      <c r="AE20" s="128">
        <f t="shared" si="8"/>
        <v>2</v>
      </c>
      <c r="AF20" s="104">
        <f t="shared" si="9"/>
        <v>10</v>
      </c>
      <c r="AG20" s="105">
        <f t="shared" si="10"/>
        <v>146771</v>
      </c>
      <c r="AH20" s="54">
        <v>158</v>
      </c>
      <c r="AI20" s="56">
        <v>174</v>
      </c>
      <c r="AJ20" s="56">
        <f t="shared" si="31"/>
        <v>16</v>
      </c>
      <c r="AK20" s="57">
        <v>1125355</v>
      </c>
      <c r="AL20" s="58">
        <f t="shared" si="12"/>
        <v>1619</v>
      </c>
      <c r="AM20" s="57">
        <v>46672</v>
      </c>
      <c r="AN20" s="59">
        <f t="shared" si="13"/>
        <v>35</v>
      </c>
      <c r="AO20" s="107">
        <v>50698</v>
      </c>
      <c r="AP20" s="61">
        <f t="shared" si="14"/>
        <v>0</v>
      </c>
      <c r="AQ20" s="60">
        <v>30144</v>
      </c>
      <c r="AR20" s="61">
        <f t="shared" si="15"/>
        <v>503</v>
      </c>
      <c r="AS20" s="60">
        <f t="shared" si="24"/>
        <v>1173646</v>
      </c>
      <c r="AT20" s="62">
        <v>1669</v>
      </c>
      <c r="AU20" s="56">
        <v>1409</v>
      </c>
      <c r="AV20" s="56">
        <f t="shared" si="32"/>
        <v>-260</v>
      </c>
      <c r="AW20" s="63"/>
      <c r="AX20" s="63">
        <v>27.49</v>
      </c>
      <c r="AY20" s="63"/>
      <c r="AZ20" s="63"/>
      <c r="BA20" s="64">
        <v>11547.43</v>
      </c>
      <c r="BB20" s="64">
        <f t="shared" si="33"/>
        <v>17863.999999997759</v>
      </c>
      <c r="BC20" s="55">
        <f t="shared" si="34"/>
        <v>0</v>
      </c>
      <c r="BD20" s="60">
        <f t="shared" si="35"/>
        <v>0</v>
      </c>
      <c r="BE20" s="65">
        <f t="shared" si="36"/>
        <v>0</v>
      </c>
      <c r="BF20" s="66">
        <f t="shared" si="37"/>
        <v>11574.92</v>
      </c>
      <c r="BG20" s="72">
        <f t="shared" si="38"/>
        <v>4.0599999999994907</v>
      </c>
      <c r="BH20" s="68">
        <f t="shared" si="39"/>
        <v>17863.999999997759</v>
      </c>
      <c r="BI20" s="119">
        <v>17863.999999997759</v>
      </c>
      <c r="BJ20" s="69">
        <v>16327.999999997759</v>
      </c>
      <c r="BK20" s="108">
        <v>22214.34</v>
      </c>
      <c r="BL20" s="108">
        <f t="shared" si="19"/>
        <v>627.00000000004366</v>
      </c>
      <c r="BM20" s="70">
        <v>18490.999999997803</v>
      </c>
      <c r="BN20" s="56">
        <v>18009</v>
      </c>
      <c r="BO20" s="56">
        <f t="shared" si="40"/>
        <v>-481.99999999780266</v>
      </c>
      <c r="BP20" s="109">
        <v>2530002</v>
      </c>
      <c r="BQ20" s="120">
        <v>19</v>
      </c>
      <c r="BR20" s="109">
        <v>3509199</v>
      </c>
      <c r="BS20" s="120">
        <v>1517</v>
      </c>
      <c r="BT20" s="71">
        <f t="shared" si="21"/>
        <v>1536</v>
      </c>
      <c r="BU20" s="117">
        <v>170</v>
      </c>
      <c r="BV20" s="117">
        <v>226</v>
      </c>
    </row>
    <row r="21" spans="1:74" ht="25" customHeight="1" x14ac:dyDescent="0.4">
      <c r="A21" s="52" t="s">
        <v>88</v>
      </c>
      <c r="B21" s="53"/>
      <c r="C21" s="99">
        <v>46140</v>
      </c>
      <c r="D21" s="99">
        <v>202602</v>
      </c>
      <c r="E21" s="121">
        <f t="shared" si="0"/>
        <v>93</v>
      </c>
      <c r="F21" s="121">
        <f t="shared" si="1"/>
        <v>76</v>
      </c>
      <c r="G21" s="99"/>
      <c r="H21" s="99">
        <v>100806</v>
      </c>
      <c r="I21" s="100">
        <v>69942</v>
      </c>
      <c r="J21" s="122">
        <f t="shared" si="2"/>
        <v>29</v>
      </c>
      <c r="K21" s="106">
        <v>12782</v>
      </c>
      <c r="L21" s="123">
        <f t="shared" si="22"/>
        <v>7</v>
      </c>
      <c r="M21" s="130">
        <v>9529</v>
      </c>
      <c r="N21" s="124">
        <f t="shared" si="23"/>
        <v>9</v>
      </c>
      <c r="O21" s="125">
        <v>18072</v>
      </c>
      <c r="P21" s="124">
        <f t="shared" si="30"/>
        <v>18</v>
      </c>
      <c r="Q21" s="126">
        <v>55484</v>
      </c>
      <c r="R21" s="102">
        <f t="shared" si="3"/>
        <v>3</v>
      </c>
      <c r="S21" s="127">
        <v>24918</v>
      </c>
      <c r="T21" s="128">
        <f t="shared" si="4"/>
        <v>1</v>
      </c>
      <c r="U21" s="101">
        <v>8750</v>
      </c>
      <c r="V21" s="101">
        <v>396</v>
      </c>
      <c r="W21" s="102">
        <f t="shared" si="5"/>
        <v>8</v>
      </c>
      <c r="X21" s="127">
        <v>24297</v>
      </c>
      <c r="Y21" s="128">
        <f t="shared" si="6"/>
        <v>17</v>
      </c>
      <c r="Z21" s="129">
        <v>7372</v>
      </c>
      <c r="AA21" s="129">
        <v>6668</v>
      </c>
      <c r="AB21" s="102">
        <f t="shared" si="7"/>
        <v>4</v>
      </c>
      <c r="AC21" s="127">
        <v>1820</v>
      </c>
      <c r="AD21" s="127">
        <v>1258</v>
      </c>
      <c r="AE21" s="128">
        <f t="shared" si="8"/>
        <v>6</v>
      </c>
      <c r="AF21" s="104">
        <f t="shared" si="9"/>
        <v>12</v>
      </c>
      <c r="AG21" s="105">
        <f t="shared" si="10"/>
        <v>146946</v>
      </c>
      <c r="AH21" s="54">
        <v>175</v>
      </c>
      <c r="AI21" s="56">
        <v>175</v>
      </c>
      <c r="AJ21" s="56">
        <f t="shared" si="31"/>
        <v>0</v>
      </c>
      <c r="AK21" s="57">
        <v>1126752</v>
      </c>
      <c r="AL21" s="58">
        <f t="shared" si="12"/>
        <v>1397</v>
      </c>
      <c r="AM21" s="57">
        <v>46717</v>
      </c>
      <c r="AN21" s="59">
        <f t="shared" si="13"/>
        <v>45</v>
      </c>
      <c r="AO21" s="107">
        <v>50698</v>
      </c>
      <c r="AP21" s="61">
        <f t="shared" si="14"/>
        <v>0</v>
      </c>
      <c r="AQ21" s="60">
        <v>30740</v>
      </c>
      <c r="AR21" s="61">
        <f t="shared" si="15"/>
        <v>596</v>
      </c>
      <c r="AS21" s="60">
        <f t="shared" si="24"/>
        <v>1174866</v>
      </c>
      <c r="AT21" s="62">
        <v>1432</v>
      </c>
      <c r="AU21" s="56">
        <v>1410</v>
      </c>
      <c r="AV21" s="56">
        <f t="shared" si="32"/>
        <v>-22</v>
      </c>
      <c r="AW21" s="63"/>
      <c r="AX21" s="63">
        <v>27.49</v>
      </c>
      <c r="AY21" s="63"/>
      <c r="AZ21" s="63"/>
      <c r="BA21" s="64">
        <v>11551.4</v>
      </c>
      <c r="BB21" s="64">
        <f t="shared" si="33"/>
        <v>17467.999999997119</v>
      </c>
      <c r="BC21" s="55">
        <f t="shared" si="34"/>
        <v>0</v>
      </c>
      <c r="BD21" s="60">
        <f t="shared" si="35"/>
        <v>0</v>
      </c>
      <c r="BE21" s="65">
        <f t="shared" si="36"/>
        <v>0</v>
      </c>
      <c r="BF21" s="66">
        <f t="shared" si="37"/>
        <v>11578.89</v>
      </c>
      <c r="BG21" s="72">
        <f t="shared" si="38"/>
        <v>3.9699999999993452</v>
      </c>
      <c r="BH21" s="68">
        <f t="shared" si="39"/>
        <v>17467.999999997119</v>
      </c>
      <c r="BI21" s="119">
        <v>17467.999999997119</v>
      </c>
      <c r="BJ21" s="69">
        <v>15516.999999997119</v>
      </c>
      <c r="BK21" s="108">
        <v>22220.26</v>
      </c>
      <c r="BL21" s="108">
        <f t="shared" si="19"/>
        <v>591.99999999982538</v>
      </c>
      <c r="BM21" s="70">
        <v>18059.999999996944</v>
      </c>
      <c r="BN21" s="56">
        <v>18010</v>
      </c>
      <c r="BO21" s="56">
        <f t="shared" si="40"/>
        <v>-49.999999996944098</v>
      </c>
      <c r="BP21" s="109">
        <v>2530021</v>
      </c>
      <c r="BQ21" s="120">
        <v>19</v>
      </c>
      <c r="BR21" s="109">
        <v>3511131</v>
      </c>
      <c r="BS21" s="120">
        <v>1932</v>
      </c>
      <c r="BT21" s="71">
        <f t="shared" si="21"/>
        <v>1951</v>
      </c>
      <c r="BU21" s="117">
        <v>157</v>
      </c>
      <c r="BV21" s="117">
        <v>234</v>
      </c>
    </row>
    <row r="22" spans="1:74" ht="25" customHeight="1" x14ac:dyDescent="0.4">
      <c r="A22" s="52" t="s">
        <v>89</v>
      </c>
      <c r="B22" s="53"/>
      <c r="C22" s="99">
        <v>46224</v>
      </c>
      <c r="D22" s="99">
        <v>202712</v>
      </c>
      <c r="E22" s="121">
        <f t="shared" si="0"/>
        <v>110</v>
      </c>
      <c r="F22" s="121">
        <f t="shared" si="1"/>
        <v>83</v>
      </c>
      <c r="G22" s="99"/>
      <c r="H22" s="99">
        <v>100898</v>
      </c>
      <c r="I22" s="100">
        <v>69968</v>
      </c>
      <c r="J22" s="122">
        <f t="shared" si="2"/>
        <v>26</v>
      </c>
      <c r="K22" s="106">
        <v>12788</v>
      </c>
      <c r="L22" s="123">
        <f t="shared" si="22"/>
        <v>6</v>
      </c>
      <c r="M22" s="130">
        <v>9538</v>
      </c>
      <c r="N22" s="124">
        <f t="shared" si="23"/>
        <v>9</v>
      </c>
      <c r="O22" s="125">
        <v>18090</v>
      </c>
      <c r="P22" s="124">
        <f t="shared" si="30"/>
        <v>18</v>
      </c>
      <c r="Q22" s="126">
        <v>55486</v>
      </c>
      <c r="R22" s="102">
        <f t="shared" si="3"/>
        <v>2</v>
      </c>
      <c r="S22" s="127">
        <v>24920</v>
      </c>
      <c r="T22" s="128">
        <f t="shared" si="4"/>
        <v>2</v>
      </c>
      <c r="U22" s="101">
        <v>8752</v>
      </c>
      <c r="V22" s="101">
        <v>403</v>
      </c>
      <c r="W22" s="102">
        <f t="shared" si="5"/>
        <v>9</v>
      </c>
      <c r="X22" s="127">
        <v>24324</v>
      </c>
      <c r="Y22" s="128">
        <f t="shared" si="6"/>
        <v>27</v>
      </c>
      <c r="Z22" s="129">
        <v>7374</v>
      </c>
      <c r="AA22" s="129">
        <v>6669</v>
      </c>
      <c r="AB22" s="102">
        <f t="shared" si="7"/>
        <v>3</v>
      </c>
      <c r="AC22" s="127">
        <v>1821</v>
      </c>
      <c r="AD22" s="127">
        <v>1259</v>
      </c>
      <c r="AE22" s="128">
        <f t="shared" si="8"/>
        <v>2</v>
      </c>
      <c r="AF22" s="104">
        <f t="shared" si="9"/>
        <v>13</v>
      </c>
      <c r="AG22" s="105">
        <f t="shared" si="10"/>
        <v>147122</v>
      </c>
      <c r="AH22" s="54">
        <v>176</v>
      </c>
      <c r="AI22" s="56">
        <v>176</v>
      </c>
      <c r="AJ22" s="56">
        <f t="shared" si="31"/>
        <v>0</v>
      </c>
      <c r="AK22" s="57">
        <v>1128140</v>
      </c>
      <c r="AL22" s="58">
        <f t="shared" si="12"/>
        <v>1388</v>
      </c>
      <c r="AM22" s="57">
        <v>46762</v>
      </c>
      <c r="AN22" s="59">
        <f t="shared" si="13"/>
        <v>45</v>
      </c>
      <c r="AO22" s="107">
        <v>50698</v>
      </c>
      <c r="AP22" s="61">
        <f t="shared" si="14"/>
        <v>0</v>
      </c>
      <c r="AQ22" s="60">
        <v>31270</v>
      </c>
      <c r="AR22" s="61">
        <f t="shared" si="15"/>
        <v>530</v>
      </c>
      <c r="AS22" s="60">
        <f t="shared" si="24"/>
        <v>1176290</v>
      </c>
      <c r="AT22" s="62">
        <v>1433</v>
      </c>
      <c r="AU22" s="56">
        <v>1411</v>
      </c>
      <c r="AV22" s="56">
        <f t="shared" si="32"/>
        <v>-22</v>
      </c>
      <c r="AW22" s="63"/>
      <c r="AX22" s="63">
        <v>27.49</v>
      </c>
      <c r="AY22" s="63"/>
      <c r="AZ22" s="63"/>
      <c r="BA22" s="64">
        <v>11555.48</v>
      </c>
      <c r="BB22" s="64">
        <f t="shared" si="33"/>
        <v>17951.99999999968</v>
      </c>
      <c r="BC22" s="55">
        <f t="shared" si="34"/>
        <v>0</v>
      </c>
      <c r="BD22" s="60">
        <f t="shared" si="35"/>
        <v>0</v>
      </c>
      <c r="BE22" s="65">
        <f t="shared" si="36"/>
        <v>0</v>
      </c>
      <c r="BF22" s="66">
        <f t="shared" si="37"/>
        <v>11582.97</v>
      </c>
      <c r="BG22" s="72">
        <f t="shared" si="38"/>
        <v>4.0799999999999272</v>
      </c>
      <c r="BH22" s="68">
        <f t="shared" si="39"/>
        <v>17951.99999999968</v>
      </c>
      <c r="BI22" s="119">
        <v>17951.99999999968</v>
      </c>
      <c r="BJ22" s="69">
        <v>15386.99999999968</v>
      </c>
      <c r="BK22" s="108">
        <v>22225.67</v>
      </c>
      <c r="BL22" s="108">
        <f t="shared" si="19"/>
        <v>540.99999999998545</v>
      </c>
      <c r="BM22" s="70">
        <v>18492.999999999665</v>
      </c>
      <c r="BN22" s="56">
        <v>18011</v>
      </c>
      <c r="BO22" s="56">
        <f t="shared" si="40"/>
        <v>-481.99999999966531</v>
      </c>
      <c r="BP22" s="109">
        <v>2530040</v>
      </c>
      <c r="BQ22" s="120">
        <v>19</v>
      </c>
      <c r="BR22" s="109">
        <v>3513677</v>
      </c>
      <c r="BS22" s="120">
        <v>2546</v>
      </c>
      <c r="BT22" s="71">
        <f t="shared" si="21"/>
        <v>2565</v>
      </c>
      <c r="BU22" s="117">
        <v>159</v>
      </c>
      <c r="BV22" s="117">
        <v>282</v>
      </c>
    </row>
    <row r="23" spans="1:74" ht="25" customHeight="1" x14ac:dyDescent="0.4">
      <c r="A23" s="52" t="s">
        <v>90</v>
      </c>
      <c r="B23" s="53"/>
      <c r="C23" s="99">
        <v>46307</v>
      </c>
      <c r="D23" s="99">
        <v>202823</v>
      </c>
      <c r="E23" s="121">
        <f t="shared" si="0"/>
        <v>111</v>
      </c>
      <c r="F23" s="121">
        <f t="shared" si="1"/>
        <v>85</v>
      </c>
      <c r="G23" s="99"/>
      <c r="H23" s="99">
        <v>100992</v>
      </c>
      <c r="I23" s="100">
        <v>69996</v>
      </c>
      <c r="J23" s="122">
        <f t="shared" si="2"/>
        <v>28</v>
      </c>
      <c r="K23" s="106">
        <v>12794</v>
      </c>
      <c r="L23" s="123">
        <f t="shared" si="22"/>
        <v>6</v>
      </c>
      <c r="M23" s="130">
        <v>9546</v>
      </c>
      <c r="N23" s="124">
        <f t="shared" si="23"/>
        <v>8</v>
      </c>
      <c r="O23" s="125">
        <v>18108</v>
      </c>
      <c r="P23" s="124">
        <f t="shared" si="30"/>
        <v>18</v>
      </c>
      <c r="Q23" s="126">
        <v>55490</v>
      </c>
      <c r="R23" s="102">
        <f t="shared" si="3"/>
        <v>4</v>
      </c>
      <c r="S23" s="127">
        <v>24921</v>
      </c>
      <c r="T23" s="128">
        <f t="shared" si="4"/>
        <v>1</v>
      </c>
      <c r="U23" s="101">
        <v>8752</v>
      </c>
      <c r="V23" s="101">
        <v>410</v>
      </c>
      <c r="W23" s="102">
        <f t="shared" si="5"/>
        <v>7</v>
      </c>
      <c r="X23" s="127">
        <v>24350</v>
      </c>
      <c r="Y23" s="128">
        <f t="shared" si="6"/>
        <v>26</v>
      </c>
      <c r="Z23" s="129">
        <v>7376</v>
      </c>
      <c r="AA23" s="129">
        <v>6670</v>
      </c>
      <c r="AB23" s="102">
        <f t="shared" si="7"/>
        <v>3</v>
      </c>
      <c r="AC23" s="127">
        <v>1822</v>
      </c>
      <c r="AD23" s="127">
        <v>1259</v>
      </c>
      <c r="AE23" s="128">
        <f t="shared" si="8"/>
        <v>1</v>
      </c>
      <c r="AF23" s="104">
        <f t="shared" si="9"/>
        <v>12</v>
      </c>
      <c r="AG23" s="105">
        <f t="shared" si="10"/>
        <v>147299</v>
      </c>
      <c r="AH23" s="54">
        <v>177</v>
      </c>
      <c r="AI23" s="56">
        <v>177</v>
      </c>
      <c r="AJ23" s="56">
        <f t="shared" si="31"/>
        <v>0</v>
      </c>
      <c r="AK23" s="57">
        <v>1129466</v>
      </c>
      <c r="AL23" s="58">
        <f t="shared" si="12"/>
        <v>1326</v>
      </c>
      <c r="AM23" s="57">
        <v>46811</v>
      </c>
      <c r="AN23" s="59">
        <f t="shared" si="13"/>
        <v>49</v>
      </c>
      <c r="AO23" s="107">
        <v>50698</v>
      </c>
      <c r="AP23" s="61">
        <f t="shared" si="14"/>
        <v>0</v>
      </c>
      <c r="AQ23" s="60">
        <v>31810</v>
      </c>
      <c r="AR23" s="61">
        <f t="shared" si="15"/>
        <v>540</v>
      </c>
      <c r="AS23" s="60">
        <f t="shared" si="24"/>
        <v>1177603</v>
      </c>
      <c r="AT23" s="62">
        <v>1371</v>
      </c>
      <c r="AU23" s="56">
        <v>1412</v>
      </c>
      <c r="AV23" s="56">
        <f t="shared" si="32"/>
        <v>41</v>
      </c>
      <c r="AW23" s="63"/>
      <c r="AX23" s="63">
        <v>27.49</v>
      </c>
      <c r="AY23" s="63"/>
      <c r="AZ23" s="63"/>
      <c r="BA23" s="64">
        <v>11559.53</v>
      </c>
      <c r="BB23" s="64">
        <f t="shared" si="33"/>
        <v>17820.000000004802</v>
      </c>
      <c r="BC23" s="55">
        <f t="shared" si="34"/>
        <v>0</v>
      </c>
      <c r="BD23" s="60">
        <f t="shared" si="35"/>
        <v>0</v>
      </c>
      <c r="BE23" s="65">
        <f t="shared" si="36"/>
        <v>0</v>
      </c>
      <c r="BF23" s="66">
        <f t="shared" si="37"/>
        <v>11587.02</v>
      </c>
      <c r="BG23" s="72">
        <f t="shared" si="38"/>
        <v>4.0500000000010914</v>
      </c>
      <c r="BH23" s="68">
        <f t="shared" si="39"/>
        <v>17820.000000004802</v>
      </c>
      <c r="BI23" s="119">
        <v>17820.000000004802</v>
      </c>
      <c r="BJ23" s="69">
        <v>15116.000000004802</v>
      </c>
      <c r="BK23" s="108">
        <v>22230.78</v>
      </c>
      <c r="BL23" s="108">
        <f t="shared" si="19"/>
        <v>511.00000000005821</v>
      </c>
      <c r="BM23" s="70">
        <v>18331.00000000486</v>
      </c>
      <c r="BN23" s="56">
        <v>18012</v>
      </c>
      <c r="BO23" s="56">
        <f t="shared" si="40"/>
        <v>-319.00000000486034</v>
      </c>
      <c r="BP23" s="109">
        <v>2530059</v>
      </c>
      <c r="BQ23" s="120">
        <v>19</v>
      </c>
      <c r="BR23" s="109">
        <v>3516362</v>
      </c>
      <c r="BS23" s="120">
        <v>2685</v>
      </c>
      <c r="BT23" s="71">
        <f t="shared" si="21"/>
        <v>2704</v>
      </c>
      <c r="BU23" s="117">
        <v>153</v>
      </c>
      <c r="BV23" s="117">
        <v>251</v>
      </c>
    </row>
    <row r="24" spans="1:74" ht="25" customHeight="1" x14ac:dyDescent="0.4">
      <c r="A24" s="52" t="s">
        <v>91</v>
      </c>
      <c r="B24" s="53"/>
      <c r="C24" s="99">
        <v>46397</v>
      </c>
      <c r="D24" s="99">
        <v>202927</v>
      </c>
      <c r="E24" s="121">
        <f t="shared" si="0"/>
        <v>104</v>
      </c>
      <c r="F24" s="121">
        <f t="shared" si="1"/>
        <v>78</v>
      </c>
      <c r="G24" s="99"/>
      <c r="H24" s="99">
        <v>101084</v>
      </c>
      <c r="I24" s="100">
        <v>70029</v>
      </c>
      <c r="J24" s="122">
        <f t="shared" si="2"/>
        <v>33</v>
      </c>
      <c r="K24" s="106">
        <v>12801</v>
      </c>
      <c r="L24" s="123">
        <f t="shared" si="22"/>
        <v>7</v>
      </c>
      <c r="M24" s="130">
        <v>9554</v>
      </c>
      <c r="N24" s="124">
        <f t="shared" si="23"/>
        <v>8</v>
      </c>
      <c r="O24" s="131">
        <v>18128</v>
      </c>
      <c r="P24" s="124">
        <f t="shared" si="30"/>
        <v>20</v>
      </c>
      <c r="Q24" s="126">
        <v>55494</v>
      </c>
      <c r="R24" s="102">
        <f t="shared" si="3"/>
        <v>4</v>
      </c>
      <c r="S24" s="127">
        <v>24922</v>
      </c>
      <c r="T24" s="128">
        <f t="shared" si="4"/>
        <v>1</v>
      </c>
      <c r="U24" s="101">
        <v>8752</v>
      </c>
      <c r="V24" s="101">
        <v>417</v>
      </c>
      <c r="W24" s="102">
        <f t="shared" si="5"/>
        <v>7</v>
      </c>
      <c r="X24" s="127">
        <v>24376</v>
      </c>
      <c r="Y24" s="128">
        <f t="shared" si="6"/>
        <v>26</v>
      </c>
      <c r="Z24" s="129">
        <v>7378</v>
      </c>
      <c r="AA24" s="129">
        <v>6671</v>
      </c>
      <c r="AB24" s="102">
        <f t="shared" si="7"/>
        <v>3</v>
      </c>
      <c r="AC24" s="127">
        <v>1823</v>
      </c>
      <c r="AD24" s="127">
        <v>1260</v>
      </c>
      <c r="AE24" s="128">
        <f t="shared" si="8"/>
        <v>2</v>
      </c>
      <c r="AF24" s="104">
        <f t="shared" si="9"/>
        <v>12</v>
      </c>
      <c r="AG24" s="105">
        <f t="shared" si="10"/>
        <v>147481</v>
      </c>
      <c r="AH24" s="54">
        <v>182</v>
      </c>
      <c r="AI24" s="56">
        <v>178</v>
      </c>
      <c r="AJ24" s="56">
        <f t="shared" si="31"/>
        <v>-4</v>
      </c>
      <c r="AK24" s="57">
        <v>1130862</v>
      </c>
      <c r="AL24" s="58">
        <f t="shared" si="12"/>
        <v>1396</v>
      </c>
      <c r="AM24" s="57">
        <v>46849</v>
      </c>
      <c r="AN24" s="59">
        <f t="shared" si="13"/>
        <v>38</v>
      </c>
      <c r="AO24" s="107">
        <v>50698</v>
      </c>
      <c r="AP24" s="61">
        <f t="shared" si="14"/>
        <v>0</v>
      </c>
      <c r="AQ24" s="60">
        <v>32427</v>
      </c>
      <c r="AR24" s="61">
        <f t="shared" si="15"/>
        <v>617</v>
      </c>
      <c r="AS24" s="60">
        <f t="shared" si="24"/>
        <v>1179107</v>
      </c>
      <c r="AT24" s="62">
        <v>1445</v>
      </c>
      <c r="AU24" s="56">
        <v>1413</v>
      </c>
      <c r="AV24" s="56">
        <f t="shared" si="32"/>
        <v>-32</v>
      </c>
      <c r="AW24" s="63"/>
      <c r="AX24" s="63">
        <v>27.49</v>
      </c>
      <c r="AY24" s="63"/>
      <c r="AZ24" s="63"/>
      <c r="BA24" s="64">
        <v>11563.56</v>
      </c>
      <c r="BB24" s="64">
        <f t="shared" si="33"/>
        <v>17731.999999994878</v>
      </c>
      <c r="BC24" s="55">
        <f t="shared" si="34"/>
        <v>0</v>
      </c>
      <c r="BD24" s="60">
        <f t="shared" si="35"/>
        <v>0</v>
      </c>
      <c r="BE24" s="65">
        <f t="shared" si="36"/>
        <v>0</v>
      </c>
      <c r="BF24" s="66">
        <f t="shared" si="37"/>
        <v>11591.05</v>
      </c>
      <c r="BG24" s="72">
        <f t="shared" si="38"/>
        <v>4.0299999999988358</v>
      </c>
      <c r="BH24" s="68">
        <f t="shared" si="39"/>
        <v>17731.999999994878</v>
      </c>
      <c r="BI24" s="119">
        <v>17731.999999994878</v>
      </c>
      <c r="BJ24" s="69">
        <v>15154.999999994878</v>
      </c>
      <c r="BK24" s="108">
        <v>22237.06</v>
      </c>
      <c r="BL24" s="108">
        <f t="shared" si="19"/>
        <v>628.00000000024738</v>
      </c>
      <c r="BM24" s="70">
        <v>18359.999999995125</v>
      </c>
      <c r="BN24" s="56">
        <v>18013</v>
      </c>
      <c r="BO24" s="56">
        <f t="shared" si="40"/>
        <v>-346.99999999512511</v>
      </c>
      <c r="BP24" s="109">
        <v>2530078</v>
      </c>
      <c r="BQ24" s="120">
        <v>19</v>
      </c>
      <c r="BR24" s="109">
        <v>3518920</v>
      </c>
      <c r="BS24" s="120">
        <v>2558</v>
      </c>
      <c r="BT24" s="71">
        <f t="shared" si="21"/>
        <v>2577</v>
      </c>
      <c r="BU24" s="117">
        <v>175</v>
      </c>
      <c r="BV24" s="117">
        <v>261</v>
      </c>
    </row>
    <row r="25" spans="1:74" ht="25" customHeight="1" x14ac:dyDescent="0.4">
      <c r="A25" s="52" t="s">
        <v>92</v>
      </c>
      <c r="B25" s="53"/>
      <c r="C25" s="99">
        <v>46479</v>
      </c>
      <c r="D25" s="99">
        <v>203029</v>
      </c>
      <c r="E25" s="121">
        <f t="shared" si="0"/>
        <v>102</v>
      </c>
      <c r="F25" s="121">
        <f t="shared" si="1"/>
        <v>78</v>
      </c>
      <c r="G25" s="99"/>
      <c r="H25" s="99">
        <v>101181</v>
      </c>
      <c r="I25" s="100">
        <v>70060</v>
      </c>
      <c r="J25" s="122">
        <f t="shared" si="2"/>
        <v>31</v>
      </c>
      <c r="K25" s="106">
        <v>12807</v>
      </c>
      <c r="L25" s="123">
        <f t="shared" si="22"/>
        <v>6</v>
      </c>
      <c r="M25" s="132">
        <v>9563</v>
      </c>
      <c r="N25" s="124">
        <f t="shared" si="23"/>
        <v>9</v>
      </c>
      <c r="O25" s="131">
        <v>18144</v>
      </c>
      <c r="P25" s="124">
        <f t="shared" si="30"/>
        <v>16</v>
      </c>
      <c r="Q25" s="126">
        <v>55499</v>
      </c>
      <c r="R25" s="102">
        <f t="shared" si="3"/>
        <v>5</v>
      </c>
      <c r="S25" s="127">
        <v>24924</v>
      </c>
      <c r="T25" s="128">
        <f t="shared" si="4"/>
        <v>2</v>
      </c>
      <c r="U25" s="101">
        <v>8752</v>
      </c>
      <c r="V25" s="101">
        <v>425</v>
      </c>
      <c r="W25" s="102">
        <f t="shared" si="5"/>
        <v>8</v>
      </c>
      <c r="X25" s="127">
        <v>24400</v>
      </c>
      <c r="Y25" s="128">
        <f t="shared" si="6"/>
        <v>24</v>
      </c>
      <c r="Z25" s="129">
        <v>7381</v>
      </c>
      <c r="AA25" s="129">
        <v>6672</v>
      </c>
      <c r="AB25" s="102">
        <f t="shared" si="7"/>
        <v>4</v>
      </c>
      <c r="AC25" s="127">
        <v>1825</v>
      </c>
      <c r="AD25" s="127">
        <v>1262</v>
      </c>
      <c r="AE25" s="128">
        <f t="shared" si="8"/>
        <v>4</v>
      </c>
      <c r="AF25" s="104">
        <f t="shared" si="9"/>
        <v>15</v>
      </c>
      <c r="AG25" s="105">
        <f t="shared" si="10"/>
        <v>147660</v>
      </c>
      <c r="AH25" s="54">
        <v>179</v>
      </c>
      <c r="AI25" s="56">
        <v>179</v>
      </c>
      <c r="AJ25" s="56">
        <f t="shared" si="31"/>
        <v>0</v>
      </c>
      <c r="AK25" s="57">
        <v>1132315</v>
      </c>
      <c r="AL25" s="58">
        <f t="shared" si="12"/>
        <v>1453</v>
      </c>
      <c r="AM25" s="57">
        <v>46890</v>
      </c>
      <c r="AN25" s="59">
        <f t="shared" si="13"/>
        <v>41</v>
      </c>
      <c r="AO25" s="107">
        <v>50698</v>
      </c>
      <c r="AP25" s="61">
        <f t="shared" si="14"/>
        <v>0</v>
      </c>
      <c r="AQ25" s="60">
        <v>33049</v>
      </c>
      <c r="AR25" s="61">
        <f t="shared" si="15"/>
        <v>622</v>
      </c>
      <c r="AS25" s="60">
        <f t="shared" si="24"/>
        <v>1180658</v>
      </c>
      <c r="AT25" s="62">
        <v>1491</v>
      </c>
      <c r="AU25" s="56">
        <v>1414</v>
      </c>
      <c r="AV25" s="56">
        <f t="shared" si="32"/>
        <v>-77</v>
      </c>
      <c r="AW25" s="63"/>
      <c r="AX25" s="63">
        <v>27.49</v>
      </c>
      <c r="AY25" s="63"/>
      <c r="AZ25" s="63"/>
      <c r="BA25" s="64">
        <v>11567.67</v>
      </c>
      <c r="BB25" s="64">
        <f t="shared" si="33"/>
        <v>18084.000000002561</v>
      </c>
      <c r="BC25" s="55">
        <f t="shared" si="34"/>
        <v>0</v>
      </c>
      <c r="BD25" s="60">
        <f t="shared" si="35"/>
        <v>0</v>
      </c>
      <c r="BE25" s="65">
        <f t="shared" si="36"/>
        <v>0</v>
      </c>
      <c r="BF25" s="66">
        <f t="shared" si="37"/>
        <v>11595.16</v>
      </c>
      <c r="BG25" s="72">
        <f t="shared" si="38"/>
        <v>4.1100000000005821</v>
      </c>
      <c r="BH25" s="68">
        <f t="shared" si="39"/>
        <v>18084.000000002561</v>
      </c>
      <c r="BI25" s="119">
        <v>18084.000000002561</v>
      </c>
      <c r="BJ25" s="69">
        <v>15439.000000002561</v>
      </c>
      <c r="BK25" s="108">
        <v>22242.77</v>
      </c>
      <c r="BL25" s="108">
        <f t="shared" si="19"/>
        <v>570.99999999991269</v>
      </c>
      <c r="BM25" s="70">
        <v>18655.000000002474</v>
      </c>
      <c r="BN25" s="56">
        <v>18014</v>
      </c>
      <c r="BO25" s="56">
        <f t="shared" si="40"/>
        <v>-641.00000000247383</v>
      </c>
      <c r="BP25" s="109">
        <v>2530097</v>
      </c>
      <c r="BQ25" s="120">
        <v>19</v>
      </c>
      <c r="BR25" s="109">
        <v>3521546</v>
      </c>
      <c r="BS25" s="120">
        <v>2626</v>
      </c>
      <c r="BT25" s="71">
        <f t="shared" si="21"/>
        <v>2645</v>
      </c>
      <c r="BU25" s="117">
        <v>176</v>
      </c>
      <c r="BV25" s="117">
        <v>256</v>
      </c>
    </row>
    <row r="26" spans="1:74" ht="25" customHeight="1" x14ac:dyDescent="0.4">
      <c r="A26" s="52" t="s">
        <v>93</v>
      </c>
      <c r="B26" s="53"/>
      <c r="C26" s="99">
        <v>46559</v>
      </c>
      <c r="D26" s="99">
        <v>203124</v>
      </c>
      <c r="E26" s="121">
        <f t="shared" si="0"/>
        <v>95</v>
      </c>
      <c r="F26" s="121">
        <f t="shared" si="1"/>
        <v>76</v>
      </c>
      <c r="G26" s="99"/>
      <c r="H26" s="99">
        <v>101272</v>
      </c>
      <c r="I26" s="100">
        <v>70090</v>
      </c>
      <c r="J26" s="122">
        <f t="shared" si="2"/>
        <v>30</v>
      </c>
      <c r="K26" s="106">
        <v>12814</v>
      </c>
      <c r="L26" s="123">
        <f t="shared" si="22"/>
        <v>7</v>
      </c>
      <c r="M26" s="132">
        <v>9571</v>
      </c>
      <c r="N26" s="124">
        <f t="shared" si="23"/>
        <v>8</v>
      </c>
      <c r="O26" s="131">
        <v>18161</v>
      </c>
      <c r="P26" s="124">
        <f t="shared" si="30"/>
        <v>17</v>
      </c>
      <c r="Q26" s="126">
        <v>55501</v>
      </c>
      <c r="R26" s="102">
        <f t="shared" si="3"/>
        <v>2</v>
      </c>
      <c r="S26" s="127">
        <v>24925</v>
      </c>
      <c r="T26" s="128">
        <f t="shared" si="4"/>
        <v>1</v>
      </c>
      <c r="U26" s="101">
        <v>8752</v>
      </c>
      <c r="V26" s="101">
        <v>433</v>
      </c>
      <c r="W26" s="102">
        <f t="shared" si="5"/>
        <v>8</v>
      </c>
      <c r="X26" s="127">
        <v>24419</v>
      </c>
      <c r="Y26" s="128">
        <f t="shared" si="6"/>
        <v>19</v>
      </c>
      <c r="Z26" s="129">
        <v>7383</v>
      </c>
      <c r="AA26" s="129">
        <v>6674</v>
      </c>
      <c r="AB26" s="102">
        <f t="shared" si="7"/>
        <v>4</v>
      </c>
      <c r="AC26" s="127">
        <v>1827</v>
      </c>
      <c r="AD26" s="127">
        <v>1263</v>
      </c>
      <c r="AE26" s="128">
        <f t="shared" si="8"/>
        <v>3</v>
      </c>
      <c r="AF26" s="104">
        <f t="shared" si="9"/>
        <v>11</v>
      </c>
      <c r="AG26" s="105">
        <f t="shared" si="10"/>
        <v>147831</v>
      </c>
      <c r="AH26" s="54">
        <v>171</v>
      </c>
      <c r="AI26" s="56">
        <v>180</v>
      </c>
      <c r="AJ26" s="56">
        <f t="shared" si="31"/>
        <v>9</v>
      </c>
      <c r="AK26" s="57">
        <v>1133717</v>
      </c>
      <c r="AL26" s="58">
        <f t="shared" si="12"/>
        <v>1402</v>
      </c>
      <c r="AM26" s="57">
        <v>46931</v>
      </c>
      <c r="AN26" s="59">
        <f t="shared" si="13"/>
        <v>41</v>
      </c>
      <c r="AO26" s="107">
        <v>50698</v>
      </c>
      <c r="AP26" s="61">
        <f t="shared" si="14"/>
        <v>0</v>
      </c>
      <c r="AQ26" s="60">
        <v>33585</v>
      </c>
      <c r="AR26" s="61">
        <f t="shared" si="15"/>
        <v>536</v>
      </c>
      <c r="AS26" s="60">
        <f t="shared" si="24"/>
        <v>1182050</v>
      </c>
      <c r="AT26" s="62">
        <v>1443</v>
      </c>
      <c r="AU26" s="56">
        <v>1415</v>
      </c>
      <c r="AV26" s="56">
        <f t="shared" si="32"/>
        <v>-28</v>
      </c>
      <c r="AW26" s="63"/>
      <c r="AX26" s="63">
        <v>27.49</v>
      </c>
      <c r="AY26" s="63"/>
      <c r="AZ26" s="63"/>
      <c r="BA26" s="64">
        <v>11571.83</v>
      </c>
      <c r="BB26" s="64">
        <f t="shared" si="33"/>
        <v>18303.99999999936</v>
      </c>
      <c r="BC26" s="55">
        <f t="shared" si="34"/>
        <v>0</v>
      </c>
      <c r="BD26" s="60">
        <f t="shared" si="35"/>
        <v>0</v>
      </c>
      <c r="BE26" s="65">
        <f t="shared" si="36"/>
        <v>0</v>
      </c>
      <c r="BF26" s="66">
        <f t="shared" si="37"/>
        <v>11599.32</v>
      </c>
      <c r="BG26" s="72">
        <f t="shared" si="38"/>
        <v>4.1599999999998545</v>
      </c>
      <c r="BH26" s="68">
        <f t="shared" si="39"/>
        <v>18303.99999999936</v>
      </c>
      <c r="BI26" s="119">
        <v>18303.99999999936</v>
      </c>
      <c r="BJ26" s="69">
        <v>15952.99999999936</v>
      </c>
      <c r="BK26" s="108">
        <v>22248.17</v>
      </c>
      <c r="BL26" s="108">
        <f t="shared" si="19"/>
        <v>539.99999999978172</v>
      </c>
      <c r="BM26" s="70">
        <v>18843.999999999141</v>
      </c>
      <c r="BN26" s="56">
        <v>18015</v>
      </c>
      <c r="BO26" s="56">
        <f t="shared" si="40"/>
        <v>-828.99999999914144</v>
      </c>
      <c r="BP26" s="109">
        <v>2530116</v>
      </c>
      <c r="BQ26" s="120">
        <v>19</v>
      </c>
      <c r="BR26" s="109">
        <v>3523878</v>
      </c>
      <c r="BS26" s="120">
        <v>2332</v>
      </c>
      <c r="BT26" s="71">
        <f t="shared" si="21"/>
        <v>2351</v>
      </c>
      <c r="BU26" s="117">
        <v>179</v>
      </c>
      <c r="BV26" s="117">
        <v>254</v>
      </c>
    </row>
    <row r="27" spans="1:74" ht="25" customHeight="1" x14ac:dyDescent="0.4">
      <c r="A27" s="52" t="s">
        <v>94</v>
      </c>
      <c r="B27" s="53"/>
      <c r="C27" s="99">
        <v>46642</v>
      </c>
      <c r="D27" s="99">
        <v>203220</v>
      </c>
      <c r="E27" s="121">
        <f t="shared" si="0"/>
        <v>96</v>
      </c>
      <c r="F27" s="121">
        <f t="shared" si="1"/>
        <v>80</v>
      </c>
      <c r="G27" s="99"/>
      <c r="H27" s="99">
        <v>101363</v>
      </c>
      <c r="I27" s="100">
        <v>70120</v>
      </c>
      <c r="J27" s="122">
        <f t="shared" si="2"/>
        <v>30</v>
      </c>
      <c r="K27" s="106">
        <v>12822</v>
      </c>
      <c r="L27" s="123">
        <f t="shared" si="22"/>
        <v>8</v>
      </c>
      <c r="M27" s="132">
        <v>9581</v>
      </c>
      <c r="N27" s="124">
        <f t="shared" si="23"/>
        <v>10</v>
      </c>
      <c r="O27" s="131">
        <v>18181</v>
      </c>
      <c r="P27" s="124">
        <f t="shared" si="30"/>
        <v>20</v>
      </c>
      <c r="Q27" s="126">
        <v>55503</v>
      </c>
      <c r="R27" s="102">
        <f t="shared" si="3"/>
        <v>2</v>
      </c>
      <c r="S27" s="127">
        <v>24927</v>
      </c>
      <c r="T27" s="128">
        <f t="shared" si="4"/>
        <v>2</v>
      </c>
      <c r="U27" s="101">
        <v>8752</v>
      </c>
      <c r="V27" s="101">
        <v>439</v>
      </c>
      <c r="W27" s="102">
        <f t="shared" si="5"/>
        <v>6</v>
      </c>
      <c r="X27" s="127">
        <v>24435</v>
      </c>
      <c r="Y27" s="128">
        <f t="shared" si="6"/>
        <v>16</v>
      </c>
      <c r="Z27" s="129">
        <v>7385</v>
      </c>
      <c r="AA27" s="129">
        <v>6675</v>
      </c>
      <c r="AB27" s="102">
        <f t="shared" si="7"/>
        <v>3</v>
      </c>
      <c r="AC27" s="127">
        <v>1828</v>
      </c>
      <c r="AD27" s="127">
        <v>1264</v>
      </c>
      <c r="AE27" s="128">
        <f t="shared" si="8"/>
        <v>2</v>
      </c>
      <c r="AF27" s="104">
        <f t="shared" si="9"/>
        <v>10</v>
      </c>
      <c r="AG27" s="105">
        <f t="shared" si="10"/>
        <v>148005</v>
      </c>
      <c r="AH27" s="54">
        <v>174</v>
      </c>
      <c r="AI27" s="56">
        <v>181</v>
      </c>
      <c r="AJ27" s="56">
        <f t="shared" si="31"/>
        <v>7</v>
      </c>
      <c r="AK27" s="57">
        <v>1135241</v>
      </c>
      <c r="AL27" s="58">
        <f t="shared" si="12"/>
        <v>1524</v>
      </c>
      <c r="AM27" s="57">
        <v>46973</v>
      </c>
      <c r="AN27" s="59">
        <f t="shared" si="13"/>
        <v>42</v>
      </c>
      <c r="AO27" s="107">
        <v>50698</v>
      </c>
      <c r="AP27" s="61">
        <f t="shared" si="14"/>
        <v>0</v>
      </c>
      <c r="AQ27" s="60">
        <v>34134</v>
      </c>
      <c r="AR27" s="61">
        <f t="shared" si="15"/>
        <v>549</v>
      </c>
      <c r="AS27" s="60">
        <f t="shared" si="24"/>
        <v>1183738</v>
      </c>
      <c r="AT27" s="62">
        <v>1565</v>
      </c>
      <c r="AU27" s="56">
        <v>1416</v>
      </c>
      <c r="AV27" s="56">
        <f t="shared" si="32"/>
        <v>-149</v>
      </c>
      <c r="AW27" s="63"/>
      <c r="AX27" s="63">
        <v>27.49</v>
      </c>
      <c r="AY27" s="63"/>
      <c r="AZ27" s="63"/>
      <c r="BA27" s="64">
        <v>11575.94</v>
      </c>
      <c r="BB27" s="64">
        <f t="shared" si="33"/>
        <v>18084.000000002561</v>
      </c>
      <c r="BC27" s="55">
        <f t="shared" si="34"/>
        <v>0</v>
      </c>
      <c r="BD27" s="60">
        <f t="shared" si="35"/>
        <v>0</v>
      </c>
      <c r="BE27" s="65">
        <f t="shared" si="36"/>
        <v>0</v>
      </c>
      <c r="BF27" s="66">
        <f t="shared" si="37"/>
        <v>11603.43</v>
      </c>
      <c r="BG27" s="72">
        <f t="shared" si="38"/>
        <v>4.1100000000005821</v>
      </c>
      <c r="BH27" s="68">
        <f t="shared" si="39"/>
        <v>18084.000000002561</v>
      </c>
      <c r="BI27" s="119">
        <v>18084.000000002561</v>
      </c>
      <c r="BJ27" s="69">
        <v>16020.000000002561</v>
      </c>
      <c r="BK27" s="108">
        <v>22254.1</v>
      </c>
      <c r="BL27" s="108">
        <f t="shared" si="19"/>
        <v>593.0000000000291</v>
      </c>
      <c r="BM27" s="70">
        <v>18677.00000000259</v>
      </c>
      <c r="BN27" s="56">
        <v>18016</v>
      </c>
      <c r="BO27" s="56">
        <f t="shared" si="40"/>
        <v>-661.00000000259024</v>
      </c>
      <c r="BP27" s="109">
        <v>2530135</v>
      </c>
      <c r="BQ27" s="120">
        <v>19</v>
      </c>
      <c r="BR27" s="109">
        <v>3525923</v>
      </c>
      <c r="BS27" s="120">
        <v>2045</v>
      </c>
      <c r="BT27" s="71">
        <f t="shared" si="21"/>
        <v>2064</v>
      </c>
      <c r="BU27" s="117">
        <v>179</v>
      </c>
      <c r="BV27" s="117">
        <v>273</v>
      </c>
    </row>
    <row r="28" spans="1:74" ht="25" customHeight="1" x14ac:dyDescent="0.4">
      <c r="A28" s="52" t="s">
        <v>95</v>
      </c>
      <c r="B28" s="53"/>
      <c r="C28" s="99">
        <v>46729</v>
      </c>
      <c r="D28" s="99">
        <v>203330</v>
      </c>
      <c r="E28" s="121">
        <f t="shared" si="0"/>
        <v>110</v>
      </c>
      <c r="F28" s="121">
        <f t="shared" si="1"/>
        <v>83</v>
      </c>
      <c r="G28" s="99"/>
      <c r="H28" s="99">
        <v>101459</v>
      </c>
      <c r="I28" s="100">
        <v>70146</v>
      </c>
      <c r="J28" s="122">
        <f t="shared" si="2"/>
        <v>26</v>
      </c>
      <c r="K28" s="106">
        <v>12829</v>
      </c>
      <c r="L28" s="123">
        <f t="shared" si="22"/>
        <v>7</v>
      </c>
      <c r="M28" s="132">
        <v>9590</v>
      </c>
      <c r="N28" s="124">
        <f t="shared" si="23"/>
        <v>9</v>
      </c>
      <c r="O28" s="131">
        <v>18201</v>
      </c>
      <c r="P28" s="124">
        <f t="shared" si="30"/>
        <v>20</v>
      </c>
      <c r="Q28" s="126">
        <v>55505</v>
      </c>
      <c r="R28" s="102">
        <f t="shared" si="3"/>
        <v>2</v>
      </c>
      <c r="S28" s="127">
        <v>24928</v>
      </c>
      <c r="T28" s="128">
        <f t="shared" si="4"/>
        <v>1</v>
      </c>
      <c r="U28" s="101">
        <v>8752</v>
      </c>
      <c r="V28" s="101">
        <v>446</v>
      </c>
      <c r="W28" s="102">
        <f t="shared" si="5"/>
        <v>7</v>
      </c>
      <c r="X28" s="127">
        <v>24462</v>
      </c>
      <c r="Y28" s="128">
        <f t="shared" si="6"/>
        <v>27</v>
      </c>
      <c r="Z28" s="129">
        <v>7387</v>
      </c>
      <c r="AA28" s="129">
        <v>6676</v>
      </c>
      <c r="AB28" s="102">
        <f t="shared" si="7"/>
        <v>3</v>
      </c>
      <c r="AC28" s="127">
        <v>1829</v>
      </c>
      <c r="AD28" s="127">
        <v>1266</v>
      </c>
      <c r="AE28" s="128">
        <f t="shared" si="8"/>
        <v>3</v>
      </c>
      <c r="AF28" s="104">
        <f t="shared" si="9"/>
        <v>10</v>
      </c>
      <c r="AG28" s="105">
        <f t="shared" si="10"/>
        <v>148188</v>
      </c>
      <c r="AH28" s="54">
        <v>183</v>
      </c>
      <c r="AI28" s="56">
        <v>182</v>
      </c>
      <c r="AJ28" s="56">
        <f t="shared" si="31"/>
        <v>-1</v>
      </c>
      <c r="AK28" s="57">
        <v>1136602</v>
      </c>
      <c r="AL28" s="58">
        <f t="shared" si="12"/>
        <v>1361</v>
      </c>
      <c r="AM28" s="57">
        <v>47015</v>
      </c>
      <c r="AN28" s="59">
        <f t="shared" si="13"/>
        <v>42</v>
      </c>
      <c r="AO28" s="107">
        <v>50698</v>
      </c>
      <c r="AP28" s="61">
        <f t="shared" si="14"/>
        <v>0</v>
      </c>
      <c r="AQ28" s="60">
        <v>34664</v>
      </c>
      <c r="AR28" s="61">
        <f t="shared" si="15"/>
        <v>530</v>
      </c>
      <c r="AS28" s="60">
        <f t="shared" si="24"/>
        <v>1184978</v>
      </c>
      <c r="AT28" s="62">
        <v>1403</v>
      </c>
      <c r="AU28" s="56">
        <v>1417</v>
      </c>
      <c r="AV28" s="56">
        <f t="shared" si="32"/>
        <v>14</v>
      </c>
      <c r="AW28" s="63"/>
      <c r="AX28" s="63">
        <v>27.49</v>
      </c>
      <c r="AY28" s="63"/>
      <c r="AZ28" s="63"/>
      <c r="BA28" s="64">
        <v>11580.1</v>
      </c>
      <c r="BB28" s="64">
        <f t="shared" si="33"/>
        <v>18303.99999999936</v>
      </c>
      <c r="BC28" s="55">
        <f t="shared" si="34"/>
        <v>0</v>
      </c>
      <c r="BD28" s="60">
        <f t="shared" si="35"/>
        <v>0</v>
      </c>
      <c r="BE28" s="65">
        <f t="shared" si="36"/>
        <v>0</v>
      </c>
      <c r="BF28" s="66">
        <f t="shared" si="37"/>
        <v>11607.59</v>
      </c>
      <c r="BG28" s="72">
        <f t="shared" si="38"/>
        <v>4.1599999999998545</v>
      </c>
      <c r="BH28" s="68">
        <f t="shared" si="39"/>
        <v>18303.99999999936</v>
      </c>
      <c r="BI28" s="119">
        <v>18303.99999999936</v>
      </c>
      <c r="BJ28" s="69">
        <v>15622.99999999936</v>
      </c>
      <c r="BK28" s="108">
        <v>22259.88</v>
      </c>
      <c r="BL28" s="108">
        <f t="shared" si="19"/>
        <v>578.00000000024738</v>
      </c>
      <c r="BM28" s="70">
        <v>18881.999999999607</v>
      </c>
      <c r="BN28" s="56">
        <v>18017</v>
      </c>
      <c r="BO28" s="56">
        <f t="shared" si="40"/>
        <v>-864.9999999996071</v>
      </c>
      <c r="BP28" s="109">
        <v>2530154</v>
      </c>
      <c r="BQ28" s="120">
        <v>19</v>
      </c>
      <c r="BR28" s="109">
        <v>3528585</v>
      </c>
      <c r="BS28" s="120">
        <v>2662</v>
      </c>
      <c r="BT28" s="71">
        <f t="shared" si="21"/>
        <v>2681</v>
      </c>
      <c r="BU28" s="117">
        <v>163</v>
      </c>
      <c r="BV28" s="117">
        <v>274</v>
      </c>
    </row>
    <row r="29" spans="1:74" ht="25" customHeight="1" x14ac:dyDescent="0.4">
      <c r="A29" s="52" t="s">
        <v>96</v>
      </c>
      <c r="B29" s="53"/>
      <c r="C29" s="99">
        <v>46816</v>
      </c>
      <c r="D29" s="99">
        <v>203445</v>
      </c>
      <c r="E29" s="121">
        <f t="shared" si="0"/>
        <v>115</v>
      </c>
      <c r="F29" s="121">
        <f t="shared" si="1"/>
        <v>82</v>
      </c>
      <c r="G29" s="99"/>
      <c r="H29" s="99">
        <v>101559</v>
      </c>
      <c r="I29" s="100">
        <v>70177</v>
      </c>
      <c r="J29" s="122">
        <f t="shared" si="2"/>
        <v>31</v>
      </c>
      <c r="K29" s="106">
        <v>12835</v>
      </c>
      <c r="L29" s="123">
        <f t="shared" si="22"/>
        <v>6</v>
      </c>
      <c r="M29" s="132">
        <v>9600</v>
      </c>
      <c r="N29" s="124">
        <f t="shared" si="23"/>
        <v>10</v>
      </c>
      <c r="O29" s="131">
        <v>18219</v>
      </c>
      <c r="P29" s="124">
        <f t="shared" si="30"/>
        <v>18</v>
      </c>
      <c r="Q29" s="126">
        <v>55508</v>
      </c>
      <c r="R29" s="102">
        <f t="shared" si="3"/>
        <v>3</v>
      </c>
      <c r="S29" s="127">
        <v>24929</v>
      </c>
      <c r="T29" s="128">
        <f t="shared" si="4"/>
        <v>1</v>
      </c>
      <c r="U29" s="101">
        <v>8752</v>
      </c>
      <c r="V29" s="101">
        <v>453</v>
      </c>
      <c r="W29" s="102">
        <f t="shared" si="5"/>
        <v>7</v>
      </c>
      <c r="X29" s="127">
        <v>24495</v>
      </c>
      <c r="Y29" s="128">
        <f t="shared" si="6"/>
        <v>33</v>
      </c>
      <c r="Z29" s="129">
        <v>7390</v>
      </c>
      <c r="AA29" s="129">
        <v>6677</v>
      </c>
      <c r="AB29" s="102">
        <f t="shared" si="7"/>
        <v>4</v>
      </c>
      <c r="AC29" s="127">
        <v>1830</v>
      </c>
      <c r="AD29" s="127">
        <v>1267</v>
      </c>
      <c r="AE29" s="128">
        <f t="shared" si="8"/>
        <v>2</v>
      </c>
      <c r="AF29" s="104">
        <f t="shared" si="9"/>
        <v>11</v>
      </c>
      <c r="AG29" s="105">
        <f t="shared" si="10"/>
        <v>148375</v>
      </c>
      <c r="AH29" s="54">
        <v>187</v>
      </c>
      <c r="AI29" s="56">
        <v>183</v>
      </c>
      <c r="AJ29" s="56">
        <f t="shared" si="31"/>
        <v>-4</v>
      </c>
      <c r="AK29" s="57">
        <v>1137989</v>
      </c>
      <c r="AL29" s="58">
        <f t="shared" si="12"/>
        <v>1387</v>
      </c>
      <c r="AM29" s="57">
        <v>47057</v>
      </c>
      <c r="AN29" s="59">
        <f t="shared" si="13"/>
        <v>42</v>
      </c>
      <c r="AO29" s="107">
        <v>50698</v>
      </c>
      <c r="AP29" s="61">
        <f t="shared" si="14"/>
        <v>0</v>
      </c>
      <c r="AQ29" s="60">
        <v>35212</v>
      </c>
      <c r="AR29" s="61">
        <f t="shared" si="15"/>
        <v>548</v>
      </c>
      <c r="AS29" s="60">
        <f t="shared" si="24"/>
        <v>1186433</v>
      </c>
      <c r="AT29" s="62">
        <v>1429</v>
      </c>
      <c r="AU29" s="56">
        <v>1418</v>
      </c>
      <c r="AV29" s="56">
        <f t="shared" si="32"/>
        <v>-11</v>
      </c>
      <c r="AW29" s="63"/>
      <c r="AX29" s="63">
        <v>27.49</v>
      </c>
      <c r="AY29" s="63"/>
      <c r="AZ29" s="63"/>
      <c r="BA29" s="64">
        <v>11584.25</v>
      </c>
      <c r="BB29" s="64">
        <f t="shared" si="33"/>
        <v>18259.999999998399</v>
      </c>
      <c r="BC29" s="55">
        <f t="shared" si="34"/>
        <v>0</v>
      </c>
      <c r="BD29" s="60">
        <f t="shared" si="35"/>
        <v>0</v>
      </c>
      <c r="BE29" s="65">
        <f t="shared" si="36"/>
        <v>0</v>
      </c>
      <c r="BF29" s="66">
        <f t="shared" si="37"/>
        <v>11611.74</v>
      </c>
      <c r="BG29" s="72">
        <f t="shared" si="38"/>
        <v>4.1499999999996362</v>
      </c>
      <c r="BH29" s="68">
        <f t="shared" si="39"/>
        <v>18259.999999998399</v>
      </c>
      <c r="BI29" s="119">
        <v>18259.999999998399</v>
      </c>
      <c r="BJ29" s="69">
        <v>15363.999999998399</v>
      </c>
      <c r="BK29" s="108">
        <v>22265.07</v>
      </c>
      <c r="BL29" s="108">
        <f t="shared" si="19"/>
        <v>518.99999999986903</v>
      </c>
      <c r="BM29" s="70">
        <v>18778.999999998268</v>
      </c>
      <c r="BN29" s="56">
        <v>18018</v>
      </c>
      <c r="BO29" s="56">
        <f t="shared" si="40"/>
        <v>-760.99999999826832</v>
      </c>
      <c r="BP29" s="109">
        <v>2530173</v>
      </c>
      <c r="BQ29" s="120">
        <v>19</v>
      </c>
      <c r="BR29" s="109">
        <v>3531462</v>
      </c>
      <c r="BS29" s="120">
        <v>2877</v>
      </c>
      <c r="BT29" s="71">
        <f t="shared" si="21"/>
        <v>2896</v>
      </c>
      <c r="BU29" s="117">
        <v>133</v>
      </c>
      <c r="BV29" s="117">
        <v>247</v>
      </c>
    </row>
    <row r="30" spans="1:74" ht="25" customHeight="1" x14ac:dyDescent="0.4">
      <c r="A30" s="52" t="s">
        <v>97</v>
      </c>
      <c r="B30" s="53"/>
      <c r="C30" s="99">
        <v>46902</v>
      </c>
      <c r="D30" s="99">
        <v>203557</v>
      </c>
      <c r="E30" s="121">
        <f t="shared" si="0"/>
        <v>112</v>
      </c>
      <c r="F30" s="121">
        <f t="shared" si="1"/>
        <v>86</v>
      </c>
      <c r="G30" s="99"/>
      <c r="H30" s="99">
        <v>101657</v>
      </c>
      <c r="I30" s="100">
        <v>70206</v>
      </c>
      <c r="J30" s="122">
        <f t="shared" si="2"/>
        <v>29</v>
      </c>
      <c r="K30" s="106">
        <v>12841</v>
      </c>
      <c r="L30" s="123">
        <f t="shared" si="22"/>
        <v>6</v>
      </c>
      <c r="M30" s="132">
        <v>9608</v>
      </c>
      <c r="N30" s="124">
        <f t="shared" si="23"/>
        <v>8</v>
      </c>
      <c r="O30" s="133">
        <v>18235</v>
      </c>
      <c r="P30" s="124">
        <f t="shared" si="30"/>
        <v>16</v>
      </c>
      <c r="Q30" s="126">
        <v>55510</v>
      </c>
      <c r="R30" s="102">
        <f t="shared" si="3"/>
        <v>2</v>
      </c>
      <c r="S30" s="127">
        <v>24930</v>
      </c>
      <c r="T30" s="128">
        <f t="shared" si="4"/>
        <v>1</v>
      </c>
      <c r="U30" s="101">
        <v>8752</v>
      </c>
      <c r="V30" s="101">
        <v>460</v>
      </c>
      <c r="W30" s="102">
        <f t="shared" si="5"/>
        <v>7</v>
      </c>
      <c r="X30" s="127">
        <v>24521</v>
      </c>
      <c r="Y30" s="128">
        <f t="shared" si="6"/>
        <v>26</v>
      </c>
      <c r="Z30" s="129">
        <v>7393</v>
      </c>
      <c r="AA30" s="129">
        <v>6678</v>
      </c>
      <c r="AB30" s="102">
        <f t="shared" si="7"/>
        <v>4</v>
      </c>
      <c r="AC30" s="127">
        <v>1831</v>
      </c>
      <c r="AD30" s="127">
        <v>1268</v>
      </c>
      <c r="AE30" s="128">
        <f t="shared" si="8"/>
        <v>2</v>
      </c>
      <c r="AF30" s="104">
        <f t="shared" si="9"/>
        <v>10</v>
      </c>
      <c r="AG30" s="105">
        <f t="shared" si="10"/>
        <v>148559</v>
      </c>
      <c r="AH30" s="54">
        <v>184</v>
      </c>
      <c r="AI30" s="56">
        <v>184</v>
      </c>
      <c r="AJ30" s="56">
        <f t="shared" si="31"/>
        <v>0</v>
      </c>
      <c r="AK30" s="57">
        <v>1139243</v>
      </c>
      <c r="AL30" s="58">
        <f t="shared" si="12"/>
        <v>1254</v>
      </c>
      <c r="AM30" s="57">
        <v>47100</v>
      </c>
      <c r="AN30" s="59">
        <f t="shared" si="13"/>
        <v>43</v>
      </c>
      <c r="AO30" s="107">
        <v>50698</v>
      </c>
      <c r="AP30" s="61">
        <f t="shared" si="14"/>
        <v>0</v>
      </c>
      <c r="AQ30" s="60">
        <v>35742</v>
      </c>
      <c r="AR30" s="61">
        <f t="shared" si="15"/>
        <v>530</v>
      </c>
      <c r="AS30" s="60">
        <f t="shared" si="24"/>
        <v>1187597</v>
      </c>
      <c r="AT30" s="62">
        <v>1296</v>
      </c>
      <c r="AU30" s="56">
        <v>1419</v>
      </c>
      <c r="AV30" s="56">
        <f t="shared" si="32"/>
        <v>123</v>
      </c>
      <c r="AW30" s="63"/>
      <c r="AX30" s="63">
        <v>27.49</v>
      </c>
      <c r="AY30" s="63"/>
      <c r="AZ30" s="63"/>
      <c r="BA30" s="64">
        <v>11588.35</v>
      </c>
      <c r="BB30" s="64">
        <f t="shared" si="33"/>
        <v>18040.000000001601</v>
      </c>
      <c r="BC30" s="55">
        <f t="shared" si="34"/>
        <v>0</v>
      </c>
      <c r="BD30" s="60">
        <f t="shared" si="35"/>
        <v>0</v>
      </c>
      <c r="BE30" s="65">
        <f t="shared" si="36"/>
        <v>0</v>
      </c>
      <c r="BF30" s="66">
        <f t="shared" si="37"/>
        <v>11615.84</v>
      </c>
      <c r="BG30" s="72">
        <f t="shared" si="38"/>
        <v>4.1000000000003638</v>
      </c>
      <c r="BH30" s="68">
        <f t="shared" si="39"/>
        <v>18040.000000001601</v>
      </c>
      <c r="BI30" s="119">
        <v>18040.000000001601</v>
      </c>
      <c r="BJ30" s="69">
        <v>14939.000000001601</v>
      </c>
      <c r="BK30" s="108">
        <v>22271.18</v>
      </c>
      <c r="BL30" s="108">
        <f t="shared" si="19"/>
        <v>611.00000000005821</v>
      </c>
      <c r="BM30" s="70">
        <v>18651.000000001659</v>
      </c>
      <c r="BN30" s="56">
        <v>18019</v>
      </c>
      <c r="BO30" s="56">
        <f t="shared" si="40"/>
        <v>-632.00000000165892</v>
      </c>
      <c r="BP30" s="109">
        <v>2530192</v>
      </c>
      <c r="BQ30" s="120">
        <v>19</v>
      </c>
      <c r="BR30" s="109">
        <v>3534544</v>
      </c>
      <c r="BS30" s="120">
        <v>3082</v>
      </c>
      <c r="BT30" s="71">
        <f t="shared" si="21"/>
        <v>3101</v>
      </c>
      <c r="BU30" s="117">
        <v>119</v>
      </c>
      <c r="BV30" s="117">
        <v>210</v>
      </c>
    </row>
    <row r="31" spans="1:74" ht="25" customHeight="1" x14ac:dyDescent="0.4">
      <c r="A31" s="52" t="s">
        <v>98</v>
      </c>
      <c r="B31" s="53"/>
      <c r="C31" s="99">
        <v>46981</v>
      </c>
      <c r="D31" s="99">
        <v>203650</v>
      </c>
      <c r="E31" s="121">
        <f t="shared" si="0"/>
        <v>93</v>
      </c>
      <c r="F31" s="121">
        <f t="shared" si="1"/>
        <v>56</v>
      </c>
      <c r="G31" s="99"/>
      <c r="H31" s="99">
        <v>101744</v>
      </c>
      <c r="I31" s="100">
        <v>70234</v>
      </c>
      <c r="J31" s="122">
        <f t="shared" si="2"/>
        <v>28</v>
      </c>
      <c r="K31" s="106">
        <v>12848</v>
      </c>
      <c r="L31" s="123">
        <f t="shared" si="22"/>
        <v>7</v>
      </c>
      <c r="M31" s="132">
        <v>9617</v>
      </c>
      <c r="N31" s="124">
        <f t="shared" si="23"/>
        <v>9</v>
      </c>
      <c r="O31" s="131">
        <v>18248</v>
      </c>
      <c r="P31" s="124">
        <f t="shared" si="30"/>
        <v>13</v>
      </c>
      <c r="Q31" s="126">
        <v>55512</v>
      </c>
      <c r="R31" s="102">
        <f t="shared" si="3"/>
        <v>2</v>
      </c>
      <c r="S31" s="127">
        <v>24933</v>
      </c>
      <c r="T31" s="128">
        <f t="shared" si="4"/>
        <v>3</v>
      </c>
      <c r="U31" s="101">
        <v>8752</v>
      </c>
      <c r="V31" s="101">
        <v>467</v>
      </c>
      <c r="W31" s="102">
        <f t="shared" si="5"/>
        <v>7</v>
      </c>
      <c r="X31" s="127">
        <v>24558</v>
      </c>
      <c r="Y31" s="128">
        <f t="shared" si="6"/>
        <v>37</v>
      </c>
      <c r="Z31" s="129">
        <v>7395</v>
      </c>
      <c r="AA31" s="129">
        <v>6680</v>
      </c>
      <c r="AB31" s="102">
        <f t="shared" si="7"/>
        <v>4</v>
      </c>
      <c r="AC31" s="127">
        <v>1832</v>
      </c>
      <c r="AD31" s="127">
        <v>1269</v>
      </c>
      <c r="AE31" s="128">
        <f t="shared" si="8"/>
        <v>2</v>
      </c>
      <c r="AF31" s="104">
        <f t="shared" si="9"/>
        <v>12</v>
      </c>
      <c r="AG31" s="105">
        <f t="shared" si="10"/>
        <v>148725</v>
      </c>
      <c r="AH31" s="54">
        <v>166</v>
      </c>
      <c r="AI31" s="56">
        <v>185</v>
      </c>
      <c r="AJ31" s="56">
        <f t="shared" si="31"/>
        <v>19</v>
      </c>
      <c r="AK31" s="57">
        <v>1140500</v>
      </c>
      <c r="AL31" s="58">
        <f t="shared" si="12"/>
        <v>1257</v>
      </c>
      <c r="AM31" s="57">
        <v>47142</v>
      </c>
      <c r="AN31" s="59">
        <f t="shared" si="13"/>
        <v>42</v>
      </c>
      <c r="AO31" s="107">
        <v>50698</v>
      </c>
      <c r="AP31" s="61">
        <f t="shared" si="14"/>
        <v>0</v>
      </c>
      <c r="AQ31" s="60">
        <v>36278</v>
      </c>
      <c r="AR31" s="61">
        <f t="shared" si="15"/>
        <v>536</v>
      </c>
      <c r="AS31" s="60">
        <f t="shared" si="24"/>
        <v>1188899</v>
      </c>
      <c r="AT31" s="62">
        <v>1300</v>
      </c>
      <c r="AU31" s="56">
        <v>1420</v>
      </c>
      <c r="AV31" s="56">
        <f t="shared" si="32"/>
        <v>120</v>
      </c>
      <c r="AW31" s="63"/>
      <c r="AX31" s="63">
        <v>27.49</v>
      </c>
      <c r="AY31" s="63"/>
      <c r="AZ31" s="63"/>
      <c r="BA31" s="64">
        <v>11592.43</v>
      </c>
      <c r="BB31" s="64">
        <f t="shared" si="33"/>
        <v>17951.99999999968</v>
      </c>
      <c r="BC31" s="55">
        <f t="shared" si="34"/>
        <v>0</v>
      </c>
      <c r="BD31" s="60">
        <f t="shared" si="35"/>
        <v>0</v>
      </c>
      <c r="BE31" s="65">
        <f t="shared" si="36"/>
        <v>0</v>
      </c>
      <c r="BF31" s="66">
        <f t="shared" si="37"/>
        <v>11619.92</v>
      </c>
      <c r="BG31" s="72">
        <f t="shared" si="38"/>
        <v>4.0799999999999272</v>
      </c>
      <c r="BH31" s="68">
        <f t="shared" si="39"/>
        <v>17951.99999999968</v>
      </c>
      <c r="BI31" s="119">
        <v>17951.99999999968</v>
      </c>
      <c r="BJ31" s="69">
        <v>14879.99999999968</v>
      </c>
      <c r="BK31" s="108">
        <v>22277.21</v>
      </c>
      <c r="BL31" s="108">
        <f t="shared" si="19"/>
        <v>602.99999999988358</v>
      </c>
      <c r="BM31" s="70">
        <v>18554.999999999563</v>
      </c>
      <c r="BN31" s="56">
        <v>18020</v>
      </c>
      <c r="BO31" s="56">
        <f t="shared" si="40"/>
        <v>-534.99999999956344</v>
      </c>
      <c r="BP31" s="109">
        <v>2530213</v>
      </c>
      <c r="BQ31" s="120">
        <v>21</v>
      </c>
      <c r="BR31" s="109">
        <v>3537595</v>
      </c>
      <c r="BS31" s="120">
        <v>3051</v>
      </c>
      <c r="BT31" s="71">
        <f t="shared" si="21"/>
        <v>3072</v>
      </c>
      <c r="BU31" s="117">
        <v>126</v>
      </c>
      <c r="BV31" s="117">
        <v>206</v>
      </c>
    </row>
    <row r="32" spans="1:74" ht="25" customHeight="1" x14ac:dyDescent="0.4">
      <c r="A32" s="52" t="s">
        <v>99</v>
      </c>
      <c r="B32" s="53"/>
      <c r="C32" s="99">
        <v>47074</v>
      </c>
      <c r="D32" s="99">
        <v>203752</v>
      </c>
      <c r="E32" s="121">
        <f t="shared" si="0"/>
        <v>102</v>
      </c>
      <c r="F32" s="121">
        <f t="shared" si="1"/>
        <v>73</v>
      </c>
      <c r="G32" s="99"/>
      <c r="H32" s="99">
        <v>101830</v>
      </c>
      <c r="I32" s="100">
        <v>70266</v>
      </c>
      <c r="J32" s="122">
        <f t="shared" si="2"/>
        <v>32</v>
      </c>
      <c r="K32" s="106">
        <v>12850</v>
      </c>
      <c r="L32" s="123">
        <f t="shared" si="22"/>
        <v>2</v>
      </c>
      <c r="M32" s="132">
        <v>9625</v>
      </c>
      <c r="N32" s="124">
        <f t="shared" si="23"/>
        <v>8</v>
      </c>
      <c r="O32" s="131">
        <v>18266</v>
      </c>
      <c r="P32" s="124">
        <f t="shared" si="30"/>
        <v>18</v>
      </c>
      <c r="Q32" s="126">
        <v>55514</v>
      </c>
      <c r="R32" s="102">
        <f t="shared" si="3"/>
        <v>2</v>
      </c>
      <c r="S32" s="127">
        <v>24934</v>
      </c>
      <c r="T32" s="128">
        <f t="shared" si="4"/>
        <v>1</v>
      </c>
      <c r="U32" s="101">
        <v>8752</v>
      </c>
      <c r="V32" s="101">
        <v>475</v>
      </c>
      <c r="W32" s="102">
        <f t="shared" si="5"/>
        <v>8</v>
      </c>
      <c r="X32" s="127">
        <v>24587</v>
      </c>
      <c r="Y32" s="128">
        <f t="shared" si="6"/>
        <v>29</v>
      </c>
      <c r="Z32" s="129">
        <v>7397</v>
      </c>
      <c r="AA32" s="129">
        <v>6680</v>
      </c>
      <c r="AB32" s="102">
        <f t="shared" si="7"/>
        <v>2</v>
      </c>
      <c r="AC32" s="127">
        <v>1832</v>
      </c>
      <c r="AD32" s="127">
        <v>1269</v>
      </c>
      <c r="AE32" s="128">
        <f t="shared" si="8"/>
        <v>0</v>
      </c>
      <c r="AF32" s="104">
        <f t="shared" si="9"/>
        <v>11</v>
      </c>
      <c r="AG32" s="105">
        <f t="shared" si="10"/>
        <v>148904</v>
      </c>
      <c r="AH32" s="54">
        <v>179</v>
      </c>
      <c r="AI32" s="56">
        <v>186</v>
      </c>
      <c r="AJ32" s="56">
        <f t="shared" si="31"/>
        <v>7</v>
      </c>
      <c r="AK32" s="57">
        <v>1141815</v>
      </c>
      <c r="AL32" s="58">
        <f t="shared" si="12"/>
        <v>1315</v>
      </c>
      <c r="AM32" s="57">
        <v>47185</v>
      </c>
      <c r="AN32" s="59">
        <f t="shared" si="13"/>
        <v>43</v>
      </c>
      <c r="AO32" s="107">
        <v>50698</v>
      </c>
      <c r="AP32" s="61">
        <f t="shared" si="14"/>
        <v>0</v>
      </c>
      <c r="AQ32" s="60">
        <v>36836</v>
      </c>
      <c r="AR32" s="61">
        <f t="shared" si="15"/>
        <v>558</v>
      </c>
      <c r="AS32" s="60">
        <f t="shared" si="24"/>
        <v>1190315</v>
      </c>
      <c r="AT32" s="62">
        <v>1357</v>
      </c>
      <c r="AU32" s="56">
        <v>1421</v>
      </c>
      <c r="AV32" s="56">
        <f t="shared" si="32"/>
        <v>64</v>
      </c>
      <c r="AW32" s="63"/>
      <c r="AX32" s="63">
        <v>27.49</v>
      </c>
      <c r="AY32" s="63"/>
      <c r="AZ32" s="63"/>
      <c r="BA32" s="64">
        <v>11596.5</v>
      </c>
      <c r="BB32" s="64">
        <f t="shared" si="33"/>
        <v>17907.999999998719</v>
      </c>
      <c r="BC32" s="55">
        <f t="shared" si="34"/>
        <v>0</v>
      </c>
      <c r="BD32" s="60">
        <f t="shared" si="35"/>
        <v>0</v>
      </c>
      <c r="BE32" s="65">
        <f t="shared" si="36"/>
        <v>0</v>
      </c>
      <c r="BF32" s="66">
        <f t="shared" si="37"/>
        <v>11623.99</v>
      </c>
      <c r="BG32" s="72">
        <f t="shared" si="38"/>
        <v>4.069999999999709</v>
      </c>
      <c r="BH32" s="68">
        <f t="shared" si="39"/>
        <v>17907.999999998719</v>
      </c>
      <c r="BI32" s="119">
        <v>17907.999999998719</v>
      </c>
      <c r="BJ32" s="69">
        <v>14860.999999998719</v>
      </c>
      <c r="BK32" s="108">
        <v>22280.66</v>
      </c>
      <c r="BL32" s="108">
        <f t="shared" si="19"/>
        <v>345.00000000007276</v>
      </c>
      <c r="BM32" s="70">
        <v>18252.999999998792</v>
      </c>
      <c r="BN32" s="56">
        <v>18021</v>
      </c>
      <c r="BO32" s="56">
        <f t="shared" si="40"/>
        <v>-231.99999999879219</v>
      </c>
      <c r="BP32" s="109">
        <v>2530232</v>
      </c>
      <c r="BQ32" s="120">
        <v>19</v>
      </c>
      <c r="BR32" s="109">
        <v>3540623</v>
      </c>
      <c r="BS32" s="120">
        <v>3028</v>
      </c>
      <c r="BT32" s="71">
        <f t="shared" si="21"/>
        <v>3047</v>
      </c>
      <c r="BU32" s="117">
        <v>129</v>
      </c>
      <c r="BV32" s="117">
        <v>203</v>
      </c>
    </row>
    <row r="33" spans="1:74" ht="25" customHeight="1" x14ac:dyDescent="0.4">
      <c r="A33" s="52" t="s">
        <v>100</v>
      </c>
      <c r="B33" s="53"/>
      <c r="C33" s="99">
        <v>47175</v>
      </c>
      <c r="D33" s="99">
        <v>203868</v>
      </c>
      <c r="E33" s="121">
        <f t="shared" si="0"/>
        <v>116</v>
      </c>
      <c r="F33" s="121">
        <f t="shared" si="1"/>
        <v>88</v>
      </c>
      <c r="G33" s="99"/>
      <c r="H33" s="99">
        <v>101922</v>
      </c>
      <c r="I33" s="100">
        <v>70298</v>
      </c>
      <c r="J33" s="122">
        <f t="shared" si="2"/>
        <v>32</v>
      </c>
      <c r="K33" s="106">
        <v>12863</v>
      </c>
      <c r="L33" s="123">
        <f t="shared" si="22"/>
        <v>13</v>
      </c>
      <c r="M33" s="132">
        <v>9633</v>
      </c>
      <c r="N33" s="124">
        <f t="shared" si="23"/>
        <v>8</v>
      </c>
      <c r="O33" s="131">
        <v>18282</v>
      </c>
      <c r="P33" s="124">
        <f t="shared" si="30"/>
        <v>16</v>
      </c>
      <c r="Q33" s="126">
        <v>55516</v>
      </c>
      <c r="R33" s="102">
        <f t="shared" si="3"/>
        <v>2</v>
      </c>
      <c r="S33" s="127">
        <v>24935</v>
      </c>
      <c r="T33" s="128">
        <f t="shared" si="4"/>
        <v>1</v>
      </c>
      <c r="U33" s="101">
        <v>8752</v>
      </c>
      <c r="V33" s="101">
        <v>481</v>
      </c>
      <c r="W33" s="102">
        <f t="shared" si="5"/>
        <v>6</v>
      </c>
      <c r="X33" s="127">
        <v>24615</v>
      </c>
      <c r="Y33" s="128">
        <f t="shared" si="6"/>
        <v>28</v>
      </c>
      <c r="Z33" s="129">
        <v>7399</v>
      </c>
      <c r="AA33" s="129">
        <v>6681</v>
      </c>
      <c r="AB33" s="102">
        <f t="shared" si="7"/>
        <v>3</v>
      </c>
      <c r="AC33" s="127">
        <v>1833</v>
      </c>
      <c r="AD33" s="127">
        <v>1270</v>
      </c>
      <c r="AE33" s="128">
        <f t="shared" si="8"/>
        <v>2</v>
      </c>
      <c r="AF33" s="104">
        <f t="shared" si="9"/>
        <v>9</v>
      </c>
      <c r="AG33" s="105">
        <f t="shared" si="10"/>
        <v>149097</v>
      </c>
      <c r="AH33" s="54">
        <v>193</v>
      </c>
      <c r="AI33" s="56">
        <v>187</v>
      </c>
      <c r="AJ33" s="56">
        <f>AI33-AH33</f>
        <v>-6</v>
      </c>
      <c r="AK33" s="57">
        <v>1143312</v>
      </c>
      <c r="AL33" s="58">
        <f t="shared" si="12"/>
        <v>1497</v>
      </c>
      <c r="AM33" s="57">
        <v>47225</v>
      </c>
      <c r="AN33" s="59">
        <f t="shared" si="13"/>
        <v>40</v>
      </c>
      <c r="AO33" s="107">
        <v>50698</v>
      </c>
      <c r="AP33" s="61">
        <f t="shared" si="14"/>
        <v>0</v>
      </c>
      <c r="AQ33" s="60">
        <v>37371</v>
      </c>
      <c r="AR33" s="61">
        <f t="shared" si="15"/>
        <v>535</v>
      </c>
      <c r="AS33" s="60">
        <f t="shared" si="24"/>
        <v>1192034</v>
      </c>
      <c r="AT33" s="62">
        <v>1540</v>
      </c>
      <c r="AU33" s="56">
        <v>1422</v>
      </c>
      <c r="AV33" s="56">
        <f t="shared" si="32"/>
        <v>-118</v>
      </c>
      <c r="AW33" s="63"/>
      <c r="AX33" s="63">
        <v>27.49</v>
      </c>
      <c r="AY33" s="63"/>
      <c r="AZ33" s="63"/>
      <c r="BA33" s="64">
        <v>11600.89</v>
      </c>
      <c r="BB33" s="64">
        <f t="shared" si="33"/>
        <v>19315.999999997439</v>
      </c>
      <c r="BC33" s="55">
        <f t="shared" si="34"/>
        <v>0</v>
      </c>
      <c r="BD33" s="60">
        <f t="shared" si="35"/>
        <v>0</v>
      </c>
      <c r="BE33" s="65">
        <f t="shared" si="36"/>
        <v>0</v>
      </c>
      <c r="BF33" s="66">
        <f t="shared" si="37"/>
        <v>11628.38</v>
      </c>
      <c r="BG33" s="72">
        <f t="shared" si="38"/>
        <v>4.3899999999994179</v>
      </c>
      <c r="BH33" s="68">
        <f t="shared" si="39"/>
        <v>19315.999999997439</v>
      </c>
      <c r="BI33" s="119">
        <v>19315.999999997439</v>
      </c>
      <c r="BJ33" s="69">
        <v>16311.999999997439</v>
      </c>
      <c r="BK33" s="108">
        <v>22285.31</v>
      </c>
      <c r="BL33" s="108">
        <f t="shared" si="19"/>
        <v>465.00000000014552</v>
      </c>
      <c r="BM33" s="70">
        <v>19780.999999997584</v>
      </c>
      <c r="BN33" s="56">
        <v>18022</v>
      </c>
      <c r="BO33" s="56">
        <f t="shared" si="40"/>
        <v>-1758.9999999975844</v>
      </c>
      <c r="BP33" s="109">
        <v>2532859</v>
      </c>
      <c r="BQ33" s="120">
        <v>2627</v>
      </c>
      <c r="BR33" s="109">
        <v>3541000</v>
      </c>
      <c r="BS33" s="120">
        <v>377</v>
      </c>
      <c r="BT33" s="71">
        <f t="shared" si="21"/>
        <v>3004</v>
      </c>
      <c r="BU33" s="117">
        <v>179</v>
      </c>
      <c r="BV33" s="117">
        <v>314</v>
      </c>
    </row>
    <row r="34" spans="1:74" ht="25" customHeight="1" x14ac:dyDescent="0.4">
      <c r="A34" s="52" t="s">
        <v>101</v>
      </c>
      <c r="B34" s="53"/>
      <c r="C34" s="99">
        <v>47280</v>
      </c>
      <c r="D34" s="99">
        <v>203974</v>
      </c>
      <c r="E34" s="121">
        <f t="shared" si="0"/>
        <v>106</v>
      </c>
      <c r="F34" s="121">
        <f t="shared" si="1"/>
        <v>87</v>
      </c>
      <c r="G34" s="99"/>
      <c r="H34" s="99">
        <v>102004</v>
      </c>
      <c r="I34" s="100">
        <v>70328</v>
      </c>
      <c r="J34" s="122">
        <f t="shared" si="2"/>
        <v>30</v>
      </c>
      <c r="K34" s="106">
        <v>12870</v>
      </c>
      <c r="L34" s="123">
        <f t="shared" si="22"/>
        <v>7</v>
      </c>
      <c r="M34" s="132">
        <v>9644</v>
      </c>
      <c r="N34" s="124">
        <f t="shared" si="23"/>
        <v>11</v>
      </c>
      <c r="O34" s="131">
        <v>18313</v>
      </c>
      <c r="P34" s="124">
        <f t="shared" si="30"/>
        <v>31</v>
      </c>
      <c r="Q34" s="126">
        <v>55518</v>
      </c>
      <c r="R34" s="102">
        <f t="shared" si="3"/>
        <v>2</v>
      </c>
      <c r="S34" s="127">
        <v>24937</v>
      </c>
      <c r="T34" s="128">
        <f t="shared" si="4"/>
        <v>2</v>
      </c>
      <c r="U34" s="101">
        <v>8752</v>
      </c>
      <c r="V34" s="101">
        <v>490</v>
      </c>
      <c r="W34" s="102">
        <f t="shared" si="5"/>
        <v>9</v>
      </c>
      <c r="X34" s="127">
        <v>24634</v>
      </c>
      <c r="Y34" s="128">
        <f t="shared" si="6"/>
        <v>19</v>
      </c>
      <c r="Z34" s="129">
        <v>7401</v>
      </c>
      <c r="AA34" s="129">
        <v>6683</v>
      </c>
      <c r="AB34" s="102">
        <f t="shared" si="7"/>
        <v>4</v>
      </c>
      <c r="AC34" s="127">
        <v>1834</v>
      </c>
      <c r="AD34" s="127">
        <v>1272</v>
      </c>
      <c r="AE34" s="128">
        <f t="shared" si="8"/>
        <v>3</v>
      </c>
      <c r="AF34" s="104">
        <f t="shared" si="9"/>
        <v>13</v>
      </c>
      <c r="AG34" s="105">
        <f t="shared" si="10"/>
        <v>149284</v>
      </c>
      <c r="AH34" s="54">
        <v>187</v>
      </c>
      <c r="AI34" s="56">
        <v>188</v>
      </c>
      <c r="AJ34" s="56">
        <f>AI34-AH34</f>
        <v>1</v>
      </c>
      <c r="AK34" s="57">
        <v>1144810</v>
      </c>
      <c r="AL34" s="58">
        <f t="shared" si="12"/>
        <v>1498</v>
      </c>
      <c r="AM34" s="57">
        <v>47265</v>
      </c>
      <c r="AN34" s="59">
        <f t="shared" si="13"/>
        <v>40</v>
      </c>
      <c r="AO34" s="107">
        <v>50698</v>
      </c>
      <c r="AP34" s="61">
        <f t="shared" si="14"/>
        <v>0</v>
      </c>
      <c r="AQ34" s="60">
        <v>37964</v>
      </c>
      <c r="AR34" s="61">
        <f t="shared" si="15"/>
        <v>593</v>
      </c>
      <c r="AS34" s="60">
        <f t="shared" si="24"/>
        <v>1193573</v>
      </c>
      <c r="AT34" s="62">
        <v>1538</v>
      </c>
      <c r="AU34" s="56">
        <v>1423</v>
      </c>
      <c r="AV34" s="56">
        <f t="shared" si="32"/>
        <v>-115</v>
      </c>
      <c r="AW34" s="63"/>
      <c r="AX34" s="63">
        <v>27.49</v>
      </c>
      <c r="AY34" s="63"/>
      <c r="AZ34" s="63"/>
      <c r="BA34" s="64">
        <v>11604.99</v>
      </c>
      <c r="BB34" s="64">
        <f t="shared" si="33"/>
        <v>18040.000000001601</v>
      </c>
      <c r="BC34" s="55">
        <f t="shared" si="34"/>
        <v>0</v>
      </c>
      <c r="BD34" s="60">
        <f t="shared" si="35"/>
        <v>0</v>
      </c>
      <c r="BE34" s="65">
        <f t="shared" si="36"/>
        <v>0</v>
      </c>
      <c r="BF34" s="66">
        <f t="shared" si="37"/>
        <v>11632.48</v>
      </c>
      <c r="BG34" s="72">
        <f t="shared" si="38"/>
        <v>4.1000000000003638</v>
      </c>
      <c r="BH34" s="68">
        <f t="shared" si="39"/>
        <v>18040.000000001601</v>
      </c>
      <c r="BI34" s="119">
        <v>18040.000000001601</v>
      </c>
      <c r="BJ34" s="69">
        <v>15647.000000001601</v>
      </c>
      <c r="BK34" s="108">
        <v>22291.59</v>
      </c>
      <c r="BL34" s="108">
        <f t="shared" si="19"/>
        <v>627.99999999988358</v>
      </c>
      <c r="BM34" s="70">
        <v>18668.000000001484</v>
      </c>
      <c r="BN34" s="56">
        <v>18023</v>
      </c>
      <c r="BO34" s="56">
        <f t="shared" si="40"/>
        <v>-645.0000000014843</v>
      </c>
      <c r="BP34" s="109">
        <v>2535240</v>
      </c>
      <c r="BQ34" s="120">
        <v>2381</v>
      </c>
      <c r="BR34" s="109">
        <v>3541012</v>
      </c>
      <c r="BS34" s="120">
        <v>12</v>
      </c>
      <c r="BT34" s="71">
        <f t="shared" si="21"/>
        <v>2393</v>
      </c>
      <c r="BU34" s="117">
        <v>171</v>
      </c>
      <c r="BV34" s="117">
        <v>301</v>
      </c>
    </row>
    <row r="35" spans="1:74" ht="25" customHeight="1" x14ac:dyDescent="0.4">
      <c r="A35" s="52" t="s">
        <v>102</v>
      </c>
      <c r="B35" s="53"/>
      <c r="C35" s="99">
        <v>47379</v>
      </c>
      <c r="D35" s="99">
        <v>204090</v>
      </c>
      <c r="E35" s="121">
        <f t="shared" si="0"/>
        <v>116</v>
      </c>
      <c r="F35" s="121">
        <f t="shared" si="1"/>
        <v>85</v>
      </c>
      <c r="G35" s="99"/>
      <c r="H35" s="99">
        <v>102095</v>
      </c>
      <c r="I35" s="100">
        <v>70357</v>
      </c>
      <c r="J35" s="122">
        <f t="shared" si="2"/>
        <v>29</v>
      </c>
      <c r="K35" s="106">
        <v>12876</v>
      </c>
      <c r="L35" s="123">
        <f t="shared" si="22"/>
        <v>6</v>
      </c>
      <c r="M35" s="132">
        <v>9652</v>
      </c>
      <c r="N35" s="124">
        <f t="shared" si="23"/>
        <v>8</v>
      </c>
      <c r="O35" s="133">
        <v>18336</v>
      </c>
      <c r="P35" s="124">
        <f t="shared" si="30"/>
        <v>23</v>
      </c>
      <c r="Q35" s="126">
        <v>55520</v>
      </c>
      <c r="R35" s="102">
        <f t="shared" si="3"/>
        <v>2</v>
      </c>
      <c r="S35" s="127">
        <v>24938</v>
      </c>
      <c r="T35" s="128">
        <f t="shared" si="4"/>
        <v>1</v>
      </c>
      <c r="U35" s="101">
        <v>8752</v>
      </c>
      <c r="V35" s="101">
        <v>496</v>
      </c>
      <c r="W35" s="102">
        <f t="shared" si="5"/>
        <v>6</v>
      </c>
      <c r="X35" s="127">
        <v>24665</v>
      </c>
      <c r="Y35" s="128">
        <f t="shared" si="6"/>
        <v>31</v>
      </c>
      <c r="Z35" s="129">
        <v>7404</v>
      </c>
      <c r="AA35" s="129">
        <v>6684</v>
      </c>
      <c r="AB35" s="102">
        <f t="shared" si="7"/>
        <v>4</v>
      </c>
      <c r="AC35" s="127">
        <v>1836</v>
      </c>
      <c r="AD35" s="127">
        <v>1274</v>
      </c>
      <c r="AE35" s="128">
        <f t="shared" si="8"/>
        <v>4</v>
      </c>
      <c r="AF35" s="104">
        <f t="shared" si="9"/>
        <v>9</v>
      </c>
      <c r="AG35" s="105">
        <f t="shared" si="10"/>
        <v>149474</v>
      </c>
      <c r="AH35" s="54">
        <v>190</v>
      </c>
      <c r="AI35" s="56">
        <v>189</v>
      </c>
      <c r="AJ35" s="56">
        <f>AI35-AH35</f>
        <v>-1</v>
      </c>
      <c r="AK35" s="57">
        <v>1146128</v>
      </c>
      <c r="AL35" s="58">
        <f t="shared" si="12"/>
        <v>1318</v>
      </c>
      <c r="AM35" s="57">
        <v>47302</v>
      </c>
      <c r="AN35" s="59">
        <f t="shared" si="13"/>
        <v>37</v>
      </c>
      <c r="AO35" s="107">
        <v>50698</v>
      </c>
      <c r="AP35" s="61">
        <f t="shared" si="14"/>
        <v>0</v>
      </c>
      <c r="AQ35" s="60">
        <v>38476</v>
      </c>
      <c r="AR35" s="61">
        <f t="shared" si="15"/>
        <v>512</v>
      </c>
      <c r="AS35" s="60">
        <f t="shared" si="24"/>
        <v>1194748</v>
      </c>
      <c r="AT35" s="62">
        <v>1358</v>
      </c>
      <c r="AU35" s="56">
        <v>1424</v>
      </c>
      <c r="AV35" s="56">
        <f t="shared" si="32"/>
        <v>66</v>
      </c>
      <c r="AW35" s="63"/>
      <c r="AX35" s="63">
        <v>27.49</v>
      </c>
      <c r="AY35" s="63"/>
      <c r="AZ35" s="63"/>
      <c r="BA35" s="64">
        <v>11609.25</v>
      </c>
      <c r="BB35" s="64">
        <f t="shared" si="33"/>
        <v>18744.00000000096</v>
      </c>
      <c r="BC35" s="55">
        <f t="shared" si="34"/>
        <v>0</v>
      </c>
      <c r="BD35" s="60">
        <f t="shared" si="35"/>
        <v>0</v>
      </c>
      <c r="BE35" s="65">
        <f t="shared" si="36"/>
        <v>0</v>
      </c>
      <c r="BF35" s="66">
        <f t="shared" si="37"/>
        <v>11636.74</v>
      </c>
      <c r="BG35" s="72">
        <f t="shared" si="38"/>
        <v>4.2600000000002183</v>
      </c>
      <c r="BH35" s="68">
        <f t="shared" si="39"/>
        <v>18744.00000000096</v>
      </c>
      <c r="BI35" s="119">
        <v>18744.00000000096</v>
      </c>
      <c r="BJ35" s="69">
        <v>15732.00000000096</v>
      </c>
      <c r="BK35" s="108">
        <v>22297.72</v>
      </c>
      <c r="BL35" s="108">
        <f t="shared" si="19"/>
        <v>613.00000000010186</v>
      </c>
      <c r="BM35" s="70">
        <v>19357.000000001062</v>
      </c>
      <c r="BN35" s="56">
        <v>18024</v>
      </c>
      <c r="BO35" s="56">
        <f t="shared" si="40"/>
        <v>-1333.0000000010623</v>
      </c>
      <c r="BP35" s="109">
        <v>2535681</v>
      </c>
      <c r="BQ35" s="120">
        <v>441</v>
      </c>
      <c r="BR35" s="109">
        <v>3543583</v>
      </c>
      <c r="BS35" s="120">
        <v>2571</v>
      </c>
      <c r="BT35" s="71">
        <f t="shared" si="21"/>
        <v>3012</v>
      </c>
      <c r="BU35" s="117">
        <v>175</v>
      </c>
      <c r="BV35" s="117">
        <v>317</v>
      </c>
    </row>
    <row r="36" spans="1:74" x14ac:dyDescent="0.35">
      <c r="AH36" s="77">
        <f>SUM(AH5:AH35)</f>
        <v>5300</v>
      </c>
      <c r="AI36" s="77">
        <f>SUM(AI6:AI35)</f>
        <v>5250</v>
      </c>
      <c r="AJ36" s="77">
        <f>SUM(AJ6:AJ35)</f>
        <v>76</v>
      </c>
      <c r="AT36" s="77">
        <f>SUM(AT5:AT35)</f>
        <v>47492</v>
      </c>
      <c r="AU36" s="77">
        <f>SUM(AU5:AU35)</f>
        <v>43700</v>
      </c>
      <c r="AV36" s="77">
        <f>SUM(AV5:AV35)</f>
        <v>-3792</v>
      </c>
      <c r="BM36" s="77">
        <f>SUM(BM5:BM35)</f>
        <v>574714.00000000349</v>
      </c>
      <c r="BN36" s="77">
        <f>SUM(BN5:BN35)</f>
        <v>558300</v>
      </c>
      <c r="BO36" s="77">
        <f>SUM(BO5:BO35)</f>
        <v>-16414.00000000358</v>
      </c>
    </row>
  </sheetData>
  <mergeCells count="5">
    <mergeCell ref="AW2:AY2"/>
    <mergeCell ref="AZ2:BB2"/>
    <mergeCell ref="B1:AJ1"/>
    <mergeCell ref="AK1:AV1"/>
    <mergeCell ref="AW1:BN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 Budapest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Ronald Diab</cp:lastModifiedBy>
  <dcterms:created xsi:type="dcterms:W3CDTF">2017-05-22T13:08:25Z</dcterms:created>
  <dcterms:modified xsi:type="dcterms:W3CDTF">2019-10-24T15:37:35Z</dcterms:modified>
</cp:coreProperties>
</file>