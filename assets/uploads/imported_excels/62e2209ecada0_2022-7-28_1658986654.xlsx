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" i="10" l="1"/>
  <c r="I5" i="10"/>
  <c r="H4" i="10"/>
  <c r="H34" i="10" l="1"/>
  <c r="H33" i="10"/>
  <c r="H32" i="10"/>
  <c r="I33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H8" i="8" l="1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<sst xmlns="http://schemas.openxmlformats.org/spreadsheetml/2006/main" count="72" uniqueCount="37">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</sst>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1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2"/>
  <sheetViews>
    <sheetView tabSelected="1" zoomScale="110" zoomScaleNormal="110" workbookViewId="0">
      <selection activeCell="N21" sqref="N2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3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3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308.60000000000002</v>
      </c>
      <c r="H2" s="3">
        <v>5.7</v>
      </c>
      <c r="I2" s="13">
        <f>Water!H4</f>
        <v>40</v>
      </c>
      <c r="J2" s="3">
        <v>22.4</v>
      </c>
      <c r="K2" s="12">
        <v>0</v>
      </c>
    </row>
    <row r="3" spans="1:13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302.34366799984127</v>
      </c>
      <c r="H3" s="3">
        <v>5.7</v>
      </c>
      <c r="I3" s="13">
        <f>Water!H5</f>
        <v>48</v>
      </c>
      <c r="J3" s="3">
        <v>22.4</v>
      </c>
      <c r="K3" s="12">
        <v>0</v>
      </c>
    </row>
    <row r="4" spans="1:13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209.89147200016305</v>
      </c>
      <c r="H4" s="3">
        <v>5.7</v>
      </c>
      <c r="I4" s="13">
        <f>Water!H6</f>
        <v>37</v>
      </c>
      <c r="J4" s="3">
        <v>22.4</v>
      </c>
      <c r="K4" s="12">
        <v>0</v>
      </c>
    </row>
    <row r="5" spans="1:13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118.68862999998964</v>
      </c>
      <c r="H5" s="3">
        <v>5.7</v>
      </c>
      <c r="I5" s="13">
        <f>Water!H7</f>
        <v>22</v>
      </c>
      <c r="J5" s="3">
        <v>22.4</v>
      </c>
      <c r="K5" s="12">
        <v>0</v>
      </c>
    </row>
    <row r="6" spans="1:13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104.94573599984869</v>
      </c>
      <c r="H6" s="3">
        <v>5.7</v>
      </c>
      <c r="I6" s="13">
        <f>Water!H8</f>
        <v>37</v>
      </c>
      <c r="J6" s="3">
        <v>22.4</v>
      </c>
      <c r="K6" s="12">
        <v>0</v>
      </c>
    </row>
    <row r="7" spans="1:13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178.65762199996971</v>
      </c>
      <c r="H7" s="3">
        <v>5.7</v>
      </c>
      <c r="I7" s="13">
        <f>Water!H9</f>
        <v>38</v>
      </c>
      <c r="J7" s="3">
        <v>22.4</v>
      </c>
      <c r="K7" s="12">
        <v>0</v>
      </c>
    </row>
    <row r="8" spans="1:13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188.65245400019921</v>
      </c>
      <c r="H8" s="3">
        <v>5.7</v>
      </c>
      <c r="I8" s="13">
        <f>Water!H10</f>
        <v>50</v>
      </c>
      <c r="J8" s="3">
        <v>22.4</v>
      </c>
      <c r="K8" s="12">
        <v>0</v>
      </c>
    </row>
    <row r="9" spans="1:13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209.89147199993022</v>
      </c>
      <c r="H9" s="3">
        <v>5.7</v>
      </c>
      <c r="I9" s="13">
        <f>Water!H11</f>
        <v>27</v>
      </c>
      <c r="J9" s="3">
        <v>22.4</v>
      </c>
      <c r="K9" s="12">
        <v>0</v>
      </c>
      <c r="M9" s="123"/>
    </row>
    <row r="10" spans="1:13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152.42118799989112</v>
      </c>
      <c r="H10" s="3">
        <v>5.7</v>
      </c>
      <c r="I10" s="13">
        <f>Water!H12</f>
        <v>26</v>
      </c>
      <c r="J10" s="3">
        <v>22.4</v>
      </c>
      <c r="K10" s="12">
        <v>0</v>
      </c>
    </row>
    <row r="11" spans="1:13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236.12790600000881</v>
      </c>
      <c r="H11" s="3">
        <v>5.7</v>
      </c>
      <c r="I11" s="13">
        <f>Water!H13</f>
        <v>41</v>
      </c>
      <c r="J11" s="3">
        <v>22.4</v>
      </c>
      <c r="K11" s="12">
        <v>0</v>
      </c>
    </row>
    <row r="12" spans="1:13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229.8811360001564</v>
      </c>
      <c r="H12" s="3">
        <v>5.7</v>
      </c>
      <c r="I12" s="13">
        <f>Water!H14</f>
        <v>31</v>
      </c>
      <c r="J12" s="3">
        <v>22.4</v>
      </c>
      <c r="K12" s="12">
        <v>0</v>
      </c>
    </row>
    <row r="13" spans="1:13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211.1408259999007</v>
      </c>
      <c r="H13" s="3">
        <v>5.7</v>
      </c>
      <c r="I13" s="13">
        <f>Water!H15</f>
        <v>44</v>
      </c>
      <c r="J13" s="3">
        <v>22.4</v>
      </c>
      <c r="K13" s="12">
        <v>0</v>
      </c>
    </row>
    <row r="14" spans="1:13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244.873384000035</v>
      </c>
      <c r="H14" s="3">
        <v>5.7</v>
      </c>
      <c r="I14" s="13">
        <f>Water!H16</f>
        <v>29</v>
      </c>
      <c r="J14" s="3">
        <v>22.4</v>
      </c>
      <c r="K14" s="12">
        <v>0</v>
      </c>
    </row>
    <row r="15" spans="1:13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254.86821600003168</v>
      </c>
      <c r="H15" s="3">
        <v>5.7</v>
      </c>
      <c r="I15" s="13">
        <f>Water!H17</f>
        <v>33</v>
      </c>
      <c r="J15" s="3">
        <v>22.4</v>
      </c>
      <c r="K15" s="12">
        <v>0</v>
      </c>
    </row>
    <row r="16" spans="1:13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262.36433999985456</v>
      </c>
      <c r="H16" s="3">
        <v>5.7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278.60594200016931</v>
      </c>
      <c r="H17" s="3">
        <v>5.7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289.85012799990363</v>
      </c>
      <c r="H18" s="3">
        <v>5.7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391.04780200007372</v>
      </c>
      <c r="H19" s="3">
        <v>5.7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8266.2000000029802</v>
      </c>
      <c r="F20" s="3">
        <v>2.7</v>
      </c>
      <c r="G20" s="13">
        <f>Gas!J22</f>
        <v>406.04004999995232</v>
      </c>
      <c r="H20" s="3">
        <v>5.7</v>
      </c>
      <c r="I20" s="13">
        <f>Water!H22</f>
        <v>46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7929.4799999985844</v>
      </c>
      <c r="F21" s="3">
        <v>2.7</v>
      </c>
      <c r="G21" s="13">
        <f>Gas!J23</f>
        <v>437.27389999991283</v>
      </c>
      <c r="H21" s="3">
        <v>5.7</v>
      </c>
      <c r="I21" s="13">
        <f>Water!H23</f>
        <v>36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8448.359999999404</v>
      </c>
      <c r="F22" s="3">
        <v>2.7</v>
      </c>
      <c r="G22" s="13">
        <f>Gas!J24</f>
        <v>429.77777600008994</v>
      </c>
      <c r="H22" s="3">
        <v>5.7</v>
      </c>
      <c r="I22" s="13">
        <f>Water!H24</f>
        <v>30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8757.4800000023097</v>
      </c>
      <c r="F23" s="3">
        <v>2.7</v>
      </c>
      <c r="G23" s="13">
        <f>Gas!J25</f>
        <v>447.26873199990951</v>
      </c>
      <c r="H23" s="3">
        <v>5.7</v>
      </c>
      <c r="I23" s="13">
        <f>Water!H25</f>
        <v>58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8117.1599999982864</v>
      </c>
      <c r="F24" s="3">
        <v>2.7</v>
      </c>
      <c r="G24" s="13">
        <f>Gas!J26</f>
        <v>437.27390000014566</v>
      </c>
      <c r="H24" s="3">
        <v>5.7</v>
      </c>
      <c r="I24" s="13">
        <f>Water!H26</f>
        <v>33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7877.0399999991059</v>
      </c>
      <c r="F25" s="3">
        <v>2.7</v>
      </c>
      <c r="G25" s="13">
        <f>Gas!J27</f>
        <v>442.27131600002758</v>
      </c>
      <c r="H25" s="3">
        <v>5.7</v>
      </c>
      <c r="I25" s="13">
        <f>Water!H27</f>
        <v>55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9753.8400000017136</v>
      </c>
      <c r="F26" s="3">
        <v>2.7</v>
      </c>
      <c r="G26" s="13">
        <f>Gas!J28</f>
        <v>535.97286599990912</v>
      </c>
      <c r="H26" s="3">
        <v>5.7</v>
      </c>
      <c r="I26" s="13">
        <f>Water!H28</f>
        <v>35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11727.239999998361</v>
      </c>
      <c r="F27" s="3">
        <v>2.7</v>
      </c>
      <c r="G27" s="13">
        <f>Gas!J29</f>
        <v>550.96511400002055</v>
      </c>
      <c r="H27" s="3">
        <v>5.7</v>
      </c>
      <c r="I27" s="13">
        <f>Water!H29</f>
        <v>42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10557</v>
      </c>
      <c r="F28" s="3">
        <v>2.7</v>
      </c>
      <c r="G28" s="13">
        <f>Gas!J30</f>
        <v>469.75710400007665</v>
      </c>
      <c r="H28" s="3">
        <v>5.7</v>
      </c>
      <c r="I28" s="13">
        <f>Water!H30</f>
        <v>40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9836.640000000596</v>
      </c>
      <c r="F29" s="3">
        <v>2.7</v>
      </c>
      <c r="G29" s="13">
        <f>Gas!J31</f>
        <v>503.48966199997813</v>
      </c>
      <c r="H29" s="3">
        <v>5.7</v>
      </c>
      <c r="I29" s="13">
        <f>Water!H31</f>
        <v>59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-13828894.439999999</v>
      </c>
      <c r="F30" s="3">
        <v>2.7</v>
      </c>
      <c r="G30" s="13">
        <f>Gas!J32</f>
        <v>-1183511.7948460001</v>
      </c>
      <c r="H30" s="3">
        <v>5.7</v>
      </c>
      <c r="I30" s="13">
        <f>Water!H32</f>
        <v>-14490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5.7</v>
      </c>
      <c r="I31" s="13">
        <f>Water!H33</f>
        <v>0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5.7</v>
      </c>
      <c r="I32" s="13">
        <f>Water!H34</f>
        <v>0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4" sqref="E3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4" t="s">
        <v>36</v>
      </c>
      <c r="E1" s="124"/>
      <c r="F1" s="124"/>
      <c r="G1" s="124"/>
      <c r="H1" s="124"/>
      <c r="I1" s="124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>
        <v>14102</v>
      </c>
      <c r="F22" s="23">
        <v>1065</v>
      </c>
      <c r="G22" s="23">
        <f t="shared" si="0"/>
        <v>15167</v>
      </c>
      <c r="H22" s="65">
        <f t="shared" si="1"/>
        <v>46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>
        <v>14138</v>
      </c>
      <c r="F23" s="23">
        <v>1065</v>
      </c>
      <c r="G23" s="23">
        <f t="shared" si="0"/>
        <v>15203</v>
      </c>
      <c r="H23" s="65">
        <f t="shared" si="1"/>
        <v>36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>
        <v>14168</v>
      </c>
      <c r="F24" s="23">
        <v>1065</v>
      </c>
      <c r="G24" s="23">
        <f t="shared" si="0"/>
        <v>15233</v>
      </c>
      <c r="H24" s="65">
        <f t="shared" si="1"/>
        <v>30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>
        <v>14226</v>
      </c>
      <c r="F25" s="23">
        <v>1065</v>
      </c>
      <c r="G25" s="23">
        <f t="shared" si="0"/>
        <v>15291</v>
      </c>
      <c r="H25" s="65">
        <f t="shared" si="1"/>
        <v>58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>
        <v>14259</v>
      </c>
      <c r="F26" s="23">
        <v>1065</v>
      </c>
      <c r="G26" s="23">
        <f t="shared" si="0"/>
        <v>15324</v>
      </c>
      <c r="H26" s="65">
        <f t="shared" si="1"/>
        <v>33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>
        <v>14314</v>
      </c>
      <c r="F27" s="23">
        <v>1065</v>
      </c>
      <c r="G27" s="23">
        <f>E27+F27</f>
        <v>15379</v>
      </c>
      <c r="H27" s="65">
        <f t="shared" si="1"/>
        <v>55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>
        <v>14349</v>
      </c>
      <c r="F28" s="23">
        <v>1065</v>
      </c>
      <c r="G28" s="23">
        <f>E28+F28</f>
        <v>15414</v>
      </c>
      <c r="H28" s="65">
        <f t="shared" si="1"/>
        <v>35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>
        <v>14391</v>
      </c>
      <c r="F29" s="23">
        <v>1065</v>
      </c>
      <c r="G29" s="23">
        <f>E29+F29</f>
        <v>15456</v>
      </c>
      <c r="H29" s="65">
        <f>G29-G28</f>
        <v>42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>
        <v>14431</v>
      </c>
      <c r="F30" s="23">
        <v>1065</v>
      </c>
      <c r="G30" s="23">
        <f>E30+F30</f>
        <v>15496</v>
      </c>
      <c r="H30" s="65">
        <f>G30-G29</f>
        <v>40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>
        <v>14490</v>
      </c>
      <c r="F31" s="23">
        <v>1065</v>
      </c>
      <c r="G31" s="23">
        <f t="shared" ref="G31:G32" si="2">E31+F31</f>
        <v>15555</v>
      </c>
      <c r="H31" s="65">
        <f t="shared" ref="H31:H34" si="3">G31-G30</f>
        <v>59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/>
      <c r="F32" s="23">
        <v>1065</v>
      </c>
      <c r="G32" s="23">
        <f t="shared" si="2"/>
        <v>1065</v>
      </c>
      <c r="H32" s="65">
        <f t="shared" si="3"/>
        <v>-14490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-13396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E33" sqref="E33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4" t="s">
        <v>34</v>
      </c>
      <c r="E1" s="124"/>
      <c r="F1" s="124"/>
      <c r="G1" s="124"/>
      <c r="H1" s="124"/>
      <c r="I1" s="124"/>
      <c r="J1" s="124"/>
      <c r="K1" s="124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1.2493540000000001</v>
      </c>
      <c r="I4" s="23">
        <f t="shared" ref="I4:I15" si="1">H4*G4</f>
        <v>1174987.4525040002</v>
      </c>
      <c r="J4" s="24">
        <v>308.60000000000002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1.2493540000000001</v>
      </c>
      <c r="I5" s="23">
        <f t="shared" si="1"/>
        <v>1175289.796172</v>
      </c>
      <c r="J5" s="24">
        <f t="shared" ref="J5:J33" si="2">I5-I4</f>
        <v>302.34366799984127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1.2493540000000001</v>
      </c>
      <c r="I6" s="23">
        <f t="shared" si="1"/>
        <v>1175499.6876440002</v>
      </c>
      <c r="J6" s="24">
        <f t="shared" si="2"/>
        <v>209.89147200016305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1.2493540000000001</v>
      </c>
      <c r="I7" s="23">
        <f t="shared" si="1"/>
        <v>1175618.3762740002</v>
      </c>
      <c r="J7" s="24">
        <f t="shared" si="2"/>
        <v>118.68862999998964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1.2493540000000001</v>
      </c>
      <c r="I8" s="23">
        <f t="shared" si="1"/>
        <v>1175723.32201</v>
      </c>
      <c r="J8" s="24">
        <f t="shared" si="2"/>
        <v>104.94573599984869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1.2493540000000001</v>
      </c>
      <c r="I9" s="23">
        <f t="shared" si="1"/>
        <v>1175901.979632</v>
      </c>
      <c r="J9" s="24">
        <f t="shared" si="2"/>
        <v>178.65762199996971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1.2493540000000001</v>
      </c>
      <c r="I10" s="23">
        <f t="shared" si="1"/>
        <v>1176090.6320860002</v>
      </c>
      <c r="J10" s="24">
        <f t="shared" si="2"/>
        <v>188.65245400019921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1.2493540000000001</v>
      </c>
      <c r="I11" s="23">
        <f t="shared" si="1"/>
        <v>1176300.5235580001</v>
      </c>
      <c r="J11" s="24">
        <f t="shared" si="2"/>
        <v>209.89147199993022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1.2493540000000001</v>
      </c>
      <c r="I12" s="23">
        <f t="shared" si="1"/>
        <v>1176452.944746</v>
      </c>
      <c r="J12" s="24">
        <f t="shared" si="2"/>
        <v>152.42118799989112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1.2493540000000001</v>
      </c>
      <c r="I13" s="23">
        <f t="shared" si="1"/>
        <v>1176689.072652</v>
      </c>
      <c r="J13" s="24">
        <f t="shared" si="2"/>
        <v>236.12790600000881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1.2493540000000001</v>
      </c>
      <c r="I14" s="23">
        <f t="shared" si="1"/>
        <v>1176918.9537880002</v>
      </c>
      <c r="J14" s="24">
        <f t="shared" si="2"/>
        <v>229.8811360001564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1.2493540000000001</v>
      </c>
      <c r="I15" s="23">
        <f t="shared" si="1"/>
        <v>1177130.0946140001</v>
      </c>
      <c r="J15" s="24">
        <f t="shared" si="2"/>
        <v>211.1408259999007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1.2493540000000001</v>
      </c>
      <c r="I16" s="23">
        <f>H16*G16</f>
        <v>1177374.9679980001</v>
      </c>
      <c r="J16" s="24">
        <f t="shared" si="2"/>
        <v>244.873384000035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1.2493540000000001</v>
      </c>
      <c r="I17" s="23">
        <f>H17*G17</f>
        <v>1177629.8362140001</v>
      </c>
      <c r="J17" s="24">
        <f t="shared" si="2"/>
        <v>254.86821600003168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1.2493540000000001</v>
      </c>
      <c r="I18" s="23">
        <f>H18*G18</f>
        <v>1177892.200554</v>
      </c>
      <c r="J18" s="24">
        <f t="shared" si="2"/>
        <v>262.36433999985456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1.2493540000000001</v>
      </c>
      <c r="I19" s="23">
        <f>H19*G19</f>
        <v>1178170.8064960002</v>
      </c>
      <c r="J19" s="24">
        <f t="shared" si="2"/>
        <v>278.60594200016931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1.2493540000000001</v>
      </c>
      <c r="I20" s="23">
        <f>H20*G20</f>
        <v>1178460.6566240001</v>
      </c>
      <c r="J20" s="24">
        <f t="shared" si="2"/>
        <v>289.85012799990363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1.2493540000000001</v>
      </c>
      <c r="I21" s="23">
        <f t="shared" ref="I21:I34" si="4">H21*G21</f>
        <v>1178851.7044260001</v>
      </c>
      <c r="J21" s="24">
        <f t="shared" si="2"/>
        <v>391.04780200007372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>
        <v>770282</v>
      </c>
      <c r="F22" s="23">
        <v>173612</v>
      </c>
      <c r="G22" s="23">
        <f t="shared" si="3"/>
        <v>943894</v>
      </c>
      <c r="H22" s="18">
        <v>1.2493540000000001</v>
      </c>
      <c r="I22" s="23">
        <f t="shared" si="4"/>
        <v>1179257.7444760001</v>
      </c>
      <c r="J22" s="24">
        <f t="shared" si="2"/>
        <v>406.04004999995232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>
        <v>770531</v>
      </c>
      <c r="F23" s="23">
        <v>173713</v>
      </c>
      <c r="G23" s="23">
        <f t="shared" si="3"/>
        <v>944244</v>
      </c>
      <c r="H23" s="18">
        <v>1.2493540000000001</v>
      </c>
      <c r="I23" s="23">
        <f t="shared" si="4"/>
        <v>1179695.018376</v>
      </c>
      <c r="J23" s="24">
        <f t="shared" si="2"/>
        <v>437.27389999991283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>
        <v>770781</v>
      </c>
      <c r="F24" s="23">
        <v>173807</v>
      </c>
      <c r="G24" s="23">
        <f t="shared" si="3"/>
        <v>944588</v>
      </c>
      <c r="H24" s="18">
        <v>1.2493540000000001</v>
      </c>
      <c r="I24" s="23">
        <f>H24*G24</f>
        <v>1180124.7961520001</v>
      </c>
      <c r="J24" s="24">
        <f t="shared" si="2"/>
        <v>429.77777600008994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>
        <v>771044</v>
      </c>
      <c r="F25" s="23">
        <v>173902</v>
      </c>
      <c r="G25" s="23">
        <f t="shared" si="3"/>
        <v>944946</v>
      </c>
      <c r="H25" s="18">
        <v>1.2493540000000001</v>
      </c>
      <c r="I25" s="23">
        <f t="shared" si="4"/>
        <v>1180572.064884</v>
      </c>
      <c r="J25" s="22">
        <f t="shared" si="2"/>
        <v>447.26873199990951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>
        <v>771300</v>
      </c>
      <c r="F26" s="23">
        <v>173996</v>
      </c>
      <c r="G26" s="23">
        <f>E26+F26</f>
        <v>945296</v>
      </c>
      <c r="H26" s="18">
        <v>1.2493540000000001</v>
      </c>
      <c r="I26" s="23">
        <f t="shared" si="4"/>
        <v>1181009.3387840001</v>
      </c>
      <c r="J26" s="22">
        <f>I26-I25</f>
        <v>437.27390000014566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>
        <v>771562</v>
      </c>
      <c r="F27" s="23">
        <v>174088</v>
      </c>
      <c r="G27" s="23">
        <f>E27+F27</f>
        <v>945650</v>
      </c>
      <c r="H27" s="18">
        <v>1.2493540000000001</v>
      </c>
      <c r="I27" s="23">
        <f>H27*G27</f>
        <v>1181451.6101000002</v>
      </c>
      <c r="J27" s="22">
        <f>I27-I26</f>
        <v>442.27131600002758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>
        <v>771890</v>
      </c>
      <c r="F28" s="23">
        <v>174189</v>
      </c>
      <c r="G28" s="23">
        <f>E28+F28</f>
        <v>946079</v>
      </c>
      <c r="H28" s="18">
        <v>1.2493540000000001</v>
      </c>
      <c r="I28" s="23">
        <f t="shared" si="4"/>
        <v>1181987.5829660001</v>
      </c>
      <c r="J28" s="22">
        <f>I28-I27</f>
        <v>535.97286599990912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>
        <v>772238</v>
      </c>
      <c r="F29" s="23">
        <v>174282</v>
      </c>
      <c r="G29" s="23">
        <f t="shared" si="3"/>
        <v>946520</v>
      </c>
      <c r="H29" s="18">
        <v>1.2493540000000001</v>
      </c>
      <c r="I29" s="23">
        <f t="shared" si="4"/>
        <v>1182538.5480800001</v>
      </c>
      <c r="J29" s="22">
        <f t="shared" si="2"/>
        <v>550.96511400002055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>
        <v>772517</v>
      </c>
      <c r="F30" s="23">
        <v>174379</v>
      </c>
      <c r="G30" s="23">
        <f t="shared" si="3"/>
        <v>946896</v>
      </c>
      <c r="H30" s="18">
        <v>1.2493540000000001</v>
      </c>
      <c r="I30" s="23">
        <f>H30*G30</f>
        <v>1183008.3051840002</v>
      </c>
      <c r="J30" s="22">
        <f t="shared" si="2"/>
        <v>469.75710400007665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>
        <v>772811</v>
      </c>
      <c r="F31" s="23">
        <v>174488</v>
      </c>
      <c r="G31" s="23">
        <f t="shared" si="3"/>
        <v>947299</v>
      </c>
      <c r="H31" s="18">
        <v>1.2493540000000001</v>
      </c>
      <c r="I31" s="23">
        <f t="shared" si="4"/>
        <v>1183511.7948460001</v>
      </c>
      <c r="J31" s="22">
        <f t="shared" si="2"/>
        <v>503.48966199997813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/>
      <c r="F32" s="23"/>
      <c r="G32" s="23">
        <f t="shared" si="3"/>
        <v>0</v>
      </c>
      <c r="H32" s="18">
        <v>1.2493540000000001</v>
      </c>
      <c r="I32" s="23">
        <f t="shared" si="4"/>
        <v>0</v>
      </c>
      <c r="J32" s="22">
        <f t="shared" si="2"/>
        <v>-1183511.7948460001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/>
      <c r="F33" s="23"/>
      <c r="G33" s="23">
        <f t="shared" si="3"/>
        <v>0</v>
      </c>
      <c r="H33" s="18">
        <v>1.2493540000000001</v>
      </c>
      <c r="I33" s="23">
        <f t="shared" si="4"/>
        <v>0</v>
      </c>
      <c r="J33" s="24">
        <f t="shared" si="2"/>
        <v>0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/>
      <c r="F34" s="23"/>
      <c r="G34" s="67">
        <f t="shared" si="3"/>
        <v>0</v>
      </c>
      <c r="H34" s="18">
        <v>1.2493540000000001</v>
      </c>
      <c r="I34" s="67">
        <f t="shared" si="4"/>
        <v>0</v>
      </c>
      <c r="J34" s="85">
        <f>I34-I33</f>
        <v>0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-1174678.8525040001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208.89390119996852</v>
      </c>
      <c r="M36" s="17">
        <f>+(L36*31)</f>
        <v>6475.7109371990246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2" workbookViewId="0">
      <selection activeCell="F33" sqref="F33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4" t="s">
        <v>35</v>
      </c>
      <c r="F1" s="124"/>
      <c r="G1" s="124"/>
      <c r="H1" s="124"/>
      <c r="I1" s="124"/>
      <c r="J1" s="124"/>
      <c r="K1" s="29"/>
      <c r="L1" s="29"/>
      <c r="M1" s="29"/>
      <c r="N1" s="29"/>
      <c r="O1" s="17"/>
      <c r="P1" s="17"/>
      <c r="Q1" s="125"/>
      <c r="R1" s="125"/>
      <c r="S1" s="125"/>
      <c r="T1" s="125"/>
      <c r="U1" s="125"/>
      <c r="V1" s="125"/>
      <c r="W1" s="125"/>
      <c r="X1" s="125"/>
      <c r="Y1" s="93"/>
      <c r="Z1" s="125"/>
      <c r="AA1" s="125"/>
      <c r="AB1" s="125"/>
      <c r="AC1" s="125"/>
      <c r="AD1" s="125"/>
      <c r="AE1" s="125"/>
      <c r="AF1" s="125"/>
      <c r="AG1" s="125"/>
      <c r="AH1" s="94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6"/>
      <c r="AP3" s="127"/>
      <c r="AQ3" s="126"/>
      <c r="AR3" s="127"/>
      <c r="AS3" s="126"/>
      <c r="AT3" s="127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>
        <v>4980.3950000000004</v>
      </c>
      <c r="G22" s="22">
        <v>2760</v>
      </c>
      <c r="H22" s="23">
        <f t="shared" si="0"/>
        <v>13745890.200000001</v>
      </c>
      <c r="I22" s="24">
        <f t="shared" si="1"/>
        <v>8266.2000000029802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>
        <v>4983.268</v>
      </c>
      <c r="G23" s="22">
        <v>2760</v>
      </c>
      <c r="H23" s="23">
        <f t="shared" si="0"/>
        <v>13753819.68</v>
      </c>
      <c r="I23" s="24">
        <f t="shared" si="1"/>
        <v>7929.4799999985844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>
        <v>4986.3289999999997</v>
      </c>
      <c r="G24" s="22">
        <v>2760</v>
      </c>
      <c r="H24" s="23">
        <f t="shared" si="0"/>
        <v>13762268.039999999</v>
      </c>
      <c r="I24" s="24">
        <f t="shared" si="1"/>
        <v>8448.359999999404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>
        <v>4989.5020000000004</v>
      </c>
      <c r="G25" s="22">
        <v>2760</v>
      </c>
      <c r="H25" s="23">
        <f t="shared" si="0"/>
        <v>13771025.520000001</v>
      </c>
      <c r="I25" s="24">
        <f t="shared" si="1"/>
        <v>8757.4800000023097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>
        <v>4992.4430000000002</v>
      </c>
      <c r="G26" s="26">
        <v>2760</v>
      </c>
      <c r="H26" s="27">
        <f t="shared" si="0"/>
        <v>13779142.68</v>
      </c>
      <c r="I26" s="24">
        <f t="shared" si="1"/>
        <v>8117.1599999982864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>
        <v>4995.2969999999996</v>
      </c>
      <c r="G27" s="26">
        <v>2760</v>
      </c>
      <c r="H27" s="27">
        <f t="shared" si="0"/>
        <v>13787019.719999999</v>
      </c>
      <c r="I27" s="24">
        <f t="shared" si="1"/>
        <v>7877.0399999991059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>
        <v>4998.8310000000001</v>
      </c>
      <c r="G28" s="26">
        <v>2760</v>
      </c>
      <c r="H28" s="27">
        <f t="shared" si="0"/>
        <v>13796773.560000001</v>
      </c>
      <c r="I28" s="24">
        <f>H28-H27</f>
        <v>9753.8400000017136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>
        <v>5003.08</v>
      </c>
      <c r="G29" s="26">
        <v>2760</v>
      </c>
      <c r="H29" s="27">
        <f t="shared" si="0"/>
        <v>13808500.799999999</v>
      </c>
      <c r="I29" s="24">
        <f t="shared" si="1"/>
        <v>11727.239999998361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>
        <v>5006.9049999999997</v>
      </c>
      <c r="G30" s="26">
        <v>2760</v>
      </c>
      <c r="H30" s="27">
        <f t="shared" si="0"/>
        <v>13819057.799999999</v>
      </c>
      <c r="I30" s="24">
        <f t="shared" si="1"/>
        <v>10557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>
        <v>5010.4690000000001</v>
      </c>
      <c r="G31" s="26">
        <v>2760</v>
      </c>
      <c r="H31" s="27">
        <f t="shared" si="0"/>
        <v>13828894.439999999</v>
      </c>
      <c r="I31" s="24">
        <f t="shared" si="1"/>
        <v>9836.640000000596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/>
      <c r="G32" s="26">
        <v>2760</v>
      </c>
      <c r="H32" s="27">
        <f t="shared" si="0"/>
        <v>0</v>
      </c>
      <c r="I32" s="24">
        <f t="shared" si="1"/>
        <v>-13828894.439999999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SUM(I5:I35)</f>
        <v>-13617726.84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2022-07-28T05:36:39Z</dcterms:modified>
</cp:coreProperties>
</file>