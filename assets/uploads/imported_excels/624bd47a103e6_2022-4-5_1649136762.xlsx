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95" documentId="13_ncr:1_{76C55D63-F869-4AF5-AAA3-3D809A91432B}" xr6:coauthVersionLast="47" xr6:coauthVersionMax="47" xr10:uidLastSave="{2350F186-80F3-4CF6-B3F4-A3D0286CEEC0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<sst xmlns="http://schemas.openxmlformats.org/spreadsheetml/2006/main" count="71" uniqueCount="33">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</sst>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H33" sqref="H33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6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14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0</v>
      </c>
      <c r="F5" s="14">
        <v>9.3200000000000005E-2</v>
      </c>
      <c r="G5" s="11">
        <f>IF('Water, Gas, Diesel'!K9&lt;0,0,'Water, Gas, Diesel'!K9)</f>
        <v>12190</v>
      </c>
      <c r="H5" s="92">
        <v>0.7</v>
      </c>
      <c r="I5" s="11">
        <f>IF('Water, Gas, Diesel'!C9&lt;0,0,'Water, Gas, Diesel'!C9)</f>
        <v>0</v>
      </c>
      <c r="J5" s="92">
        <v>0.21186441</v>
      </c>
      <c r="K5" s="11">
        <f>IF('Water, Gas, Diesel'!F9&lt;0,0,'Water, Gas, Diesel'!F9)</f>
        <v>0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0</v>
      </c>
      <c r="F6" s="14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0</v>
      </c>
      <c r="J6" s="92">
        <v>0.21186441</v>
      </c>
      <c r="K6" s="11">
        <f>IF('Water, Gas, Diesel'!F10&lt;0,0,'Water, Gas, Diesel'!F10)</f>
        <v>0</v>
      </c>
      <c r="L6" s="92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0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0</v>
      </c>
      <c r="J7" s="92">
        <v>0.21186441</v>
      </c>
      <c r="K7" s="11">
        <f>IF('Water, Gas, Diesel'!F11&lt;0,0,'Water, Gas, Diesel'!F11)</f>
        <v>0</v>
      </c>
      <c r="L7" s="92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0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0</v>
      </c>
      <c r="J8" s="92">
        <v>0.21186441</v>
      </c>
      <c r="K8" s="11">
        <f>IF('Water, Gas, Diesel'!F12&lt;0,0,'Water, Gas, Diesel'!F12)</f>
        <v>0</v>
      </c>
      <c r="L8" s="92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0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0</v>
      </c>
      <c r="J9" s="92">
        <v>0.21186441</v>
      </c>
      <c r="K9" s="11">
        <f>IF('Water, Gas, Diesel'!F13&lt;0,0,'Water, Gas, Diesel'!F13)</f>
        <v>0</v>
      </c>
      <c r="L9" s="92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0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0</v>
      </c>
      <c r="J10" s="92">
        <v>0.21186441</v>
      </c>
      <c r="K10" s="11">
        <f>IF('Water, Gas, Diesel'!F14&lt;0,0,'Water, Gas, Diesel'!F14)</f>
        <v>0</v>
      </c>
      <c r="L10" s="92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0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0</v>
      </c>
      <c r="J11" s="92">
        <v>0.21186441</v>
      </c>
      <c r="K11" s="11">
        <f>IF('Water, Gas, Diesel'!F15&lt;0,0,'Water, Gas, Diesel'!F15)</f>
        <v>0</v>
      </c>
      <c r="L11" s="92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0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0</v>
      </c>
      <c r="J12" s="92">
        <v>0.21186441</v>
      </c>
      <c r="K12" s="11">
        <f>IF('Water, Gas, Diesel'!F16&lt;0,0,'Water, Gas, Diesel'!F16)</f>
        <v>0</v>
      </c>
      <c r="L12" s="92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0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0</v>
      </c>
      <c r="J13" s="92">
        <v>0.21186441</v>
      </c>
      <c r="K13" s="11">
        <f>IF('Water, Gas, Diesel'!F17&lt;0,0,'Water, Gas, Diesel'!F17)</f>
        <v>0</v>
      </c>
      <c r="L13" s="92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0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0</v>
      </c>
      <c r="J14" s="92">
        <v>0.21186441</v>
      </c>
      <c r="K14" s="11">
        <f>IF('Water, Gas, Diesel'!F18&lt;0,0,'Water, Gas, Diesel'!F18)</f>
        <v>0</v>
      </c>
      <c r="L14" s="92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0</v>
      </c>
      <c r="F15" s="14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0</v>
      </c>
      <c r="J15" s="92">
        <v>0.21186441</v>
      </c>
      <c r="K15" s="11">
        <f>IF('Water, Gas, Diesel'!F19&lt;0,0,'Water, Gas, Diesel'!F19)</f>
        <v>0</v>
      </c>
      <c r="L15" s="9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0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0</v>
      </c>
      <c r="J16" s="92">
        <v>0.21186441</v>
      </c>
      <c r="K16" s="11">
        <f>IF('Water, Gas, Diesel'!F20&lt;0,0,'Water, Gas, Diesel'!F20)</f>
        <v>0</v>
      </c>
      <c r="L16" s="9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0</v>
      </c>
      <c r="F17" s="14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0</v>
      </c>
      <c r="J17" s="92">
        <v>0.21186441</v>
      </c>
      <c r="K17" s="11">
        <f>IF('Water, Gas, Diesel'!F21&lt;0,0,'Water, Gas, Diesel'!F21)</f>
        <v>0</v>
      </c>
      <c r="L17" s="9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0</v>
      </c>
      <c r="F18" s="14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0</v>
      </c>
      <c r="J18" s="92">
        <v>0.21186441</v>
      </c>
      <c r="K18" s="11">
        <f>IF('Water, Gas, Diesel'!F22&lt;0,0,'Water, Gas, Diesel'!F22)</f>
        <v>0</v>
      </c>
      <c r="L18" s="9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0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L12" sqref="L12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5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72" t="s">
        <v>23</v>
      </c>
      <c r="D5" s="73" t="s">
        <v>22</v>
      </c>
      <c r="E5" s="72" t="s">
        <v>23</v>
      </c>
      <c r="F5" s="149"/>
      <c r="G5" s="151"/>
      <c r="H5" s="141"/>
    </row>
    <row r="6" spans="1:8" ht="15.75" hidden="1">
      <c r="A6" s="106"/>
      <c r="B6" s="24"/>
      <c r="C6" s="74"/>
      <c r="D6" s="75"/>
      <c r="E6" s="74"/>
      <c r="F6" s="27"/>
      <c r="G6" s="76"/>
      <c r="H6" s="107"/>
    </row>
    <row r="7" spans="1:8" ht="27.75" customHeight="1">
      <c r="A7" s="108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4">
        <f t="shared" ref="F7:F38" si="2">C7+E7</f>
        <v>18994.999999999891</v>
      </c>
      <c r="G7" s="77">
        <f>F7*0.0932</f>
        <v>1770.3339999999898</v>
      </c>
      <c r="H7" s="136">
        <v>107</v>
      </c>
    </row>
    <row r="8" spans="1:8" ht="30.95" customHeight="1">
      <c r="A8" s="109">
        <v>1</v>
      </c>
      <c r="B8" s="103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10">
        <v>109</v>
      </c>
    </row>
    <row r="9" spans="1:8" ht="30.95" customHeight="1">
      <c r="A9" s="111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2">
        <v>49</v>
      </c>
    </row>
    <row r="10" spans="1:8" ht="30.95" customHeight="1">
      <c r="A10" s="109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2">
        <v>47</v>
      </c>
    </row>
    <row r="11" spans="1:8" ht="30.95" customHeight="1">
      <c r="A11" s="111">
        <v>4</v>
      </c>
      <c r="B11" s="84">
        <v>15042.432000000001</v>
      </c>
      <c r="C11" s="39">
        <f t="shared" si="0"/>
        <v>-37606080</v>
      </c>
      <c r="D11" s="85">
        <v>15407.945</v>
      </c>
      <c r="E11" s="39">
        <f t="shared" si="1"/>
        <v>-38519862.5</v>
      </c>
      <c r="F11" s="47">
        <f t="shared" si="2"/>
        <v>-76125942.5</v>
      </c>
      <c r="G11" s="77">
        <f t="shared" si="3"/>
        <v>-7094937.841</v>
      </c>
      <c r="H11" s="112">
        <v>51</v>
      </c>
    </row>
    <row r="12" spans="1:8" ht="30.95" customHeight="1">
      <c r="A12" s="109">
        <v>5</v>
      </c>
      <c r="B12" s="86"/>
      <c r="C12" s="80">
        <f t="shared" si="0"/>
        <v>0</v>
      </c>
      <c r="D12" s="83"/>
      <c r="E12" s="80">
        <f t="shared" si="1"/>
        <v>0</v>
      </c>
      <c r="F12" s="51">
        <f t="shared" si="2"/>
        <v>0</v>
      </c>
      <c r="G12" s="77">
        <f t="shared" si="3"/>
        <v>0</v>
      </c>
      <c r="H12" s="112"/>
    </row>
    <row r="13" spans="1:8" ht="30.95" customHeight="1">
      <c r="A13" s="111">
        <v>6</v>
      </c>
      <c r="B13" s="84"/>
      <c r="C13" s="39">
        <f t="shared" si="0"/>
        <v>0</v>
      </c>
      <c r="D13" s="85"/>
      <c r="E13" s="39">
        <f t="shared" si="1"/>
        <v>0</v>
      </c>
      <c r="F13" s="47">
        <f t="shared" si="2"/>
        <v>0</v>
      </c>
      <c r="G13" s="77">
        <f t="shared" si="3"/>
        <v>0</v>
      </c>
      <c r="H13" s="112"/>
    </row>
    <row r="14" spans="1:8" ht="30.95" customHeight="1">
      <c r="A14" s="109">
        <v>7</v>
      </c>
      <c r="B14" s="86"/>
      <c r="C14" s="80">
        <f t="shared" si="0"/>
        <v>0</v>
      </c>
      <c r="D14" s="113"/>
      <c r="E14" s="80">
        <f t="shared" si="1"/>
        <v>0</v>
      </c>
      <c r="F14" s="51">
        <f t="shared" si="2"/>
        <v>0</v>
      </c>
      <c r="G14" s="77">
        <f t="shared" si="3"/>
        <v>0</v>
      </c>
      <c r="H14" s="112"/>
    </row>
    <row r="15" spans="1:8" ht="30.95" customHeight="1">
      <c r="A15" s="111">
        <v>8</v>
      </c>
      <c r="B15" s="84"/>
      <c r="C15" s="39">
        <f t="shared" si="0"/>
        <v>0</v>
      </c>
      <c r="D15" s="87"/>
      <c r="E15" s="39">
        <f t="shared" si="1"/>
        <v>0</v>
      </c>
      <c r="F15" s="47">
        <f t="shared" si="2"/>
        <v>0</v>
      </c>
      <c r="G15" s="77">
        <f t="shared" si="3"/>
        <v>0</v>
      </c>
      <c r="H15" s="112"/>
    </row>
    <row r="16" spans="1:8" ht="30.95" customHeight="1">
      <c r="A16" s="109">
        <v>9</v>
      </c>
      <c r="B16" s="88"/>
      <c r="C16" s="80">
        <f t="shared" si="0"/>
        <v>0</v>
      </c>
      <c r="D16" s="89"/>
      <c r="E16" s="80">
        <f t="shared" si="1"/>
        <v>0</v>
      </c>
      <c r="F16" s="51">
        <f t="shared" si="2"/>
        <v>0</v>
      </c>
      <c r="G16" s="77">
        <f t="shared" si="3"/>
        <v>0</v>
      </c>
      <c r="H16" s="112"/>
    </row>
    <row r="17" spans="1:8" ht="30.95" customHeight="1">
      <c r="A17" s="111">
        <v>10</v>
      </c>
      <c r="B17" s="86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7">
        <f t="shared" si="3"/>
        <v>0</v>
      </c>
      <c r="H17" s="112"/>
    </row>
    <row r="18" spans="1:8" ht="30.95" customHeight="1">
      <c r="A18" s="109">
        <v>11</v>
      </c>
      <c r="B18" s="84"/>
      <c r="C18" s="80">
        <f t="shared" si="0"/>
        <v>0</v>
      </c>
      <c r="D18" s="87"/>
      <c r="E18" s="80">
        <f t="shared" si="1"/>
        <v>0</v>
      </c>
      <c r="F18" s="51">
        <f t="shared" si="2"/>
        <v>0</v>
      </c>
      <c r="G18" s="77">
        <f t="shared" si="3"/>
        <v>0</v>
      </c>
      <c r="H18" s="112"/>
    </row>
    <row r="19" spans="1:8" ht="30.95" customHeight="1">
      <c r="A19" s="111">
        <v>12</v>
      </c>
      <c r="B19" s="86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7">
        <f t="shared" si="3"/>
        <v>0</v>
      </c>
      <c r="H19" s="112"/>
    </row>
    <row r="20" spans="1:8" ht="30.95" customHeight="1">
      <c r="A20" s="109">
        <v>13</v>
      </c>
      <c r="B20" s="84"/>
      <c r="C20" s="80">
        <f t="shared" si="0"/>
        <v>0</v>
      </c>
      <c r="D20" s="90"/>
      <c r="E20" s="80">
        <f t="shared" si="1"/>
        <v>0</v>
      </c>
      <c r="F20" s="51">
        <f t="shared" si="2"/>
        <v>0</v>
      </c>
      <c r="G20" s="77">
        <f t="shared" si="3"/>
        <v>0</v>
      </c>
      <c r="H20" s="112"/>
    </row>
    <row r="21" spans="1:8" ht="30.95" customHeight="1">
      <c r="A21" s="111">
        <v>14</v>
      </c>
      <c r="B21" s="84"/>
      <c r="C21" s="39">
        <f t="shared" si="0"/>
        <v>0</v>
      </c>
      <c r="D21" s="87"/>
      <c r="E21" s="39">
        <f t="shared" si="1"/>
        <v>0</v>
      </c>
      <c r="F21" s="47">
        <f t="shared" si="2"/>
        <v>0</v>
      </c>
      <c r="G21" s="77">
        <f t="shared" si="3"/>
        <v>0</v>
      </c>
      <c r="H21" s="112"/>
    </row>
    <row r="22" spans="1:8" ht="30.95" customHeight="1">
      <c r="A22" s="109">
        <v>15</v>
      </c>
      <c r="B22" s="84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12"/>
    </row>
    <row r="23" spans="1:8" ht="30.95" customHeight="1">
      <c r="A23" s="111">
        <v>16</v>
      </c>
      <c r="B23" s="93"/>
      <c r="C23" s="39">
        <f t="shared" si="0"/>
        <v>0</v>
      </c>
      <c r="D23" s="94"/>
      <c r="E23" s="39">
        <f t="shared" si="1"/>
        <v>0</v>
      </c>
      <c r="F23" s="47">
        <f t="shared" si="2"/>
        <v>0</v>
      </c>
      <c r="G23" s="77">
        <f t="shared" si="3"/>
        <v>0</v>
      </c>
      <c r="H23" s="112"/>
    </row>
    <row r="24" spans="1:8" ht="30.95" customHeight="1">
      <c r="A24" s="109">
        <v>17</v>
      </c>
      <c r="B24" s="95"/>
      <c r="C24" s="80">
        <f t="shared" si="0"/>
        <v>0</v>
      </c>
      <c r="D24" s="113"/>
      <c r="E24" s="80">
        <f t="shared" si="1"/>
        <v>0</v>
      </c>
      <c r="F24" s="51">
        <f t="shared" si="2"/>
        <v>0</v>
      </c>
      <c r="G24" s="77">
        <f t="shared" si="3"/>
        <v>0</v>
      </c>
      <c r="H24" s="112"/>
    </row>
    <row r="25" spans="1:8" ht="30.95" customHeight="1">
      <c r="A25" s="111">
        <v>18</v>
      </c>
      <c r="B25" s="84"/>
      <c r="C25" s="39">
        <f>(B26-B25)*2500</f>
        <v>0</v>
      </c>
      <c r="D25" s="87"/>
      <c r="E25" s="39">
        <f>(D26-D25)*2500</f>
        <v>0</v>
      </c>
      <c r="F25" s="47">
        <f t="shared" si="2"/>
        <v>0</v>
      </c>
      <c r="G25" s="77">
        <f t="shared" si="3"/>
        <v>0</v>
      </c>
      <c r="H25" s="112"/>
    </row>
    <row r="26" spans="1:8" ht="30.95" customHeight="1">
      <c r="A26" s="109">
        <v>19</v>
      </c>
      <c r="B26" s="86"/>
      <c r="C26" s="80">
        <f t="shared" ref="C26:C38" si="4">(B27-B26)*2500</f>
        <v>0</v>
      </c>
      <c r="D26" s="113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12"/>
    </row>
    <row r="27" spans="1:8" ht="30.95" customHeight="1">
      <c r="A27" s="111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2"/>
    </row>
    <row r="28" spans="1:8" ht="30.95" customHeight="1">
      <c r="A28" s="109">
        <v>21</v>
      </c>
      <c r="B28" s="86"/>
      <c r="C28" s="80">
        <f t="shared" si="4"/>
        <v>0</v>
      </c>
      <c r="D28" s="113"/>
      <c r="E28" s="80">
        <f t="shared" si="5"/>
        <v>0</v>
      </c>
      <c r="F28" s="47">
        <f t="shared" si="2"/>
        <v>0</v>
      </c>
      <c r="G28" s="77">
        <f t="shared" si="3"/>
        <v>0</v>
      </c>
      <c r="H28" s="112"/>
    </row>
    <row r="29" spans="1:8" ht="30.95" customHeight="1">
      <c r="A29" s="111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2"/>
    </row>
    <row r="30" spans="1:8" ht="30.95" customHeight="1">
      <c r="A30" s="109">
        <v>23</v>
      </c>
      <c r="B30" s="86"/>
      <c r="C30" s="80">
        <f t="shared" si="4"/>
        <v>0</v>
      </c>
      <c r="D30" s="113"/>
      <c r="E30" s="80">
        <f t="shared" si="5"/>
        <v>0</v>
      </c>
      <c r="F30" s="47">
        <f t="shared" si="2"/>
        <v>0</v>
      </c>
      <c r="G30" s="77">
        <f t="shared" si="3"/>
        <v>0</v>
      </c>
      <c r="H30" s="112"/>
    </row>
    <row r="31" spans="1:8" ht="30.95" customHeight="1">
      <c r="A31" s="111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2"/>
    </row>
    <row r="32" spans="1:8" ht="30.95" customHeight="1">
      <c r="A32" s="109">
        <v>25</v>
      </c>
      <c r="B32" s="86"/>
      <c r="C32" s="80">
        <f t="shared" si="4"/>
        <v>0</v>
      </c>
      <c r="D32" s="113"/>
      <c r="E32" s="80">
        <f t="shared" si="5"/>
        <v>0</v>
      </c>
      <c r="F32" s="47">
        <f t="shared" si="2"/>
        <v>0</v>
      </c>
      <c r="G32" s="77">
        <f t="shared" si="3"/>
        <v>0</v>
      </c>
      <c r="H32" s="112"/>
    </row>
    <row r="33" spans="1:8" ht="30.95" customHeight="1">
      <c r="A33" s="111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2"/>
    </row>
    <row r="34" spans="1:8" ht="30.95" customHeight="1">
      <c r="A34" s="109">
        <v>27</v>
      </c>
      <c r="B34" s="86"/>
      <c r="C34" s="80">
        <f t="shared" si="4"/>
        <v>0</v>
      </c>
      <c r="D34" s="113"/>
      <c r="E34" s="39">
        <f t="shared" si="5"/>
        <v>0</v>
      </c>
      <c r="F34" s="47">
        <f t="shared" si="2"/>
        <v>0</v>
      </c>
      <c r="G34" s="77">
        <f t="shared" si="3"/>
        <v>0</v>
      </c>
      <c r="H34" s="112"/>
    </row>
    <row r="35" spans="1:8" ht="30.95" customHeight="1">
      <c r="A35" s="111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2"/>
    </row>
    <row r="36" spans="1:8" ht="30.95" customHeight="1">
      <c r="A36" s="109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10"/>
    </row>
    <row r="37" spans="1:8" ht="30.95" customHeight="1">
      <c r="A37" s="125">
        <v>30</v>
      </c>
      <c r="B37" s="126"/>
      <c r="C37" s="66">
        <f>(B38-B37)*2500</f>
        <v>0</v>
      </c>
      <c r="D37" s="127"/>
      <c r="E37" s="66">
        <f>(D38-D37)*2500</f>
        <v>0</v>
      </c>
      <c r="F37" s="61">
        <f t="shared" si="2"/>
        <v>0</v>
      </c>
      <c r="G37" s="135">
        <f t="shared" si="3"/>
        <v>0</v>
      </c>
      <c r="H37" s="128"/>
    </row>
    <row r="38" spans="1:8" ht="30.95" customHeight="1">
      <c r="A38" s="117">
        <v>1</v>
      </c>
      <c r="B38" s="119"/>
      <c r="C38" s="120">
        <f t="shared" si="4"/>
        <v>0</v>
      </c>
      <c r="D38" s="121"/>
      <c r="E38" s="120">
        <f t="shared" si="5"/>
        <v>0</v>
      </c>
      <c r="F38" s="122">
        <f t="shared" si="2"/>
        <v>0</v>
      </c>
      <c r="G38" s="123">
        <f t="shared" si="3"/>
        <v>0</v>
      </c>
      <c r="H38" s="124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5" activePane="bottomLeft" state="frozen"/>
      <selection pane="bottomLeft" activeCell="J10" sqref="J10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0">
        <v>31</v>
      </c>
      <c r="B5" s="100">
        <v>6692412</v>
      </c>
      <c r="C5" s="114">
        <f>B6-B5</f>
        <v>3897</v>
      </c>
      <c r="D5" s="34">
        <f>C5*0.21186441</f>
        <v>825.63560576999998</v>
      </c>
      <c r="E5" s="35">
        <v>519682</v>
      </c>
      <c r="F5" s="115">
        <f>E6-E5</f>
        <v>190</v>
      </c>
      <c r="G5" s="36">
        <f>F5*0.84746</f>
        <v>161.01740000000001</v>
      </c>
      <c r="H5" s="36">
        <f>F5*0.84746</f>
        <v>161.01740000000001</v>
      </c>
      <c r="I5" s="101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100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-6704552</v>
      </c>
      <c r="D9" s="46">
        <f t="shared" si="6"/>
        <v>-1420455.9537943201</v>
      </c>
      <c r="E9" s="47">
        <v>520533</v>
      </c>
      <c r="F9" s="56">
        <f t="shared" si="1"/>
        <v>-520533</v>
      </c>
      <c r="G9" s="48">
        <f t="shared" si="4"/>
        <v>-441130.89617999998</v>
      </c>
      <c r="H9" s="48">
        <f t="shared" si="5"/>
        <v>-441130.89617999998</v>
      </c>
      <c r="I9" s="49">
        <f t="shared" si="2"/>
        <v>-882261.79235999996</v>
      </c>
      <c r="J9" s="37">
        <f>5740+6450</f>
        <v>12190</v>
      </c>
      <c r="K9" s="38">
        <f t="shared" si="3"/>
        <v>12190</v>
      </c>
      <c r="L9" s="39">
        <f>K9*0.7</f>
        <v>8533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6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6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>K11*0.7</f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6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6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6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6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>K15*0.7</f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6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>K16*0.7</f>
        <v>0</v>
      </c>
    </row>
    <row r="17" spans="1:12" ht="32.450000000000003" customHeight="1">
      <c r="A17" s="45">
        <v>12</v>
      </c>
      <c r="B17" s="45"/>
      <c r="C17" s="55">
        <f t="shared" ref="C17:C35" si="7">B18-B17</f>
        <v>0</v>
      </c>
      <c r="D17" s="46">
        <f t="shared" si="6"/>
        <v>0</v>
      </c>
      <c r="E17" s="47"/>
      <c r="F17" s="56">
        <f t="shared" ref="F17:F35" si="8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>K17*0.7</f>
        <v>0</v>
      </c>
    </row>
    <row r="18" spans="1:12" ht="32.450000000000003" customHeight="1">
      <c r="A18" s="40">
        <v>13</v>
      </c>
      <c r="B18" s="40"/>
      <c r="C18" s="53">
        <f t="shared" si="7"/>
        <v>0</v>
      </c>
      <c r="D18" s="46">
        <f t="shared" si="6"/>
        <v>0</v>
      </c>
      <c r="E18" s="51"/>
      <c r="F18" s="54">
        <f t="shared" si="8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/>
      <c r="C19" s="55">
        <f t="shared" si="7"/>
        <v>0</v>
      </c>
      <c r="D19" s="46">
        <f t="shared" si="6"/>
        <v>0</v>
      </c>
      <c r="E19" s="52"/>
      <c r="F19" s="56">
        <f t="shared" si="8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/>
      <c r="C20" s="53">
        <f t="shared" si="7"/>
        <v>0</v>
      </c>
      <c r="D20" s="46">
        <f t="shared" si="6"/>
        <v>0</v>
      </c>
      <c r="E20" s="51"/>
      <c r="F20" s="54">
        <f t="shared" si="8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/>
      <c r="C21" s="55">
        <f t="shared" si="7"/>
        <v>0</v>
      </c>
      <c r="D21" s="46">
        <f t="shared" si="6"/>
        <v>0</v>
      </c>
      <c r="E21" s="96"/>
      <c r="F21" s="56">
        <f t="shared" si="8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97"/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/>
      <c r="C22" s="53">
        <f t="shared" si="7"/>
        <v>0</v>
      </c>
      <c r="D22" s="46">
        <f t="shared" si="6"/>
        <v>0</v>
      </c>
      <c r="E22" s="52"/>
      <c r="F22" s="54">
        <f t="shared" si="8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/>
      <c r="C23" s="55">
        <f t="shared" si="7"/>
        <v>0</v>
      </c>
      <c r="D23" s="46">
        <f t="shared" si="6"/>
        <v>0</v>
      </c>
      <c r="E23" s="52"/>
      <c r="F23" s="56">
        <f t="shared" si="8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/>
      <c r="C24" s="53">
        <f t="shared" si="7"/>
        <v>0</v>
      </c>
      <c r="D24" s="46">
        <f t="shared" si="6"/>
        <v>0</v>
      </c>
      <c r="E24" s="52"/>
      <c r="F24" s="54">
        <f t="shared" si="8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7">
        <v>1</v>
      </c>
      <c r="B36" s="119"/>
      <c r="C36" s="129">
        <f t="shared" ref="C36" si="9">B37-B36</f>
        <v>0</v>
      </c>
      <c r="D36" s="130">
        <f t="shared" si="6"/>
        <v>0</v>
      </c>
      <c r="E36" s="122"/>
      <c r="F36" s="129">
        <f t="shared" ref="F36" si="10">E37-E36</f>
        <v>0</v>
      </c>
      <c r="G36" s="131">
        <f t="shared" ref="G36" si="11">F36*0.84746</f>
        <v>0</v>
      </c>
      <c r="H36" s="131">
        <f t="shared" ref="H36" si="12">F36*0.84746</f>
        <v>0</v>
      </c>
      <c r="I36" s="118">
        <f t="shared" ref="I36" si="13">G36+H36</f>
        <v>0</v>
      </c>
      <c r="J36" s="132"/>
      <c r="K36" s="133">
        <f t="shared" ref="K36" si="14">J36-J37</f>
        <v>0</v>
      </c>
      <c r="L36" s="134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2022-04-05T05:23:15Z</dcterms:modified>
  <cp:category/>
  <cp:contentStatus/>
</cp:coreProperties>
</file>