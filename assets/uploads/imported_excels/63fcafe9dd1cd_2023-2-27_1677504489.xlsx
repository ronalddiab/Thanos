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384" documentId="11_9B892F11F2BDC18C6215275FB31E30571BABF1E2" xr6:coauthVersionLast="47" xr6:coauthVersionMax="47" xr10:uidLastSave="{1AB691C3-3B81-44A9-9BAB-6CF17EA0D008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Jimbaran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1" l="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2" i="11"/>
  <c r="BD31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AW28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AW29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AW30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W31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P32" i="11"/>
  <c r="Q32" i="11"/>
  <c r="R32" i="11"/>
  <c r="S32" i="11"/>
  <c r="T32" i="11"/>
  <c r="U32" i="11"/>
  <c r="V32" i="11"/>
  <c r="W32" i="11"/>
  <c r="Y32" i="11"/>
  <c r="Z32" i="11"/>
  <c r="AA32" i="11"/>
  <c r="AB32" i="11"/>
  <c r="AC32" i="11"/>
  <c r="AD32" i="11"/>
  <c r="AE32" i="11"/>
  <c r="AF32" i="11"/>
  <c r="AG32" i="11"/>
  <c r="AH32" i="11"/>
  <c r="AI32" i="11"/>
  <c r="L25" i="11"/>
  <c r="M25" i="11"/>
  <c r="N25" i="11"/>
  <c r="L26" i="11"/>
  <c r="M26" i="11"/>
  <c r="N26" i="11"/>
  <c r="L27" i="11"/>
  <c r="M27" i="11"/>
  <c r="N27" i="11"/>
  <c r="L28" i="11"/>
  <c r="M28" i="11"/>
  <c r="N28" i="11"/>
  <c r="L29" i="11"/>
  <c r="M29" i="11"/>
  <c r="N29" i="11"/>
  <c r="L30" i="11"/>
  <c r="M30" i="11"/>
  <c r="N30" i="11"/>
  <c r="L31" i="11"/>
  <c r="M31" i="11"/>
  <c r="N31" i="11"/>
  <c r="L32" i="11"/>
  <c r="M32" i="11"/>
  <c r="N32" i="11"/>
  <c r="F28" i="11"/>
  <c r="H28" i="11"/>
  <c r="I28" i="11"/>
  <c r="J28" i="11"/>
  <c r="F29" i="11"/>
  <c r="H29" i="11"/>
  <c r="I29" i="11"/>
  <c r="J29" i="11"/>
  <c r="F30" i="11"/>
  <c r="H30" i="11"/>
  <c r="I30" i="11"/>
  <c r="J30" i="11"/>
  <c r="F31" i="11"/>
  <c r="H31" i="11"/>
  <c r="I31" i="11"/>
  <c r="J31" i="11"/>
  <c r="F32" i="11"/>
  <c r="H32" i="11"/>
  <c r="I32" i="11"/>
  <c r="J32" i="11"/>
  <c r="B32" i="11"/>
  <c r="F42" i="14"/>
  <c r="AX33" i="11" s="1"/>
  <c r="G42" i="14"/>
  <c r="H42" i="14"/>
  <c r="H33" i="11" s="1"/>
  <c r="I42" i="14"/>
  <c r="I33" i="11" s="1"/>
  <c r="J42" i="14"/>
  <c r="J33" i="11" s="1"/>
  <c r="K42" i="14"/>
  <c r="L42" i="14"/>
  <c r="L33" i="11" s="1"/>
  <c r="M42" i="14"/>
  <c r="N42" i="14"/>
  <c r="F33" i="11" s="1"/>
  <c r="O42" i="14"/>
  <c r="AY33" i="11" s="1"/>
  <c r="P42" i="14"/>
  <c r="AZ33" i="11" s="1"/>
  <c r="Q42" i="14"/>
  <c r="BO33" i="11" s="1"/>
  <c r="R42" i="14"/>
  <c r="BP33" i="11" s="1"/>
  <c r="S42" i="14"/>
  <c r="M33" i="11" s="1"/>
  <c r="T42" i="14"/>
  <c r="N33" i="11" s="1"/>
  <c r="U42" i="14"/>
  <c r="V42" i="14"/>
  <c r="P33" i="11" s="1"/>
  <c r="W42" i="14"/>
  <c r="BA33" i="11" s="1"/>
  <c r="X42" i="14"/>
  <c r="BB33" i="11" s="1"/>
  <c r="Y42" i="14"/>
  <c r="W33" i="11" s="1"/>
  <c r="AA42" i="14"/>
  <c r="Y33" i="11" s="1"/>
  <c r="AB42" i="14"/>
  <c r="Z33" i="11" s="1"/>
  <c r="AC42" i="14"/>
  <c r="AA33" i="11" s="1"/>
  <c r="AD42" i="14"/>
  <c r="AB33" i="11" s="1"/>
  <c r="AE42" i="14"/>
  <c r="AC33" i="11" s="1"/>
  <c r="AF42" i="14"/>
  <c r="AD33" i="11" s="1"/>
  <c r="AG42" i="14"/>
  <c r="AE33" i="11" s="1"/>
  <c r="AH42" i="14"/>
  <c r="AF33" i="11" s="1"/>
  <c r="AI42" i="14"/>
  <c r="AK42" i="14"/>
  <c r="BE33" i="11" s="1"/>
  <c r="AL42" i="14"/>
  <c r="BF33" i="11" s="1"/>
  <c r="AM42" i="14"/>
  <c r="AN42" i="14"/>
  <c r="BH33" i="11" s="1"/>
  <c r="AO42" i="14"/>
  <c r="AP42" i="14"/>
  <c r="AQ42" i="14"/>
  <c r="AR42" i="14"/>
  <c r="AS42" i="14"/>
  <c r="AT42" i="14"/>
  <c r="AU42" i="14"/>
  <c r="AV42" i="14"/>
  <c r="AW42" i="14"/>
  <c r="AX42" i="14"/>
  <c r="AY42" i="14"/>
  <c r="AK33" i="11" s="1"/>
  <c r="AZ42" i="14"/>
  <c r="AL33" i="11" s="1"/>
  <c r="BA42" i="14"/>
  <c r="BB42" i="14"/>
  <c r="BC42" i="14"/>
  <c r="AQ33" i="11" s="1"/>
  <c r="BD42" i="14"/>
  <c r="AR33" i="11" s="1"/>
  <c r="BE42" i="14"/>
  <c r="Q33" i="11" s="1"/>
  <c r="BF42" i="14"/>
  <c r="R33" i="11" s="1"/>
  <c r="BG42" i="14"/>
  <c r="BH42" i="14"/>
  <c r="BI42" i="14"/>
  <c r="U33" i="11" s="1"/>
  <c r="BJ42" i="14"/>
  <c r="V33" i="11" s="1"/>
  <c r="BK42" i="14"/>
  <c r="AO33" i="11" s="1"/>
  <c r="BL42" i="14"/>
  <c r="AP33" i="11" s="1"/>
  <c r="BM42" i="14"/>
  <c r="AS33" i="11" s="1"/>
  <c r="BN42" i="14"/>
  <c r="AT33" i="11" s="1"/>
  <c r="BO42" i="14"/>
  <c r="AU33" i="11" s="1"/>
  <c r="BP42" i="14"/>
  <c r="AV33" i="11" s="1"/>
  <c r="E42" i="14"/>
  <c r="AW33" i="11" s="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D2" i="11"/>
  <c r="BD33" i="11" s="1"/>
  <c r="BE19" i="11"/>
  <c r="BF19" i="11"/>
  <c r="BG19" i="11"/>
  <c r="BH19" i="11"/>
  <c r="BI19" i="11"/>
  <c r="BJ19" i="11"/>
  <c r="BK19" i="11"/>
  <c r="BL19" i="11"/>
  <c r="BO19" i="11"/>
  <c r="BP19" i="11"/>
  <c r="BE20" i="11"/>
  <c r="BF20" i="11"/>
  <c r="BG20" i="11"/>
  <c r="BH20" i="11"/>
  <c r="BI20" i="11"/>
  <c r="BJ20" i="11"/>
  <c r="BK20" i="11"/>
  <c r="BL20" i="11"/>
  <c r="BO20" i="11"/>
  <c r="BP20" i="11"/>
  <c r="BE21" i="11"/>
  <c r="BF21" i="11"/>
  <c r="BG21" i="11"/>
  <c r="BH21" i="11"/>
  <c r="BI21" i="11"/>
  <c r="BJ21" i="11"/>
  <c r="BK21" i="11"/>
  <c r="BL21" i="11"/>
  <c r="BO21" i="11"/>
  <c r="BP21" i="11"/>
  <c r="BE22" i="11"/>
  <c r="BF22" i="11"/>
  <c r="BG22" i="11"/>
  <c r="BH22" i="11"/>
  <c r="BI22" i="11"/>
  <c r="BJ22" i="11"/>
  <c r="BK22" i="11"/>
  <c r="BL22" i="11"/>
  <c r="BO22" i="11"/>
  <c r="BP22" i="11"/>
  <c r="BE23" i="11"/>
  <c r="BF23" i="11"/>
  <c r="BG23" i="11"/>
  <c r="BH23" i="11"/>
  <c r="BI23" i="11"/>
  <c r="BJ23" i="11"/>
  <c r="BK23" i="11"/>
  <c r="BL23" i="11"/>
  <c r="BO23" i="11"/>
  <c r="BP23" i="11"/>
  <c r="BE24" i="11"/>
  <c r="BF24" i="11"/>
  <c r="BG24" i="11"/>
  <c r="BH24" i="11"/>
  <c r="BI24" i="11"/>
  <c r="BJ24" i="11"/>
  <c r="BK24" i="11"/>
  <c r="BL24" i="11"/>
  <c r="BO24" i="11"/>
  <c r="BP24" i="11"/>
  <c r="BE25" i="11"/>
  <c r="BF25" i="11"/>
  <c r="BG25" i="11"/>
  <c r="BH25" i="11"/>
  <c r="BI25" i="11"/>
  <c r="BJ25" i="11"/>
  <c r="BK25" i="11"/>
  <c r="BL25" i="11"/>
  <c r="BO25" i="11"/>
  <c r="BP25" i="11"/>
  <c r="BE26" i="11"/>
  <c r="BF26" i="11"/>
  <c r="BG26" i="11"/>
  <c r="BH26" i="11"/>
  <c r="BI26" i="11"/>
  <c r="BJ26" i="11"/>
  <c r="BK26" i="11"/>
  <c r="BL26" i="11"/>
  <c r="BO26" i="11"/>
  <c r="BP26" i="11"/>
  <c r="BE27" i="11"/>
  <c r="BF27" i="11"/>
  <c r="BG27" i="11"/>
  <c r="BH27" i="11"/>
  <c r="BI27" i="11"/>
  <c r="BJ27" i="11"/>
  <c r="BK27" i="11"/>
  <c r="BL27" i="11"/>
  <c r="BO27" i="11"/>
  <c r="BP27" i="11"/>
  <c r="BE28" i="11"/>
  <c r="BF28" i="11"/>
  <c r="BG28" i="11"/>
  <c r="BH28" i="11"/>
  <c r="BI28" i="11"/>
  <c r="BJ28" i="11"/>
  <c r="BK28" i="11"/>
  <c r="BL28" i="11"/>
  <c r="BO28" i="11"/>
  <c r="BP28" i="11"/>
  <c r="BE29" i="11"/>
  <c r="BF29" i="11"/>
  <c r="BG29" i="11"/>
  <c r="BH29" i="11"/>
  <c r="BI29" i="11"/>
  <c r="BJ29" i="11"/>
  <c r="BK29" i="11"/>
  <c r="BL29" i="11"/>
  <c r="BO29" i="11"/>
  <c r="BP29" i="11"/>
  <c r="BE30" i="11"/>
  <c r="BF30" i="11"/>
  <c r="BG30" i="11"/>
  <c r="BH30" i="11"/>
  <c r="BI30" i="11"/>
  <c r="BJ30" i="11"/>
  <c r="BK30" i="11"/>
  <c r="BL30" i="11"/>
  <c r="BO30" i="11"/>
  <c r="BP30" i="11"/>
  <c r="BE31" i="11"/>
  <c r="BF31" i="11"/>
  <c r="BG31" i="11"/>
  <c r="BH31" i="11"/>
  <c r="BI31" i="11"/>
  <c r="BJ31" i="11"/>
  <c r="BK31" i="11"/>
  <c r="BL31" i="11"/>
  <c r="BO31" i="11"/>
  <c r="BP31" i="11"/>
  <c r="BE32" i="11"/>
  <c r="BF32" i="11"/>
  <c r="BG32" i="11"/>
  <c r="BH32" i="11"/>
  <c r="BI32" i="11"/>
  <c r="BJ32" i="11"/>
  <c r="BK32" i="11"/>
  <c r="BL32" i="11"/>
  <c r="BO32" i="11"/>
  <c r="BP32" i="11"/>
  <c r="BC25" i="11"/>
  <c r="BC26" i="11"/>
  <c r="BC27" i="11"/>
  <c r="BC28" i="11"/>
  <c r="BC29" i="11"/>
  <c r="BC30" i="11"/>
  <c r="BC31" i="11"/>
  <c r="AY26" i="11"/>
  <c r="AZ26" i="11"/>
  <c r="BA26" i="11"/>
  <c r="BB26" i="11"/>
  <c r="AY27" i="11"/>
  <c r="AZ27" i="11"/>
  <c r="BA27" i="11"/>
  <c r="BB27" i="11"/>
  <c r="AY28" i="11"/>
  <c r="AZ28" i="11"/>
  <c r="BA28" i="11"/>
  <c r="BB28" i="11"/>
  <c r="AY29" i="11"/>
  <c r="AZ29" i="11"/>
  <c r="BA29" i="11"/>
  <c r="BB29" i="11"/>
  <c r="AY30" i="11"/>
  <c r="AZ30" i="11"/>
  <c r="BA30" i="11"/>
  <c r="BB30" i="11"/>
  <c r="AY31" i="11"/>
  <c r="AZ31" i="11"/>
  <c r="BA31" i="11"/>
  <c r="BB31" i="11"/>
  <c r="AX24" i="11"/>
  <c r="AX25" i="11"/>
  <c r="AX26" i="11"/>
  <c r="AX27" i="11"/>
  <c r="AX28" i="11"/>
  <c r="AX29" i="11"/>
  <c r="AX30" i="11"/>
  <c r="AX31" i="11"/>
  <c r="AX32" i="11"/>
  <c r="AW27" i="11"/>
  <c r="W27" i="11"/>
  <c r="L17" i="11"/>
  <c r="M17" i="11"/>
  <c r="N17" i="11"/>
  <c r="L18" i="11"/>
  <c r="M18" i="11"/>
  <c r="N18" i="11"/>
  <c r="L19" i="11"/>
  <c r="M19" i="11"/>
  <c r="N19" i="11"/>
  <c r="L20" i="11"/>
  <c r="M20" i="11"/>
  <c r="N20" i="11"/>
  <c r="L21" i="11"/>
  <c r="M21" i="11"/>
  <c r="N21" i="11"/>
  <c r="L22" i="11"/>
  <c r="M22" i="11"/>
  <c r="N22" i="11"/>
  <c r="L23" i="11"/>
  <c r="M23" i="11"/>
  <c r="N23" i="11"/>
  <c r="L24" i="11"/>
  <c r="M24" i="11"/>
  <c r="N24" i="11"/>
  <c r="F17" i="11"/>
  <c r="H17" i="11"/>
  <c r="I17" i="11"/>
  <c r="J17" i="11"/>
  <c r="F18" i="11"/>
  <c r="H18" i="11"/>
  <c r="I18" i="11"/>
  <c r="J18" i="11"/>
  <c r="F19" i="11"/>
  <c r="H19" i="11"/>
  <c r="I19" i="11"/>
  <c r="J19" i="11"/>
  <c r="F20" i="11"/>
  <c r="H20" i="11"/>
  <c r="I20" i="11"/>
  <c r="J20" i="11"/>
  <c r="F21" i="11"/>
  <c r="H21" i="11"/>
  <c r="I21" i="11"/>
  <c r="J21" i="11"/>
  <c r="F22" i="11"/>
  <c r="H22" i="11"/>
  <c r="I22" i="11"/>
  <c r="J22" i="11"/>
  <c r="F23" i="11"/>
  <c r="H23" i="11"/>
  <c r="I23" i="11"/>
  <c r="J23" i="11"/>
  <c r="F24" i="11"/>
  <c r="H24" i="11"/>
  <c r="I24" i="11"/>
  <c r="J24" i="11"/>
  <c r="F25" i="11"/>
  <c r="H25" i="11"/>
  <c r="I25" i="11"/>
  <c r="J25" i="11"/>
  <c r="F26" i="11"/>
  <c r="H26" i="11"/>
  <c r="I26" i="11"/>
  <c r="J26" i="11"/>
  <c r="F27" i="11"/>
  <c r="H27" i="11"/>
  <c r="I27" i="11"/>
  <c r="J27" i="11"/>
  <c r="BC19" i="11"/>
  <c r="BC20" i="11"/>
  <c r="BC21" i="11"/>
  <c r="BC22" i="11"/>
  <c r="BC23" i="11"/>
  <c r="BC24" i="11"/>
  <c r="BC33" i="11"/>
  <c r="AX17" i="11"/>
  <c r="AY17" i="11"/>
  <c r="AZ17" i="11"/>
  <c r="BA17" i="11"/>
  <c r="BB17" i="11"/>
  <c r="AX18" i="11"/>
  <c r="AY18" i="11"/>
  <c r="AZ18" i="11"/>
  <c r="BA18" i="11"/>
  <c r="BB18" i="11"/>
  <c r="AX19" i="11"/>
  <c r="AY19" i="11"/>
  <c r="AZ19" i="11"/>
  <c r="BA19" i="11"/>
  <c r="BB19" i="11"/>
  <c r="AX20" i="11"/>
  <c r="AY20" i="11"/>
  <c r="AZ20" i="11"/>
  <c r="BA20" i="11"/>
  <c r="BB20" i="11"/>
  <c r="AX21" i="11"/>
  <c r="AY21" i="11"/>
  <c r="AZ21" i="11"/>
  <c r="BA21" i="11"/>
  <c r="BB21" i="11"/>
  <c r="AX22" i="11"/>
  <c r="AY22" i="11"/>
  <c r="AZ22" i="11"/>
  <c r="BA22" i="11"/>
  <c r="BB22" i="11"/>
  <c r="AX23" i="11"/>
  <c r="AY23" i="11"/>
  <c r="AZ23" i="11"/>
  <c r="BA23" i="11"/>
  <c r="BB23" i="11"/>
  <c r="AY24" i="11"/>
  <c r="AZ24" i="11"/>
  <c r="BA24" i="11"/>
  <c r="BB24" i="11"/>
  <c r="AY25" i="11"/>
  <c r="AZ25" i="11"/>
  <c r="BA25" i="11"/>
  <c r="BB25" i="11"/>
  <c r="BA32" i="11"/>
  <c r="BB32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W20" i="11"/>
  <c r="W21" i="11"/>
  <c r="W22" i="11"/>
  <c r="W23" i="11"/>
  <c r="W24" i="11"/>
  <c r="W25" i="11"/>
  <c r="W26" i="11"/>
  <c r="P13" i="11"/>
  <c r="Q13" i="11"/>
  <c r="R13" i="11"/>
  <c r="S13" i="11"/>
  <c r="T13" i="11"/>
  <c r="U13" i="11"/>
  <c r="V13" i="11"/>
  <c r="P14" i="11"/>
  <c r="Q14" i="11"/>
  <c r="R14" i="11"/>
  <c r="S14" i="11"/>
  <c r="T14" i="11"/>
  <c r="U14" i="11"/>
  <c r="V14" i="11"/>
  <c r="P15" i="11"/>
  <c r="Q15" i="11"/>
  <c r="R15" i="11"/>
  <c r="S15" i="11"/>
  <c r="T15" i="11"/>
  <c r="U15" i="11"/>
  <c r="V15" i="11"/>
  <c r="P16" i="11"/>
  <c r="Q16" i="11"/>
  <c r="R16" i="11"/>
  <c r="S16" i="11"/>
  <c r="T16" i="11"/>
  <c r="U16" i="11"/>
  <c r="V16" i="11"/>
  <c r="P17" i="11"/>
  <c r="Q17" i="11"/>
  <c r="R17" i="11"/>
  <c r="S17" i="11"/>
  <c r="T17" i="11"/>
  <c r="U17" i="11"/>
  <c r="V17" i="11"/>
  <c r="P18" i="11"/>
  <c r="Q18" i="11"/>
  <c r="R18" i="11"/>
  <c r="S18" i="11"/>
  <c r="T18" i="11"/>
  <c r="U18" i="11"/>
  <c r="V18" i="11"/>
  <c r="P19" i="11"/>
  <c r="Q19" i="11"/>
  <c r="R19" i="11"/>
  <c r="S19" i="11"/>
  <c r="T19" i="11"/>
  <c r="U19" i="11"/>
  <c r="V19" i="11"/>
  <c r="P20" i="11"/>
  <c r="Q20" i="11"/>
  <c r="R20" i="11"/>
  <c r="S20" i="11"/>
  <c r="T20" i="11"/>
  <c r="U20" i="11"/>
  <c r="V20" i="11"/>
  <c r="P21" i="11"/>
  <c r="Q21" i="11"/>
  <c r="R21" i="11"/>
  <c r="S21" i="11"/>
  <c r="T21" i="11"/>
  <c r="U21" i="11"/>
  <c r="V21" i="11"/>
  <c r="P22" i="11"/>
  <c r="Q22" i="11"/>
  <c r="R22" i="11"/>
  <c r="S22" i="11"/>
  <c r="T22" i="11"/>
  <c r="U22" i="11"/>
  <c r="V22" i="11"/>
  <c r="P23" i="11"/>
  <c r="Q23" i="11"/>
  <c r="R23" i="11"/>
  <c r="S23" i="11"/>
  <c r="T23" i="11"/>
  <c r="U23" i="11"/>
  <c r="V23" i="11"/>
  <c r="P24" i="11"/>
  <c r="Q24" i="11"/>
  <c r="R24" i="11"/>
  <c r="S24" i="11"/>
  <c r="T24" i="11"/>
  <c r="U24" i="11"/>
  <c r="V24" i="11"/>
  <c r="P25" i="11"/>
  <c r="Q25" i="11"/>
  <c r="R25" i="11"/>
  <c r="S25" i="11"/>
  <c r="T25" i="11"/>
  <c r="U25" i="11"/>
  <c r="V25" i="11"/>
  <c r="P26" i="11"/>
  <c r="Q26" i="11"/>
  <c r="R26" i="11"/>
  <c r="S26" i="11"/>
  <c r="T26" i="11"/>
  <c r="U26" i="11"/>
  <c r="V26" i="11"/>
  <c r="P27" i="11"/>
  <c r="Q27" i="11"/>
  <c r="R27" i="11"/>
  <c r="S27" i="11"/>
  <c r="T27" i="11"/>
  <c r="U27" i="11"/>
  <c r="V27" i="11"/>
  <c r="K6" i="11"/>
  <c r="K7" i="11"/>
  <c r="K8" i="11"/>
  <c r="K9" i="11"/>
  <c r="K10" i="11"/>
  <c r="K11" i="11"/>
  <c r="F3" i="11"/>
  <c r="H3" i="11"/>
  <c r="I3" i="11"/>
  <c r="J3" i="11"/>
  <c r="F4" i="11"/>
  <c r="H4" i="11"/>
  <c r="I4" i="11"/>
  <c r="J4" i="11"/>
  <c r="F5" i="11"/>
  <c r="H5" i="11"/>
  <c r="I5" i="11"/>
  <c r="J5" i="11"/>
  <c r="F6" i="11"/>
  <c r="H6" i="11"/>
  <c r="I6" i="11"/>
  <c r="J6" i="11"/>
  <c r="F7" i="11"/>
  <c r="H7" i="11"/>
  <c r="I7" i="11"/>
  <c r="J7" i="11"/>
  <c r="F8" i="11"/>
  <c r="H8" i="11"/>
  <c r="I8" i="11"/>
  <c r="J8" i="11"/>
  <c r="F9" i="11"/>
  <c r="H9" i="11"/>
  <c r="I9" i="11"/>
  <c r="J9" i="11"/>
  <c r="F10" i="11"/>
  <c r="H10" i="11"/>
  <c r="I10" i="11"/>
  <c r="J10" i="11"/>
  <c r="F11" i="11"/>
  <c r="H11" i="11"/>
  <c r="I11" i="11"/>
  <c r="J11" i="11"/>
  <c r="F12" i="11"/>
  <c r="H12" i="11"/>
  <c r="I12" i="11"/>
  <c r="J12" i="11"/>
  <c r="F13" i="11"/>
  <c r="H13" i="11"/>
  <c r="I13" i="11"/>
  <c r="J13" i="11"/>
  <c r="F14" i="11"/>
  <c r="H14" i="11"/>
  <c r="I14" i="11"/>
  <c r="J14" i="11"/>
  <c r="F15" i="11"/>
  <c r="H15" i="11"/>
  <c r="I15" i="11"/>
  <c r="J15" i="11"/>
  <c r="F16" i="11"/>
  <c r="H16" i="11"/>
  <c r="I16" i="11"/>
  <c r="J16" i="11"/>
  <c r="Z41" i="14"/>
  <c r="X32" i="11" s="1"/>
  <c r="AY32" i="11"/>
  <c r="AZ3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2" i="11"/>
  <c r="O3" i="11"/>
  <c r="O4" i="11"/>
  <c r="O5" i="11"/>
  <c r="O2" i="11"/>
  <c r="K3" i="11"/>
  <c r="K4" i="11"/>
  <c r="K5" i="11"/>
  <c r="K2" i="11"/>
  <c r="M2" i="11"/>
  <c r="I2" i="11"/>
  <c r="S33" i="11" l="1"/>
  <c r="T33" i="11"/>
  <c r="AM33" i="11"/>
  <c r="AN33" i="11"/>
  <c r="BL33" i="11"/>
  <c r="AJ33" i="11"/>
  <c r="AH33" i="11"/>
  <c r="BK33" i="11"/>
  <c r="AI33" i="11"/>
  <c r="BI33" i="11"/>
  <c r="BJ33" i="11"/>
  <c r="BG33" i="11"/>
  <c r="AG33" i="11"/>
  <c r="Z42" i="14"/>
  <c r="X33" i="11" s="1"/>
  <c r="AJ42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" i="11"/>
  <c r="V3" i="11"/>
  <c r="V4" i="11"/>
  <c r="V5" i="11"/>
  <c r="V6" i="11"/>
  <c r="V7" i="11"/>
  <c r="V8" i="11"/>
  <c r="V9" i="11"/>
  <c r="V10" i="11"/>
  <c r="V11" i="11"/>
  <c r="V12" i="11"/>
  <c r="V2" i="11"/>
  <c r="U3" i="11"/>
  <c r="U4" i="11"/>
  <c r="U5" i="11"/>
  <c r="U6" i="11"/>
  <c r="U7" i="11"/>
  <c r="U8" i="11"/>
  <c r="U9" i="11"/>
  <c r="U10" i="11"/>
  <c r="U11" i="11"/>
  <c r="U12" i="11"/>
  <c r="U2" i="11"/>
  <c r="T3" i="11"/>
  <c r="T4" i="11"/>
  <c r="T5" i="11"/>
  <c r="T6" i="11"/>
  <c r="T7" i="11"/>
  <c r="T8" i="11"/>
  <c r="T9" i="11"/>
  <c r="T10" i="11"/>
  <c r="T11" i="11"/>
  <c r="T12" i="11"/>
  <c r="T2" i="11"/>
  <c r="S3" i="11"/>
  <c r="S4" i="11"/>
  <c r="S5" i="11"/>
  <c r="S6" i="11"/>
  <c r="S7" i="11"/>
  <c r="S8" i="11"/>
  <c r="S9" i="11"/>
  <c r="S10" i="11"/>
  <c r="S11" i="11"/>
  <c r="S12" i="11"/>
  <c r="S2" i="11"/>
  <c r="R3" i="11"/>
  <c r="R4" i="11"/>
  <c r="R5" i="11"/>
  <c r="R6" i="11"/>
  <c r="R7" i="11"/>
  <c r="R8" i="11"/>
  <c r="R9" i="11"/>
  <c r="R10" i="11"/>
  <c r="R11" i="11"/>
  <c r="R12" i="11"/>
  <c r="R2" i="11"/>
  <c r="Q3" i="11"/>
  <c r="Q4" i="11"/>
  <c r="Q5" i="11"/>
  <c r="Q6" i="11"/>
  <c r="Q7" i="11"/>
  <c r="Q8" i="11"/>
  <c r="Q9" i="11"/>
  <c r="Q10" i="11"/>
  <c r="Q11" i="11"/>
  <c r="Q12" i="11"/>
  <c r="Q2" i="11"/>
  <c r="P3" i="11"/>
  <c r="P4" i="11"/>
  <c r="P5" i="11"/>
  <c r="P6" i="11"/>
  <c r="P7" i="11"/>
  <c r="P8" i="11"/>
  <c r="P9" i="11"/>
  <c r="P10" i="11"/>
  <c r="P11" i="11"/>
  <c r="P12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2" i="11"/>
  <c r="J2" i="11"/>
  <c r="H2" i="11"/>
  <c r="F2" i="11"/>
  <c r="BC32" i="1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</calcChain>
</file>

<file path=xl/sharedStrings.xml><?xml version="1.0" encoding="utf-8"?>
<sst xmlns="http://schemas.openxmlformats.org/spreadsheetml/2006/main" count="254" uniqueCount="83">
  <si>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</si>
  <si>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</si>
  <si>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</si>
  <si>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</si>
  <si>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</si>
  <si>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</si>
  <si>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</si>
  <si>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</si>
  <si>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</si>
  <si>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</si>
  <si>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</si>
  <si>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</si>
  <si>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</si>
  <si>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</si>
  <si>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</si>
  <si>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</si>
  <si>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</si>
  <si>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</si>
  <si>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</si>
  <si>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</si>
  <si>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</si>
  <si>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</si>
  <si>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</si>
  <si>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</si>
  <si>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</si>
  <si>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</si>
  <si>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</si>
  <si>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</si>
  <si>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</si>
  <si>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</si>
  <si>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</si>
  <si>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</si>
  <si>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</si>
  <si>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</si>
  <si>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</si>
  <si>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</si>
  <si>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</si>
  <si>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</si>
  <si>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</si>
  <si>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</si>
  <si>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</si>
  <si>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</si>
  <si>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</si>
  <si>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</si>
  <si>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</si>
  <si>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</si>
  <si>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</si>
  <si>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</si>
  <si>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</si>
  <si>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</si>
  <si>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</si>
  <si>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</si>
  <si>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</si>
  <si>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</si>
  <si>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</si>
  <si>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</si>
  <si>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</si>
  <si>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</si>
  <si>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</si>
  <si>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</si>
  <si>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</si>
  <si>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</si>
  <si>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</si>
  <si>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</si>
  <si>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</si>
  <si>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</si>
  <si>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</si>
  <si>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</si>
  <si>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</si>
  <si>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Total (per Unit) mixed glass</t>
  </si>
  <si>
    <t>Total cost mixed glass</t>
  </si>
  <si>
    <t>Four Seasons Resort Bali at Jimbaran Bay</t>
  </si>
  <si>
    <t>Juli 2020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</si>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</sst>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5" fillId="0" borderId="0"/>
  </cellStyleXfs>
  <cellXfs count="81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17" fillId="0" borderId="2" xfId="0" applyFont="1" applyBorder="1" applyAlignment="1">
      <alignment horizontal="center"/>
    </xf>
    <xf numFmtId="0" fontId="14" fillId="0" borderId="2" xfId="0" applyFont="1" applyBorder="1"/>
    <xf numFmtId="0" fontId="0" fillId="0" borderId="2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6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7" fontId="11" fillId="0" borderId="0" xfId="8" applyNumberFormat="1" applyFont="1" applyAlignment="1">
      <alignment horizontal="right"/>
    </xf>
    <xf numFmtId="0" fontId="8" fillId="7" borderId="12" xfId="0" applyFont="1" applyFill="1" applyBorder="1" applyAlignment="1">
      <alignment horizontal="center" vertical="center" shrinkToFit="1"/>
    </xf>
    <xf numFmtId="0" fontId="0" fillId="0" borderId="4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4" xfId="0" applyBorder="1" applyAlignment="1">
      <alignment vertical="center"/>
    </xf>
    <xf numFmtId="0" fontId="8" fillId="7" borderId="15" xfId="0" applyFont="1" applyFill="1" applyBorder="1" applyAlignment="1">
      <alignment horizontal="center" vertical="center" shrinkToFit="1"/>
    </xf>
    <xf numFmtId="0" fontId="0" fillId="0" borderId="18" xfId="0" applyBorder="1" applyAlignment="1">
      <alignment vertical="center"/>
    </xf>
    <xf numFmtId="0" fontId="13" fillId="0" borderId="5" xfId="0" applyFont="1" applyBorder="1" applyAlignment="1">
      <alignment horizontal="right"/>
    </xf>
    <xf numFmtId="0" fontId="0" fillId="0" borderId="19" xfId="0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11" fillId="0" borderId="0" xfId="8" applyFont="1" applyAlignment="1">
      <alignment horizontal="right"/>
    </xf>
    <xf numFmtId="0" fontId="12" fillId="0" borderId="11" xfId="0" applyFont="1" applyBorder="1"/>
    <xf numFmtId="0" fontId="12" fillId="0" borderId="13" xfId="0" applyFont="1" applyBorder="1"/>
    <xf numFmtId="0" fontId="13" fillId="0" borderId="11" xfId="0" applyFont="1" applyBorder="1" applyAlignment="1">
      <alignment horizontal="right"/>
    </xf>
    <xf numFmtId="0" fontId="0" fillId="3" borderId="11" xfId="0" applyFill="1" applyBorder="1" applyAlignment="1">
      <alignment vertical="center"/>
    </xf>
    <xf numFmtId="0" fontId="8" fillId="7" borderId="17" xfId="0" applyFont="1" applyFill="1" applyBorder="1" applyAlignment="1">
      <alignment horizontal="center" vertical="center" shrinkToFit="1"/>
    </xf>
    <xf numFmtId="0" fontId="12" fillId="0" borderId="16" xfId="0" applyFont="1" applyBorder="1"/>
    <xf numFmtId="0" fontId="12" fillId="0" borderId="17" xfId="0" applyFont="1" applyBorder="1"/>
    <xf numFmtId="0" fontId="0" fillId="0" borderId="16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1" fillId="0" borderId="0" xfId="8" applyNumberFormat="1" applyFont="1" applyAlignment="1">
      <alignment horizontal="right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topLeftCell="BO1" workbookViewId="0">
      <selection activeCell="F8" sqref="F8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5" customFormat="1" ht="30">
      <c r="A1" s="35" t="s">
        <v>0</v>
      </c>
      <c r="B1" s="35" t="s">
        <v>1</v>
      </c>
      <c r="C1" s="35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  <c r="W1" s="36" t="s">
        <v>22</v>
      </c>
      <c r="X1" s="36" t="s">
        <v>23</v>
      </c>
      <c r="Y1" s="36" t="s">
        <v>24</v>
      </c>
      <c r="Z1" s="36" t="s">
        <v>25</v>
      </c>
      <c r="AA1" s="36" t="s">
        <v>26</v>
      </c>
      <c r="AB1" s="36" t="s">
        <v>27</v>
      </c>
      <c r="AC1" s="36" t="s">
        <v>28</v>
      </c>
      <c r="AD1" s="36" t="s">
        <v>29</v>
      </c>
      <c r="AE1" s="36" t="s">
        <v>30</v>
      </c>
      <c r="AF1" s="36" t="s">
        <v>31</v>
      </c>
      <c r="AG1" s="36" t="s">
        <v>32</v>
      </c>
      <c r="AH1" s="36" t="s">
        <v>33</v>
      </c>
      <c r="AI1" s="36" t="s">
        <v>34</v>
      </c>
      <c r="AJ1" s="36" t="s">
        <v>35</v>
      </c>
      <c r="AK1" s="36" t="s">
        <v>36</v>
      </c>
      <c r="AL1" s="36" t="s">
        <v>37</v>
      </c>
      <c r="AM1" s="36" t="s">
        <v>38</v>
      </c>
      <c r="AN1" s="36" t="s">
        <v>39</v>
      </c>
      <c r="AO1" s="36" t="s">
        <v>40</v>
      </c>
      <c r="AP1" s="36" t="s">
        <v>41</v>
      </c>
      <c r="AQ1" s="36" t="s">
        <v>42</v>
      </c>
      <c r="AR1" s="36" t="s">
        <v>43</v>
      </c>
      <c r="AS1" s="36" t="s">
        <v>44</v>
      </c>
      <c r="AT1" s="36" t="s">
        <v>45</v>
      </c>
      <c r="AU1" s="36" t="s">
        <v>46</v>
      </c>
      <c r="AV1" s="36" t="s">
        <v>47</v>
      </c>
      <c r="AW1" s="36" t="s">
        <v>48</v>
      </c>
      <c r="AX1" s="36" t="s">
        <v>49</v>
      </c>
      <c r="AY1" s="36" t="s">
        <v>50</v>
      </c>
      <c r="AZ1" s="36" t="s">
        <v>51</v>
      </c>
      <c r="BA1" s="36" t="s">
        <v>52</v>
      </c>
      <c r="BB1" s="36" t="s">
        <v>53</v>
      </c>
      <c r="BC1" s="36" t="s">
        <v>54</v>
      </c>
      <c r="BD1" s="36" t="s">
        <v>55</v>
      </c>
      <c r="BE1" s="36" t="s">
        <v>56</v>
      </c>
      <c r="BF1" s="36" t="s">
        <v>57</v>
      </c>
      <c r="BG1" s="36" t="s">
        <v>58</v>
      </c>
      <c r="BH1" s="36" t="s">
        <v>59</v>
      </c>
      <c r="BI1" s="36" t="s">
        <v>60</v>
      </c>
      <c r="BJ1" s="36" t="s">
        <v>61</v>
      </c>
      <c r="BK1" s="36" t="s">
        <v>62</v>
      </c>
      <c r="BL1" s="36" t="s">
        <v>63</v>
      </c>
      <c r="BM1" s="36" t="s">
        <v>64</v>
      </c>
      <c r="BN1" s="36" t="s">
        <v>65</v>
      </c>
      <c r="BO1" s="36" t="s">
        <v>66</v>
      </c>
    </row>
    <row r="2" spans="1:67">
      <c r="A2" t="s">
        <v>67</v>
      </c>
      <c r="B2" s="37">
        <v>1</v>
      </c>
      <c r="C2" s="37">
        <v>2020</v>
      </c>
      <c r="D2" s="10">
        <v>406.09999999999991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3335</v>
      </c>
      <c r="K2" s="10">
        <v>0</v>
      </c>
      <c r="L2" s="10">
        <v>0</v>
      </c>
      <c r="M2" s="10">
        <v>0</v>
      </c>
      <c r="N2" s="10">
        <v>1104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11732</v>
      </c>
      <c r="W2" s="10">
        <v>8284726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921.10000000000014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16191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</row>
    <row r="3" spans="1:67">
      <c r="A3" t="s">
        <v>67</v>
      </c>
      <c r="B3" s="37">
        <v>2</v>
      </c>
      <c r="C3" s="37">
        <v>2020</v>
      </c>
      <c r="D3" s="15">
        <v>124.79999999999998</v>
      </c>
      <c r="E3" s="36">
        <v>0</v>
      </c>
      <c r="F3" s="10">
        <v>0</v>
      </c>
      <c r="G3" s="36">
        <v>0</v>
      </c>
      <c r="H3" s="15">
        <v>0</v>
      </c>
      <c r="I3" s="36">
        <v>0</v>
      </c>
      <c r="J3" s="15">
        <v>2213</v>
      </c>
      <c r="K3" s="36">
        <v>0</v>
      </c>
      <c r="L3" s="36">
        <v>0</v>
      </c>
      <c r="M3" s="36">
        <v>0</v>
      </c>
      <c r="N3" s="50">
        <v>210</v>
      </c>
      <c r="O3" s="36">
        <v>0</v>
      </c>
      <c r="P3" s="36">
        <v>0</v>
      </c>
      <c r="Q3" s="36">
        <v>0</v>
      </c>
      <c r="R3" s="36">
        <v>0</v>
      </c>
      <c r="S3" s="36">
        <v>0</v>
      </c>
      <c r="T3" s="36">
        <v>0</v>
      </c>
      <c r="U3" s="36">
        <v>0</v>
      </c>
      <c r="V3" s="10">
        <v>11008</v>
      </c>
      <c r="W3" s="36">
        <v>8284726</v>
      </c>
      <c r="X3" s="36">
        <v>0</v>
      </c>
      <c r="Y3" s="36">
        <v>0</v>
      </c>
      <c r="Z3" s="36">
        <v>0</v>
      </c>
      <c r="AA3" s="36">
        <v>0</v>
      </c>
      <c r="AB3" s="36">
        <v>0</v>
      </c>
      <c r="AC3" s="36">
        <v>0</v>
      </c>
      <c r="AD3" s="36">
        <v>0</v>
      </c>
      <c r="AE3" s="36">
        <v>0</v>
      </c>
      <c r="AF3" s="36">
        <v>0</v>
      </c>
      <c r="AG3" s="36">
        <v>0</v>
      </c>
      <c r="AH3" s="36">
        <v>0</v>
      </c>
      <c r="AI3" s="36">
        <v>0</v>
      </c>
      <c r="AJ3" s="36">
        <v>0</v>
      </c>
      <c r="AK3" s="36">
        <v>0</v>
      </c>
      <c r="AL3" s="36">
        <v>0</v>
      </c>
      <c r="AM3" s="36">
        <v>0</v>
      </c>
      <c r="AN3" s="36">
        <v>0</v>
      </c>
      <c r="AO3" s="36">
        <v>0</v>
      </c>
      <c r="AP3" s="36">
        <v>0</v>
      </c>
      <c r="AQ3" s="36">
        <v>0</v>
      </c>
      <c r="AR3" s="36">
        <v>0</v>
      </c>
      <c r="AS3" s="36">
        <v>0</v>
      </c>
      <c r="AT3" s="36">
        <v>0</v>
      </c>
      <c r="AU3" s="36">
        <v>0</v>
      </c>
      <c r="AV3" s="36">
        <v>1173.3000000000002</v>
      </c>
      <c r="AW3" s="36">
        <v>0</v>
      </c>
      <c r="AX3" s="36">
        <v>0</v>
      </c>
      <c r="AY3" s="36">
        <v>0</v>
      </c>
      <c r="AZ3" s="36">
        <v>0</v>
      </c>
      <c r="BA3" s="36">
        <v>0</v>
      </c>
      <c r="BB3" s="39">
        <v>19048</v>
      </c>
      <c r="BC3" s="36">
        <v>0</v>
      </c>
      <c r="BD3" s="36">
        <v>0</v>
      </c>
      <c r="BE3" s="36">
        <v>0</v>
      </c>
      <c r="BF3" s="36">
        <v>0</v>
      </c>
      <c r="BG3" s="36">
        <v>0</v>
      </c>
      <c r="BH3" s="36">
        <v>0</v>
      </c>
      <c r="BI3" s="36">
        <v>0</v>
      </c>
      <c r="BJ3" s="36">
        <v>0</v>
      </c>
      <c r="BK3" s="36">
        <v>0</v>
      </c>
      <c r="BL3" s="36">
        <v>0</v>
      </c>
      <c r="BM3" s="36">
        <v>0</v>
      </c>
      <c r="BN3" s="36">
        <v>0</v>
      </c>
      <c r="BO3" s="36">
        <v>0</v>
      </c>
    </row>
    <row r="4" spans="1:67">
      <c r="A4" t="s">
        <v>67</v>
      </c>
      <c r="B4" s="37">
        <v>3</v>
      </c>
      <c r="C4" s="37">
        <v>2020</v>
      </c>
      <c r="D4" s="15">
        <v>117.89999999999999</v>
      </c>
      <c r="E4" s="36">
        <v>0</v>
      </c>
      <c r="F4" s="10">
        <v>0</v>
      </c>
      <c r="G4" s="36">
        <v>0</v>
      </c>
      <c r="H4" s="15">
        <v>0</v>
      </c>
      <c r="I4" s="36">
        <v>0</v>
      </c>
      <c r="J4" s="15">
        <v>329.49999999999994</v>
      </c>
      <c r="K4" s="36">
        <v>0</v>
      </c>
      <c r="L4" s="36">
        <v>0</v>
      </c>
      <c r="M4" s="36">
        <v>0</v>
      </c>
      <c r="N4" s="50">
        <v>384.8</v>
      </c>
      <c r="O4" s="36">
        <v>0</v>
      </c>
      <c r="P4" s="36">
        <v>0</v>
      </c>
      <c r="Q4" s="36">
        <v>0</v>
      </c>
      <c r="R4" s="36">
        <v>0</v>
      </c>
      <c r="S4" s="36">
        <v>0</v>
      </c>
      <c r="T4" s="36">
        <v>0</v>
      </c>
      <c r="U4" s="36">
        <v>0</v>
      </c>
      <c r="V4" s="10">
        <v>2110</v>
      </c>
      <c r="W4" s="36">
        <v>8284726</v>
      </c>
      <c r="X4" s="36">
        <v>0</v>
      </c>
      <c r="Y4" s="36">
        <v>0</v>
      </c>
      <c r="Z4" s="36">
        <v>0</v>
      </c>
      <c r="AA4" s="36">
        <v>0</v>
      </c>
      <c r="AB4" s="36">
        <v>0</v>
      </c>
      <c r="AC4" s="36">
        <v>0</v>
      </c>
      <c r="AD4" s="36">
        <v>0</v>
      </c>
      <c r="AE4" s="36">
        <v>0</v>
      </c>
      <c r="AF4" s="36">
        <v>0</v>
      </c>
      <c r="AG4" s="36">
        <v>0</v>
      </c>
      <c r="AH4" s="36">
        <v>0</v>
      </c>
      <c r="AI4" s="36">
        <v>0</v>
      </c>
      <c r="AJ4" s="36">
        <v>0</v>
      </c>
      <c r="AK4" s="36">
        <v>0</v>
      </c>
      <c r="AL4" s="36">
        <v>0</v>
      </c>
      <c r="AM4" s="36">
        <v>0</v>
      </c>
      <c r="AN4" s="36">
        <v>0</v>
      </c>
      <c r="AO4" s="36">
        <v>0</v>
      </c>
      <c r="AP4" s="36">
        <v>0</v>
      </c>
      <c r="AQ4" s="36">
        <v>0</v>
      </c>
      <c r="AR4" s="36">
        <v>0</v>
      </c>
      <c r="AS4" s="36">
        <v>0</v>
      </c>
      <c r="AT4" s="36">
        <v>0</v>
      </c>
      <c r="AU4" s="36">
        <v>0</v>
      </c>
      <c r="AV4" s="36">
        <v>300.20000000000005</v>
      </c>
      <c r="AW4" s="36">
        <v>0</v>
      </c>
      <c r="AX4" s="36">
        <v>0</v>
      </c>
      <c r="AY4" s="36">
        <v>0</v>
      </c>
      <c r="AZ4" s="36">
        <v>0</v>
      </c>
      <c r="BA4" s="36">
        <v>0</v>
      </c>
      <c r="BB4" s="39">
        <v>19056</v>
      </c>
      <c r="BC4" s="36">
        <v>0</v>
      </c>
      <c r="BD4" s="36">
        <v>0</v>
      </c>
      <c r="BE4" s="36">
        <v>0</v>
      </c>
      <c r="BF4" s="36">
        <v>0</v>
      </c>
      <c r="BG4" s="36">
        <v>0</v>
      </c>
      <c r="BH4" s="36">
        <v>0</v>
      </c>
      <c r="BI4" s="36">
        <v>0</v>
      </c>
      <c r="BJ4" s="36">
        <v>0</v>
      </c>
      <c r="BK4" s="36">
        <v>0</v>
      </c>
      <c r="BL4" s="36">
        <v>0</v>
      </c>
      <c r="BM4" s="36">
        <v>0</v>
      </c>
      <c r="BN4" s="36">
        <v>0</v>
      </c>
      <c r="BO4" s="36">
        <v>0</v>
      </c>
    </row>
    <row r="5" spans="1:67">
      <c r="A5" t="s">
        <v>67</v>
      </c>
      <c r="B5" s="37">
        <v>4</v>
      </c>
      <c r="C5" s="37">
        <v>2020</v>
      </c>
      <c r="D5" s="15">
        <v>28.6</v>
      </c>
      <c r="E5" s="36">
        <v>0</v>
      </c>
      <c r="F5" s="10">
        <v>0</v>
      </c>
      <c r="G5" s="36">
        <v>0</v>
      </c>
      <c r="H5" s="15">
        <v>0</v>
      </c>
      <c r="I5" s="36">
        <v>0</v>
      </c>
      <c r="J5" s="15">
        <v>33.400000000000006</v>
      </c>
      <c r="K5" s="36">
        <v>0</v>
      </c>
      <c r="L5" s="36">
        <v>0</v>
      </c>
      <c r="M5" s="36">
        <v>0</v>
      </c>
      <c r="N5" s="38">
        <v>16.399999999999999</v>
      </c>
      <c r="O5" s="36">
        <v>0</v>
      </c>
      <c r="P5" s="36">
        <v>0</v>
      </c>
      <c r="Q5" s="36">
        <v>0</v>
      </c>
      <c r="R5" s="36">
        <v>0</v>
      </c>
      <c r="S5" s="36">
        <v>0</v>
      </c>
      <c r="T5" s="36">
        <v>0</v>
      </c>
      <c r="U5" s="36">
        <v>0</v>
      </c>
      <c r="V5" s="10">
        <v>0</v>
      </c>
      <c r="W5" s="15">
        <v>0</v>
      </c>
      <c r="X5" s="36">
        <v>0</v>
      </c>
      <c r="Y5" s="36">
        <v>0</v>
      </c>
      <c r="Z5" s="36">
        <v>0</v>
      </c>
      <c r="AA5" s="36">
        <v>0</v>
      </c>
      <c r="AB5" s="36">
        <v>0</v>
      </c>
      <c r="AC5" s="36">
        <v>0</v>
      </c>
      <c r="AD5" s="36">
        <v>0</v>
      </c>
      <c r="AE5" s="36">
        <v>0</v>
      </c>
      <c r="AF5" s="36">
        <v>0</v>
      </c>
      <c r="AG5" s="36">
        <v>0</v>
      </c>
      <c r="AH5" s="36">
        <v>0</v>
      </c>
      <c r="AI5" s="36">
        <v>0</v>
      </c>
      <c r="AJ5" s="36">
        <v>0</v>
      </c>
      <c r="AK5" s="36">
        <v>0</v>
      </c>
      <c r="AL5" s="36">
        <v>0</v>
      </c>
      <c r="AM5" s="36">
        <v>0</v>
      </c>
      <c r="AN5" s="36">
        <v>0</v>
      </c>
      <c r="AO5" s="36">
        <v>0</v>
      </c>
      <c r="AP5" s="36">
        <v>0</v>
      </c>
      <c r="AQ5" s="36">
        <v>0</v>
      </c>
      <c r="AR5" s="36">
        <v>0</v>
      </c>
      <c r="AS5" s="36">
        <v>0</v>
      </c>
      <c r="AT5" s="36">
        <v>0</v>
      </c>
      <c r="AU5" s="36">
        <v>0</v>
      </c>
      <c r="AV5" s="36">
        <v>66.8</v>
      </c>
      <c r="AW5" s="36">
        <v>0</v>
      </c>
      <c r="AX5" s="36">
        <v>0</v>
      </c>
      <c r="AY5" s="36">
        <v>0</v>
      </c>
      <c r="AZ5" s="36">
        <v>0</v>
      </c>
      <c r="BA5" s="36">
        <v>0</v>
      </c>
      <c r="BB5" s="39">
        <v>5208</v>
      </c>
      <c r="BC5" s="36">
        <v>8284726</v>
      </c>
      <c r="BD5" s="36">
        <v>0</v>
      </c>
      <c r="BE5" s="36">
        <v>0</v>
      </c>
      <c r="BF5" s="36">
        <v>0</v>
      </c>
      <c r="BG5" s="36">
        <v>0</v>
      </c>
      <c r="BH5" s="36">
        <v>0</v>
      </c>
      <c r="BI5" s="36">
        <v>0</v>
      </c>
      <c r="BJ5" s="36">
        <v>0</v>
      </c>
      <c r="BK5" s="36">
        <v>0</v>
      </c>
      <c r="BL5" s="36">
        <v>0</v>
      </c>
      <c r="BM5" s="36">
        <v>0</v>
      </c>
      <c r="BN5" s="36">
        <v>0</v>
      </c>
      <c r="BO5" s="36">
        <v>0</v>
      </c>
    </row>
    <row r="6" spans="1:67">
      <c r="A6" t="s">
        <v>67</v>
      </c>
      <c r="B6" s="37">
        <v>5</v>
      </c>
      <c r="C6" s="37">
        <v>2020</v>
      </c>
      <c r="D6" s="15">
        <v>29.099999999999994</v>
      </c>
      <c r="E6" s="36">
        <v>0</v>
      </c>
      <c r="F6" s="10">
        <v>0</v>
      </c>
      <c r="G6" s="36">
        <v>0</v>
      </c>
      <c r="H6" s="15">
        <v>0</v>
      </c>
      <c r="I6" s="36">
        <v>0</v>
      </c>
      <c r="J6" s="15">
        <v>22</v>
      </c>
      <c r="K6" s="36">
        <v>0</v>
      </c>
      <c r="L6" s="36">
        <v>0</v>
      </c>
      <c r="M6" s="36">
        <v>0</v>
      </c>
      <c r="N6" s="40">
        <v>14.2</v>
      </c>
      <c r="O6" s="36">
        <v>0</v>
      </c>
      <c r="P6" s="36">
        <v>0</v>
      </c>
      <c r="Q6" s="36">
        <v>0</v>
      </c>
      <c r="R6" s="36">
        <v>0</v>
      </c>
      <c r="S6" s="36">
        <v>0</v>
      </c>
      <c r="T6" s="36">
        <v>0</v>
      </c>
      <c r="U6" s="36">
        <v>0</v>
      </c>
      <c r="V6" s="10">
        <v>0</v>
      </c>
      <c r="W6" s="36">
        <v>0</v>
      </c>
      <c r="X6" s="36">
        <v>0</v>
      </c>
      <c r="Y6" s="36">
        <v>0</v>
      </c>
      <c r="Z6" s="36">
        <v>0</v>
      </c>
      <c r="AA6" s="36">
        <v>0</v>
      </c>
      <c r="AB6" s="36">
        <v>0</v>
      </c>
      <c r="AC6" s="36">
        <v>0</v>
      </c>
      <c r="AD6" s="36">
        <v>0</v>
      </c>
      <c r="AE6" s="36">
        <v>0</v>
      </c>
      <c r="AF6" s="36">
        <v>0</v>
      </c>
      <c r="AG6" s="36">
        <v>0</v>
      </c>
      <c r="AH6" s="36">
        <v>0</v>
      </c>
      <c r="AI6" s="36">
        <v>0</v>
      </c>
      <c r="AJ6" s="36">
        <v>0</v>
      </c>
      <c r="AK6" s="36">
        <v>0</v>
      </c>
      <c r="AL6" s="36">
        <v>0</v>
      </c>
      <c r="AM6" s="36">
        <v>0</v>
      </c>
      <c r="AN6" s="36">
        <v>0</v>
      </c>
      <c r="AO6" s="36">
        <v>0</v>
      </c>
      <c r="AP6" s="36">
        <v>0</v>
      </c>
      <c r="AQ6" s="36">
        <v>0</v>
      </c>
      <c r="AR6" s="36">
        <v>0</v>
      </c>
      <c r="AS6" s="36">
        <v>0</v>
      </c>
      <c r="AT6" s="36">
        <v>0</v>
      </c>
      <c r="AU6" s="36">
        <v>0</v>
      </c>
      <c r="AV6" s="36">
        <v>59.5</v>
      </c>
      <c r="AW6" s="36">
        <v>0</v>
      </c>
      <c r="AX6" s="36">
        <v>0</v>
      </c>
      <c r="AY6" s="36">
        <v>0</v>
      </c>
      <c r="AZ6" s="36">
        <v>0</v>
      </c>
      <c r="BA6" s="36">
        <v>0</v>
      </c>
      <c r="BB6" s="10">
        <v>6450</v>
      </c>
      <c r="BC6" s="36">
        <v>8284726</v>
      </c>
      <c r="BD6" s="36">
        <v>0</v>
      </c>
      <c r="BE6" s="36">
        <v>0</v>
      </c>
      <c r="BF6" s="36">
        <v>0</v>
      </c>
      <c r="BG6" s="36">
        <v>0</v>
      </c>
      <c r="BH6" s="36">
        <v>0</v>
      </c>
      <c r="BI6" s="36">
        <v>0</v>
      </c>
      <c r="BJ6" s="36">
        <v>0</v>
      </c>
      <c r="BK6" s="36">
        <v>0</v>
      </c>
      <c r="BL6" s="36">
        <v>0</v>
      </c>
      <c r="BM6" s="36">
        <v>0</v>
      </c>
      <c r="BN6" s="36">
        <v>0</v>
      </c>
      <c r="BO6" s="36">
        <v>0</v>
      </c>
    </row>
    <row r="7" spans="1:67">
      <c r="A7" t="s">
        <v>67</v>
      </c>
      <c r="B7" s="37">
        <v>6</v>
      </c>
      <c r="C7" s="37">
        <v>2020</v>
      </c>
      <c r="D7" s="15">
        <v>24.6</v>
      </c>
      <c r="E7" s="36">
        <v>0</v>
      </c>
      <c r="F7" s="10">
        <v>0</v>
      </c>
      <c r="G7" s="36">
        <v>0</v>
      </c>
      <c r="H7" s="15">
        <v>0</v>
      </c>
      <c r="I7" s="36">
        <v>0</v>
      </c>
      <c r="J7" s="15">
        <v>31.900000000000002</v>
      </c>
      <c r="K7" s="36">
        <v>0</v>
      </c>
      <c r="L7" s="36">
        <v>0</v>
      </c>
      <c r="M7" s="36">
        <v>0</v>
      </c>
      <c r="N7" s="40">
        <v>86.5</v>
      </c>
      <c r="O7" s="36">
        <v>0</v>
      </c>
      <c r="P7" s="36">
        <v>0</v>
      </c>
      <c r="Q7" s="36">
        <v>0</v>
      </c>
      <c r="R7" s="36">
        <v>0</v>
      </c>
      <c r="S7" s="36">
        <v>0</v>
      </c>
      <c r="T7" s="36">
        <v>0</v>
      </c>
      <c r="U7" s="36">
        <v>0</v>
      </c>
      <c r="V7" s="39">
        <v>0</v>
      </c>
      <c r="W7" s="36">
        <v>0</v>
      </c>
      <c r="X7" s="36">
        <v>0</v>
      </c>
      <c r="Y7" s="36">
        <v>0</v>
      </c>
      <c r="Z7" s="36">
        <v>0</v>
      </c>
      <c r="AA7" s="36">
        <v>0</v>
      </c>
      <c r="AB7" s="36">
        <v>0</v>
      </c>
      <c r="AC7" s="36">
        <v>0</v>
      </c>
      <c r="AD7" s="36">
        <v>0</v>
      </c>
      <c r="AE7" s="36">
        <v>0</v>
      </c>
      <c r="AF7" s="36">
        <v>0</v>
      </c>
      <c r="AG7" s="36">
        <v>0</v>
      </c>
      <c r="AH7" s="36">
        <v>0</v>
      </c>
      <c r="AI7" s="36">
        <v>0</v>
      </c>
      <c r="AJ7" s="36">
        <v>0</v>
      </c>
      <c r="AK7" s="36">
        <v>0</v>
      </c>
      <c r="AL7" s="36">
        <v>0</v>
      </c>
      <c r="AM7" s="36">
        <v>0</v>
      </c>
      <c r="AN7" s="36">
        <v>0</v>
      </c>
      <c r="AO7" s="36">
        <v>0</v>
      </c>
      <c r="AP7" s="36">
        <v>0</v>
      </c>
      <c r="AQ7" s="36">
        <v>0</v>
      </c>
      <c r="AR7" s="36">
        <v>0</v>
      </c>
      <c r="AS7" s="36">
        <v>0</v>
      </c>
      <c r="AT7" s="36">
        <v>0</v>
      </c>
      <c r="AU7" s="36">
        <v>0</v>
      </c>
      <c r="AV7" s="36">
        <v>57.6</v>
      </c>
      <c r="AW7" s="36">
        <v>0</v>
      </c>
      <c r="AX7" s="36">
        <v>0</v>
      </c>
      <c r="AY7" s="36">
        <v>0</v>
      </c>
      <c r="AZ7" s="36">
        <v>0</v>
      </c>
      <c r="BA7" s="36">
        <v>0</v>
      </c>
      <c r="BB7" s="10">
        <v>5320</v>
      </c>
      <c r="BC7" s="36">
        <v>8284726</v>
      </c>
      <c r="BD7" s="36">
        <v>0</v>
      </c>
      <c r="BE7" s="36">
        <v>0</v>
      </c>
      <c r="BF7" s="36">
        <v>0</v>
      </c>
      <c r="BG7" s="36">
        <v>0</v>
      </c>
      <c r="BH7" s="36">
        <v>0</v>
      </c>
      <c r="BI7" s="36">
        <v>0</v>
      </c>
      <c r="BJ7" s="36">
        <v>0</v>
      </c>
      <c r="BK7" s="36">
        <v>0</v>
      </c>
      <c r="BL7" s="36">
        <v>0</v>
      </c>
      <c r="BM7" s="36">
        <v>0</v>
      </c>
      <c r="BN7" s="36">
        <v>0</v>
      </c>
      <c r="BO7" s="36">
        <v>0</v>
      </c>
    </row>
    <row r="8" spans="1:67">
      <c r="A8" t="s">
        <v>67</v>
      </c>
      <c r="B8" s="37">
        <v>7</v>
      </c>
      <c r="C8" s="37">
        <v>2020</v>
      </c>
      <c r="D8" s="15">
        <v>130.9</v>
      </c>
      <c r="E8" s="36">
        <v>0</v>
      </c>
      <c r="F8" s="80">
        <v>0</v>
      </c>
      <c r="G8" s="36">
        <v>0</v>
      </c>
      <c r="H8" s="15">
        <v>0</v>
      </c>
      <c r="I8" s="36">
        <v>0</v>
      </c>
      <c r="J8" s="15">
        <v>376.90000000000009</v>
      </c>
      <c r="K8" s="36">
        <v>0</v>
      </c>
      <c r="L8" s="36">
        <v>0</v>
      </c>
      <c r="M8" s="36">
        <v>0</v>
      </c>
      <c r="N8" s="40">
        <v>209.5</v>
      </c>
      <c r="O8" s="36">
        <v>0</v>
      </c>
      <c r="P8" s="36">
        <v>0</v>
      </c>
      <c r="Q8" s="36">
        <v>0</v>
      </c>
      <c r="R8" s="36">
        <v>0</v>
      </c>
      <c r="S8" s="36">
        <v>0</v>
      </c>
      <c r="T8" s="36">
        <v>0</v>
      </c>
      <c r="U8" s="36">
        <v>0</v>
      </c>
      <c r="V8" s="39">
        <v>0</v>
      </c>
      <c r="W8" s="36">
        <v>0</v>
      </c>
      <c r="X8" s="36">
        <v>0</v>
      </c>
      <c r="Y8" s="36">
        <v>0</v>
      </c>
      <c r="Z8" s="3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36">
        <v>0</v>
      </c>
      <c r="AJ8" s="36">
        <v>0</v>
      </c>
      <c r="AK8" s="36">
        <v>0</v>
      </c>
      <c r="AL8" s="36">
        <v>0</v>
      </c>
      <c r="AM8" s="36">
        <v>0</v>
      </c>
      <c r="AN8" s="36">
        <v>0</v>
      </c>
      <c r="AO8" s="36">
        <v>0</v>
      </c>
      <c r="AP8" s="36">
        <v>0</v>
      </c>
      <c r="AQ8" s="36">
        <v>0</v>
      </c>
      <c r="AR8" s="36">
        <v>0</v>
      </c>
      <c r="AS8" s="36">
        <v>0</v>
      </c>
      <c r="AT8" s="36">
        <v>0</v>
      </c>
      <c r="AU8" s="36">
        <v>0</v>
      </c>
      <c r="AV8" s="36">
        <v>381.59999999999997</v>
      </c>
      <c r="AW8" s="36">
        <v>0</v>
      </c>
      <c r="AX8" s="36">
        <v>0</v>
      </c>
      <c r="AY8" s="36">
        <v>0</v>
      </c>
      <c r="AZ8" s="36">
        <v>0</v>
      </c>
      <c r="BA8" s="36">
        <v>0</v>
      </c>
      <c r="BB8" s="10">
        <v>6656</v>
      </c>
      <c r="BC8" s="36">
        <v>8284726</v>
      </c>
      <c r="BD8" s="36">
        <v>0</v>
      </c>
      <c r="BE8" s="36">
        <v>0</v>
      </c>
      <c r="BF8" s="36">
        <v>0</v>
      </c>
      <c r="BG8" s="36">
        <v>0</v>
      </c>
      <c r="BH8" s="36">
        <v>0</v>
      </c>
      <c r="BI8" s="36">
        <v>0</v>
      </c>
      <c r="BJ8" s="36">
        <v>0</v>
      </c>
      <c r="BK8" s="36">
        <v>0</v>
      </c>
      <c r="BL8" s="36">
        <v>0</v>
      </c>
      <c r="BM8" s="36">
        <v>0</v>
      </c>
      <c r="BN8" s="36">
        <v>0</v>
      </c>
      <c r="BO8" s="36">
        <v>0</v>
      </c>
    </row>
    <row r="9" spans="1:67">
      <c r="A9" t="s">
        <v>67</v>
      </c>
      <c r="B9" s="37">
        <v>8</v>
      </c>
      <c r="C9" s="37">
        <v>2020</v>
      </c>
      <c r="D9" s="15"/>
      <c r="E9" s="36"/>
      <c r="F9" s="40"/>
      <c r="G9" s="36"/>
      <c r="H9" s="15"/>
      <c r="I9" s="36"/>
      <c r="J9" s="15"/>
      <c r="K9" s="36"/>
      <c r="L9" s="36"/>
      <c r="M9" s="36"/>
      <c r="N9" s="40"/>
      <c r="O9" s="36"/>
      <c r="P9" s="36"/>
      <c r="Q9" s="36"/>
      <c r="R9" s="36"/>
      <c r="S9" s="36"/>
      <c r="T9" s="36"/>
      <c r="U9" s="36"/>
      <c r="V9" s="39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10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</row>
    <row r="10" spans="1:67">
      <c r="A10" t="s">
        <v>67</v>
      </c>
      <c r="B10" s="37">
        <v>9</v>
      </c>
      <c r="C10" s="37">
        <v>2020</v>
      </c>
      <c r="D10" s="15"/>
      <c r="E10" s="36"/>
      <c r="F10" s="40"/>
      <c r="G10" s="36"/>
      <c r="H10" s="15"/>
      <c r="I10" s="36"/>
      <c r="J10" s="15"/>
      <c r="K10" s="36"/>
      <c r="L10" s="36"/>
      <c r="M10" s="36"/>
      <c r="N10" s="40"/>
      <c r="O10" s="36"/>
      <c r="P10" s="36"/>
      <c r="Q10" s="36"/>
      <c r="R10" s="36"/>
      <c r="S10" s="36"/>
      <c r="T10" s="36"/>
      <c r="U10" s="36"/>
      <c r="V10" s="39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10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</row>
    <row r="11" spans="1:67">
      <c r="A11" t="s">
        <v>67</v>
      </c>
      <c r="B11" s="37">
        <v>10</v>
      </c>
      <c r="C11" s="37">
        <v>2020</v>
      </c>
      <c r="D11" s="15"/>
      <c r="E11" s="36"/>
      <c r="F11" s="40"/>
      <c r="G11" s="36"/>
      <c r="H11" s="15"/>
      <c r="I11" s="36"/>
      <c r="J11" s="15"/>
      <c r="K11" s="36"/>
      <c r="L11" s="36"/>
      <c r="M11" s="36"/>
      <c r="N11" s="40"/>
      <c r="O11" s="36"/>
      <c r="P11" s="36"/>
      <c r="Q11" s="36"/>
      <c r="R11" s="36"/>
      <c r="S11" s="36"/>
      <c r="T11" s="36"/>
      <c r="U11" s="36"/>
      <c r="V11" s="39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10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</row>
    <row r="12" spans="1:67">
      <c r="A12" t="s">
        <v>67</v>
      </c>
      <c r="B12" s="37">
        <v>11</v>
      </c>
      <c r="C12" s="37">
        <v>2020</v>
      </c>
      <c r="D12" s="15"/>
      <c r="E12" s="36"/>
      <c r="F12" s="40"/>
      <c r="G12" s="36"/>
      <c r="H12" s="15"/>
      <c r="I12" s="36"/>
      <c r="J12" s="15"/>
      <c r="K12" s="36"/>
      <c r="L12" s="36"/>
      <c r="M12" s="36"/>
      <c r="N12" s="40"/>
      <c r="O12" s="36"/>
      <c r="P12" s="36"/>
      <c r="Q12" s="36"/>
      <c r="R12" s="36"/>
      <c r="S12" s="36"/>
      <c r="T12" s="36"/>
      <c r="U12" s="36"/>
      <c r="V12" s="39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10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</row>
    <row r="13" spans="1:67">
      <c r="A13" t="s">
        <v>67</v>
      </c>
      <c r="B13" s="37">
        <v>12</v>
      </c>
      <c r="C13" s="37">
        <v>2020</v>
      </c>
      <c r="D13" s="15"/>
      <c r="E13" s="36"/>
      <c r="F13" s="40"/>
      <c r="G13" s="36"/>
      <c r="H13" s="15"/>
      <c r="I13" s="36"/>
      <c r="J13" s="15"/>
      <c r="K13" s="36"/>
      <c r="L13" s="36"/>
      <c r="M13" s="36"/>
      <c r="N13" s="40"/>
      <c r="O13" s="36"/>
      <c r="P13" s="36"/>
      <c r="Q13" s="36"/>
      <c r="R13" s="36"/>
      <c r="S13" s="36"/>
      <c r="T13" s="36"/>
      <c r="U13" s="36"/>
      <c r="V13" s="39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10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9"/>
  <sheetViews>
    <sheetView topLeftCell="A5" workbookViewId="0">
      <selection activeCell="BP33" sqref="E33:BP33"/>
    </sheetView>
  </sheetViews>
  <sheetFormatPr defaultColWidth="11.5703125" defaultRowHeight="15"/>
  <cols>
    <col min="1" max="1" width="18.42578125" customWidth="1"/>
    <col min="2" max="2" width="8.28515625" style="33" customWidth="1"/>
    <col min="3" max="3" width="7.5703125" style="34" customWidth="1"/>
    <col min="4" max="4" width="13.42578125" style="33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9" customFormat="1" ht="113.25" customHeight="1">
      <c r="A1" s="24" t="s">
        <v>0</v>
      </c>
      <c r="B1" s="24" t="s">
        <v>68</v>
      </c>
      <c r="C1" s="25" t="s">
        <v>1</v>
      </c>
      <c r="D1" s="26" t="s">
        <v>2</v>
      </c>
      <c r="E1" s="27" t="s">
        <v>3</v>
      </c>
      <c r="F1" s="27" t="s">
        <v>4</v>
      </c>
      <c r="G1" s="27" t="s">
        <v>5</v>
      </c>
      <c r="H1" s="27" t="s">
        <v>6</v>
      </c>
      <c r="I1" s="27" t="s">
        <v>7</v>
      </c>
      <c r="J1" s="27" t="s">
        <v>8</v>
      </c>
      <c r="K1" s="27" t="s">
        <v>69</v>
      </c>
      <c r="L1" s="27" t="s">
        <v>70</v>
      </c>
      <c r="M1" s="27" t="s">
        <v>11</v>
      </c>
      <c r="N1" s="27" t="s">
        <v>12</v>
      </c>
      <c r="O1" s="27" t="s">
        <v>13</v>
      </c>
      <c r="P1" s="27" t="s">
        <v>14</v>
      </c>
      <c r="Q1" s="27" t="s">
        <v>15</v>
      </c>
      <c r="R1" s="27" t="s">
        <v>16</v>
      </c>
      <c r="S1" s="27" t="s">
        <v>17</v>
      </c>
      <c r="T1" s="27" t="s">
        <v>18</v>
      </c>
      <c r="U1" s="27" t="s">
        <v>19</v>
      </c>
      <c r="V1" s="27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27" t="s">
        <v>46</v>
      </c>
      <c r="AW1" s="27" t="s">
        <v>47</v>
      </c>
      <c r="AX1" s="27" t="s">
        <v>48</v>
      </c>
      <c r="AY1" s="27" t="s">
        <v>49</v>
      </c>
      <c r="AZ1" s="27" t="s">
        <v>50</v>
      </c>
      <c r="BA1" s="27" t="s">
        <v>51</v>
      </c>
      <c r="BB1" s="27" t="s">
        <v>52</v>
      </c>
      <c r="BC1" s="27" t="s">
        <v>53</v>
      </c>
      <c r="BD1" s="27" t="s">
        <v>54</v>
      </c>
      <c r="BE1" s="27" t="s">
        <v>55</v>
      </c>
      <c r="BF1" s="27" t="s">
        <v>56</v>
      </c>
      <c r="BG1" s="27" t="s">
        <v>57</v>
      </c>
      <c r="BH1" s="27" t="s">
        <v>58</v>
      </c>
      <c r="BI1" s="27" t="s">
        <v>59</v>
      </c>
      <c r="BJ1" s="27" t="s">
        <v>60</v>
      </c>
      <c r="BK1" s="27" t="s">
        <v>61</v>
      </c>
      <c r="BL1" s="27" t="s">
        <v>62</v>
      </c>
      <c r="BM1" s="27" t="s">
        <v>63</v>
      </c>
      <c r="BN1" s="27" t="s">
        <v>64</v>
      </c>
      <c r="BO1" s="28" t="s">
        <v>65</v>
      </c>
      <c r="BP1" s="27" t="s">
        <v>66</v>
      </c>
    </row>
    <row r="2" spans="1:68">
      <c r="A2" s="22" t="s">
        <v>67</v>
      </c>
      <c r="B2" s="30">
        <v>1</v>
      </c>
      <c r="C2" s="31">
        <v>7</v>
      </c>
      <c r="D2" s="32">
        <v>2020</v>
      </c>
      <c r="E2" s="23">
        <f>'FS Jimbaran'!M11</f>
        <v>6</v>
      </c>
      <c r="F2" s="27">
        <f>'FS Jimbaran'!N11</f>
        <v>0</v>
      </c>
      <c r="G2" s="27">
        <v>0</v>
      </c>
      <c r="H2" s="27">
        <f>'FS Jimbaran'!H11</f>
        <v>0</v>
      </c>
      <c r="I2" s="27">
        <f>'FS Jimbaran'!I11</f>
        <v>0</v>
      </c>
      <c r="J2" s="27">
        <f>'FS Jimbaran'!J11</f>
        <v>0</v>
      </c>
      <c r="K2" s="27">
        <f>'FS Jimbaran'!K11</f>
        <v>25.4</v>
      </c>
      <c r="L2" s="27">
        <f>'FS Jimbaran'!L11</f>
        <v>0</v>
      </c>
      <c r="M2" s="27">
        <f>'FS Jimbaran'!S11</f>
        <v>0</v>
      </c>
      <c r="N2" s="27">
        <f>'FS Jimbaran'!T11</f>
        <v>0</v>
      </c>
      <c r="O2" s="27">
        <f>'FS Jimbaran'!U11</f>
        <v>13</v>
      </c>
      <c r="P2" s="27">
        <f>'FS Jimbaran'!V11</f>
        <v>0</v>
      </c>
      <c r="Q2" s="27">
        <f>'FS Jimbaran'!BE11</f>
        <v>0</v>
      </c>
      <c r="R2" s="27">
        <f>'FS Jimbaran'!BF11</f>
        <v>0</v>
      </c>
      <c r="S2" s="27">
        <f>'FS Jimbaran'!BH11</f>
        <v>0</v>
      </c>
      <c r="T2" s="27">
        <f>'FS Jimbaran'!BH11</f>
        <v>0</v>
      </c>
      <c r="U2" s="27">
        <f>'FS Jimbaran'!BI11</f>
        <v>0</v>
      </c>
      <c r="V2" s="27">
        <f>'FS Jimbaran'!BJ11</f>
        <v>0</v>
      </c>
      <c r="W2" s="27">
        <f>'FS Jimbaran'!Y11</f>
        <v>0</v>
      </c>
      <c r="X2" s="27">
        <v>0</v>
      </c>
      <c r="Y2" s="27">
        <f>'FS Jimbaran'!AA11</f>
        <v>0</v>
      </c>
      <c r="Z2" s="27">
        <f>'FS Jimbaran'!AB11</f>
        <v>0</v>
      </c>
      <c r="AA2" s="27">
        <f>'FS Jimbaran'!AC11</f>
        <v>0</v>
      </c>
      <c r="AB2" s="27">
        <f>'FS Jimbaran'!AD11</f>
        <v>0</v>
      </c>
      <c r="AC2" s="27">
        <f>'FS Jimbaran'!AE11</f>
        <v>0</v>
      </c>
      <c r="AD2" s="27">
        <f>'FS Jimbaran'!AF11</f>
        <v>0</v>
      </c>
      <c r="AE2" s="27">
        <f>'FS Jimbaran'!AG11</f>
        <v>0</v>
      </c>
      <c r="AF2" s="27">
        <f>'FS Jimbaran'!AH11</f>
        <v>0</v>
      </c>
      <c r="AG2" s="27">
        <f>'FS Jimbaran'!AM11</f>
        <v>0</v>
      </c>
      <c r="AH2" s="27">
        <f>'FS Jimbaran'!AR11</f>
        <v>0</v>
      </c>
      <c r="AI2" s="27">
        <f>'FS Jimbaran'!AQ11</f>
        <v>0</v>
      </c>
      <c r="AJ2" s="27">
        <f>'FS Jimbaran'!AR11</f>
        <v>0</v>
      </c>
      <c r="AK2" s="27">
        <f>'FS Jimbaran'!AY11</f>
        <v>0</v>
      </c>
      <c r="AL2" s="27">
        <f>'FS Jimbaran'!AZ11</f>
        <v>0</v>
      </c>
      <c r="AM2" s="27">
        <f>'FS Jimbaran'!BB11</f>
        <v>0</v>
      </c>
      <c r="AN2" s="27">
        <f>'FS Jimbaran'!BB11</f>
        <v>0</v>
      </c>
      <c r="AO2" s="27">
        <f>'FS Jimbaran'!BK11</f>
        <v>0</v>
      </c>
      <c r="AP2" s="27">
        <f>'FS Jimbaran'!BL11</f>
        <v>0</v>
      </c>
      <c r="AQ2" s="27">
        <f>'FS Jimbaran'!BC11</f>
        <v>0</v>
      </c>
      <c r="AR2" s="27">
        <f>'FS Jimbaran'!BD11</f>
        <v>0</v>
      </c>
      <c r="AS2" s="27">
        <f>'FS Jimbaran'!BM11</f>
        <v>0</v>
      </c>
      <c r="AT2" s="27">
        <f>'FS Jimbaran'!BN11</f>
        <v>0</v>
      </c>
      <c r="AU2" s="27">
        <f>'FS Jimbaran'!BO11</f>
        <v>0</v>
      </c>
      <c r="AV2" s="27">
        <f>'FS Jimbaran'!BP11</f>
        <v>0</v>
      </c>
      <c r="AW2" s="27">
        <f>'FS Jimbaran'!E11</f>
        <v>24.099999999999998</v>
      </c>
      <c r="AX2" s="27">
        <f>'FS Jimbaran'!F11</f>
        <v>0</v>
      </c>
      <c r="AY2" s="27">
        <f>'FS Jimbaran'!O11</f>
        <v>0</v>
      </c>
      <c r="AZ2" s="27">
        <f>'FS Jimbaran'!P11</f>
        <v>0</v>
      </c>
      <c r="BA2" s="27">
        <f>'FS Jimbaran'!W11</f>
        <v>0</v>
      </c>
      <c r="BB2" s="27">
        <f>'FS Jimbaran'!X11</f>
        <v>0</v>
      </c>
      <c r="BC2" s="27">
        <f>'FS Jimbaran'!AI11</f>
        <v>520</v>
      </c>
      <c r="BD2" s="27">
        <f>'FS Jimbaran'!AJ11</f>
        <v>8284726</v>
      </c>
      <c r="BE2" s="27">
        <f>'FS Jimbaran'!AK11</f>
        <v>0</v>
      </c>
      <c r="BF2" s="27">
        <f>'FS Jimbaran'!AL11</f>
        <v>0</v>
      </c>
      <c r="BG2" s="27">
        <f>'FS Jimbaran'!AM11</f>
        <v>0</v>
      </c>
      <c r="BH2" s="27">
        <f>'FS Jimbaran'!AN11</f>
        <v>0</v>
      </c>
      <c r="BI2" s="27">
        <f>'FS Jimbaran'!AO11</f>
        <v>0</v>
      </c>
      <c r="BJ2" s="27">
        <f>'FS Jimbaran'!AO11</f>
        <v>0</v>
      </c>
      <c r="BK2" s="27">
        <f>'FS Jimbaran'!AQ11</f>
        <v>0</v>
      </c>
      <c r="BL2" s="27">
        <f>'FS Jimbaran'!AR11</f>
        <v>0</v>
      </c>
      <c r="BM2" s="27">
        <v>0</v>
      </c>
      <c r="BN2" s="27">
        <v>0</v>
      </c>
      <c r="BO2" s="28">
        <f>'FS Jimbaran'!Q11</f>
        <v>0</v>
      </c>
      <c r="BP2" s="27">
        <f>'FS Jimbaran'!R11</f>
        <v>0</v>
      </c>
    </row>
    <row r="3" spans="1:68">
      <c r="A3" s="22" t="s">
        <v>67</v>
      </c>
      <c r="B3" s="30">
        <f>B2+1</f>
        <v>2</v>
      </c>
      <c r="C3" s="31">
        <v>7</v>
      </c>
      <c r="D3" s="32">
        <v>2020</v>
      </c>
      <c r="E3" s="23">
        <f>'FS Jimbaran'!M12</f>
        <v>0</v>
      </c>
      <c r="F3" s="27">
        <f>'FS Jimbaran'!N12</f>
        <v>0</v>
      </c>
      <c r="G3" s="27">
        <v>0</v>
      </c>
      <c r="H3" s="27">
        <f>'FS Jimbaran'!H12</f>
        <v>0</v>
      </c>
      <c r="I3" s="27">
        <f>'FS Jimbaran'!I12</f>
        <v>0</v>
      </c>
      <c r="J3" s="27">
        <f>'FS Jimbaran'!J12</f>
        <v>0</v>
      </c>
      <c r="K3" s="27">
        <f>'FS Jimbaran'!K12</f>
        <v>0</v>
      </c>
      <c r="L3" s="27">
        <f>'FS Jimbaran'!L12</f>
        <v>0</v>
      </c>
      <c r="M3" s="27">
        <f>'FS Jimbaran'!S12</f>
        <v>0</v>
      </c>
      <c r="N3" s="27">
        <f>'FS Jimbaran'!T12</f>
        <v>0</v>
      </c>
      <c r="O3" s="27">
        <f>'FS Jimbaran'!U12</f>
        <v>0</v>
      </c>
      <c r="P3" s="27">
        <f>'FS Jimbaran'!V12</f>
        <v>0</v>
      </c>
      <c r="Q3" s="27">
        <f>'FS Jimbaran'!BE12</f>
        <v>0</v>
      </c>
      <c r="R3" s="27">
        <f>'FS Jimbaran'!BF12</f>
        <v>0</v>
      </c>
      <c r="S3" s="27">
        <f>'FS Jimbaran'!BH12</f>
        <v>0</v>
      </c>
      <c r="T3" s="27">
        <f>'FS Jimbaran'!BH12</f>
        <v>0</v>
      </c>
      <c r="U3" s="27">
        <f>'FS Jimbaran'!BI12</f>
        <v>0</v>
      </c>
      <c r="V3" s="27">
        <f>'FS Jimbaran'!BJ12</f>
        <v>0</v>
      </c>
      <c r="W3" s="27">
        <f>'FS Jimbaran'!Y12</f>
        <v>0</v>
      </c>
      <c r="X3" s="27">
        <f>'FS Jimbaran'!Z12</f>
        <v>0</v>
      </c>
      <c r="Y3" s="27">
        <f>'FS Jimbaran'!AA12</f>
        <v>0</v>
      </c>
      <c r="Z3" s="27">
        <f>'FS Jimbaran'!AB12</f>
        <v>0</v>
      </c>
      <c r="AA3" s="27">
        <f>'FS Jimbaran'!AC12</f>
        <v>0</v>
      </c>
      <c r="AB3" s="27">
        <f>'FS Jimbaran'!AD12</f>
        <v>0</v>
      </c>
      <c r="AC3" s="27">
        <f>'FS Jimbaran'!AE12</f>
        <v>0</v>
      </c>
      <c r="AD3" s="27">
        <f>'FS Jimbaran'!AF12</f>
        <v>0</v>
      </c>
      <c r="AE3" s="27">
        <f>'FS Jimbaran'!AG12</f>
        <v>0</v>
      </c>
      <c r="AF3" s="27">
        <f>'FS Jimbaran'!AH12</f>
        <v>0</v>
      </c>
      <c r="AG3" s="27">
        <f>'FS Jimbaran'!AM12</f>
        <v>0</v>
      </c>
      <c r="AH3" s="27">
        <f>'FS Jimbaran'!AR12</f>
        <v>0</v>
      </c>
      <c r="AI3" s="27">
        <f>'FS Jimbaran'!AQ12</f>
        <v>0</v>
      </c>
      <c r="AJ3" s="27">
        <f>'FS Jimbaran'!AR12</f>
        <v>0</v>
      </c>
      <c r="AK3" s="27">
        <f>'FS Jimbaran'!AY12</f>
        <v>0</v>
      </c>
      <c r="AL3" s="27">
        <f>'FS Jimbaran'!AZ12</f>
        <v>0</v>
      </c>
      <c r="AM3" s="27">
        <f>'FS Jimbaran'!BB12</f>
        <v>0</v>
      </c>
      <c r="AN3" s="27">
        <f>'FS Jimbaran'!BB12</f>
        <v>0</v>
      </c>
      <c r="AO3" s="27">
        <f>'FS Jimbaran'!BK12</f>
        <v>0</v>
      </c>
      <c r="AP3" s="27">
        <f>'FS Jimbaran'!BL12</f>
        <v>0</v>
      </c>
      <c r="AQ3" s="27">
        <f>'FS Jimbaran'!BC12</f>
        <v>0</v>
      </c>
      <c r="AR3" s="27">
        <f>'FS Jimbaran'!BD12</f>
        <v>0</v>
      </c>
      <c r="AS3" s="27">
        <f>'FS Jimbaran'!BM12</f>
        <v>0</v>
      </c>
      <c r="AT3" s="27">
        <f>'FS Jimbaran'!BN12</f>
        <v>0</v>
      </c>
      <c r="AU3" s="27">
        <f>'FS Jimbaran'!BO12</f>
        <v>0</v>
      </c>
      <c r="AV3" s="27">
        <f>'FS Jimbaran'!BP12</f>
        <v>0</v>
      </c>
      <c r="AW3" s="27">
        <f>'FS Jimbaran'!E12</f>
        <v>0</v>
      </c>
      <c r="AX3" s="27">
        <f>'FS Jimbaran'!F12</f>
        <v>0</v>
      </c>
      <c r="AY3" s="27">
        <f>'FS Jimbaran'!O12</f>
        <v>0</v>
      </c>
      <c r="AZ3" s="27">
        <f>'FS Jimbaran'!P12</f>
        <v>0</v>
      </c>
      <c r="BA3" s="27">
        <f>'FS Jimbaran'!W12</f>
        <v>0</v>
      </c>
      <c r="BB3" s="27">
        <f>'FS Jimbaran'!X12</f>
        <v>0</v>
      </c>
      <c r="BC3" s="27">
        <f>'FS Jimbaran'!AI12</f>
        <v>0</v>
      </c>
      <c r="BD3" s="27">
        <f>'FS Jimbaran'!AJ12</f>
        <v>0</v>
      </c>
      <c r="BE3" s="27">
        <f>'FS Jimbaran'!AK12</f>
        <v>0</v>
      </c>
      <c r="BF3" s="27">
        <f>'FS Jimbaran'!AL12</f>
        <v>0</v>
      </c>
      <c r="BG3" s="27">
        <f>'FS Jimbaran'!AM12</f>
        <v>0</v>
      </c>
      <c r="BH3" s="27">
        <f>'FS Jimbaran'!AN12</f>
        <v>0</v>
      </c>
      <c r="BI3" s="27">
        <f>'FS Jimbaran'!AO12</f>
        <v>0</v>
      </c>
      <c r="BJ3" s="27">
        <f>'FS Jimbaran'!AO12</f>
        <v>0</v>
      </c>
      <c r="BK3" s="27">
        <f>'FS Jimbaran'!AQ12</f>
        <v>0</v>
      </c>
      <c r="BL3" s="27">
        <f>'FS Jimbaran'!AR12</f>
        <v>0</v>
      </c>
      <c r="BM3" s="27">
        <v>0</v>
      </c>
      <c r="BN3" s="27">
        <v>0</v>
      </c>
      <c r="BO3" s="28">
        <f>'FS Jimbaran'!Q12</f>
        <v>0</v>
      </c>
      <c r="BP3" s="27">
        <f>'FS Jimbaran'!R12</f>
        <v>0</v>
      </c>
    </row>
    <row r="4" spans="1:68">
      <c r="A4" s="22" t="s">
        <v>67</v>
      </c>
      <c r="B4" s="30">
        <f t="shared" ref="B4:B32" si="0">B3+1</f>
        <v>3</v>
      </c>
      <c r="C4" s="31">
        <v>7</v>
      </c>
      <c r="D4" s="32">
        <v>2020</v>
      </c>
      <c r="E4" s="23">
        <f>'FS Jimbaran'!M13</f>
        <v>6.2</v>
      </c>
      <c r="F4" s="27">
        <f>'FS Jimbaran'!N13</f>
        <v>0</v>
      </c>
      <c r="G4" s="27">
        <v>0</v>
      </c>
      <c r="H4" s="27">
        <f>'FS Jimbaran'!H13</f>
        <v>0</v>
      </c>
      <c r="I4" s="27">
        <f>'FS Jimbaran'!I13</f>
        <v>0</v>
      </c>
      <c r="J4" s="27">
        <f>'FS Jimbaran'!J13</f>
        <v>0</v>
      </c>
      <c r="K4" s="27">
        <f>'FS Jimbaran'!K13</f>
        <v>23.8</v>
      </c>
      <c r="L4" s="27">
        <f>'FS Jimbaran'!L13</f>
        <v>0</v>
      </c>
      <c r="M4" s="27">
        <f>'FS Jimbaran'!S13</f>
        <v>0</v>
      </c>
      <c r="N4" s="27">
        <f>'FS Jimbaran'!T13</f>
        <v>0</v>
      </c>
      <c r="O4" s="27">
        <f>'FS Jimbaran'!U13</f>
        <v>7.5</v>
      </c>
      <c r="P4" s="27">
        <f>'FS Jimbaran'!V13</f>
        <v>0</v>
      </c>
      <c r="Q4" s="27">
        <f>'FS Jimbaran'!BE13</f>
        <v>0</v>
      </c>
      <c r="R4" s="27">
        <f>'FS Jimbaran'!BF13</f>
        <v>0</v>
      </c>
      <c r="S4" s="27">
        <f>'FS Jimbaran'!BH13</f>
        <v>0</v>
      </c>
      <c r="T4" s="27">
        <f>'FS Jimbaran'!BH13</f>
        <v>0</v>
      </c>
      <c r="U4" s="27">
        <f>'FS Jimbaran'!BI13</f>
        <v>0</v>
      </c>
      <c r="V4" s="27">
        <f>'FS Jimbaran'!BJ13</f>
        <v>0</v>
      </c>
      <c r="W4" s="27">
        <f>'FS Jimbaran'!Y13</f>
        <v>0</v>
      </c>
      <c r="X4" s="27">
        <f>'FS Jimbaran'!Z13</f>
        <v>0</v>
      </c>
      <c r="Y4" s="27">
        <f>'FS Jimbaran'!AA13</f>
        <v>0</v>
      </c>
      <c r="Z4" s="27">
        <f>'FS Jimbaran'!AB13</f>
        <v>0</v>
      </c>
      <c r="AA4" s="27">
        <f>'FS Jimbaran'!AC13</f>
        <v>0</v>
      </c>
      <c r="AB4" s="27">
        <f>'FS Jimbaran'!AD13</f>
        <v>0</v>
      </c>
      <c r="AC4" s="27">
        <f>'FS Jimbaran'!AE13</f>
        <v>0</v>
      </c>
      <c r="AD4" s="27">
        <f>'FS Jimbaran'!AF13</f>
        <v>0</v>
      </c>
      <c r="AE4" s="27">
        <f>'FS Jimbaran'!AG13</f>
        <v>0</v>
      </c>
      <c r="AF4" s="27">
        <f>'FS Jimbaran'!AH13</f>
        <v>0</v>
      </c>
      <c r="AG4" s="27">
        <f>'FS Jimbaran'!AM13</f>
        <v>0</v>
      </c>
      <c r="AH4" s="27">
        <f>'FS Jimbaran'!AR13</f>
        <v>0</v>
      </c>
      <c r="AI4" s="27">
        <f>'FS Jimbaran'!AQ13</f>
        <v>0</v>
      </c>
      <c r="AJ4" s="27">
        <f>'FS Jimbaran'!AR13</f>
        <v>0</v>
      </c>
      <c r="AK4" s="27">
        <f>'FS Jimbaran'!AY13</f>
        <v>0</v>
      </c>
      <c r="AL4" s="27">
        <f>'FS Jimbaran'!AZ13</f>
        <v>0</v>
      </c>
      <c r="AM4" s="27">
        <f>'FS Jimbaran'!BB13</f>
        <v>0</v>
      </c>
      <c r="AN4" s="27">
        <f>'FS Jimbaran'!BB13</f>
        <v>0</v>
      </c>
      <c r="AO4" s="27">
        <f>'FS Jimbaran'!BK13</f>
        <v>0</v>
      </c>
      <c r="AP4" s="27">
        <f>'FS Jimbaran'!BL13</f>
        <v>0</v>
      </c>
      <c r="AQ4" s="27">
        <f>'FS Jimbaran'!BC13</f>
        <v>0</v>
      </c>
      <c r="AR4" s="27">
        <f>'FS Jimbaran'!BD13</f>
        <v>0</v>
      </c>
      <c r="AS4" s="27">
        <f>'FS Jimbaran'!BM13</f>
        <v>0</v>
      </c>
      <c r="AT4" s="27">
        <f>'FS Jimbaran'!BN13</f>
        <v>0</v>
      </c>
      <c r="AU4" s="27">
        <f>'FS Jimbaran'!BO13</f>
        <v>0</v>
      </c>
      <c r="AV4" s="27">
        <f>'FS Jimbaran'!BP13</f>
        <v>0</v>
      </c>
      <c r="AW4" s="27">
        <f>'FS Jimbaran'!E13</f>
        <v>21.200000000000003</v>
      </c>
      <c r="AX4" s="27">
        <f>'FS Jimbaran'!F13</f>
        <v>0</v>
      </c>
      <c r="AY4" s="27">
        <f>'FS Jimbaran'!O13</f>
        <v>0</v>
      </c>
      <c r="AZ4" s="27">
        <f>'FS Jimbaran'!P13</f>
        <v>0</v>
      </c>
      <c r="BA4" s="27">
        <f>'FS Jimbaran'!W13</f>
        <v>0</v>
      </c>
      <c r="BB4" s="27">
        <f>'FS Jimbaran'!X13</f>
        <v>0</v>
      </c>
      <c r="BC4" s="27">
        <f>'FS Jimbaran'!AI13</f>
        <v>448.00000000000006</v>
      </c>
      <c r="BD4" s="27">
        <f>'FS Jimbaran'!AJ13</f>
        <v>0</v>
      </c>
      <c r="BE4" s="27">
        <f>'FS Jimbaran'!AK13</f>
        <v>0</v>
      </c>
      <c r="BF4" s="27">
        <f>'FS Jimbaran'!AL13</f>
        <v>0</v>
      </c>
      <c r="BG4" s="27">
        <f>'FS Jimbaran'!AM13</f>
        <v>0</v>
      </c>
      <c r="BH4" s="27">
        <f>'FS Jimbaran'!AN13</f>
        <v>0</v>
      </c>
      <c r="BI4" s="27">
        <f>'FS Jimbaran'!AO13</f>
        <v>0</v>
      </c>
      <c r="BJ4" s="27">
        <f>'FS Jimbaran'!AO13</f>
        <v>0</v>
      </c>
      <c r="BK4" s="27">
        <f>'FS Jimbaran'!AQ13</f>
        <v>0</v>
      </c>
      <c r="BL4" s="27">
        <f>'FS Jimbaran'!AR13</f>
        <v>0</v>
      </c>
      <c r="BM4" s="27">
        <v>0</v>
      </c>
      <c r="BN4" s="27">
        <v>0</v>
      </c>
      <c r="BO4" s="28">
        <f>'FS Jimbaran'!Q13</f>
        <v>0</v>
      </c>
      <c r="BP4" s="27">
        <f>'FS Jimbaran'!R13</f>
        <v>0</v>
      </c>
    </row>
    <row r="5" spans="1:68">
      <c r="A5" s="22" t="s">
        <v>67</v>
      </c>
      <c r="B5" s="30">
        <f t="shared" si="0"/>
        <v>4</v>
      </c>
      <c r="C5" s="31">
        <v>7</v>
      </c>
      <c r="D5" s="32">
        <v>2020</v>
      </c>
      <c r="E5" s="23">
        <f>'FS Jimbaran'!M14</f>
        <v>0</v>
      </c>
      <c r="F5" s="27">
        <f>'FS Jimbaran'!N14</f>
        <v>0</v>
      </c>
      <c r="G5" s="27">
        <v>0</v>
      </c>
      <c r="H5" s="27">
        <f>'FS Jimbaran'!H14</f>
        <v>0</v>
      </c>
      <c r="I5" s="27">
        <f>'FS Jimbaran'!I14</f>
        <v>0</v>
      </c>
      <c r="J5" s="27">
        <f>'FS Jimbaran'!J14</f>
        <v>0</v>
      </c>
      <c r="K5" s="27">
        <f>'FS Jimbaran'!K14</f>
        <v>0</v>
      </c>
      <c r="L5" s="27">
        <f>'FS Jimbaran'!L14</f>
        <v>0</v>
      </c>
      <c r="M5" s="27">
        <f>'FS Jimbaran'!S14</f>
        <v>0</v>
      </c>
      <c r="N5" s="27">
        <f>'FS Jimbaran'!T14</f>
        <v>0</v>
      </c>
      <c r="O5" s="27">
        <f>'FS Jimbaran'!U14</f>
        <v>0</v>
      </c>
      <c r="P5" s="27">
        <f>'FS Jimbaran'!V14</f>
        <v>0</v>
      </c>
      <c r="Q5" s="27">
        <f>'FS Jimbaran'!BE14</f>
        <v>0</v>
      </c>
      <c r="R5" s="27">
        <f>'FS Jimbaran'!BF14</f>
        <v>0</v>
      </c>
      <c r="S5" s="27">
        <f>'FS Jimbaran'!BH14</f>
        <v>0</v>
      </c>
      <c r="T5" s="27">
        <f>'FS Jimbaran'!BH14</f>
        <v>0</v>
      </c>
      <c r="U5" s="27">
        <f>'FS Jimbaran'!BI14</f>
        <v>0</v>
      </c>
      <c r="V5" s="27">
        <f>'FS Jimbaran'!BJ14</f>
        <v>0</v>
      </c>
      <c r="W5" s="27">
        <f>'FS Jimbaran'!Y14</f>
        <v>0</v>
      </c>
      <c r="X5" s="27">
        <f>'FS Jimbaran'!Z14</f>
        <v>0</v>
      </c>
      <c r="Y5" s="27">
        <f>'FS Jimbaran'!AA14</f>
        <v>0</v>
      </c>
      <c r="Z5" s="27">
        <f>'FS Jimbaran'!AB14</f>
        <v>0</v>
      </c>
      <c r="AA5" s="27">
        <f>'FS Jimbaran'!AC14</f>
        <v>0</v>
      </c>
      <c r="AB5" s="27">
        <f>'FS Jimbaran'!AD14</f>
        <v>0</v>
      </c>
      <c r="AC5" s="27">
        <f>'FS Jimbaran'!AE14</f>
        <v>0</v>
      </c>
      <c r="AD5" s="27">
        <f>'FS Jimbaran'!AF14</f>
        <v>0</v>
      </c>
      <c r="AE5" s="27">
        <f>'FS Jimbaran'!AG14</f>
        <v>0</v>
      </c>
      <c r="AF5" s="27">
        <f>'FS Jimbaran'!AH14</f>
        <v>0</v>
      </c>
      <c r="AG5" s="27">
        <f>'FS Jimbaran'!AM14</f>
        <v>0</v>
      </c>
      <c r="AH5" s="27">
        <f>'FS Jimbaran'!AR14</f>
        <v>0</v>
      </c>
      <c r="AI5" s="27">
        <f>'FS Jimbaran'!AQ14</f>
        <v>0</v>
      </c>
      <c r="AJ5" s="27">
        <f>'FS Jimbaran'!AR14</f>
        <v>0</v>
      </c>
      <c r="AK5" s="27">
        <f>'FS Jimbaran'!AY14</f>
        <v>0</v>
      </c>
      <c r="AL5" s="27">
        <f>'FS Jimbaran'!AZ14</f>
        <v>0</v>
      </c>
      <c r="AM5" s="27">
        <f>'FS Jimbaran'!BB14</f>
        <v>0</v>
      </c>
      <c r="AN5" s="27">
        <f>'FS Jimbaran'!BB14</f>
        <v>0</v>
      </c>
      <c r="AO5" s="27">
        <f>'FS Jimbaran'!BK14</f>
        <v>0</v>
      </c>
      <c r="AP5" s="27">
        <f>'FS Jimbaran'!BL14</f>
        <v>0</v>
      </c>
      <c r="AQ5" s="27">
        <f>'FS Jimbaran'!BC14</f>
        <v>0</v>
      </c>
      <c r="AR5" s="27">
        <f>'FS Jimbaran'!BD14</f>
        <v>0</v>
      </c>
      <c r="AS5" s="27">
        <f>'FS Jimbaran'!BM14</f>
        <v>0</v>
      </c>
      <c r="AT5" s="27">
        <f>'FS Jimbaran'!BN14</f>
        <v>0</v>
      </c>
      <c r="AU5" s="27">
        <f>'FS Jimbaran'!BO14</f>
        <v>0</v>
      </c>
      <c r="AV5" s="27">
        <f>'FS Jimbaran'!BP14</f>
        <v>0</v>
      </c>
      <c r="AW5" s="27">
        <f>'FS Jimbaran'!E14</f>
        <v>0</v>
      </c>
      <c r="AX5" s="27">
        <f>'FS Jimbaran'!F14</f>
        <v>0</v>
      </c>
      <c r="AY5" s="27">
        <f>'FS Jimbaran'!O14</f>
        <v>0</v>
      </c>
      <c r="AZ5" s="27">
        <f>'FS Jimbaran'!P14</f>
        <v>0</v>
      </c>
      <c r="BA5" s="27">
        <f>'FS Jimbaran'!W14</f>
        <v>0</v>
      </c>
      <c r="BB5" s="27">
        <f>'FS Jimbaran'!X14</f>
        <v>0</v>
      </c>
      <c r="BC5" s="27">
        <f>'FS Jimbaran'!AI14</f>
        <v>0</v>
      </c>
      <c r="BD5" s="27">
        <f>'FS Jimbaran'!AJ14</f>
        <v>0</v>
      </c>
      <c r="BE5" s="27">
        <f>'FS Jimbaran'!AK14</f>
        <v>0</v>
      </c>
      <c r="BF5" s="27">
        <f>'FS Jimbaran'!AL14</f>
        <v>0</v>
      </c>
      <c r="BG5" s="27">
        <f>'FS Jimbaran'!AM14</f>
        <v>0</v>
      </c>
      <c r="BH5" s="27">
        <f>'FS Jimbaran'!AN14</f>
        <v>0</v>
      </c>
      <c r="BI5" s="27">
        <f>'FS Jimbaran'!AO14</f>
        <v>0</v>
      </c>
      <c r="BJ5" s="27">
        <f>'FS Jimbaran'!AO14</f>
        <v>0</v>
      </c>
      <c r="BK5" s="27">
        <f>'FS Jimbaran'!AQ14</f>
        <v>0</v>
      </c>
      <c r="BL5" s="27">
        <f>'FS Jimbaran'!AR14</f>
        <v>0</v>
      </c>
      <c r="BM5" s="27">
        <v>0</v>
      </c>
      <c r="BN5" s="27">
        <v>0</v>
      </c>
      <c r="BO5" s="28">
        <f>'FS Jimbaran'!Q14</f>
        <v>0</v>
      </c>
      <c r="BP5" s="27">
        <f>'FS Jimbaran'!R14</f>
        <v>0</v>
      </c>
    </row>
    <row r="6" spans="1:68">
      <c r="A6" s="22" t="s">
        <v>67</v>
      </c>
      <c r="B6" s="30">
        <f t="shared" si="0"/>
        <v>5</v>
      </c>
      <c r="C6" s="31">
        <v>7</v>
      </c>
      <c r="D6" s="32">
        <v>2020</v>
      </c>
      <c r="E6" s="23">
        <f>'FS Jimbaran'!M15</f>
        <v>10.5</v>
      </c>
      <c r="F6" s="27">
        <f>'FS Jimbaran'!N15</f>
        <v>0</v>
      </c>
      <c r="G6" s="27">
        <v>0</v>
      </c>
      <c r="H6" s="27">
        <f>'FS Jimbaran'!H15</f>
        <v>0</v>
      </c>
      <c r="I6" s="27">
        <f>'FS Jimbaran'!I15</f>
        <v>0</v>
      </c>
      <c r="J6" s="27">
        <f>'FS Jimbaran'!J15</f>
        <v>0</v>
      </c>
      <c r="K6" s="27">
        <f>'FS Jimbaran'!K15</f>
        <v>27.2</v>
      </c>
      <c r="L6" s="27">
        <f>'FS Jimbaran'!L15</f>
        <v>0</v>
      </c>
      <c r="M6" s="27">
        <f>'FS Jimbaran'!S15</f>
        <v>0</v>
      </c>
      <c r="N6" s="27">
        <f>'FS Jimbaran'!T15</f>
        <v>0</v>
      </c>
      <c r="O6" s="27">
        <f>'FS Jimbaran'!U15</f>
        <v>16</v>
      </c>
      <c r="P6" s="27">
        <f>'FS Jimbaran'!V15</f>
        <v>0</v>
      </c>
      <c r="Q6" s="27">
        <f>'FS Jimbaran'!BE15</f>
        <v>0</v>
      </c>
      <c r="R6" s="27">
        <f>'FS Jimbaran'!BF15</f>
        <v>0</v>
      </c>
      <c r="S6" s="27">
        <f>'FS Jimbaran'!BH15</f>
        <v>0</v>
      </c>
      <c r="T6" s="27">
        <f>'FS Jimbaran'!BH15</f>
        <v>0</v>
      </c>
      <c r="U6" s="27">
        <f>'FS Jimbaran'!BI15</f>
        <v>0</v>
      </c>
      <c r="V6" s="27">
        <f>'FS Jimbaran'!BJ15</f>
        <v>0</v>
      </c>
      <c r="W6" s="27">
        <f>'FS Jimbaran'!Y15</f>
        <v>0</v>
      </c>
      <c r="X6" s="27">
        <f>'FS Jimbaran'!Z15</f>
        <v>0</v>
      </c>
      <c r="Y6" s="27">
        <f>'FS Jimbaran'!AA15</f>
        <v>0</v>
      </c>
      <c r="Z6" s="27">
        <f>'FS Jimbaran'!AB15</f>
        <v>0</v>
      </c>
      <c r="AA6" s="27">
        <f>'FS Jimbaran'!AC15</f>
        <v>0</v>
      </c>
      <c r="AB6" s="27">
        <f>'FS Jimbaran'!AD15</f>
        <v>0</v>
      </c>
      <c r="AC6" s="27">
        <f>'FS Jimbaran'!AE15</f>
        <v>0</v>
      </c>
      <c r="AD6" s="27">
        <f>'FS Jimbaran'!AF15</f>
        <v>0</v>
      </c>
      <c r="AE6" s="27">
        <f>'FS Jimbaran'!AG15</f>
        <v>0</v>
      </c>
      <c r="AF6" s="27">
        <f>'FS Jimbaran'!AH15</f>
        <v>0</v>
      </c>
      <c r="AG6" s="27">
        <f>'FS Jimbaran'!AM15</f>
        <v>0</v>
      </c>
      <c r="AH6" s="27">
        <f>'FS Jimbaran'!AR15</f>
        <v>0</v>
      </c>
      <c r="AI6" s="27">
        <f>'FS Jimbaran'!AQ15</f>
        <v>0</v>
      </c>
      <c r="AJ6" s="27">
        <f>'FS Jimbaran'!AR15</f>
        <v>0</v>
      </c>
      <c r="AK6" s="27">
        <f>'FS Jimbaran'!AY15</f>
        <v>0</v>
      </c>
      <c r="AL6" s="27">
        <f>'FS Jimbaran'!AZ15</f>
        <v>0</v>
      </c>
      <c r="AM6" s="27">
        <f>'FS Jimbaran'!BB15</f>
        <v>0</v>
      </c>
      <c r="AN6" s="27">
        <f>'FS Jimbaran'!BB15</f>
        <v>0</v>
      </c>
      <c r="AO6" s="27">
        <f>'FS Jimbaran'!BK15</f>
        <v>0</v>
      </c>
      <c r="AP6" s="27">
        <f>'FS Jimbaran'!BL15</f>
        <v>0</v>
      </c>
      <c r="AQ6" s="27">
        <f>'FS Jimbaran'!BC15</f>
        <v>0</v>
      </c>
      <c r="AR6" s="27">
        <f>'FS Jimbaran'!BD15</f>
        <v>0</v>
      </c>
      <c r="AS6" s="27">
        <f>'FS Jimbaran'!BM15</f>
        <v>0</v>
      </c>
      <c r="AT6" s="27">
        <f>'FS Jimbaran'!BN15</f>
        <v>0</v>
      </c>
      <c r="AU6" s="27">
        <f>'FS Jimbaran'!BO15</f>
        <v>0</v>
      </c>
      <c r="AV6" s="27">
        <f>'FS Jimbaran'!BP15</f>
        <v>0</v>
      </c>
      <c r="AW6" s="27">
        <f>'FS Jimbaran'!E15</f>
        <v>26</v>
      </c>
      <c r="AX6" s="27">
        <f>'FS Jimbaran'!F15</f>
        <v>0</v>
      </c>
      <c r="AY6" s="27">
        <f>'FS Jimbaran'!O15</f>
        <v>0</v>
      </c>
      <c r="AZ6" s="27">
        <f>'FS Jimbaran'!P15</f>
        <v>0</v>
      </c>
      <c r="BA6" s="27">
        <f>'FS Jimbaran'!W15</f>
        <v>0</v>
      </c>
      <c r="BB6" s="27">
        <f>'FS Jimbaran'!X15</f>
        <v>0</v>
      </c>
      <c r="BC6" s="27">
        <f>'FS Jimbaran'!AI15</f>
        <v>408</v>
      </c>
      <c r="BD6" s="27">
        <f>'FS Jimbaran'!AJ15</f>
        <v>0</v>
      </c>
      <c r="BE6" s="27">
        <f>'FS Jimbaran'!AK15</f>
        <v>0</v>
      </c>
      <c r="BF6" s="27">
        <f>'FS Jimbaran'!AL15</f>
        <v>0</v>
      </c>
      <c r="BG6" s="27">
        <f>'FS Jimbaran'!AM15</f>
        <v>0</v>
      </c>
      <c r="BH6" s="27">
        <f>'FS Jimbaran'!AN15</f>
        <v>0</v>
      </c>
      <c r="BI6" s="27">
        <f>'FS Jimbaran'!AO15</f>
        <v>0</v>
      </c>
      <c r="BJ6" s="27">
        <f>'FS Jimbaran'!AO15</f>
        <v>0</v>
      </c>
      <c r="BK6" s="27">
        <f>'FS Jimbaran'!AQ15</f>
        <v>0</v>
      </c>
      <c r="BL6" s="27">
        <f>'FS Jimbaran'!AR15</f>
        <v>0</v>
      </c>
      <c r="BM6" s="27">
        <v>0</v>
      </c>
      <c r="BN6" s="27">
        <v>0</v>
      </c>
      <c r="BO6" s="28">
        <f>'FS Jimbaran'!Q15</f>
        <v>0</v>
      </c>
      <c r="BP6" s="27">
        <f>'FS Jimbaran'!R15</f>
        <v>0</v>
      </c>
    </row>
    <row r="7" spans="1:68">
      <c r="A7" s="22" t="s">
        <v>67</v>
      </c>
      <c r="B7" s="30">
        <f t="shared" si="0"/>
        <v>6</v>
      </c>
      <c r="C7" s="31">
        <v>7</v>
      </c>
      <c r="D7" s="32">
        <v>2020</v>
      </c>
      <c r="E7" s="23">
        <f>'FS Jimbaran'!M16</f>
        <v>0</v>
      </c>
      <c r="F7" s="27">
        <f>'FS Jimbaran'!N16</f>
        <v>0</v>
      </c>
      <c r="G7" s="27">
        <v>0</v>
      </c>
      <c r="H7" s="27">
        <f>'FS Jimbaran'!H16</f>
        <v>0</v>
      </c>
      <c r="I7" s="27">
        <f>'FS Jimbaran'!I16</f>
        <v>0</v>
      </c>
      <c r="J7" s="27">
        <f>'FS Jimbaran'!J16</f>
        <v>0</v>
      </c>
      <c r="K7" s="27">
        <f>'FS Jimbaran'!K16</f>
        <v>0</v>
      </c>
      <c r="L7" s="27">
        <f>'FS Jimbaran'!L16</f>
        <v>0</v>
      </c>
      <c r="M7" s="27">
        <f>'FS Jimbaran'!S16</f>
        <v>0</v>
      </c>
      <c r="N7" s="27">
        <f>'FS Jimbaran'!T16</f>
        <v>0</v>
      </c>
      <c r="O7" s="27">
        <f>'FS Jimbaran'!U16</f>
        <v>0</v>
      </c>
      <c r="P7" s="27">
        <f>'FS Jimbaran'!V16</f>
        <v>0</v>
      </c>
      <c r="Q7" s="27">
        <f>'FS Jimbaran'!BE16</f>
        <v>0</v>
      </c>
      <c r="R7" s="27">
        <f>'FS Jimbaran'!BF16</f>
        <v>0</v>
      </c>
      <c r="S7" s="27">
        <f>'FS Jimbaran'!BH16</f>
        <v>0</v>
      </c>
      <c r="T7" s="27">
        <f>'FS Jimbaran'!BH16</f>
        <v>0</v>
      </c>
      <c r="U7" s="27">
        <f>'FS Jimbaran'!BI16</f>
        <v>0</v>
      </c>
      <c r="V7" s="27">
        <f>'FS Jimbaran'!BJ16</f>
        <v>0</v>
      </c>
      <c r="W7" s="27">
        <f>'FS Jimbaran'!Y16</f>
        <v>0</v>
      </c>
      <c r="X7" s="27">
        <f>'FS Jimbaran'!Z16</f>
        <v>0</v>
      </c>
      <c r="Y7" s="27">
        <f>'FS Jimbaran'!AA16</f>
        <v>0</v>
      </c>
      <c r="Z7" s="27">
        <f>'FS Jimbaran'!AB16</f>
        <v>0</v>
      </c>
      <c r="AA7" s="27">
        <f>'FS Jimbaran'!AC16</f>
        <v>0</v>
      </c>
      <c r="AB7" s="27">
        <f>'FS Jimbaran'!AD16</f>
        <v>0</v>
      </c>
      <c r="AC7" s="27">
        <f>'FS Jimbaran'!AE16</f>
        <v>0</v>
      </c>
      <c r="AD7" s="27">
        <f>'FS Jimbaran'!AF16</f>
        <v>0</v>
      </c>
      <c r="AE7" s="27">
        <f>'FS Jimbaran'!AG16</f>
        <v>0</v>
      </c>
      <c r="AF7" s="27">
        <f>'FS Jimbaran'!AH16</f>
        <v>0</v>
      </c>
      <c r="AG7" s="27">
        <f>'FS Jimbaran'!AM16</f>
        <v>0</v>
      </c>
      <c r="AH7" s="27">
        <f>'FS Jimbaran'!AR16</f>
        <v>0</v>
      </c>
      <c r="AI7" s="27">
        <f>'FS Jimbaran'!AQ16</f>
        <v>0</v>
      </c>
      <c r="AJ7" s="27">
        <f>'FS Jimbaran'!AR16</f>
        <v>0</v>
      </c>
      <c r="AK7" s="27">
        <f>'FS Jimbaran'!AY16</f>
        <v>0</v>
      </c>
      <c r="AL7" s="27">
        <f>'FS Jimbaran'!AZ16</f>
        <v>0</v>
      </c>
      <c r="AM7" s="27">
        <f>'FS Jimbaran'!BB16</f>
        <v>0</v>
      </c>
      <c r="AN7" s="27">
        <f>'FS Jimbaran'!BB16</f>
        <v>0</v>
      </c>
      <c r="AO7" s="27">
        <f>'FS Jimbaran'!BK16</f>
        <v>0</v>
      </c>
      <c r="AP7" s="27">
        <f>'FS Jimbaran'!BL16</f>
        <v>0</v>
      </c>
      <c r="AQ7" s="27">
        <f>'FS Jimbaran'!BC16</f>
        <v>0</v>
      </c>
      <c r="AR7" s="27">
        <f>'FS Jimbaran'!BD16</f>
        <v>0</v>
      </c>
      <c r="AS7" s="27">
        <f>'FS Jimbaran'!BM16</f>
        <v>0</v>
      </c>
      <c r="AT7" s="27">
        <f>'FS Jimbaran'!BN16</f>
        <v>0</v>
      </c>
      <c r="AU7" s="27">
        <f>'FS Jimbaran'!BO16</f>
        <v>0</v>
      </c>
      <c r="AV7" s="27">
        <f>'FS Jimbaran'!BP16</f>
        <v>0</v>
      </c>
      <c r="AW7" s="27">
        <f>'FS Jimbaran'!E16</f>
        <v>0</v>
      </c>
      <c r="AX7" s="27">
        <f>'FS Jimbaran'!F16</f>
        <v>0</v>
      </c>
      <c r="AY7" s="27">
        <f>'FS Jimbaran'!O16</f>
        <v>0</v>
      </c>
      <c r="AZ7" s="27">
        <f>'FS Jimbaran'!P16</f>
        <v>0</v>
      </c>
      <c r="BA7" s="27">
        <f>'FS Jimbaran'!W16</f>
        <v>0</v>
      </c>
      <c r="BB7" s="27">
        <f>'FS Jimbaran'!X16</f>
        <v>0</v>
      </c>
      <c r="BC7" s="27">
        <f>'FS Jimbaran'!AI16</f>
        <v>0</v>
      </c>
      <c r="BD7" s="27">
        <f>'FS Jimbaran'!AJ16</f>
        <v>0</v>
      </c>
      <c r="BE7" s="27">
        <f>'FS Jimbaran'!AK16</f>
        <v>0</v>
      </c>
      <c r="BF7" s="27">
        <f>'FS Jimbaran'!AL16</f>
        <v>0</v>
      </c>
      <c r="BG7" s="27">
        <f>'FS Jimbaran'!AM16</f>
        <v>0</v>
      </c>
      <c r="BH7" s="27">
        <f>'FS Jimbaran'!AN16</f>
        <v>0</v>
      </c>
      <c r="BI7" s="27">
        <f>'FS Jimbaran'!AO16</f>
        <v>0</v>
      </c>
      <c r="BJ7" s="27">
        <f>'FS Jimbaran'!AO16</f>
        <v>0</v>
      </c>
      <c r="BK7" s="27">
        <f>'FS Jimbaran'!AQ16</f>
        <v>0</v>
      </c>
      <c r="BL7" s="27">
        <f>'FS Jimbaran'!AR16</f>
        <v>0</v>
      </c>
      <c r="BM7" s="27">
        <v>0</v>
      </c>
      <c r="BN7" s="27">
        <v>0</v>
      </c>
      <c r="BO7" s="28">
        <f>'FS Jimbaran'!Q16</f>
        <v>0</v>
      </c>
      <c r="BP7" s="27">
        <f>'FS Jimbaran'!R16</f>
        <v>0</v>
      </c>
    </row>
    <row r="8" spans="1:68">
      <c r="A8" s="22" t="s">
        <v>67</v>
      </c>
      <c r="B8" s="30">
        <f t="shared" si="0"/>
        <v>7</v>
      </c>
      <c r="C8" s="31">
        <v>7</v>
      </c>
      <c r="D8" s="32">
        <v>2020</v>
      </c>
      <c r="E8" s="23">
        <f>'FS Jimbaran'!M17</f>
        <v>10.3</v>
      </c>
      <c r="F8" s="27">
        <f>'FS Jimbaran'!N17</f>
        <v>0</v>
      </c>
      <c r="G8" s="27">
        <v>0</v>
      </c>
      <c r="H8" s="27">
        <f>'FS Jimbaran'!H17</f>
        <v>0</v>
      </c>
      <c r="I8" s="27">
        <f>'FS Jimbaran'!I17</f>
        <v>0</v>
      </c>
      <c r="J8" s="27">
        <f>'FS Jimbaran'!J17</f>
        <v>0</v>
      </c>
      <c r="K8" s="27">
        <f>'FS Jimbaran'!K17</f>
        <v>16.100000000000001</v>
      </c>
      <c r="L8" s="27">
        <f>'FS Jimbaran'!L17</f>
        <v>0</v>
      </c>
      <c r="M8" s="27">
        <f>'FS Jimbaran'!S17</f>
        <v>0</v>
      </c>
      <c r="N8" s="27">
        <f>'FS Jimbaran'!T17</f>
        <v>0</v>
      </c>
      <c r="O8" s="27">
        <f>'FS Jimbaran'!U17</f>
        <v>12.5</v>
      </c>
      <c r="P8" s="27">
        <f>'FS Jimbaran'!V17</f>
        <v>0</v>
      </c>
      <c r="Q8" s="27">
        <f>'FS Jimbaran'!BE17</f>
        <v>0</v>
      </c>
      <c r="R8" s="27">
        <f>'FS Jimbaran'!BF17</f>
        <v>0</v>
      </c>
      <c r="S8" s="27">
        <f>'FS Jimbaran'!BH17</f>
        <v>0</v>
      </c>
      <c r="T8" s="27">
        <f>'FS Jimbaran'!BH17</f>
        <v>0</v>
      </c>
      <c r="U8" s="27">
        <f>'FS Jimbaran'!BI17</f>
        <v>0</v>
      </c>
      <c r="V8" s="27">
        <f>'FS Jimbaran'!BJ17</f>
        <v>0</v>
      </c>
      <c r="W8" s="27">
        <f>'FS Jimbaran'!Y17</f>
        <v>0</v>
      </c>
      <c r="X8" s="27">
        <f>'FS Jimbaran'!Z17</f>
        <v>0</v>
      </c>
      <c r="Y8" s="27">
        <f>'FS Jimbaran'!AA17</f>
        <v>0</v>
      </c>
      <c r="Z8" s="27">
        <f>'FS Jimbaran'!AB17</f>
        <v>0</v>
      </c>
      <c r="AA8" s="27">
        <f>'FS Jimbaran'!AC17</f>
        <v>0</v>
      </c>
      <c r="AB8" s="27">
        <f>'FS Jimbaran'!AD17</f>
        <v>0</v>
      </c>
      <c r="AC8" s="27">
        <f>'FS Jimbaran'!AE17</f>
        <v>0</v>
      </c>
      <c r="AD8" s="27">
        <f>'FS Jimbaran'!AF17</f>
        <v>0</v>
      </c>
      <c r="AE8" s="27">
        <f>'FS Jimbaran'!AG17</f>
        <v>0</v>
      </c>
      <c r="AF8" s="27">
        <f>'FS Jimbaran'!AH17</f>
        <v>0</v>
      </c>
      <c r="AG8" s="27">
        <f>'FS Jimbaran'!AM17</f>
        <v>0</v>
      </c>
      <c r="AH8" s="27">
        <f>'FS Jimbaran'!AR17</f>
        <v>0</v>
      </c>
      <c r="AI8" s="27">
        <f>'FS Jimbaran'!AQ17</f>
        <v>0</v>
      </c>
      <c r="AJ8" s="27">
        <f>'FS Jimbaran'!AR17</f>
        <v>0</v>
      </c>
      <c r="AK8" s="27">
        <f>'FS Jimbaran'!AY17</f>
        <v>0</v>
      </c>
      <c r="AL8" s="27">
        <f>'FS Jimbaran'!AZ17</f>
        <v>0</v>
      </c>
      <c r="AM8" s="27">
        <f>'FS Jimbaran'!BB17</f>
        <v>0</v>
      </c>
      <c r="AN8" s="27">
        <f>'FS Jimbaran'!BB17</f>
        <v>0</v>
      </c>
      <c r="AO8" s="27">
        <f>'FS Jimbaran'!BK17</f>
        <v>0</v>
      </c>
      <c r="AP8" s="27">
        <f>'FS Jimbaran'!BL17</f>
        <v>0</v>
      </c>
      <c r="AQ8" s="27">
        <f>'FS Jimbaran'!BC17</f>
        <v>0</v>
      </c>
      <c r="AR8" s="27">
        <f>'FS Jimbaran'!BD17</f>
        <v>0</v>
      </c>
      <c r="AS8" s="27">
        <f>'FS Jimbaran'!BM17</f>
        <v>0</v>
      </c>
      <c r="AT8" s="27">
        <f>'FS Jimbaran'!BN17</f>
        <v>0</v>
      </c>
      <c r="AU8" s="27">
        <f>'FS Jimbaran'!BO17</f>
        <v>0</v>
      </c>
      <c r="AV8" s="27">
        <f>'FS Jimbaran'!BP17</f>
        <v>0</v>
      </c>
      <c r="AW8" s="27">
        <f>'FS Jimbaran'!E17</f>
        <v>21.799999999999997</v>
      </c>
      <c r="AX8" s="27">
        <f>'FS Jimbaran'!F17</f>
        <v>0</v>
      </c>
      <c r="AY8" s="27">
        <f>'FS Jimbaran'!O17</f>
        <v>0</v>
      </c>
      <c r="AZ8" s="27">
        <f>'FS Jimbaran'!P17</f>
        <v>0</v>
      </c>
      <c r="BA8" s="27">
        <f>'FS Jimbaran'!W17</f>
        <v>0</v>
      </c>
      <c r="BB8" s="27">
        <f>'FS Jimbaran'!X17</f>
        <v>0</v>
      </c>
      <c r="BC8" s="27">
        <f>'FS Jimbaran'!AI17</f>
        <v>544</v>
      </c>
      <c r="BD8" s="27">
        <f>'FS Jimbaran'!AJ17</f>
        <v>0</v>
      </c>
      <c r="BE8" s="27">
        <f>'FS Jimbaran'!AK17</f>
        <v>0</v>
      </c>
      <c r="BF8" s="27">
        <f>'FS Jimbaran'!AL17</f>
        <v>0</v>
      </c>
      <c r="BG8" s="27">
        <f>'FS Jimbaran'!AM17</f>
        <v>0</v>
      </c>
      <c r="BH8" s="27">
        <f>'FS Jimbaran'!AN17</f>
        <v>0</v>
      </c>
      <c r="BI8" s="27">
        <f>'FS Jimbaran'!AO17</f>
        <v>0</v>
      </c>
      <c r="BJ8" s="27">
        <f>'FS Jimbaran'!AO17</f>
        <v>0</v>
      </c>
      <c r="BK8" s="27">
        <f>'FS Jimbaran'!AQ17</f>
        <v>0</v>
      </c>
      <c r="BL8" s="27">
        <f>'FS Jimbaran'!AR17</f>
        <v>0</v>
      </c>
      <c r="BM8" s="27">
        <v>0</v>
      </c>
      <c r="BN8" s="27">
        <v>0</v>
      </c>
      <c r="BO8" s="28">
        <f>'FS Jimbaran'!Q17</f>
        <v>0</v>
      </c>
      <c r="BP8" s="27">
        <f>'FS Jimbaran'!R17</f>
        <v>0</v>
      </c>
    </row>
    <row r="9" spans="1:68">
      <c r="A9" s="22" t="s">
        <v>67</v>
      </c>
      <c r="B9" s="30">
        <f t="shared" si="0"/>
        <v>8</v>
      </c>
      <c r="C9" s="31">
        <v>7</v>
      </c>
      <c r="D9" s="32">
        <v>2020</v>
      </c>
      <c r="E9" s="23">
        <f>'FS Jimbaran'!M18</f>
        <v>0</v>
      </c>
      <c r="F9" s="27">
        <f>'FS Jimbaran'!N18</f>
        <v>0</v>
      </c>
      <c r="G9" s="27">
        <v>0</v>
      </c>
      <c r="H9" s="27">
        <f>'FS Jimbaran'!H18</f>
        <v>0</v>
      </c>
      <c r="I9" s="27">
        <f>'FS Jimbaran'!I18</f>
        <v>0</v>
      </c>
      <c r="J9" s="27">
        <f>'FS Jimbaran'!J18</f>
        <v>0</v>
      </c>
      <c r="K9" s="27">
        <f>'FS Jimbaran'!K18</f>
        <v>0</v>
      </c>
      <c r="L9" s="27">
        <f>'FS Jimbaran'!L18</f>
        <v>0</v>
      </c>
      <c r="M9" s="27">
        <f>'FS Jimbaran'!S18</f>
        <v>0</v>
      </c>
      <c r="N9" s="27">
        <f>'FS Jimbaran'!T18</f>
        <v>0</v>
      </c>
      <c r="O9" s="27">
        <f>'FS Jimbaran'!U18</f>
        <v>0</v>
      </c>
      <c r="P9" s="27">
        <f>'FS Jimbaran'!V18</f>
        <v>0</v>
      </c>
      <c r="Q9" s="27">
        <f>'FS Jimbaran'!BE18</f>
        <v>0</v>
      </c>
      <c r="R9" s="27">
        <f>'FS Jimbaran'!BF18</f>
        <v>0</v>
      </c>
      <c r="S9" s="27">
        <f>'FS Jimbaran'!BH18</f>
        <v>0</v>
      </c>
      <c r="T9" s="27">
        <f>'FS Jimbaran'!BH18</f>
        <v>0</v>
      </c>
      <c r="U9" s="27">
        <f>'FS Jimbaran'!BI18</f>
        <v>0</v>
      </c>
      <c r="V9" s="27">
        <f>'FS Jimbaran'!BJ18</f>
        <v>0</v>
      </c>
      <c r="W9" s="27">
        <f>'FS Jimbaran'!Y18</f>
        <v>0</v>
      </c>
      <c r="X9" s="27">
        <f>'FS Jimbaran'!Z18</f>
        <v>0</v>
      </c>
      <c r="Y9" s="27">
        <f>'FS Jimbaran'!AA18</f>
        <v>0</v>
      </c>
      <c r="Z9" s="27">
        <f>'FS Jimbaran'!AB18</f>
        <v>0</v>
      </c>
      <c r="AA9" s="27">
        <f>'FS Jimbaran'!AC18</f>
        <v>0</v>
      </c>
      <c r="AB9" s="27">
        <f>'FS Jimbaran'!AD18</f>
        <v>0</v>
      </c>
      <c r="AC9" s="27">
        <f>'FS Jimbaran'!AE18</f>
        <v>0</v>
      </c>
      <c r="AD9" s="27">
        <f>'FS Jimbaran'!AF18</f>
        <v>0</v>
      </c>
      <c r="AE9" s="27">
        <f>'FS Jimbaran'!AG18</f>
        <v>0</v>
      </c>
      <c r="AF9" s="27">
        <f>'FS Jimbaran'!AH18</f>
        <v>0</v>
      </c>
      <c r="AG9" s="27">
        <f>'FS Jimbaran'!AM18</f>
        <v>0</v>
      </c>
      <c r="AH9" s="27">
        <f>'FS Jimbaran'!AR18</f>
        <v>0</v>
      </c>
      <c r="AI9" s="27">
        <f>'FS Jimbaran'!AQ18</f>
        <v>0</v>
      </c>
      <c r="AJ9" s="27">
        <f>'FS Jimbaran'!AR18</f>
        <v>0</v>
      </c>
      <c r="AK9" s="27">
        <f>'FS Jimbaran'!AY18</f>
        <v>0</v>
      </c>
      <c r="AL9" s="27">
        <f>'FS Jimbaran'!AZ18</f>
        <v>0</v>
      </c>
      <c r="AM9" s="27">
        <f>'FS Jimbaran'!BB18</f>
        <v>0</v>
      </c>
      <c r="AN9" s="27">
        <f>'FS Jimbaran'!BB18</f>
        <v>0</v>
      </c>
      <c r="AO9" s="27">
        <f>'FS Jimbaran'!BK18</f>
        <v>0</v>
      </c>
      <c r="AP9" s="27">
        <f>'FS Jimbaran'!BL18</f>
        <v>0</v>
      </c>
      <c r="AQ9" s="27">
        <f>'FS Jimbaran'!BC18</f>
        <v>0</v>
      </c>
      <c r="AR9" s="27">
        <f>'FS Jimbaran'!BD18</f>
        <v>0</v>
      </c>
      <c r="AS9" s="27">
        <f>'FS Jimbaran'!BM18</f>
        <v>0</v>
      </c>
      <c r="AT9" s="27">
        <f>'FS Jimbaran'!BN18</f>
        <v>0</v>
      </c>
      <c r="AU9" s="27">
        <f>'FS Jimbaran'!BO18</f>
        <v>0</v>
      </c>
      <c r="AV9" s="27">
        <f>'FS Jimbaran'!BP18</f>
        <v>0</v>
      </c>
      <c r="AW9" s="27">
        <f>'FS Jimbaran'!E18</f>
        <v>0</v>
      </c>
      <c r="AX9" s="27">
        <f>'FS Jimbaran'!F18</f>
        <v>0</v>
      </c>
      <c r="AY9" s="27">
        <f>'FS Jimbaran'!O18</f>
        <v>0</v>
      </c>
      <c r="AZ9" s="27">
        <f>'FS Jimbaran'!P18</f>
        <v>0</v>
      </c>
      <c r="BA9" s="27">
        <f>'FS Jimbaran'!W18</f>
        <v>0</v>
      </c>
      <c r="BB9" s="27">
        <f>'FS Jimbaran'!X18</f>
        <v>0</v>
      </c>
      <c r="BC9" s="27">
        <f>'FS Jimbaran'!AI18</f>
        <v>0</v>
      </c>
      <c r="BD9" s="27">
        <f>'FS Jimbaran'!AJ18</f>
        <v>0</v>
      </c>
      <c r="BE9" s="27">
        <f>'FS Jimbaran'!AK18</f>
        <v>0</v>
      </c>
      <c r="BF9" s="27">
        <f>'FS Jimbaran'!AL18</f>
        <v>0</v>
      </c>
      <c r="BG9" s="27">
        <f>'FS Jimbaran'!AM18</f>
        <v>0</v>
      </c>
      <c r="BH9" s="27">
        <f>'FS Jimbaran'!AN18</f>
        <v>0</v>
      </c>
      <c r="BI9" s="27">
        <f>'FS Jimbaran'!AO18</f>
        <v>0</v>
      </c>
      <c r="BJ9" s="27">
        <f>'FS Jimbaran'!AO18</f>
        <v>0</v>
      </c>
      <c r="BK9" s="27">
        <f>'FS Jimbaran'!AQ18</f>
        <v>0</v>
      </c>
      <c r="BL9" s="27">
        <f>'FS Jimbaran'!AR18</f>
        <v>0</v>
      </c>
      <c r="BM9" s="27">
        <v>0</v>
      </c>
      <c r="BN9" s="27">
        <v>0</v>
      </c>
      <c r="BO9" s="28">
        <f>'FS Jimbaran'!Q18</f>
        <v>0</v>
      </c>
      <c r="BP9" s="27">
        <f>'FS Jimbaran'!R18</f>
        <v>0</v>
      </c>
    </row>
    <row r="10" spans="1:68">
      <c r="A10" s="22" t="s">
        <v>67</v>
      </c>
      <c r="B10" s="30">
        <f t="shared" si="0"/>
        <v>9</v>
      </c>
      <c r="C10" s="31">
        <v>7</v>
      </c>
      <c r="D10" s="32">
        <v>2020</v>
      </c>
      <c r="E10" s="23">
        <f>'FS Jimbaran'!M19</f>
        <v>3.6</v>
      </c>
      <c r="F10" s="27">
        <f>'FS Jimbaran'!N19</f>
        <v>0</v>
      </c>
      <c r="G10" s="27">
        <v>0</v>
      </c>
      <c r="H10" s="27">
        <f>'FS Jimbaran'!H19</f>
        <v>0</v>
      </c>
      <c r="I10" s="27">
        <f>'FS Jimbaran'!I19</f>
        <v>0</v>
      </c>
      <c r="J10" s="27">
        <f>'FS Jimbaran'!J19</f>
        <v>0</v>
      </c>
      <c r="K10" s="27">
        <f>'FS Jimbaran'!K19</f>
        <v>27.7</v>
      </c>
      <c r="L10" s="27">
        <f>'FS Jimbaran'!L19</f>
        <v>0</v>
      </c>
      <c r="M10" s="27">
        <f>'FS Jimbaran'!S19</f>
        <v>0</v>
      </c>
      <c r="N10" s="27">
        <f>'FS Jimbaran'!T19</f>
        <v>0</v>
      </c>
      <c r="O10" s="27">
        <f>'FS Jimbaran'!U19</f>
        <v>8</v>
      </c>
      <c r="P10" s="27">
        <f>'FS Jimbaran'!V19</f>
        <v>0</v>
      </c>
      <c r="Q10" s="27">
        <f>'FS Jimbaran'!BE19</f>
        <v>0</v>
      </c>
      <c r="R10" s="27">
        <f>'FS Jimbaran'!BF19</f>
        <v>0</v>
      </c>
      <c r="S10" s="27">
        <f>'FS Jimbaran'!BH19</f>
        <v>0</v>
      </c>
      <c r="T10" s="27">
        <f>'FS Jimbaran'!BH19</f>
        <v>0</v>
      </c>
      <c r="U10" s="27">
        <f>'FS Jimbaran'!BI19</f>
        <v>0</v>
      </c>
      <c r="V10" s="27">
        <f>'FS Jimbaran'!BJ19</f>
        <v>0</v>
      </c>
      <c r="W10" s="27">
        <f>'FS Jimbaran'!Y19</f>
        <v>0</v>
      </c>
      <c r="X10" s="27">
        <f>'FS Jimbaran'!Z19</f>
        <v>0</v>
      </c>
      <c r="Y10" s="27">
        <f>'FS Jimbaran'!AA19</f>
        <v>0</v>
      </c>
      <c r="Z10" s="27">
        <f>'FS Jimbaran'!AB19</f>
        <v>0</v>
      </c>
      <c r="AA10" s="27">
        <f>'FS Jimbaran'!AC19</f>
        <v>0</v>
      </c>
      <c r="AB10" s="27">
        <f>'FS Jimbaran'!AD19</f>
        <v>0</v>
      </c>
      <c r="AC10" s="27">
        <f>'FS Jimbaran'!AE19</f>
        <v>0</v>
      </c>
      <c r="AD10" s="27">
        <f>'FS Jimbaran'!AF19</f>
        <v>0</v>
      </c>
      <c r="AE10" s="27">
        <f>'FS Jimbaran'!AG19</f>
        <v>0</v>
      </c>
      <c r="AF10" s="27">
        <f>'FS Jimbaran'!AH19</f>
        <v>0</v>
      </c>
      <c r="AG10" s="27">
        <f>'FS Jimbaran'!AM19</f>
        <v>0</v>
      </c>
      <c r="AH10" s="27">
        <f>'FS Jimbaran'!AR19</f>
        <v>0</v>
      </c>
      <c r="AI10" s="27">
        <f>'FS Jimbaran'!AQ19</f>
        <v>0</v>
      </c>
      <c r="AJ10" s="27">
        <f>'FS Jimbaran'!AR19</f>
        <v>0</v>
      </c>
      <c r="AK10" s="27">
        <f>'FS Jimbaran'!AY19</f>
        <v>0</v>
      </c>
      <c r="AL10" s="27">
        <f>'FS Jimbaran'!AZ19</f>
        <v>0</v>
      </c>
      <c r="AM10" s="27">
        <f>'FS Jimbaran'!BB19</f>
        <v>0</v>
      </c>
      <c r="AN10" s="27">
        <f>'FS Jimbaran'!BB19</f>
        <v>0</v>
      </c>
      <c r="AO10" s="27">
        <f>'FS Jimbaran'!BK19</f>
        <v>0</v>
      </c>
      <c r="AP10" s="27">
        <f>'FS Jimbaran'!BL19</f>
        <v>0</v>
      </c>
      <c r="AQ10" s="27">
        <f>'FS Jimbaran'!BC19</f>
        <v>0</v>
      </c>
      <c r="AR10" s="27">
        <f>'FS Jimbaran'!BD19</f>
        <v>0</v>
      </c>
      <c r="AS10" s="27">
        <f>'FS Jimbaran'!BM19</f>
        <v>0</v>
      </c>
      <c r="AT10" s="27">
        <f>'FS Jimbaran'!BN19</f>
        <v>0</v>
      </c>
      <c r="AU10" s="27">
        <f>'FS Jimbaran'!BO19</f>
        <v>0</v>
      </c>
      <c r="AV10" s="27">
        <f>'FS Jimbaran'!BP19</f>
        <v>0</v>
      </c>
      <c r="AW10" s="27">
        <f>'FS Jimbaran'!E19</f>
        <v>19.8</v>
      </c>
      <c r="AX10" s="27">
        <f>'FS Jimbaran'!F19</f>
        <v>0</v>
      </c>
      <c r="AY10" s="27">
        <f>'FS Jimbaran'!O19</f>
        <v>0</v>
      </c>
      <c r="AZ10" s="27">
        <f>'FS Jimbaran'!P19</f>
        <v>0</v>
      </c>
      <c r="BA10" s="27">
        <f>'FS Jimbaran'!W19</f>
        <v>0</v>
      </c>
      <c r="BB10" s="27">
        <f>'FS Jimbaran'!X19</f>
        <v>0</v>
      </c>
      <c r="BC10" s="27">
        <f>'FS Jimbaran'!AI19</f>
        <v>456.00000000000011</v>
      </c>
      <c r="BD10" s="27">
        <f>'FS Jimbaran'!AJ19</f>
        <v>0</v>
      </c>
      <c r="BE10" s="27">
        <f>'FS Jimbaran'!AK19</f>
        <v>0</v>
      </c>
      <c r="BF10" s="27">
        <f>'FS Jimbaran'!AL19</f>
        <v>0</v>
      </c>
      <c r="BG10" s="27">
        <f>'FS Jimbaran'!AM19</f>
        <v>0</v>
      </c>
      <c r="BH10" s="27">
        <f>'FS Jimbaran'!AN19</f>
        <v>0</v>
      </c>
      <c r="BI10" s="27">
        <f>'FS Jimbaran'!AO19</f>
        <v>0</v>
      </c>
      <c r="BJ10" s="27">
        <f>'FS Jimbaran'!AO19</f>
        <v>0</v>
      </c>
      <c r="BK10" s="27">
        <f>'FS Jimbaran'!AQ19</f>
        <v>0</v>
      </c>
      <c r="BL10" s="27">
        <f>'FS Jimbaran'!AR19</f>
        <v>0</v>
      </c>
      <c r="BM10" s="27">
        <v>0</v>
      </c>
      <c r="BN10" s="27">
        <v>0</v>
      </c>
      <c r="BO10" s="28">
        <f>'FS Jimbaran'!Q19</f>
        <v>0</v>
      </c>
      <c r="BP10" s="27">
        <f>'FS Jimbaran'!R19</f>
        <v>0</v>
      </c>
    </row>
    <row r="11" spans="1:68">
      <c r="A11" s="22" t="s">
        <v>67</v>
      </c>
      <c r="B11" s="30">
        <f t="shared" si="0"/>
        <v>10</v>
      </c>
      <c r="C11" s="31">
        <v>7</v>
      </c>
      <c r="D11" s="32">
        <v>2020</v>
      </c>
      <c r="E11" s="23">
        <f>'FS Jimbaran'!M20</f>
        <v>0</v>
      </c>
      <c r="F11" s="27">
        <f>'FS Jimbaran'!N20</f>
        <v>0</v>
      </c>
      <c r="G11" s="27">
        <v>0</v>
      </c>
      <c r="H11" s="27">
        <f>'FS Jimbaran'!H20</f>
        <v>0</v>
      </c>
      <c r="I11" s="27">
        <f>'FS Jimbaran'!I20</f>
        <v>0</v>
      </c>
      <c r="J11" s="27">
        <f>'FS Jimbaran'!J20</f>
        <v>0</v>
      </c>
      <c r="K11" s="27">
        <f>'FS Jimbaran'!K20</f>
        <v>0</v>
      </c>
      <c r="L11" s="27">
        <f>'FS Jimbaran'!L20</f>
        <v>0</v>
      </c>
      <c r="M11" s="27">
        <f>'FS Jimbaran'!S20</f>
        <v>0</v>
      </c>
      <c r="N11" s="27">
        <f>'FS Jimbaran'!T20</f>
        <v>0</v>
      </c>
      <c r="O11" s="27">
        <f>'FS Jimbaran'!U20</f>
        <v>0</v>
      </c>
      <c r="P11" s="27">
        <f>'FS Jimbaran'!V20</f>
        <v>0</v>
      </c>
      <c r="Q11" s="27">
        <f>'FS Jimbaran'!BE20</f>
        <v>0</v>
      </c>
      <c r="R11" s="27">
        <f>'FS Jimbaran'!BF20</f>
        <v>0</v>
      </c>
      <c r="S11" s="27">
        <f>'FS Jimbaran'!BH20</f>
        <v>0</v>
      </c>
      <c r="T11" s="27">
        <f>'FS Jimbaran'!BH20</f>
        <v>0</v>
      </c>
      <c r="U11" s="27">
        <f>'FS Jimbaran'!BI20</f>
        <v>0</v>
      </c>
      <c r="V11" s="27">
        <f>'FS Jimbaran'!BJ20</f>
        <v>0</v>
      </c>
      <c r="W11" s="27">
        <f>'FS Jimbaran'!Y20</f>
        <v>0</v>
      </c>
      <c r="X11" s="27">
        <f>'FS Jimbaran'!Z20</f>
        <v>0</v>
      </c>
      <c r="Y11" s="27">
        <f>'FS Jimbaran'!AA20</f>
        <v>0</v>
      </c>
      <c r="Z11" s="27">
        <f>'FS Jimbaran'!AB20</f>
        <v>0</v>
      </c>
      <c r="AA11" s="27">
        <f>'FS Jimbaran'!AC20</f>
        <v>0</v>
      </c>
      <c r="AB11" s="27">
        <f>'FS Jimbaran'!AD20</f>
        <v>0</v>
      </c>
      <c r="AC11" s="27">
        <f>'FS Jimbaran'!AE20</f>
        <v>0</v>
      </c>
      <c r="AD11" s="27">
        <f>'FS Jimbaran'!AF20</f>
        <v>0</v>
      </c>
      <c r="AE11" s="27">
        <f>'FS Jimbaran'!AG20</f>
        <v>0</v>
      </c>
      <c r="AF11" s="27">
        <f>'FS Jimbaran'!AH20</f>
        <v>0</v>
      </c>
      <c r="AG11" s="27">
        <f>'FS Jimbaran'!AM20</f>
        <v>0</v>
      </c>
      <c r="AH11" s="27">
        <f>'FS Jimbaran'!AR20</f>
        <v>0</v>
      </c>
      <c r="AI11" s="27">
        <f>'FS Jimbaran'!AQ20</f>
        <v>0</v>
      </c>
      <c r="AJ11" s="27">
        <f>'FS Jimbaran'!AR20</f>
        <v>0</v>
      </c>
      <c r="AK11" s="27">
        <f>'FS Jimbaran'!AY20</f>
        <v>0</v>
      </c>
      <c r="AL11" s="27">
        <f>'FS Jimbaran'!AZ20</f>
        <v>0</v>
      </c>
      <c r="AM11" s="27">
        <f>'FS Jimbaran'!BB20</f>
        <v>0</v>
      </c>
      <c r="AN11" s="27">
        <f>'FS Jimbaran'!BB20</f>
        <v>0</v>
      </c>
      <c r="AO11" s="27">
        <f>'FS Jimbaran'!BK20</f>
        <v>0</v>
      </c>
      <c r="AP11" s="27">
        <f>'FS Jimbaran'!BL20</f>
        <v>0</v>
      </c>
      <c r="AQ11" s="27">
        <f>'FS Jimbaran'!BC20</f>
        <v>0</v>
      </c>
      <c r="AR11" s="27">
        <f>'FS Jimbaran'!BD20</f>
        <v>0</v>
      </c>
      <c r="AS11" s="27">
        <f>'FS Jimbaran'!BM20</f>
        <v>0</v>
      </c>
      <c r="AT11" s="27">
        <f>'FS Jimbaran'!BN20</f>
        <v>0</v>
      </c>
      <c r="AU11" s="27">
        <f>'FS Jimbaran'!BO20</f>
        <v>0</v>
      </c>
      <c r="AV11" s="27">
        <f>'FS Jimbaran'!BP20</f>
        <v>0</v>
      </c>
      <c r="AW11" s="27">
        <f>'FS Jimbaran'!E20</f>
        <v>0</v>
      </c>
      <c r="AX11" s="27">
        <f>'FS Jimbaran'!F20</f>
        <v>0</v>
      </c>
      <c r="AY11" s="27">
        <f>'FS Jimbaran'!O20</f>
        <v>0</v>
      </c>
      <c r="AZ11" s="27">
        <f>'FS Jimbaran'!P20</f>
        <v>0</v>
      </c>
      <c r="BA11" s="27">
        <f>'FS Jimbaran'!W20</f>
        <v>0</v>
      </c>
      <c r="BB11" s="27">
        <f>'FS Jimbaran'!X20</f>
        <v>0</v>
      </c>
      <c r="BC11" s="27">
        <f>'FS Jimbaran'!AI20</f>
        <v>0</v>
      </c>
      <c r="BD11" s="27">
        <f>'FS Jimbaran'!AJ20</f>
        <v>0</v>
      </c>
      <c r="BE11" s="27">
        <f>'FS Jimbaran'!AK20</f>
        <v>0</v>
      </c>
      <c r="BF11" s="27">
        <f>'FS Jimbaran'!AL20</f>
        <v>0</v>
      </c>
      <c r="BG11" s="27">
        <f>'FS Jimbaran'!AM20</f>
        <v>0</v>
      </c>
      <c r="BH11" s="27">
        <f>'FS Jimbaran'!AN20</f>
        <v>0</v>
      </c>
      <c r="BI11" s="27">
        <f>'FS Jimbaran'!AO20</f>
        <v>0</v>
      </c>
      <c r="BJ11" s="27">
        <f>'FS Jimbaran'!AO20</f>
        <v>0</v>
      </c>
      <c r="BK11" s="27">
        <f>'FS Jimbaran'!AQ20</f>
        <v>0</v>
      </c>
      <c r="BL11" s="27">
        <f>'FS Jimbaran'!AR20</f>
        <v>0</v>
      </c>
      <c r="BM11" s="27">
        <v>0</v>
      </c>
      <c r="BN11" s="27">
        <v>0</v>
      </c>
      <c r="BO11" s="28">
        <f>'FS Jimbaran'!Q20</f>
        <v>0</v>
      </c>
      <c r="BP11" s="27">
        <f>'FS Jimbaran'!R20</f>
        <v>0</v>
      </c>
    </row>
    <row r="12" spans="1:68">
      <c r="A12" s="22" t="s">
        <v>67</v>
      </c>
      <c r="B12" s="30">
        <f t="shared" si="0"/>
        <v>11</v>
      </c>
      <c r="C12" s="31">
        <v>7</v>
      </c>
      <c r="D12" s="32">
        <v>2020</v>
      </c>
      <c r="E12" s="23">
        <f>'FS Jimbaran'!M21</f>
        <v>8.8000000000000007</v>
      </c>
      <c r="F12" s="27">
        <f>'FS Jimbaran'!N21</f>
        <v>0</v>
      </c>
      <c r="G12" s="27">
        <v>0</v>
      </c>
      <c r="H12" s="27">
        <f>'FS Jimbaran'!H21</f>
        <v>0</v>
      </c>
      <c r="I12" s="27">
        <f>'FS Jimbaran'!I21</f>
        <v>0</v>
      </c>
      <c r="J12" s="27">
        <f>'FS Jimbaran'!J21</f>
        <v>0</v>
      </c>
      <c r="K12" s="27">
        <f>'FS Jimbaran'!K21</f>
        <v>23.3</v>
      </c>
      <c r="L12" s="27">
        <f>'FS Jimbaran'!L21</f>
        <v>0</v>
      </c>
      <c r="M12" s="27">
        <f>'FS Jimbaran'!S21</f>
        <v>0</v>
      </c>
      <c r="N12" s="27">
        <f>'FS Jimbaran'!T21</f>
        <v>0</v>
      </c>
      <c r="O12" s="27">
        <f>'FS Jimbaran'!U21</f>
        <v>17.5</v>
      </c>
      <c r="P12" s="27">
        <f>'FS Jimbaran'!V21</f>
        <v>0</v>
      </c>
      <c r="Q12" s="27">
        <f>'FS Jimbaran'!BE21</f>
        <v>0</v>
      </c>
      <c r="R12" s="27">
        <f>'FS Jimbaran'!BF21</f>
        <v>0</v>
      </c>
      <c r="S12" s="27">
        <f>'FS Jimbaran'!BH21</f>
        <v>0</v>
      </c>
      <c r="T12" s="27">
        <f>'FS Jimbaran'!BH21</f>
        <v>0</v>
      </c>
      <c r="U12" s="27">
        <f>'FS Jimbaran'!BI21</f>
        <v>0</v>
      </c>
      <c r="V12" s="27">
        <f>'FS Jimbaran'!BJ21</f>
        <v>0</v>
      </c>
      <c r="W12" s="27">
        <f>'FS Jimbaran'!Y21</f>
        <v>0</v>
      </c>
      <c r="X12" s="27">
        <f>'FS Jimbaran'!Z21</f>
        <v>0</v>
      </c>
      <c r="Y12" s="27">
        <f>'FS Jimbaran'!AA21</f>
        <v>0</v>
      </c>
      <c r="Z12" s="27">
        <f>'FS Jimbaran'!AB21</f>
        <v>0</v>
      </c>
      <c r="AA12" s="27">
        <f>'FS Jimbaran'!AC21</f>
        <v>0</v>
      </c>
      <c r="AB12" s="27">
        <f>'FS Jimbaran'!AD21</f>
        <v>0</v>
      </c>
      <c r="AC12" s="27">
        <f>'FS Jimbaran'!AE21</f>
        <v>0</v>
      </c>
      <c r="AD12" s="27">
        <f>'FS Jimbaran'!AF21</f>
        <v>0</v>
      </c>
      <c r="AE12" s="27">
        <f>'FS Jimbaran'!AG21</f>
        <v>0</v>
      </c>
      <c r="AF12" s="27">
        <f>'FS Jimbaran'!AH21</f>
        <v>0</v>
      </c>
      <c r="AG12" s="27">
        <f>'FS Jimbaran'!AM21</f>
        <v>0</v>
      </c>
      <c r="AH12" s="27">
        <f>'FS Jimbaran'!AR21</f>
        <v>0</v>
      </c>
      <c r="AI12" s="27">
        <f>'FS Jimbaran'!AQ21</f>
        <v>0</v>
      </c>
      <c r="AJ12" s="27">
        <f>'FS Jimbaran'!AR21</f>
        <v>0</v>
      </c>
      <c r="AK12" s="27">
        <f>'FS Jimbaran'!AY21</f>
        <v>0</v>
      </c>
      <c r="AL12" s="27">
        <f>'FS Jimbaran'!AZ21</f>
        <v>0</v>
      </c>
      <c r="AM12" s="27">
        <f>'FS Jimbaran'!BB21</f>
        <v>0</v>
      </c>
      <c r="AN12" s="27">
        <f>'FS Jimbaran'!BB21</f>
        <v>0</v>
      </c>
      <c r="AO12" s="27">
        <f>'FS Jimbaran'!BK21</f>
        <v>0</v>
      </c>
      <c r="AP12" s="27">
        <f>'FS Jimbaran'!BL21</f>
        <v>0</v>
      </c>
      <c r="AQ12" s="27">
        <f>'FS Jimbaran'!BC21</f>
        <v>0</v>
      </c>
      <c r="AR12" s="27">
        <f>'FS Jimbaran'!BD21</f>
        <v>0</v>
      </c>
      <c r="AS12" s="27">
        <f>'FS Jimbaran'!BM21</f>
        <v>0</v>
      </c>
      <c r="AT12" s="27">
        <f>'FS Jimbaran'!BN21</f>
        <v>0</v>
      </c>
      <c r="AU12" s="27">
        <f>'FS Jimbaran'!BO21</f>
        <v>0</v>
      </c>
      <c r="AV12" s="27">
        <f>'FS Jimbaran'!BP21</f>
        <v>0</v>
      </c>
      <c r="AW12" s="27">
        <f>'FS Jimbaran'!E21</f>
        <v>21.2</v>
      </c>
      <c r="AX12" s="27">
        <f>'FS Jimbaran'!F21</f>
        <v>0</v>
      </c>
      <c r="AY12" s="27">
        <f>'FS Jimbaran'!O21</f>
        <v>0</v>
      </c>
      <c r="AZ12" s="27">
        <f>'FS Jimbaran'!P21</f>
        <v>0</v>
      </c>
      <c r="BA12" s="27">
        <f>'FS Jimbaran'!W21</f>
        <v>0</v>
      </c>
      <c r="BB12" s="27">
        <f>'FS Jimbaran'!X21</f>
        <v>0</v>
      </c>
      <c r="BC12" s="27">
        <f>'FS Jimbaran'!AI21</f>
        <v>328</v>
      </c>
      <c r="BD12" s="27">
        <f>'FS Jimbaran'!AJ21</f>
        <v>0</v>
      </c>
      <c r="BE12" s="27">
        <f>'FS Jimbaran'!AK21</f>
        <v>0</v>
      </c>
      <c r="BF12" s="27">
        <f>'FS Jimbaran'!AL21</f>
        <v>0</v>
      </c>
      <c r="BG12" s="27">
        <f>'FS Jimbaran'!AM21</f>
        <v>0</v>
      </c>
      <c r="BH12" s="27">
        <f>'FS Jimbaran'!AN21</f>
        <v>0</v>
      </c>
      <c r="BI12" s="27">
        <f>'FS Jimbaran'!AO21</f>
        <v>0</v>
      </c>
      <c r="BJ12" s="27">
        <f>'FS Jimbaran'!AO21</f>
        <v>0</v>
      </c>
      <c r="BK12" s="27">
        <f>'FS Jimbaran'!AQ21</f>
        <v>0</v>
      </c>
      <c r="BL12" s="27">
        <f>'FS Jimbaran'!AR21</f>
        <v>0</v>
      </c>
      <c r="BM12" s="27">
        <v>0</v>
      </c>
      <c r="BN12" s="27">
        <v>0</v>
      </c>
      <c r="BO12" s="28">
        <f>'FS Jimbaran'!Q21</f>
        <v>0</v>
      </c>
      <c r="BP12" s="27">
        <f>'FS Jimbaran'!R21</f>
        <v>0</v>
      </c>
    </row>
    <row r="13" spans="1:68">
      <c r="A13" s="22" t="s">
        <v>67</v>
      </c>
      <c r="B13" s="30">
        <f t="shared" si="0"/>
        <v>12</v>
      </c>
      <c r="C13" s="31">
        <v>7</v>
      </c>
      <c r="D13" s="32">
        <v>2020</v>
      </c>
      <c r="E13" s="23">
        <f>'FS Jimbaran'!M22</f>
        <v>0</v>
      </c>
      <c r="F13" s="27">
        <f>'FS Jimbaran'!N22</f>
        <v>0</v>
      </c>
      <c r="G13" s="27">
        <v>0</v>
      </c>
      <c r="H13" s="27">
        <f>'FS Jimbaran'!H22</f>
        <v>0</v>
      </c>
      <c r="I13" s="27">
        <f>'FS Jimbaran'!I22</f>
        <v>0</v>
      </c>
      <c r="J13" s="27">
        <f>'FS Jimbaran'!J22</f>
        <v>0</v>
      </c>
      <c r="K13" s="27">
        <f>'FS Jimbaran'!K22</f>
        <v>0</v>
      </c>
      <c r="L13" s="27">
        <f>'FS Jimbaran'!L22</f>
        <v>0</v>
      </c>
      <c r="M13" s="27">
        <f>'FS Jimbaran'!S22</f>
        <v>0</v>
      </c>
      <c r="N13" s="27">
        <f>'FS Jimbaran'!T22</f>
        <v>0</v>
      </c>
      <c r="O13" s="27">
        <f>'FS Jimbaran'!U22</f>
        <v>0</v>
      </c>
      <c r="P13" s="27">
        <f>'FS Jimbaran'!V22</f>
        <v>0</v>
      </c>
      <c r="Q13" s="27">
        <f>'FS Jimbaran'!BE22</f>
        <v>0</v>
      </c>
      <c r="R13" s="27">
        <f>'FS Jimbaran'!BF22</f>
        <v>0</v>
      </c>
      <c r="S13" s="27">
        <f>'FS Jimbaran'!BH22</f>
        <v>0</v>
      </c>
      <c r="T13" s="27">
        <f>'FS Jimbaran'!BH22</f>
        <v>0</v>
      </c>
      <c r="U13" s="27">
        <f>'FS Jimbaran'!BI22</f>
        <v>0</v>
      </c>
      <c r="V13" s="27">
        <f>'FS Jimbaran'!BJ22</f>
        <v>0</v>
      </c>
      <c r="W13" s="27">
        <f>'FS Jimbaran'!Y22</f>
        <v>0</v>
      </c>
      <c r="X13" s="27">
        <f>'FS Jimbaran'!Z22</f>
        <v>0</v>
      </c>
      <c r="Y13" s="27">
        <f>'FS Jimbaran'!AA22</f>
        <v>0</v>
      </c>
      <c r="Z13" s="27">
        <f>'FS Jimbaran'!AB22</f>
        <v>0</v>
      </c>
      <c r="AA13" s="27">
        <f>'FS Jimbaran'!AC22</f>
        <v>0</v>
      </c>
      <c r="AB13" s="27">
        <f>'FS Jimbaran'!AD22</f>
        <v>0</v>
      </c>
      <c r="AC13" s="27">
        <f>'FS Jimbaran'!AE22</f>
        <v>0</v>
      </c>
      <c r="AD13" s="27">
        <f>'FS Jimbaran'!AF22</f>
        <v>0</v>
      </c>
      <c r="AE13" s="27">
        <f>'FS Jimbaran'!AG22</f>
        <v>0</v>
      </c>
      <c r="AF13" s="27">
        <f>'FS Jimbaran'!AH22</f>
        <v>0</v>
      </c>
      <c r="AG13" s="27">
        <f>'FS Jimbaran'!AM22</f>
        <v>0</v>
      </c>
      <c r="AH13" s="27">
        <f>'FS Jimbaran'!AR22</f>
        <v>0</v>
      </c>
      <c r="AI13" s="27">
        <f>'FS Jimbaran'!AQ22</f>
        <v>0</v>
      </c>
      <c r="AJ13" s="27">
        <f>'FS Jimbaran'!AR22</f>
        <v>0</v>
      </c>
      <c r="AK13" s="27">
        <f>'FS Jimbaran'!AY22</f>
        <v>0</v>
      </c>
      <c r="AL13" s="27">
        <f>'FS Jimbaran'!AZ22</f>
        <v>0</v>
      </c>
      <c r="AM13" s="27">
        <f>'FS Jimbaran'!BB22</f>
        <v>0</v>
      </c>
      <c r="AN13" s="27">
        <f>'FS Jimbaran'!BB22</f>
        <v>0</v>
      </c>
      <c r="AO13" s="27">
        <f>'FS Jimbaran'!BK22</f>
        <v>0</v>
      </c>
      <c r="AP13" s="27">
        <f>'FS Jimbaran'!BL22</f>
        <v>0</v>
      </c>
      <c r="AQ13" s="27">
        <f>'FS Jimbaran'!BC22</f>
        <v>0</v>
      </c>
      <c r="AR13" s="27">
        <f>'FS Jimbaran'!BD22</f>
        <v>0</v>
      </c>
      <c r="AS13" s="27">
        <f>'FS Jimbaran'!BM22</f>
        <v>0</v>
      </c>
      <c r="AT13" s="27">
        <f>'FS Jimbaran'!BN22</f>
        <v>0</v>
      </c>
      <c r="AU13" s="27">
        <f>'FS Jimbaran'!BO22</f>
        <v>0</v>
      </c>
      <c r="AV13" s="27">
        <f>'FS Jimbaran'!BP22</f>
        <v>0</v>
      </c>
      <c r="AW13" s="27">
        <f>'FS Jimbaran'!E22</f>
        <v>0</v>
      </c>
      <c r="AX13" s="27">
        <f>'FS Jimbaran'!F22</f>
        <v>0</v>
      </c>
      <c r="AY13" s="27">
        <f>'FS Jimbaran'!O22</f>
        <v>0</v>
      </c>
      <c r="AZ13" s="27">
        <f>'FS Jimbaran'!P22</f>
        <v>0</v>
      </c>
      <c r="BA13" s="27">
        <f>'FS Jimbaran'!W22</f>
        <v>0</v>
      </c>
      <c r="BB13" s="27">
        <f>'FS Jimbaran'!X22</f>
        <v>0</v>
      </c>
      <c r="BC13" s="27">
        <f>'FS Jimbaran'!AI22</f>
        <v>0</v>
      </c>
      <c r="BD13" s="27">
        <f>'FS Jimbaran'!AJ22</f>
        <v>0</v>
      </c>
      <c r="BE13" s="27">
        <f>'FS Jimbaran'!AK22</f>
        <v>0</v>
      </c>
      <c r="BF13" s="27">
        <f>'FS Jimbaran'!AL22</f>
        <v>0</v>
      </c>
      <c r="BG13" s="27">
        <f>'FS Jimbaran'!AM22</f>
        <v>0</v>
      </c>
      <c r="BH13" s="27">
        <f>'FS Jimbaran'!AN22</f>
        <v>0</v>
      </c>
      <c r="BI13" s="27">
        <f>'FS Jimbaran'!AO22</f>
        <v>0</v>
      </c>
      <c r="BJ13" s="27">
        <f>'FS Jimbaran'!AO22</f>
        <v>0</v>
      </c>
      <c r="BK13" s="27">
        <f>'FS Jimbaran'!AQ22</f>
        <v>0</v>
      </c>
      <c r="BL13" s="27">
        <f>'FS Jimbaran'!AR22</f>
        <v>0</v>
      </c>
      <c r="BM13" s="27">
        <v>0</v>
      </c>
      <c r="BN13" s="27">
        <v>0</v>
      </c>
      <c r="BO13" s="28">
        <f>'FS Jimbaran'!Q22</f>
        <v>0</v>
      </c>
      <c r="BP13" s="27">
        <f>'FS Jimbaran'!R22</f>
        <v>0</v>
      </c>
    </row>
    <row r="14" spans="1:68">
      <c r="A14" s="22" t="s">
        <v>67</v>
      </c>
      <c r="B14" s="30">
        <f t="shared" si="0"/>
        <v>13</v>
      </c>
      <c r="C14" s="31">
        <v>7</v>
      </c>
      <c r="D14" s="32">
        <v>2020</v>
      </c>
      <c r="E14" s="23">
        <f>'FS Jimbaran'!M23</f>
        <v>6.1</v>
      </c>
      <c r="F14" s="27">
        <f>'FS Jimbaran'!N23</f>
        <v>0</v>
      </c>
      <c r="G14" s="27">
        <v>0</v>
      </c>
      <c r="H14" s="27">
        <f>'FS Jimbaran'!H23</f>
        <v>0</v>
      </c>
      <c r="I14" s="27">
        <f>'FS Jimbaran'!I23</f>
        <v>0</v>
      </c>
      <c r="J14" s="27">
        <f>'FS Jimbaran'!J23</f>
        <v>0</v>
      </c>
      <c r="K14" s="27">
        <f>'FS Jimbaran'!K23</f>
        <v>18.600000000000001</v>
      </c>
      <c r="L14" s="27">
        <f>'FS Jimbaran'!L23</f>
        <v>0</v>
      </c>
      <c r="M14" s="27">
        <f>'FS Jimbaran'!S23</f>
        <v>0</v>
      </c>
      <c r="N14" s="27">
        <f>'FS Jimbaran'!T23</f>
        <v>0</v>
      </c>
      <c r="O14" s="27">
        <f>'FS Jimbaran'!U23</f>
        <v>18</v>
      </c>
      <c r="P14" s="27">
        <f>'FS Jimbaran'!V23</f>
        <v>0</v>
      </c>
      <c r="Q14" s="27">
        <f>'FS Jimbaran'!BE23</f>
        <v>0</v>
      </c>
      <c r="R14" s="27">
        <f>'FS Jimbaran'!BF23</f>
        <v>0</v>
      </c>
      <c r="S14" s="27">
        <f>'FS Jimbaran'!BH23</f>
        <v>0</v>
      </c>
      <c r="T14" s="27">
        <f>'FS Jimbaran'!BH23</f>
        <v>0</v>
      </c>
      <c r="U14" s="27">
        <f>'FS Jimbaran'!BI23</f>
        <v>0</v>
      </c>
      <c r="V14" s="27">
        <f>'FS Jimbaran'!BJ23</f>
        <v>0</v>
      </c>
      <c r="W14" s="27">
        <f>'FS Jimbaran'!Y23</f>
        <v>0</v>
      </c>
      <c r="X14" s="27">
        <f>'FS Jimbaran'!Z23</f>
        <v>0</v>
      </c>
      <c r="Y14" s="27">
        <f>'FS Jimbaran'!AA23</f>
        <v>0</v>
      </c>
      <c r="Z14" s="27">
        <f>'FS Jimbaran'!AB23</f>
        <v>0</v>
      </c>
      <c r="AA14" s="27">
        <f>'FS Jimbaran'!AC23</f>
        <v>0</v>
      </c>
      <c r="AB14" s="27">
        <f>'FS Jimbaran'!AD23</f>
        <v>0</v>
      </c>
      <c r="AC14" s="27">
        <f>'FS Jimbaran'!AE23</f>
        <v>0</v>
      </c>
      <c r="AD14" s="27">
        <f>'FS Jimbaran'!AF23</f>
        <v>0</v>
      </c>
      <c r="AE14" s="27">
        <f>'FS Jimbaran'!AG23</f>
        <v>0</v>
      </c>
      <c r="AF14" s="27">
        <f>'FS Jimbaran'!AH23</f>
        <v>0</v>
      </c>
      <c r="AG14" s="27">
        <f>'FS Jimbaran'!AM23</f>
        <v>0</v>
      </c>
      <c r="AH14" s="27">
        <f>'FS Jimbaran'!AR23</f>
        <v>0</v>
      </c>
      <c r="AI14" s="27">
        <f>'FS Jimbaran'!AQ23</f>
        <v>0</v>
      </c>
      <c r="AJ14" s="27">
        <f>'FS Jimbaran'!AR23</f>
        <v>0</v>
      </c>
      <c r="AK14" s="27">
        <f>'FS Jimbaran'!AY23</f>
        <v>0</v>
      </c>
      <c r="AL14" s="27">
        <f>'FS Jimbaran'!AZ23</f>
        <v>0</v>
      </c>
      <c r="AM14" s="27">
        <f>'FS Jimbaran'!BB23</f>
        <v>0</v>
      </c>
      <c r="AN14" s="27">
        <f>'FS Jimbaran'!BB23</f>
        <v>0</v>
      </c>
      <c r="AO14" s="27">
        <f>'FS Jimbaran'!BK23</f>
        <v>0</v>
      </c>
      <c r="AP14" s="27">
        <f>'FS Jimbaran'!BL23</f>
        <v>0</v>
      </c>
      <c r="AQ14" s="27">
        <f>'FS Jimbaran'!BC23</f>
        <v>0</v>
      </c>
      <c r="AR14" s="27">
        <f>'FS Jimbaran'!BD23</f>
        <v>0</v>
      </c>
      <c r="AS14" s="27">
        <f>'FS Jimbaran'!BM23</f>
        <v>0</v>
      </c>
      <c r="AT14" s="27">
        <f>'FS Jimbaran'!BN23</f>
        <v>0</v>
      </c>
      <c r="AU14" s="27">
        <f>'FS Jimbaran'!BO23</f>
        <v>0</v>
      </c>
      <c r="AV14" s="27">
        <f>'FS Jimbaran'!BP23</f>
        <v>0</v>
      </c>
      <c r="AW14" s="27">
        <f>'FS Jimbaran'!E23</f>
        <v>24</v>
      </c>
      <c r="AX14" s="27">
        <f>'FS Jimbaran'!F23</f>
        <v>0</v>
      </c>
      <c r="AY14" s="27">
        <f>'FS Jimbaran'!O23</f>
        <v>0</v>
      </c>
      <c r="AZ14" s="27">
        <f>'FS Jimbaran'!P23</f>
        <v>0</v>
      </c>
      <c r="BA14" s="27">
        <f>'FS Jimbaran'!W23</f>
        <v>0</v>
      </c>
      <c r="BB14" s="27">
        <f>'FS Jimbaran'!X23</f>
        <v>0</v>
      </c>
      <c r="BC14" s="27">
        <f>'FS Jimbaran'!AI23</f>
        <v>415.99999999999994</v>
      </c>
      <c r="BD14" s="27">
        <f>'FS Jimbaran'!AJ23</f>
        <v>0</v>
      </c>
      <c r="BE14" s="27">
        <f>'FS Jimbaran'!AK23</f>
        <v>0</v>
      </c>
      <c r="BF14" s="27">
        <f>'FS Jimbaran'!AL23</f>
        <v>0</v>
      </c>
      <c r="BG14" s="27">
        <f>'FS Jimbaran'!AM23</f>
        <v>0</v>
      </c>
      <c r="BH14" s="27">
        <f>'FS Jimbaran'!AN23</f>
        <v>0</v>
      </c>
      <c r="BI14" s="27">
        <f>'FS Jimbaran'!AO23</f>
        <v>0</v>
      </c>
      <c r="BJ14" s="27">
        <f>'FS Jimbaran'!AO23</f>
        <v>0</v>
      </c>
      <c r="BK14" s="27">
        <f>'FS Jimbaran'!AQ23</f>
        <v>0</v>
      </c>
      <c r="BL14" s="27">
        <f>'FS Jimbaran'!AR23</f>
        <v>0</v>
      </c>
      <c r="BM14" s="27">
        <v>0</v>
      </c>
      <c r="BN14" s="27">
        <v>0</v>
      </c>
      <c r="BO14" s="28">
        <f>'FS Jimbaran'!Q23</f>
        <v>0</v>
      </c>
      <c r="BP14" s="27">
        <f>'FS Jimbaran'!R23</f>
        <v>0</v>
      </c>
    </row>
    <row r="15" spans="1:68">
      <c r="A15" s="22" t="s">
        <v>67</v>
      </c>
      <c r="B15" s="30">
        <f t="shared" si="0"/>
        <v>14</v>
      </c>
      <c r="C15" s="31">
        <v>7</v>
      </c>
      <c r="D15" s="32">
        <v>2020</v>
      </c>
      <c r="E15" s="23">
        <f>'FS Jimbaran'!M24</f>
        <v>0</v>
      </c>
      <c r="F15" s="27">
        <f>'FS Jimbaran'!N24</f>
        <v>0</v>
      </c>
      <c r="G15" s="27">
        <v>0</v>
      </c>
      <c r="H15" s="27">
        <f>'FS Jimbaran'!H24</f>
        <v>0</v>
      </c>
      <c r="I15" s="27">
        <f>'FS Jimbaran'!I24</f>
        <v>0</v>
      </c>
      <c r="J15" s="27">
        <f>'FS Jimbaran'!J24</f>
        <v>0</v>
      </c>
      <c r="K15" s="27">
        <f>'FS Jimbaran'!K24</f>
        <v>0</v>
      </c>
      <c r="L15" s="27">
        <f>'FS Jimbaran'!L24</f>
        <v>0</v>
      </c>
      <c r="M15" s="27">
        <f>'FS Jimbaran'!S24</f>
        <v>0</v>
      </c>
      <c r="N15" s="27">
        <f>'FS Jimbaran'!T24</f>
        <v>0</v>
      </c>
      <c r="O15" s="27">
        <f>'FS Jimbaran'!U24</f>
        <v>0</v>
      </c>
      <c r="P15" s="27">
        <f>'FS Jimbaran'!V24</f>
        <v>0</v>
      </c>
      <c r="Q15" s="27">
        <f>'FS Jimbaran'!BE24</f>
        <v>0</v>
      </c>
      <c r="R15" s="27">
        <f>'FS Jimbaran'!BF24</f>
        <v>0</v>
      </c>
      <c r="S15" s="27">
        <f>'FS Jimbaran'!BH24</f>
        <v>0</v>
      </c>
      <c r="T15" s="27">
        <f>'FS Jimbaran'!BH24</f>
        <v>0</v>
      </c>
      <c r="U15" s="27">
        <f>'FS Jimbaran'!BI24</f>
        <v>0</v>
      </c>
      <c r="V15" s="27">
        <f>'FS Jimbaran'!BJ24</f>
        <v>0</v>
      </c>
      <c r="W15" s="27">
        <f>'FS Jimbaran'!Y24</f>
        <v>0</v>
      </c>
      <c r="X15" s="27">
        <f>'FS Jimbaran'!Z24</f>
        <v>0</v>
      </c>
      <c r="Y15" s="27">
        <f>'FS Jimbaran'!AA24</f>
        <v>0</v>
      </c>
      <c r="Z15" s="27">
        <f>'FS Jimbaran'!AB24</f>
        <v>0</v>
      </c>
      <c r="AA15" s="27">
        <f>'FS Jimbaran'!AC24</f>
        <v>0</v>
      </c>
      <c r="AB15" s="27">
        <f>'FS Jimbaran'!AD24</f>
        <v>0</v>
      </c>
      <c r="AC15" s="27">
        <f>'FS Jimbaran'!AE24</f>
        <v>0</v>
      </c>
      <c r="AD15" s="27">
        <f>'FS Jimbaran'!AF24</f>
        <v>0</v>
      </c>
      <c r="AE15" s="27">
        <f>'FS Jimbaran'!AG24</f>
        <v>0</v>
      </c>
      <c r="AF15" s="27">
        <f>'FS Jimbaran'!AH24</f>
        <v>0</v>
      </c>
      <c r="AG15" s="27">
        <f>'FS Jimbaran'!AM24</f>
        <v>0</v>
      </c>
      <c r="AH15" s="27">
        <f>'FS Jimbaran'!AR24</f>
        <v>0</v>
      </c>
      <c r="AI15" s="27">
        <f>'FS Jimbaran'!AQ24</f>
        <v>0</v>
      </c>
      <c r="AJ15" s="27">
        <f>'FS Jimbaran'!AR24</f>
        <v>0</v>
      </c>
      <c r="AK15" s="27">
        <f>'FS Jimbaran'!AY24</f>
        <v>0</v>
      </c>
      <c r="AL15" s="27">
        <f>'FS Jimbaran'!AZ24</f>
        <v>0</v>
      </c>
      <c r="AM15" s="27">
        <f>'FS Jimbaran'!BB24</f>
        <v>0</v>
      </c>
      <c r="AN15" s="27">
        <f>'FS Jimbaran'!BB24</f>
        <v>0</v>
      </c>
      <c r="AO15" s="27">
        <f>'FS Jimbaran'!BK24</f>
        <v>0</v>
      </c>
      <c r="AP15" s="27">
        <f>'FS Jimbaran'!BL24</f>
        <v>0</v>
      </c>
      <c r="AQ15" s="27">
        <f>'FS Jimbaran'!BC24</f>
        <v>0</v>
      </c>
      <c r="AR15" s="27">
        <f>'FS Jimbaran'!BD24</f>
        <v>0</v>
      </c>
      <c r="AS15" s="27">
        <f>'FS Jimbaran'!BM24</f>
        <v>0</v>
      </c>
      <c r="AT15" s="27">
        <f>'FS Jimbaran'!BN24</f>
        <v>0</v>
      </c>
      <c r="AU15" s="27">
        <f>'FS Jimbaran'!BO24</f>
        <v>0</v>
      </c>
      <c r="AV15" s="27">
        <f>'FS Jimbaran'!BP24</f>
        <v>0</v>
      </c>
      <c r="AW15" s="27">
        <f>'FS Jimbaran'!E24</f>
        <v>0</v>
      </c>
      <c r="AX15" s="27">
        <f>'FS Jimbaran'!F24</f>
        <v>0</v>
      </c>
      <c r="AY15" s="27">
        <f>'FS Jimbaran'!O24</f>
        <v>0</v>
      </c>
      <c r="AZ15" s="27">
        <f>'FS Jimbaran'!P24</f>
        <v>0</v>
      </c>
      <c r="BA15" s="27">
        <f>'FS Jimbaran'!W24</f>
        <v>0</v>
      </c>
      <c r="BB15" s="27">
        <f>'FS Jimbaran'!X24</f>
        <v>0</v>
      </c>
      <c r="BC15" s="27">
        <f>'FS Jimbaran'!AI24</f>
        <v>0</v>
      </c>
      <c r="BD15" s="27">
        <f>'FS Jimbaran'!AJ24</f>
        <v>0</v>
      </c>
      <c r="BE15" s="27">
        <f>'FS Jimbaran'!AK24</f>
        <v>0</v>
      </c>
      <c r="BF15" s="27">
        <f>'FS Jimbaran'!AL24</f>
        <v>0</v>
      </c>
      <c r="BG15" s="27">
        <f>'FS Jimbaran'!AM24</f>
        <v>0</v>
      </c>
      <c r="BH15" s="27">
        <f>'FS Jimbaran'!AN24</f>
        <v>0</v>
      </c>
      <c r="BI15" s="27">
        <f>'FS Jimbaran'!AO24</f>
        <v>0</v>
      </c>
      <c r="BJ15" s="27">
        <f>'FS Jimbaran'!AO24</f>
        <v>0</v>
      </c>
      <c r="BK15" s="27">
        <f>'FS Jimbaran'!AQ24</f>
        <v>0</v>
      </c>
      <c r="BL15" s="27">
        <f>'FS Jimbaran'!AR24</f>
        <v>0</v>
      </c>
      <c r="BM15" s="27">
        <v>0</v>
      </c>
      <c r="BN15" s="27">
        <v>0</v>
      </c>
      <c r="BO15" s="28">
        <f>'FS Jimbaran'!Q24</f>
        <v>0</v>
      </c>
      <c r="BP15" s="27">
        <f>'FS Jimbaran'!R24</f>
        <v>0</v>
      </c>
    </row>
    <row r="16" spans="1:68">
      <c r="A16" s="22" t="s">
        <v>67</v>
      </c>
      <c r="B16" s="30">
        <f t="shared" si="0"/>
        <v>15</v>
      </c>
      <c r="C16" s="31">
        <v>7</v>
      </c>
      <c r="D16" s="32">
        <v>2020</v>
      </c>
      <c r="E16" s="23">
        <f>'FS Jimbaran'!M25</f>
        <v>4.5</v>
      </c>
      <c r="F16" s="27">
        <f>'FS Jimbaran'!N25</f>
        <v>0</v>
      </c>
      <c r="G16" s="27">
        <v>0</v>
      </c>
      <c r="H16" s="27">
        <f>'FS Jimbaran'!H25</f>
        <v>0</v>
      </c>
      <c r="I16" s="27">
        <f>'FS Jimbaran'!I25</f>
        <v>0</v>
      </c>
      <c r="J16" s="27">
        <f>'FS Jimbaran'!J25</f>
        <v>0</v>
      </c>
      <c r="K16" s="27">
        <f>'FS Jimbaran'!K25</f>
        <v>23.4</v>
      </c>
      <c r="L16" s="27">
        <f>'FS Jimbaran'!L25</f>
        <v>0</v>
      </c>
      <c r="M16" s="27">
        <f>'FS Jimbaran'!S25</f>
        <v>0</v>
      </c>
      <c r="N16" s="27">
        <f>'FS Jimbaran'!T25</f>
        <v>0</v>
      </c>
      <c r="O16" s="27">
        <f>'FS Jimbaran'!U25</f>
        <v>12.5</v>
      </c>
      <c r="P16" s="27">
        <f>'FS Jimbaran'!V25</f>
        <v>0</v>
      </c>
      <c r="Q16" s="27">
        <f>'FS Jimbaran'!BE25</f>
        <v>0</v>
      </c>
      <c r="R16" s="27">
        <f>'FS Jimbaran'!BF25</f>
        <v>0</v>
      </c>
      <c r="S16" s="27">
        <f>'FS Jimbaran'!BH25</f>
        <v>0</v>
      </c>
      <c r="T16" s="27">
        <f>'FS Jimbaran'!BH25</f>
        <v>0</v>
      </c>
      <c r="U16" s="27">
        <f>'FS Jimbaran'!BI25</f>
        <v>0</v>
      </c>
      <c r="V16" s="27">
        <f>'FS Jimbaran'!BJ25</f>
        <v>0</v>
      </c>
      <c r="W16" s="27">
        <f>'FS Jimbaran'!Y25</f>
        <v>0</v>
      </c>
      <c r="X16" s="27">
        <f>'FS Jimbaran'!Z25</f>
        <v>0</v>
      </c>
      <c r="Y16" s="27">
        <f>'FS Jimbaran'!AA25</f>
        <v>0</v>
      </c>
      <c r="Z16" s="27">
        <f>'FS Jimbaran'!AB25</f>
        <v>0</v>
      </c>
      <c r="AA16" s="27">
        <f>'FS Jimbaran'!AC25</f>
        <v>0</v>
      </c>
      <c r="AB16" s="27">
        <f>'FS Jimbaran'!AD25</f>
        <v>0</v>
      </c>
      <c r="AC16" s="27">
        <f>'FS Jimbaran'!AE25</f>
        <v>0</v>
      </c>
      <c r="AD16" s="27">
        <f>'FS Jimbaran'!AF25</f>
        <v>0</v>
      </c>
      <c r="AE16" s="27">
        <f>'FS Jimbaran'!AG25</f>
        <v>0</v>
      </c>
      <c r="AF16" s="27">
        <f>'FS Jimbaran'!AH25</f>
        <v>0</v>
      </c>
      <c r="AG16" s="27">
        <f>'FS Jimbaran'!AM25</f>
        <v>0</v>
      </c>
      <c r="AH16" s="27">
        <f>'FS Jimbaran'!AR25</f>
        <v>0</v>
      </c>
      <c r="AI16" s="27">
        <f>'FS Jimbaran'!AQ25</f>
        <v>0</v>
      </c>
      <c r="AJ16" s="27">
        <f>'FS Jimbaran'!AR25</f>
        <v>0</v>
      </c>
      <c r="AK16" s="27">
        <f>'FS Jimbaran'!AY25</f>
        <v>0</v>
      </c>
      <c r="AL16" s="27">
        <f>'FS Jimbaran'!AZ25</f>
        <v>0</v>
      </c>
      <c r="AM16" s="27">
        <f>'FS Jimbaran'!BB25</f>
        <v>0</v>
      </c>
      <c r="AN16" s="27">
        <f>'FS Jimbaran'!BB25</f>
        <v>0</v>
      </c>
      <c r="AO16" s="27">
        <f>'FS Jimbaran'!BK25</f>
        <v>0</v>
      </c>
      <c r="AP16" s="27">
        <f>'FS Jimbaran'!BL25</f>
        <v>0</v>
      </c>
      <c r="AQ16" s="27">
        <f>'FS Jimbaran'!BC25</f>
        <v>0</v>
      </c>
      <c r="AR16" s="27">
        <f>'FS Jimbaran'!BD25</f>
        <v>0</v>
      </c>
      <c r="AS16" s="27">
        <f>'FS Jimbaran'!BM25</f>
        <v>0</v>
      </c>
      <c r="AT16" s="27">
        <f>'FS Jimbaran'!BN25</f>
        <v>0</v>
      </c>
      <c r="AU16" s="27">
        <f>'FS Jimbaran'!BO25</f>
        <v>0</v>
      </c>
      <c r="AV16" s="27">
        <f>'FS Jimbaran'!BP25</f>
        <v>0</v>
      </c>
      <c r="AW16" s="27">
        <f>'FS Jimbaran'!E25</f>
        <v>23.3</v>
      </c>
      <c r="AX16" s="27">
        <f>'FS Jimbaran'!F25</f>
        <v>0</v>
      </c>
      <c r="AY16" s="27">
        <f>'FS Jimbaran'!O25</f>
        <v>0</v>
      </c>
      <c r="AZ16" s="27">
        <f>'FS Jimbaran'!P25</f>
        <v>0</v>
      </c>
      <c r="BA16" s="27">
        <f>'FS Jimbaran'!W25</f>
        <v>0</v>
      </c>
      <c r="BB16" s="27">
        <f>'FS Jimbaran'!X25</f>
        <v>0</v>
      </c>
      <c r="BC16" s="27">
        <f>'FS Jimbaran'!AI25</f>
        <v>336</v>
      </c>
      <c r="BD16" s="27">
        <f>'FS Jimbaran'!AJ25</f>
        <v>0</v>
      </c>
      <c r="BE16" s="27">
        <f>'FS Jimbaran'!AK25</f>
        <v>0</v>
      </c>
      <c r="BF16" s="27">
        <f>'FS Jimbaran'!AL25</f>
        <v>0</v>
      </c>
      <c r="BG16" s="27">
        <f>'FS Jimbaran'!AM25</f>
        <v>0</v>
      </c>
      <c r="BH16" s="27">
        <f>'FS Jimbaran'!AN25</f>
        <v>0</v>
      </c>
      <c r="BI16" s="27">
        <f>'FS Jimbaran'!AO25</f>
        <v>0</v>
      </c>
      <c r="BJ16" s="27">
        <f>'FS Jimbaran'!AO25</f>
        <v>0</v>
      </c>
      <c r="BK16" s="27">
        <f>'FS Jimbaran'!AQ25</f>
        <v>0</v>
      </c>
      <c r="BL16" s="27">
        <f>'FS Jimbaran'!AR25</f>
        <v>0</v>
      </c>
      <c r="BM16" s="27">
        <v>0</v>
      </c>
      <c r="BN16" s="27">
        <v>0</v>
      </c>
      <c r="BO16" s="28">
        <f>'FS Jimbaran'!Q25</f>
        <v>0</v>
      </c>
      <c r="BP16" s="27">
        <f>'FS Jimbaran'!R25</f>
        <v>0</v>
      </c>
    </row>
    <row r="17" spans="1:68">
      <c r="A17" s="22" t="s">
        <v>67</v>
      </c>
      <c r="B17" s="30">
        <f t="shared" si="0"/>
        <v>16</v>
      </c>
      <c r="C17" s="31">
        <v>7</v>
      </c>
      <c r="D17" s="32">
        <v>2020</v>
      </c>
      <c r="E17" s="23">
        <f>'FS Jimbaran'!M26</f>
        <v>0</v>
      </c>
      <c r="F17" s="27">
        <f>'FS Jimbaran'!N26</f>
        <v>0</v>
      </c>
      <c r="G17" s="27">
        <v>0</v>
      </c>
      <c r="H17" s="27">
        <f>'FS Jimbaran'!H26</f>
        <v>0</v>
      </c>
      <c r="I17" s="27">
        <f>'FS Jimbaran'!I26</f>
        <v>0</v>
      </c>
      <c r="J17" s="27">
        <f>'FS Jimbaran'!J26</f>
        <v>0</v>
      </c>
      <c r="K17" s="27">
        <f>'FS Jimbaran'!K26</f>
        <v>0</v>
      </c>
      <c r="L17" s="27">
        <f>'FS Jimbaran'!L26</f>
        <v>0</v>
      </c>
      <c r="M17" s="27">
        <f>'FS Jimbaran'!S26</f>
        <v>0</v>
      </c>
      <c r="N17" s="27">
        <f>'FS Jimbaran'!T26</f>
        <v>0</v>
      </c>
      <c r="O17" s="27">
        <f>'FS Jimbaran'!U26</f>
        <v>0</v>
      </c>
      <c r="P17" s="27">
        <f>'FS Jimbaran'!V26</f>
        <v>0</v>
      </c>
      <c r="Q17" s="27">
        <f>'FS Jimbaran'!BE26</f>
        <v>0</v>
      </c>
      <c r="R17" s="27">
        <f>'FS Jimbaran'!BF26</f>
        <v>0</v>
      </c>
      <c r="S17" s="27">
        <f>'FS Jimbaran'!BH26</f>
        <v>0</v>
      </c>
      <c r="T17" s="27">
        <f>'FS Jimbaran'!BH26</f>
        <v>0</v>
      </c>
      <c r="U17" s="27">
        <f>'FS Jimbaran'!BI26</f>
        <v>0</v>
      </c>
      <c r="V17" s="27">
        <f>'FS Jimbaran'!BJ26</f>
        <v>0</v>
      </c>
      <c r="W17" s="27">
        <f>'FS Jimbaran'!Y26</f>
        <v>0</v>
      </c>
      <c r="X17" s="27">
        <f>'FS Jimbaran'!Z26</f>
        <v>0</v>
      </c>
      <c r="Y17" s="27">
        <f>'FS Jimbaran'!AA26</f>
        <v>0</v>
      </c>
      <c r="Z17" s="27">
        <f>'FS Jimbaran'!AB26</f>
        <v>0</v>
      </c>
      <c r="AA17" s="27">
        <f>'FS Jimbaran'!AC26</f>
        <v>0</v>
      </c>
      <c r="AB17" s="27">
        <f>'FS Jimbaran'!AD26</f>
        <v>0</v>
      </c>
      <c r="AC17" s="27">
        <f>'FS Jimbaran'!AE26</f>
        <v>0</v>
      </c>
      <c r="AD17" s="27">
        <f>'FS Jimbaran'!AF26</f>
        <v>0</v>
      </c>
      <c r="AE17" s="27">
        <f>'FS Jimbaran'!AG26</f>
        <v>0</v>
      </c>
      <c r="AF17" s="27">
        <f>'FS Jimbaran'!AH26</f>
        <v>0</v>
      </c>
      <c r="AG17" s="27">
        <f>'FS Jimbaran'!AM26</f>
        <v>0</v>
      </c>
      <c r="AH17" s="27">
        <f>'FS Jimbaran'!AR26</f>
        <v>0</v>
      </c>
      <c r="AI17" s="27">
        <f>'FS Jimbaran'!AQ26</f>
        <v>0</v>
      </c>
      <c r="AJ17" s="27">
        <f>'FS Jimbaran'!AR26</f>
        <v>0</v>
      </c>
      <c r="AK17" s="27">
        <f>'FS Jimbaran'!AY26</f>
        <v>0</v>
      </c>
      <c r="AL17" s="27">
        <f>'FS Jimbaran'!AZ26</f>
        <v>0</v>
      </c>
      <c r="AM17" s="27">
        <f>'FS Jimbaran'!BB26</f>
        <v>0</v>
      </c>
      <c r="AN17" s="27">
        <f>'FS Jimbaran'!BB26</f>
        <v>0</v>
      </c>
      <c r="AO17" s="27">
        <f>'FS Jimbaran'!BK26</f>
        <v>0</v>
      </c>
      <c r="AP17" s="27">
        <f>'FS Jimbaran'!BL26</f>
        <v>0</v>
      </c>
      <c r="AQ17" s="27">
        <f>'FS Jimbaran'!BC26</f>
        <v>0</v>
      </c>
      <c r="AR17" s="27">
        <f>'FS Jimbaran'!BD26</f>
        <v>0</v>
      </c>
      <c r="AS17" s="27">
        <f>'FS Jimbaran'!BM26</f>
        <v>0</v>
      </c>
      <c r="AT17" s="27">
        <f>'FS Jimbaran'!BN26</f>
        <v>0</v>
      </c>
      <c r="AU17" s="27">
        <f>'FS Jimbaran'!BO26</f>
        <v>0</v>
      </c>
      <c r="AV17" s="27">
        <f>'FS Jimbaran'!BP26</f>
        <v>0</v>
      </c>
      <c r="AW17" s="27">
        <f>'FS Jimbaran'!E26</f>
        <v>0</v>
      </c>
      <c r="AX17" s="27">
        <f>'FS Jimbaran'!F26</f>
        <v>0</v>
      </c>
      <c r="AY17" s="27">
        <f>'FS Jimbaran'!O26</f>
        <v>0</v>
      </c>
      <c r="AZ17" s="27">
        <f>'FS Jimbaran'!P26</f>
        <v>0</v>
      </c>
      <c r="BA17" s="27">
        <f>'FS Jimbaran'!W26</f>
        <v>0</v>
      </c>
      <c r="BB17" s="27">
        <f>'FS Jimbaran'!X26</f>
        <v>0</v>
      </c>
      <c r="BC17" s="27">
        <f>'FS Jimbaran'!AI26</f>
        <v>0</v>
      </c>
      <c r="BD17" s="27">
        <f>'FS Jimbaran'!AJ26</f>
        <v>0</v>
      </c>
      <c r="BE17" s="27">
        <f>'FS Jimbaran'!AK26</f>
        <v>0</v>
      </c>
      <c r="BF17" s="27">
        <f>'FS Jimbaran'!AL26</f>
        <v>0</v>
      </c>
      <c r="BG17" s="27">
        <f>'FS Jimbaran'!AM26</f>
        <v>0</v>
      </c>
      <c r="BH17" s="27">
        <f>'FS Jimbaran'!AN26</f>
        <v>0</v>
      </c>
      <c r="BI17" s="27">
        <f>'FS Jimbaran'!AO26</f>
        <v>0</v>
      </c>
      <c r="BJ17" s="27">
        <f>'FS Jimbaran'!AO26</f>
        <v>0</v>
      </c>
      <c r="BK17" s="27">
        <f>'FS Jimbaran'!AQ26</f>
        <v>0</v>
      </c>
      <c r="BL17" s="27">
        <f>'FS Jimbaran'!AR26</f>
        <v>0</v>
      </c>
      <c r="BM17" s="27">
        <v>0</v>
      </c>
      <c r="BN17" s="27">
        <v>0</v>
      </c>
      <c r="BO17" s="28">
        <f>'FS Jimbaran'!Q26</f>
        <v>0</v>
      </c>
      <c r="BP17" s="27">
        <f>'FS Jimbaran'!R26</f>
        <v>0</v>
      </c>
    </row>
    <row r="18" spans="1:68">
      <c r="A18" s="22" t="s">
        <v>67</v>
      </c>
      <c r="B18" s="30">
        <f t="shared" si="0"/>
        <v>17</v>
      </c>
      <c r="C18" s="31">
        <v>7</v>
      </c>
      <c r="D18" s="32">
        <v>2020</v>
      </c>
      <c r="E18" s="23">
        <f>'FS Jimbaran'!M27</f>
        <v>5.7</v>
      </c>
      <c r="F18" s="27">
        <f>'FS Jimbaran'!N27</f>
        <v>0</v>
      </c>
      <c r="G18" s="27">
        <v>0</v>
      </c>
      <c r="H18" s="27">
        <f>'FS Jimbaran'!H27</f>
        <v>0</v>
      </c>
      <c r="I18" s="27">
        <f>'FS Jimbaran'!I27</f>
        <v>0</v>
      </c>
      <c r="J18" s="27">
        <f>'FS Jimbaran'!J27</f>
        <v>0</v>
      </c>
      <c r="K18" s="27">
        <f>'FS Jimbaran'!K27</f>
        <v>28.1</v>
      </c>
      <c r="L18" s="27">
        <f>'FS Jimbaran'!L27</f>
        <v>0</v>
      </c>
      <c r="M18" s="27">
        <f>'FS Jimbaran'!S27</f>
        <v>0</v>
      </c>
      <c r="N18" s="27">
        <f>'FS Jimbaran'!T27</f>
        <v>0</v>
      </c>
      <c r="O18" s="27">
        <f>'FS Jimbaran'!U27</f>
        <v>9</v>
      </c>
      <c r="P18" s="27">
        <f>'FS Jimbaran'!V27</f>
        <v>0</v>
      </c>
      <c r="Q18" s="27">
        <f>'FS Jimbaran'!BE27</f>
        <v>0</v>
      </c>
      <c r="R18" s="27">
        <f>'FS Jimbaran'!BF27</f>
        <v>0</v>
      </c>
      <c r="S18" s="27">
        <f>'FS Jimbaran'!BH27</f>
        <v>0</v>
      </c>
      <c r="T18" s="27">
        <f>'FS Jimbaran'!BH27</f>
        <v>0</v>
      </c>
      <c r="U18" s="27">
        <f>'FS Jimbaran'!BI27</f>
        <v>0</v>
      </c>
      <c r="V18" s="27">
        <f>'FS Jimbaran'!BJ27</f>
        <v>0</v>
      </c>
      <c r="W18" s="27">
        <f>'FS Jimbaran'!Y27</f>
        <v>0</v>
      </c>
      <c r="X18" s="27">
        <f>'FS Jimbaran'!Z27</f>
        <v>0</v>
      </c>
      <c r="Y18" s="27">
        <f>'FS Jimbaran'!AA27</f>
        <v>0</v>
      </c>
      <c r="Z18" s="27">
        <f>'FS Jimbaran'!AB27</f>
        <v>0</v>
      </c>
      <c r="AA18" s="27">
        <f>'FS Jimbaran'!AC27</f>
        <v>0</v>
      </c>
      <c r="AB18" s="27">
        <f>'FS Jimbaran'!AD27</f>
        <v>0</v>
      </c>
      <c r="AC18" s="27">
        <f>'FS Jimbaran'!AE27</f>
        <v>0</v>
      </c>
      <c r="AD18" s="27">
        <f>'FS Jimbaran'!AF27</f>
        <v>0</v>
      </c>
      <c r="AE18" s="27">
        <f>'FS Jimbaran'!AG27</f>
        <v>0</v>
      </c>
      <c r="AF18" s="27">
        <f>'FS Jimbaran'!AH27</f>
        <v>0</v>
      </c>
      <c r="AG18" s="27">
        <f>'FS Jimbaran'!AM27</f>
        <v>0</v>
      </c>
      <c r="AH18" s="27">
        <f>'FS Jimbaran'!AR27</f>
        <v>0</v>
      </c>
      <c r="AI18" s="27">
        <f>'FS Jimbaran'!AQ27</f>
        <v>0</v>
      </c>
      <c r="AJ18" s="27">
        <f>'FS Jimbaran'!AR27</f>
        <v>0</v>
      </c>
      <c r="AK18" s="27">
        <f>'FS Jimbaran'!AY27</f>
        <v>0</v>
      </c>
      <c r="AL18" s="27">
        <f>'FS Jimbaran'!AZ27</f>
        <v>0</v>
      </c>
      <c r="AM18" s="27">
        <f>'FS Jimbaran'!BB27</f>
        <v>0</v>
      </c>
      <c r="AN18" s="27">
        <f>'FS Jimbaran'!BB27</f>
        <v>0</v>
      </c>
      <c r="AO18" s="27">
        <f>'FS Jimbaran'!BK27</f>
        <v>0</v>
      </c>
      <c r="AP18" s="27">
        <f>'FS Jimbaran'!BL27</f>
        <v>0</v>
      </c>
      <c r="AQ18" s="27">
        <f>'FS Jimbaran'!BC27</f>
        <v>0</v>
      </c>
      <c r="AR18" s="27">
        <f>'FS Jimbaran'!BD27</f>
        <v>0</v>
      </c>
      <c r="AS18" s="27">
        <f>'FS Jimbaran'!BM27</f>
        <v>0</v>
      </c>
      <c r="AT18" s="27">
        <f>'FS Jimbaran'!BN27</f>
        <v>0</v>
      </c>
      <c r="AU18" s="27">
        <f>'FS Jimbaran'!BO27</f>
        <v>0</v>
      </c>
      <c r="AV18" s="27">
        <f>'FS Jimbaran'!BP27</f>
        <v>0</v>
      </c>
      <c r="AW18" s="27">
        <f>'FS Jimbaran'!E27</f>
        <v>25.700000000000003</v>
      </c>
      <c r="AX18" s="27">
        <f>'FS Jimbaran'!F27</f>
        <v>0</v>
      </c>
      <c r="AY18" s="27">
        <f>'FS Jimbaran'!O27</f>
        <v>0</v>
      </c>
      <c r="AZ18" s="27">
        <f>'FS Jimbaran'!P27</f>
        <v>0</v>
      </c>
      <c r="BA18" s="27">
        <f>'FS Jimbaran'!W27</f>
        <v>0</v>
      </c>
      <c r="BB18" s="27">
        <f>'FS Jimbaran'!X27</f>
        <v>0</v>
      </c>
      <c r="BC18" s="27">
        <f>'FS Jimbaran'!AI27</f>
        <v>448.00000000000006</v>
      </c>
      <c r="BD18" s="27">
        <f>'FS Jimbaran'!AJ27</f>
        <v>0</v>
      </c>
      <c r="BE18" s="27">
        <f>'FS Jimbaran'!AK27</f>
        <v>0</v>
      </c>
      <c r="BF18" s="27">
        <f>'FS Jimbaran'!AL27</f>
        <v>0</v>
      </c>
      <c r="BG18" s="27">
        <f>'FS Jimbaran'!AM27</f>
        <v>0</v>
      </c>
      <c r="BH18" s="27">
        <f>'FS Jimbaran'!AN27</f>
        <v>0</v>
      </c>
      <c r="BI18" s="27">
        <f>'FS Jimbaran'!AO27</f>
        <v>0</v>
      </c>
      <c r="BJ18" s="27">
        <f>'FS Jimbaran'!AO27</f>
        <v>0</v>
      </c>
      <c r="BK18" s="27">
        <f>'FS Jimbaran'!AQ27</f>
        <v>0</v>
      </c>
      <c r="BL18" s="27">
        <f>'FS Jimbaran'!AR27</f>
        <v>0</v>
      </c>
      <c r="BM18" s="27">
        <v>0</v>
      </c>
      <c r="BN18" s="27">
        <v>0</v>
      </c>
      <c r="BO18" s="28">
        <f>'FS Jimbaran'!Q27</f>
        <v>0</v>
      </c>
      <c r="BP18" s="27">
        <f>'FS Jimbaran'!R27</f>
        <v>0</v>
      </c>
    </row>
    <row r="19" spans="1:68">
      <c r="A19" s="22" t="s">
        <v>67</v>
      </c>
      <c r="B19" s="30">
        <f t="shared" si="0"/>
        <v>18</v>
      </c>
      <c r="C19" s="31">
        <v>7</v>
      </c>
      <c r="D19" s="32">
        <v>2020</v>
      </c>
      <c r="E19" s="23">
        <f>'FS Jimbaran'!M28</f>
        <v>0</v>
      </c>
      <c r="F19" s="27">
        <f>'FS Jimbaran'!N28</f>
        <v>0</v>
      </c>
      <c r="G19" s="27">
        <v>0</v>
      </c>
      <c r="H19" s="27">
        <f>'FS Jimbaran'!H28</f>
        <v>0</v>
      </c>
      <c r="I19" s="27">
        <f>'FS Jimbaran'!I28</f>
        <v>0</v>
      </c>
      <c r="J19" s="27">
        <f>'FS Jimbaran'!J28</f>
        <v>0</v>
      </c>
      <c r="K19" s="27">
        <f>'FS Jimbaran'!K28</f>
        <v>0</v>
      </c>
      <c r="L19" s="27">
        <f>'FS Jimbaran'!L28</f>
        <v>0</v>
      </c>
      <c r="M19" s="27">
        <f>'FS Jimbaran'!S28</f>
        <v>0</v>
      </c>
      <c r="N19" s="27">
        <f>'FS Jimbaran'!T28</f>
        <v>0</v>
      </c>
      <c r="O19" s="27">
        <f>'FS Jimbaran'!U28</f>
        <v>0</v>
      </c>
      <c r="P19" s="27">
        <f>'FS Jimbaran'!V28</f>
        <v>0</v>
      </c>
      <c r="Q19" s="27">
        <f>'FS Jimbaran'!BE28</f>
        <v>0</v>
      </c>
      <c r="R19" s="27">
        <f>'FS Jimbaran'!BF28</f>
        <v>0</v>
      </c>
      <c r="S19" s="27">
        <f>'FS Jimbaran'!BH28</f>
        <v>0</v>
      </c>
      <c r="T19" s="27">
        <f>'FS Jimbaran'!BH28</f>
        <v>0</v>
      </c>
      <c r="U19" s="27">
        <f>'FS Jimbaran'!BI28</f>
        <v>0</v>
      </c>
      <c r="V19" s="27">
        <f>'FS Jimbaran'!BJ28</f>
        <v>0</v>
      </c>
      <c r="W19" s="27">
        <f>'FS Jimbaran'!Y28</f>
        <v>0</v>
      </c>
      <c r="X19" s="27">
        <f>'FS Jimbaran'!Z28</f>
        <v>0</v>
      </c>
      <c r="Y19" s="27">
        <f>'FS Jimbaran'!AA28</f>
        <v>0</v>
      </c>
      <c r="Z19" s="27">
        <f>'FS Jimbaran'!AB28</f>
        <v>0</v>
      </c>
      <c r="AA19" s="27">
        <f>'FS Jimbaran'!AC28</f>
        <v>0</v>
      </c>
      <c r="AB19" s="27">
        <f>'FS Jimbaran'!AD28</f>
        <v>0</v>
      </c>
      <c r="AC19" s="27">
        <f>'FS Jimbaran'!AE28</f>
        <v>0</v>
      </c>
      <c r="AD19" s="27">
        <f>'FS Jimbaran'!AF28</f>
        <v>0</v>
      </c>
      <c r="AE19" s="27">
        <f>'FS Jimbaran'!AG28</f>
        <v>0</v>
      </c>
      <c r="AF19" s="27">
        <f>'FS Jimbaran'!AH28</f>
        <v>0</v>
      </c>
      <c r="AG19" s="27">
        <f>'FS Jimbaran'!AM28</f>
        <v>0</v>
      </c>
      <c r="AH19" s="27">
        <f>'FS Jimbaran'!AR28</f>
        <v>0</v>
      </c>
      <c r="AI19" s="27">
        <f>'FS Jimbaran'!AQ28</f>
        <v>0</v>
      </c>
      <c r="AJ19" s="27">
        <f>'FS Jimbaran'!AR28</f>
        <v>0</v>
      </c>
      <c r="AK19" s="27">
        <f>'FS Jimbaran'!AY28</f>
        <v>0</v>
      </c>
      <c r="AL19" s="27">
        <f>'FS Jimbaran'!AZ28</f>
        <v>0</v>
      </c>
      <c r="AM19" s="27">
        <f>'FS Jimbaran'!BB28</f>
        <v>0</v>
      </c>
      <c r="AN19" s="27">
        <f>'FS Jimbaran'!BB28</f>
        <v>0</v>
      </c>
      <c r="AO19" s="27">
        <f>'FS Jimbaran'!BK28</f>
        <v>0</v>
      </c>
      <c r="AP19" s="27">
        <f>'FS Jimbaran'!BL28</f>
        <v>0</v>
      </c>
      <c r="AQ19" s="27">
        <f>'FS Jimbaran'!BC28</f>
        <v>0</v>
      </c>
      <c r="AR19" s="27">
        <f>'FS Jimbaran'!BD28</f>
        <v>0</v>
      </c>
      <c r="AS19" s="27">
        <f>'FS Jimbaran'!BM28</f>
        <v>0</v>
      </c>
      <c r="AT19" s="27">
        <f>'FS Jimbaran'!BN28</f>
        <v>0</v>
      </c>
      <c r="AU19" s="27">
        <f>'FS Jimbaran'!BO28</f>
        <v>0</v>
      </c>
      <c r="AV19" s="27">
        <f>'FS Jimbaran'!BP28</f>
        <v>0</v>
      </c>
      <c r="AW19" s="27">
        <f>'FS Jimbaran'!E28</f>
        <v>0</v>
      </c>
      <c r="AX19" s="27">
        <f>'FS Jimbaran'!F28</f>
        <v>0</v>
      </c>
      <c r="AY19" s="27">
        <f>'FS Jimbaran'!O28</f>
        <v>0</v>
      </c>
      <c r="AZ19" s="27">
        <f>'FS Jimbaran'!P28</f>
        <v>0</v>
      </c>
      <c r="BA19" s="27">
        <f>'FS Jimbaran'!W28</f>
        <v>0</v>
      </c>
      <c r="BB19" s="27">
        <f>'FS Jimbaran'!X28</f>
        <v>0</v>
      </c>
      <c r="BC19" s="27">
        <f>'FS Jimbaran'!AI28</f>
        <v>0</v>
      </c>
      <c r="BD19" s="27">
        <f>'FS Jimbaran'!AJ28</f>
        <v>0</v>
      </c>
      <c r="BE19" s="27">
        <f>'FS Jimbaran'!AK28</f>
        <v>0</v>
      </c>
      <c r="BF19" s="27">
        <f>'FS Jimbaran'!AL28</f>
        <v>0</v>
      </c>
      <c r="BG19" s="27">
        <f>'FS Jimbaran'!AM28</f>
        <v>0</v>
      </c>
      <c r="BH19" s="27">
        <f>'FS Jimbaran'!AN28</f>
        <v>0</v>
      </c>
      <c r="BI19" s="27">
        <f>'FS Jimbaran'!AO28</f>
        <v>0</v>
      </c>
      <c r="BJ19" s="27">
        <f>'FS Jimbaran'!AO28</f>
        <v>0</v>
      </c>
      <c r="BK19" s="27">
        <f>'FS Jimbaran'!AQ28</f>
        <v>0</v>
      </c>
      <c r="BL19" s="27">
        <f>'FS Jimbaran'!AR28</f>
        <v>0</v>
      </c>
      <c r="BM19" s="27">
        <v>0</v>
      </c>
      <c r="BN19" s="27">
        <v>0</v>
      </c>
      <c r="BO19" s="28">
        <f>'FS Jimbaran'!Q28</f>
        <v>0</v>
      </c>
      <c r="BP19" s="27">
        <f>'FS Jimbaran'!R28</f>
        <v>0</v>
      </c>
    </row>
    <row r="20" spans="1:68">
      <c r="A20" s="22" t="s">
        <v>67</v>
      </c>
      <c r="B20" s="30">
        <f t="shared" si="0"/>
        <v>19</v>
      </c>
      <c r="C20" s="31">
        <v>7</v>
      </c>
      <c r="D20" s="32">
        <v>2020</v>
      </c>
      <c r="E20" s="23">
        <f>'FS Jimbaran'!M29</f>
        <v>9.1999999999999993</v>
      </c>
      <c r="F20" s="27">
        <f>'FS Jimbaran'!N29</f>
        <v>0</v>
      </c>
      <c r="G20" s="27">
        <v>0</v>
      </c>
      <c r="H20" s="27">
        <f>'FS Jimbaran'!H29</f>
        <v>0</v>
      </c>
      <c r="I20" s="27">
        <f>'FS Jimbaran'!I29</f>
        <v>0</v>
      </c>
      <c r="J20" s="27">
        <f>'FS Jimbaran'!J29</f>
        <v>0</v>
      </c>
      <c r="K20" s="27">
        <f>'FS Jimbaran'!K29</f>
        <v>29.3</v>
      </c>
      <c r="L20" s="27">
        <f>'FS Jimbaran'!L29</f>
        <v>0</v>
      </c>
      <c r="M20" s="27">
        <f>'FS Jimbaran'!S29</f>
        <v>0</v>
      </c>
      <c r="N20" s="27">
        <f>'FS Jimbaran'!T29</f>
        <v>0</v>
      </c>
      <c r="O20" s="27">
        <f>'FS Jimbaran'!U29</f>
        <v>13</v>
      </c>
      <c r="P20" s="27">
        <f>'FS Jimbaran'!V29</f>
        <v>0</v>
      </c>
      <c r="Q20" s="27">
        <f>'FS Jimbaran'!BE29</f>
        <v>0</v>
      </c>
      <c r="R20" s="27">
        <f>'FS Jimbaran'!BF29</f>
        <v>0</v>
      </c>
      <c r="S20" s="27">
        <f>'FS Jimbaran'!BH29</f>
        <v>0</v>
      </c>
      <c r="T20" s="27">
        <f>'FS Jimbaran'!BH29</f>
        <v>0</v>
      </c>
      <c r="U20" s="27">
        <f>'FS Jimbaran'!BI29</f>
        <v>0</v>
      </c>
      <c r="V20" s="27">
        <f>'FS Jimbaran'!BJ29</f>
        <v>0</v>
      </c>
      <c r="W20" s="27">
        <f>'FS Jimbaran'!Y29</f>
        <v>0</v>
      </c>
      <c r="X20" s="27">
        <f>'FS Jimbaran'!Z29</f>
        <v>0</v>
      </c>
      <c r="Y20" s="27">
        <f>'FS Jimbaran'!AA29</f>
        <v>0</v>
      </c>
      <c r="Z20" s="27">
        <f>'FS Jimbaran'!AB29</f>
        <v>0</v>
      </c>
      <c r="AA20" s="27">
        <f>'FS Jimbaran'!AC29</f>
        <v>0</v>
      </c>
      <c r="AB20" s="27">
        <f>'FS Jimbaran'!AD29</f>
        <v>0</v>
      </c>
      <c r="AC20" s="27">
        <f>'FS Jimbaran'!AE29</f>
        <v>0</v>
      </c>
      <c r="AD20" s="27">
        <f>'FS Jimbaran'!AF29</f>
        <v>0</v>
      </c>
      <c r="AE20" s="27">
        <f>'FS Jimbaran'!AG29</f>
        <v>0</v>
      </c>
      <c r="AF20" s="27">
        <f>'FS Jimbaran'!AH29</f>
        <v>0</v>
      </c>
      <c r="AG20" s="27">
        <f>'FS Jimbaran'!AM29</f>
        <v>0</v>
      </c>
      <c r="AH20" s="27">
        <f>'FS Jimbaran'!AR29</f>
        <v>0</v>
      </c>
      <c r="AI20" s="27">
        <f>'FS Jimbaran'!AQ29</f>
        <v>0</v>
      </c>
      <c r="AJ20" s="27">
        <f>'FS Jimbaran'!AR29</f>
        <v>0</v>
      </c>
      <c r="AK20" s="27">
        <f>'FS Jimbaran'!AY29</f>
        <v>0</v>
      </c>
      <c r="AL20" s="27">
        <f>'FS Jimbaran'!AZ29</f>
        <v>0</v>
      </c>
      <c r="AM20" s="27">
        <f>'FS Jimbaran'!BB29</f>
        <v>0</v>
      </c>
      <c r="AN20" s="27">
        <f>'FS Jimbaran'!BB29</f>
        <v>0</v>
      </c>
      <c r="AO20" s="27">
        <f>'FS Jimbaran'!BK29</f>
        <v>0</v>
      </c>
      <c r="AP20" s="27">
        <f>'FS Jimbaran'!BL29</f>
        <v>0</v>
      </c>
      <c r="AQ20" s="27">
        <f>'FS Jimbaran'!BC29</f>
        <v>0</v>
      </c>
      <c r="AR20" s="27">
        <f>'FS Jimbaran'!BD29</f>
        <v>0</v>
      </c>
      <c r="AS20" s="27">
        <f>'FS Jimbaran'!BM29</f>
        <v>0</v>
      </c>
      <c r="AT20" s="27">
        <f>'FS Jimbaran'!BN29</f>
        <v>0</v>
      </c>
      <c r="AU20" s="27">
        <f>'FS Jimbaran'!BO29</f>
        <v>0</v>
      </c>
      <c r="AV20" s="27">
        <f>'FS Jimbaran'!BP29</f>
        <v>0</v>
      </c>
      <c r="AW20" s="27">
        <f>'FS Jimbaran'!E29</f>
        <v>29.2</v>
      </c>
      <c r="AX20" s="27">
        <f>'FS Jimbaran'!F29</f>
        <v>0</v>
      </c>
      <c r="AY20" s="27">
        <f>'FS Jimbaran'!O29</f>
        <v>0</v>
      </c>
      <c r="AZ20" s="27">
        <f>'FS Jimbaran'!P29</f>
        <v>0</v>
      </c>
      <c r="BA20" s="27">
        <f>'FS Jimbaran'!W29</f>
        <v>0</v>
      </c>
      <c r="BB20" s="27">
        <f>'FS Jimbaran'!X29</f>
        <v>0</v>
      </c>
      <c r="BC20" s="27">
        <f>'FS Jimbaran'!AI29</f>
        <v>392</v>
      </c>
      <c r="BD20" s="27">
        <f>'FS Jimbaran'!AJ29</f>
        <v>0</v>
      </c>
      <c r="BE20" s="27">
        <f>'FS Jimbaran'!AK29</f>
        <v>0</v>
      </c>
      <c r="BF20" s="27">
        <f>'FS Jimbaran'!AL29</f>
        <v>0</v>
      </c>
      <c r="BG20" s="27">
        <f>'FS Jimbaran'!AM29</f>
        <v>0</v>
      </c>
      <c r="BH20" s="27">
        <f>'FS Jimbaran'!AN29</f>
        <v>0</v>
      </c>
      <c r="BI20" s="27">
        <f>'FS Jimbaran'!AO29</f>
        <v>0</v>
      </c>
      <c r="BJ20" s="27">
        <f>'FS Jimbaran'!AO29</f>
        <v>0</v>
      </c>
      <c r="BK20" s="27">
        <f>'FS Jimbaran'!AQ29</f>
        <v>0</v>
      </c>
      <c r="BL20" s="27">
        <f>'FS Jimbaran'!AR29</f>
        <v>0</v>
      </c>
      <c r="BM20" s="27">
        <v>0</v>
      </c>
      <c r="BN20" s="27">
        <v>0</v>
      </c>
      <c r="BO20" s="28">
        <f>'FS Jimbaran'!Q29</f>
        <v>0</v>
      </c>
      <c r="BP20" s="27">
        <f>'FS Jimbaran'!R29</f>
        <v>0</v>
      </c>
    </row>
    <row r="21" spans="1:68">
      <c r="A21" s="22" t="s">
        <v>67</v>
      </c>
      <c r="B21" s="30">
        <f t="shared" si="0"/>
        <v>20</v>
      </c>
      <c r="C21" s="31">
        <v>7</v>
      </c>
      <c r="D21" s="32">
        <v>2020</v>
      </c>
      <c r="E21" s="23">
        <f>'FS Jimbaran'!M30</f>
        <v>0</v>
      </c>
      <c r="F21" s="27">
        <f>'FS Jimbaran'!N30</f>
        <v>0</v>
      </c>
      <c r="G21" s="27">
        <v>0</v>
      </c>
      <c r="H21" s="27">
        <f>'FS Jimbaran'!H30</f>
        <v>0</v>
      </c>
      <c r="I21" s="27">
        <f>'FS Jimbaran'!I30</f>
        <v>0</v>
      </c>
      <c r="J21" s="27">
        <f>'FS Jimbaran'!J30</f>
        <v>0</v>
      </c>
      <c r="K21" s="27">
        <f>'FS Jimbaran'!K30</f>
        <v>0</v>
      </c>
      <c r="L21" s="27">
        <f>'FS Jimbaran'!L30</f>
        <v>0</v>
      </c>
      <c r="M21" s="27">
        <f>'FS Jimbaran'!S30</f>
        <v>0</v>
      </c>
      <c r="N21" s="27">
        <f>'FS Jimbaran'!T30</f>
        <v>0</v>
      </c>
      <c r="O21" s="27">
        <f>'FS Jimbaran'!U30</f>
        <v>0</v>
      </c>
      <c r="P21" s="27">
        <f>'FS Jimbaran'!V30</f>
        <v>0</v>
      </c>
      <c r="Q21" s="27">
        <f>'FS Jimbaran'!BE30</f>
        <v>0</v>
      </c>
      <c r="R21" s="27">
        <f>'FS Jimbaran'!BF30</f>
        <v>0</v>
      </c>
      <c r="S21" s="27">
        <f>'FS Jimbaran'!BH30</f>
        <v>0</v>
      </c>
      <c r="T21" s="27">
        <f>'FS Jimbaran'!BH30</f>
        <v>0</v>
      </c>
      <c r="U21" s="27">
        <f>'FS Jimbaran'!BI30</f>
        <v>0</v>
      </c>
      <c r="V21" s="27">
        <f>'FS Jimbaran'!BJ30</f>
        <v>0</v>
      </c>
      <c r="W21" s="27">
        <f>'FS Jimbaran'!Y30</f>
        <v>0</v>
      </c>
      <c r="X21" s="27">
        <f>'FS Jimbaran'!Z30</f>
        <v>0</v>
      </c>
      <c r="Y21" s="27">
        <f>'FS Jimbaran'!AA30</f>
        <v>0</v>
      </c>
      <c r="Z21" s="27">
        <f>'FS Jimbaran'!AB30</f>
        <v>0</v>
      </c>
      <c r="AA21" s="27">
        <f>'FS Jimbaran'!AC30</f>
        <v>0</v>
      </c>
      <c r="AB21" s="27">
        <f>'FS Jimbaran'!AD30</f>
        <v>0</v>
      </c>
      <c r="AC21" s="27">
        <f>'FS Jimbaran'!AE30</f>
        <v>0</v>
      </c>
      <c r="AD21" s="27">
        <f>'FS Jimbaran'!AF30</f>
        <v>0</v>
      </c>
      <c r="AE21" s="27">
        <f>'FS Jimbaran'!AG30</f>
        <v>0</v>
      </c>
      <c r="AF21" s="27">
        <f>'FS Jimbaran'!AH30</f>
        <v>0</v>
      </c>
      <c r="AG21" s="27">
        <f>'FS Jimbaran'!AM30</f>
        <v>0</v>
      </c>
      <c r="AH21" s="27">
        <f>'FS Jimbaran'!AR30</f>
        <v>0</v>
      </c>
      <c r="AI21" s="27">
        <f>'FS Jimbaran'!AQ30</f>
        <v>0</v>
      </c>
      <c r="AJ21" s="27">
        <f>'FS Jimbaran'!AR30</f>
        <v>0</v>
      </c>
      <c r="AK21" s="27">
        <f>'FS Jimbaran'!AY30</f>
        <v>0</v>
      </c>
      <c r="AL21" s="27">
        <f>'FS Jimbaran'!AZ30</f>
        <v>0</v>
      </c>
      <c r="AM21" s="27">
        <f>'FS Jimbaran'!BB30</f>
        <v>0</v>
      </c>
      <c r="AN21" s="27">
        <f>'FS Jimbaran'!BB30</f>
        <v>0</v>
      </c>
      <c r="AO21" s="27">
        <f>'FS Jimbaran'!BK30</f>
        <v>0</v>
      </c>
      <c r="AP21" s="27">
        <f>'FS Jimbaran'!BL30</f>
        <v>0</v>
      </c>
      <c r="AQ21" s="27">
        <f>'FS Jimbaran'!BC30</f>
        <v>0</v>
      </c>
      <c r="AR21" s="27">
        <f>'FS Jimbaran'!BD30</f>
        <v>0</v>
      </c>
      <c r="AS21" s="27">
        <f>'FS Jimbaran'!BM30</f>
        <v>0</v>
      </c>
      <c r="AT21" s="27">
        <f>'FS Jimbaran'!BN30</f>
        <v>0</v>
      </c>
      <c r="AU21" s="27">
        <f>'FS Jimbaran'!BO30</f>
        <v>0</v>
      </c>
      <c r="AV21" s="27">
        <f>'FS Jimbaran'!BP30</f>
        <v>0</v>
      </c>
      <c r="AW21" s="27">
        <f>'FS Jimbaran'!E30</f>
        <v>0</v>
      </c>
      <c r="AX21" s="27">
        <f>'FS Jimbaran'!F30</f>
        <v>0</v>
      </c>
      <c r="AY21" s="27">
        <f>'FS Jimbaran'!O30</f>
        <v>0</v>
      </c>
      <c r="AZ21" s="27">
        <f>'FS Jimbaran'!P30</f>
        <v>0</v>
      </c>
      <c r="BA21" s="27">
        <f>'FS Jimbaran'!W30</f>
        <v>0</v>
      </c>
      <c r="BB21" s="27">
        <f>'FS Jimbaran'!X30</f>
        <v>0</v>
      </c>
      <c r="BC21" s="27">
        <f>'FS Jimbaran'!AI30</f>
        <v>0</v>
      </c>
      <c r="BD21" s="27">
        <f>'FS Jimbaran'!AJ30</f>
        <v>0</v>
      </c>
      <c r="BE21" s="27">
        <f>'FS Jimbaran'!AK30</f>
        <v>0</v>
      </c>
      <c r="BF21" s="27">
        <f>'FS Jimbaran'!AL30</f>
        <v>0</v>
      </c>
      <c r="BG21" s="27">
        <f>'FS Jimbaran'!AM30</f>
        <v>0</v>
      </c>
      <c r="BH21" s="27">
        <f>'FS Jimbaran'!AN30</f>
        <v>0</v>
      </c>
      <c r="BI21" s="27">
        <f>'FS Jimbaran'!AO30</f>
        <v>0</v>
      </c>
      <c r="BJ21" s="27">
        <f>'FS Jimbaran'!AO30</f>
        <v>0</v>
      </c>
      <c r="BK21" s="27">
        <f>'FS Jimbaran'!AQ30</f>
        <v>0</v>
      </c>
      <c r="BL21" s="27">
        <f>'FS Jimbaran'!AR30</f>
        <v>0</v>
      </c>
      <c r="BM21" s="27">
        <v>0</v>
      </c>
      <c r="BN21" s="27">
        <v>0</v>
      </c>
      <c r="BO21" s="28">
        <f>'FS Jimbaran'!Q30</f>
        <v>0</v>
      </c>
      <c r="BP21" s="27">
        <f>'FS Jimbaran'!R30</f>
        <v>0</v>
      </c>
    </row>
    <row r="22" spans="1:68">
      <c r="A22" s="22" t="s">
        <v>67</v>
      </c>
      <c r="B22" s="30">
        <f t="shared" si="0"/>
        <v>21</v>
      </c>
      <c r="C22" s="31">
        <v>7</v>
      </c>
      <c r="D22" s="32">
        <v>2020</v>
      </c>
      <c r="E22" s="23">
        <f>'FS Jimbaran'!M31</f>
        <v>5.5</v>
      </c>
      <c r="F22" s="27">
        <f>'FS Jimbaran'!N31</f>
        <v>0</v>
      </c>
      <c r="G22" s="27">
        <v>0</v>
      </c>
      <c r="H22" s="27">
        <f>'FS Jimbaran'!H31</f>
        <v>0</v>
      </c>
      <c r="I22" s="27">
        <f>'FS Jimbaran'!I31</f>
        <v>0</v>
      </c>
      <c r="J22" s="27">
        <f>'FS Jimbaran'!J31</f>
        <v>0</v>
      </c>
      <c r="K22" s="27">
        <f>'FS Jimbaran'!K31</f>
        <v>17.7</v>
      </c>
      <c r="L22" s="27">
        <f>'FS Jimbaran'!L31</f>
        <v>0</v>
      </c>
      <c r="M22" s="27">
        <f>'FS Jimbaran'!S31</f>
        <v>0</v>
      </c>
      <c r="N22" s="27">
        <f>'FS Jimbaran'!T31</f>
        <v>0</v>
      </c>
      <c r="O22" s="27">
        <f>'FS Jimbaran'!U31</f>
        <v>8.5</v>
      </c>
      <c r="P22" s="27">
        <f>'FS Jimbaran'!V31</f>
        <v>0</v>
      </c>
      <c r="Q22" s="27">
        <f>'FS Jimbaran'!BE31</f>
        <v>0</v>
      </c>
      <c r="R22" s="27">
        <f>'FS Jimbaran'!BF31</f>
        <v>0</v>
      </c>
      <c r="S22" s="27">
        <f>'FS Jimbaran'!BH31</f>
        <v>0</v>
      </c>
      <c r="T22" s="27">
        <f>'FS Jimbaran'!BH31</f>
        <v>0</v>
      </c>
      <c r="U22" s="27">
        <f>'FS Jimbaran'!BI31</f>
        <v>0</v>
      </c>
      <c r="V22" s="27">
        <f>'FS Jimbaran'!BJ31</f>
        <v>0</v>
      </c>
      <c r="W22" s="27">
        <f>'FS Jimbaran'!Y31</f>
        <v>0</v>
      </c>
      <c r="X22" s="27">
        <f>'FS Jimbaran'!Z31</f>
        <v>0</v>
      </c>
      <c r="Y22" s="27">
        <f>'FS Jimbaran'!AA31</f>
        <v>0</v>
      </c>
      <c r="Z22" s="27">
        <f>'FS Jimbaran'!AB31</f>
        <v>0</v>
      </c>
      <c r="AA22" s="27">
        <f>'FS Jimbaran'!AC31</f>
        <v>0</v>
      </c>
      <c r="AB22" s="27">
        <f>'FS Jimbaran'!AD31</f>
        <v>0</v>
      </c>
      <c r="AC22" s="27">
        <f>'FS Jimbaran'!AE31</f>
        <v>0</v>
      </c>
      <c r="AD22" s="27">
        <f>'FS Jimbaran'!AF31</f>
        <v>0</v>
      </c>
      <c r="AE22" s="27">
        <f>'FS Jimbaran'!AG31</f>
        <v>0</v>
      </c>
      <c r="AF22" s="27">
        <f>'FS Jimbaran'!AH31</f>
        <v>0</v>
      </c>
      <c r="AG22" s="27">
        <f>'FS Jimbaran'!AM31</f>
        <v>0</v>
      </c>
      <c r="AH22" s="27">
        <f>'FS Jimbaran'!AR31</f>
        <v>0</v>
      </c>
      <c r="AI22" s="27">
        <f>'FS Jimbaran'!AQ31</f>
        <v>0</v>
      </c>
      <c r="AJ22" s="27">
        <f>'FS Jimbaran'!AR31</f>
        <v>0</v>
      </c>
      <c r="AK22" s="27">
        <f>'FS Jimbaran'!AY31</f>
        <v>0</v>
      </c>
      <c r="AL22" s="27">
        <f>'FS Jimbaran'!AZ31</f>
        <v>0</v>
      </c>
      <c r="AM22" s="27">
        <f>'FS Jimbaran'!BB31</f>
        <v>0</v>
      </c>
      <c r="AN22" s="27">
        <f>'FS Jimbaran'!BB31</f>
        <v>0</v>
      </c>
      <c r="AO22" s="27">
        <f>'FS Jimbaran'!BK31</f>
        <v>0</v>
      </c>
      <c r="AP22" s="27">
        <f>'FS Jimbaran'!BL31</f>
        <v>0</v>
      </c>
      <c r="AQ22" s="27">
        <f>'FS Jimbaran'!BC31</f>
        <v>0</v>
      </c>
      <c r="AR22" s="27">
        <f>'FS Jimbaran'!BD31</f>
        <v>0</v>
      </c>
      <c r="AS22" s="27">
        <f>'FS Jimbaran'!BM31</f>
        <v>0</v>
      </c>
      <c r="AT22" s="27">
        <f>'FS Jimbaran'!BN31</f>
        <v>0</v>
      </c>
      <c r="AU22" s="27">
        <f>'FS Jimbaran'!BO31</f>
        <v>0</v>
      </c>
      <c r="AV22" s="27">
        <f>'FS Jimbaran'!BP31</f>
        <v>0</v>
      </c>
      <c r="AW22" s="27">
        <f>'FS Jimbaran'!E31</f>
        <v>22.700000000000003</v>
      </c>
      <c r="AX22" s="27">
        <f>'FS Jimbaran'!F31</f>
        <v>0</v>
      </c>
      <c r="AY22" s="27">
        <f>'FS Jimbaran'!O31</f>
        <v>0</v>
      </c>
      <c r="AZ22" s="27">
        <f>'FS Jimbaran'!P31</f>
        <v>0</v>
      </c>
      <c r="BA22" s="27">
        <f>'FS Jimbaran'!W31</f>
        <v>0</v>
      </c>
      <c r="BB22" s="27">
        <f>'FS Jimbaran'!X31</f>
        <v>0</v>
      </c>
      <c r="BC22" s="27">
        <f>'FS Jimbaran'!AI31</f>
        <v>424</v>
      </c>
      <c r="BD22" s="27">
        <f>'FS Jimbaran'!AJ31</f>
        <v>0</v>
      </c>
      <c r="BE22" s="27">
        <f>'FS Jimbaran'!AK31</f>
        <v>0</v>
      </c>
      <c r="BF22" s="27">
        <f>'FS Jimbaran'!AL31</f>
        <v>0</v>
      </c>
      <c r="BG22" s="27">
        <f>'FS Jimbaran'!AM31</f>
        <v>0</v>
      </c>
      <c r="BH22" s="27">
        <f>'FS Jimbaran'!AN31</f>
        <v>0</v>
      </c>
      <c r="BI22" s="27">
        <f>'FS Jimbaran'!AO31</f>
        <v>0</v>
      </c>
      <c r="BJ22" s="27">
        <f>'FS Jimbaran'!AO31</f>
        <v>0</v>
      </c>
      <c r="BK22" s="27">
        <f>'FS Jimbaran'!AQ31</f>
        <v>0</v>
      </c>
      <c r="BL22" s="27">
        <f>'FS Jimbaran'!AR31</f>
        <v>0</v>
      </c>
      <c r="BM22" s="27">
        <v>0</v>
      </c>
      <c r="BN22" s="27">
        <v>0</v>
      </c>
      <c r="BO22" s="28">
        <f>'FS Jimbaran'!Q31</f>
        <v>0</v>
      </c>
      <c r="BP22" s="27">
        <f>'FS Jimbaran'!R31</f>
        <v>0</v>
      </c>
    </row>
    <row r="23" spans="1:68">
      <c r="A23" s="22" t="s">
        <v>67</v>
      </c>
      <c r="B23" s="30">
        <f t="shared" si="0"/>
        <v>22</v>
      </c>
      <c r="C23" s="31">
        <v>7</v>
      </c>
      <c r="D23" s="32">
        <v>2020</v>
      </c>
      <c r="E23" s="23">
        <f>'FS Jimbaran'!M32</f>
        <v>0</v>
      </c>
      <c r="F23" s="27">
        <f>'FS Jimbaran'!N32</f>
        <v>0</v>
      </c>
      <c r="G23" s="27">
        <v>0</v>
      </c>
      <c r="H23" s="27">
        <f>'FS Jimbaran'!H32</f>
        <v>0</v>
      </c>
      <c r="I23" s="27">
        <f>'FS Jimbaran'!I32</f>
        <v>0</v>
      </c>
      <c r="J23" s="27">
        <f>'FS Jimbaran'!J32</f>
        <v>0</v>
      </c>
      <c r="K23" s="27">
        <f>'FS Jimbaran'!K32</f>
        <v>0</v>
      </c>
      <c r="L23" s="27">
        <f>'FS Jimbaran'!L32</f>
        <v>0</v>
      </c>
      <c r="M23" s="27">
        <f>'FS Jimbaran'!S32</f>
        <v>0</v>
      </c>
      <c r="N23" s="27">
        <f>'FS Jimbaran'!T32</f>
        <v>0</v>
      </c>
      <c r="O23" s="27">
        <f>'FS Jimbaran'!U32</f>
        <v>0</v>
      </c>
      <c r="P23" s="27">
        <f>'FS Jimbaran'!V32</f>
        <v>0</v>
      </c>
      <c r="Q23" s="27">
        <f>'FS Jimbaran'!BE32</f>
        <v>0</v>
      </c>
      <c r="R23" s="27">
        <f>'FS Jimbaran'!BF32</f>
        <v>0</v>
      </c>
      <c r="S23" s="27">
        <f>'FS Jimbaran'!BH32</f>
        <v>0</v>
      </c>
      <c r="T23" s="27">
        <f>'FS Jimbaran'!BH32</f>
        <v>0</v>
      </c>
      <c r="U23" s="27">
        <f>'FS Jimbaran'!BI32</f>
        <v>0</v>
      </c>
      <c r="V23" s="27">
        <f>'FS Jimbaran'!BJ32</f>
        <v>0</v>
      </c>
      <c r="W23" s="27">
        <f>'FS Jimbaran'!Y32</f>
        <v>0</v>
      </c>
      <c r="X23" s="27">
        <f>'FS Jimbaran'!Z32</f>
        <v>0</v>
      </c>
      <c r="Y23" s="27">
        <f>'FS Jimbaran'!AA32</f>
        <v>0</v>
      </c>
      <c r="Z23" s="27">
        <f>'FS Jimbaran'!AB32</f>
        <v>0</v>
      </c>
      <c r="AA23" s="27">
        <f>'FS Jimbaran'!AC32</f>
        <v>0</v>
      </c>
      <c r="AB23" s="27">
        <f>'FS Jimbaran'!AD32</f>
        <v>0</v>
      </c>
      <c r="AC23" s="27">
        <f>'FS Jimbaran'!AE32</f>
        <v>0</v>
      </c>
      <c r="AD23" s="27">
        <f>'FS Jimbaran'!AF32</f>
        <v>0</v>
      </c>
      <c r="AE23" s="27">
        <f>'FS Jimbaran'!AG32</f>
        <v>0</v>
      </c>
      <c r="AF23" s="27">
        <f>'FS Jimbaran'!AH32</f>
        <v>0</v>
      </c>
      <c r="AG23" s="27">
        <f>'FS Jimbaran'!AM32</f>
        <v>0</v>
      </c>
      <c r="AH23" s="27">
        <f>'FS Jimbaran'!AR32</f>
        <v>0</v>
      </c>
      <c r="AI23" s="27">
        <f>'FS Jimbaran'!AQ32</f>
        <v>0</v>
      </c>
      <c r="AJ23" s="27">
        <f>'FS Jimbaran'!AR32</f>
        <v>0</v>
      </c>
      <c r="AK23" s="27">
        <f>'FS Jimbaran'!AY32</f>
        <v>0</v>
      </c>
      <c r="AL23" s="27">
        <f>'FS Jimbaran'!AZ32</f>
        <v>0</v>
      </c>
      <c r="AM23" s="27">
        <f>'FS Jimbaran'!BB32</f>
        <v>0</v>
      </c>
      <c r="AN23" s="27">
        <f>'FS Jimbaran'!BB32</f>
        <v>0</v>
      </c>
      <c r="AO23" s="27">
        <f>'FS Jimbaran'!BK32</f>
        <v>0</v>
      </c>
      <c r="AP23" s="27">
        <f>'FS Jimbaran'!BL32</f>
        <v>0</v>
      </c>
      <c r="AQ23" s="27">
        <f>'FS Jimbaran'!BC32</f>
        <v>0</v>
      </c>
      <c r="AR23" s="27">
        <f>'FS Jimbaran'!BD32</f>
        <v>0</v>
      </c>
      <c r="AS23" s="27">
        <f>'FS Jimbaran'!BM32</f>
        <v>0</v>
      </c>
      <c r="AT23" s="27">
        <f>'FS Jimbaran'!BN32</f>
        <v>0</v>
      </c>
      <c r="AU23" s="27">
        <f>'FS Jimbaran'!BO32</f>
        <v>0</v>
      </c>
      <c r="AV23" s="27">
        <f>'FS Jimbaran'!BP32</f>
        <v>0</v>
      </c>
      <c r="AW23" s="27">
        <f>'FS Jimbaran'!E32</f>
        <v>0</v>
      </c>
      <c r="AX23" s="27">
        <f>'FS Jimbaran'!F32</f>
        <v>0</v>
      </c>
      <c r="AY23" s="27">
        <f>'FS Jimbaran'!O32</f>
        <v>0</v>
      </c>
      <c r="AZ23" s="27">
        <f>'FS Jimbaran'!P32</f>
        <v>0</v>
      </c>
      <c r="BA23" s="27">
        <f>'FS Jimbaran'!W32</f>
        <v>0</v>
      </c>
      <c r="BB23" s="27">
        <f>'FS Jimbaran'!X32</f>
        <v>0</v>
      </c>
      <c r="BC23" s="27">
        <f>'FS Jimbaran'!AI32</f>
        <v>0</v>
      </c>
      <c r="BD23" s="27">
        <f>'FS Jimbaran'!AJ32</f>
        <v>0</v>
      </c>
      <c r="BE23" s="27">
        <f>'FS Jimbaran'!AK32</f>
        <v>0</v>
      </c>
      <c r="BF23" s="27">
        <f>'FS Jimbaran'!AL32</f>
        <v>0</v>
      </c>
      <c r="BG23" s="27">
        <f>'FS Jimbaran'!AM32</f>
        <v>0</v>
      </c>
      <c r="BH23" s="27">
        <f>'FS Jimbaran'!AN32</f>
        <v>0</v>
      </c>
      <c r="BI23" s="27">
        <f>'FS Jimbaran'!AO32</f>
        <v>0</v>
      </c>
      <c r="BJ23" s="27">
        <f>'FS Jimbaran'!AO32</f>
        <v>0</v>
      </c>
      <c r="BK23" s="27">
        <f>'FS Jimbaran'!AQ32</f>
        <v>0</v>
      </c>
      <c r="BL23" s="27">
        <f>'FS Jimbaran'!AR32</f>
        <v>0</v>
      </c>
      <c r="BM23" s="27">
        <v>0</v>
      </c>
      <c r="BN23" s="27">
        <v>0</v>
      </c>
      <c r="BO23" s="28">
        <f>'FS Jimbaran'!Q32</f>
        <v>0</v>
      </c>
      <c r="BP23" s="27">
        <f>'FS Jimbaran'!R32</f>
        <v>0</v>
      </c>
    </row>
    <row r="24" spans="1:68">
      <c r="A24" s="22" t="s">
        <v>67</v>
      </c>
      <c r="B24" s="30">
        <f t="shared" si="0"/>
        <v>23</v>
      </c>
      <c r="C24" s="31">
        <v>7</v>
      </c>
      <c r="D24" s="32">
        <v>2020</v>
      </c>
      <c r="E24" s="23">
        <f>'FS Jimbaran'!M33</f>
        <v>8.6</v>
      </c>
      <c r="F24" s="27">
        <f>'FS Jimbaran'!N33</f>
        <v>0</v>
      </c>
      <c r="G24" s="27">
        <v>0</v>
      </c>
      <c r="H24" s="27">
        <f>'FS Jimbaran'!H33</f>
        <v>0</v>
      </c>
      <c r="I24" s="27">
        <f>'FS Jimbaran'!I33</f>
        <v>0</v>
      </c>
      <c r="J24" s="27">
        <f>'FS Jimbaran'!J33</f>
        <v>0</v>
      </c>
      <c r="K24" s="27">
        <f>'FS Jimbaran'!K33</f>
        <v>23.8</v>
      </c>
      <c r="L24" s="27">
        <f>'FS Jimbaran'!L33</f>
        <v>0</v>
      </c>
      <c r="M24" s="27">
        <f>'FS Jimbaran'!S33</f>
        <v>0</v>
      </c>
      <c r="N24" s="27">
        <f>'FS Jimbaran'!T33</f>
        <v>0</v>
      </c>
      <c r="O24" s="27">
        <f>'FS Jimbaran'!U33</f>
        <v>17.5</v>
      </c>
      <c r="P24" s="27">
        <f>'FS Jimbaran'!V33</f>
        <v>0</v>
      </c>
      <c r="Q24" s="27">
        <f>'FS Jimbaran'!BE33</f>
        <v>0</v>
      </c>
      <c r="R24" s="27">
        <f>'FS Jimbaran'!BF33</f>
        <v>0</v>
      </c>
      <c r="S24" s="27">
        <f>'FS Jimbaran'!BH33</f>
        <v>0</v>
      </c>
      <c r="T24" s="27">
        <f>'FS Jimbaran'!BH33</f>
        <v>0</v>
      </c>
      <c r="U24" s="27">
        <f>'FS Jimbaran'!BI33</f>
        <v>0</v>
      </c>
      <c r="V24" s="27">
        <f>'FS Jimbaran'!BJ33</f>
        <v>0</v>
      </c>
      <c r="W24" s="27">
        <f>'FS Jimbaran'!Y33</f>
        <v>0</v>
      </c>
      <c r="X24" s="27">
        <f>'FS Jimbaran'!Z33</f>
        <v>0</v>
      </c>
      <c r="Y24" s="27">
        <f>'FS Jimbaran'!AA33</f>
        <v>0</v>
      </c>
      <c r="Z24" s="27">
        <f>'FS Jimbaran'!AB33</f>
        <v>0</v>
      </c>
      <c r="AA24" s="27">
        <f>'FS Jimbaran'!AC33</f>
        <v>0</v>
      </c>
      <c r="AB24" s="27">
        <f>'FS Jimbaran'!AD33</f>
        <v>0</v>
      </c>
      <c r="AC24" s="27">
        <f>'FS Jimbaran'!AE33</f>
        <v>0</v>
      </c>
      <c r="AD24" s="27">
        <f>'FS Jimbaran'!AF33</f>
        <v>0</v>
      </c>
      <c r="AE24" s="27">
        <f>'FS Jimbaran'!AG33</f>
        <v>0</v>
      </c>
      <c r="AF24" s="27">
        <f>'FS Jimbaran'!AH33</f>
        <v>0</v>
      </c>
      <c r="AG24" s="27">
        <f>'FS Jimbaran'!AM33</f>
        <v>0</v>
      </c>
      <c r="AH24" s="27">
        <f>'FS Jimbaran'!AR33</f>
        <v>0</v>
      </c>
      <c r="AI24" s="27">
        <f>'FS Jimbaran'!AQ33</f>
        <v>0</v>
      </c>
      <c r="AJ24" s="27">
        <f>'FS Jimbaran'!AR33</f>
        <v>0</v>
      </c>
      <c r="AK24" s="27">
        <f>'FS Jimbaran'!AY33</f>
        <v>0</v>
      </c>
      <c r="AL24" s="27">
        <f>'FS Jimbaran'!AZ33</f>
        <v>0</v>
      </c>
      <c r="AM24" s="27">
        <f>'FS Jimbaran'!BB33</f>
        <v>0</v>
      </c>
      <c r="AN24" s="27">
        <f>'FS Jimbaran'!BB33</f>
        <v>0</v>
      </c>
      <c r="AO24" s="27">
        <f>'FS Jimbaran'!BK33</f>
        <v>0</v>
      </c>
      <c r="AP24" s="27">
        <f>'FS Jimbaran'!BL33</f>
        <v>0</v>
      </c>
      <c r="AQ24" s="27">
        <f>'FS Jimbaran'!BC33</f>
        <v>0</v>
      </c>
      <c r="AR24" s="27">
        <f>'FS Jimbaran'!BD33</f>
        <v>0</v>
      </c>
      <c r="AS24" s="27">
        <f>'FS Jimbaran'!BM33</f>
        <v>0</v>
      </c>
      <c r="AT24" s="27">
        <f>'FS Jimbaran'!BN33</f>
        <v>0</v>
      </c>
      <c r="AU24" s="27">
        <f>'FS Jimbaran'!BO33</f>
        <v>0</v>
      </c>
      <c r="AV24" s="27">
        <f>'FS Jimbaran'!BP33</f>
        <v>0</v>
      </c>
      <c r="AW24" s="27">
        <f>'FS Jimbaran'!E33</f>
        <v>28.4</v>
      </c>
      <c r="AX24" s="27">
        <f>'FS Jimbaran'!F33</f>
        <v>0</v>
      </c>
      <c r="AY24" s="27">
        <f>'FS Jimbaran'!O33</f>
        <v>0</v>
      </c>
      <c r="AZ24" s="27">
        <f>'FS Jimbaran'!P33</f>
        <v>0</v>
      </c>
      <c r="BA24" s="27">
        <f>'FS Jimbaran'!W33</f>
        <v>0</v>
      </c>
      <c r="BB24" s="27">
        <f>'FS Jimbaran'!X33</f>
        <v>0</v>
      </c>
      <c r="BC24" s="27">
        <f>'FS Jimbaran'!AI33</f>
        <v>528.00000000000011</v>
      </c>
      <c r="BD24" s="27">
        <f>'FS Jimbaran'!AJ33</f>
        <v>0</v>
      </c>
      <c r="BE24" s="27">
        <f>'FS Jimbaran'!AK33</f>
        <v>0</v>
      </c>
      <c r="BF24" s="27">
        <f>'FS Jimbaran'!AL33</f>
        <v>0</v>
      </c>
      <c r="BG24" s="27">
        <f>'FS Jimbaran'!AM33</f>
        <v>0</v>
      </c>
      <c r="BH24" s="27">
        <f>'FS Jimbaran'!AN33</f>
        <v>0</v>
      </c>
      <c r="BI24" s="27">
        <f>'FS Jimbaran'!AO33</f>
        <v>0</v>
      </c>
      <c r="BJ24" s="27">
        <f>'FS Jimbaran'!AO33</f>
        <v>0</v>
      </c>
      <c r="BK24" s="27">
        <f>'FS Jimbaran'!AQ33</f>
        <v>0</v>
      </c>
      <c r="BL24" s="27">
        <f>'FS Jimbaran'!AR33</f>
        <v>0</v>
      </c>
      <c r="BM24" s="27">
        <v>0</v>
      </c>
      <c r="BN24" s="27">
        <v>0</v>
      </c>
      <c r="BO24" s="28">
        <f>'FS Jimbaran'!Q33</f>
        <v>0</v>
      </c>
      <c r="BP24" s="27">
        <f>'FS Jimbaran'!R33</f>
        <v>0</v>
      </c>
    </row>
    <row r="25" spans="1:68">
      <c r="A25" s="22" t="s">
        <v>67</v>
      </c>
      <c r="B25" s="30">
        <f t="shared" si="0"/>
        <v>24</v>
      </c>
      <c r="C25" s="31">
        <v>7</v>
      </c>
      <c r="D25" s="32">
        <v>2020</v>
      </c>
      <c r="E25" s="23">
        <f>'FS Jimbaran'!M34</f>
        <v>0</v>
      </c>
      <c r="F25" s="27">
        <f>'FS Jimbaran'!N34</f>
        <v>0</v>
      </c>
      <c r="G25" s="27">
        <v>0</v>
      </c>
      <c r="H25" s="27">
        <f>'FS Jimbaran'!H34</f>
        <v>0</v>
      </c>
      <c r="I25" s="27">
        <f>'FS Jimbaran'!I34</f>
        <v>0</v>
      </c>
      <c r="J25" s="27">
        <f>'FS Jimbaran'!J34</f>
        <v>0</v>
      </c>
      <c r="K25" s="27">
        <f>'FS Jimbaran'!K34</f>
        <v>0</v>
      </c>
      <c r="L25" s="27">
        <f>'FS Jimbaran'!L34</f>
        <v>0</v>
      </c>
      <c r="M25" s="27">
        <f>'FS Jimbaran'!S34</f>
        <v>0</v>
      </c>
      <c r="N25" s="27">
        <f>'FS Jimbaran'!T34</f>
        <v>0</v>
      </c>
      <c r="O25" s="27">
        <f>'FS Jimbaran'!U34</f>
        <v>0</v>
      </c>
      <c r="P25" s="27">
        <f>'FS Jimbaran'!V34</f>
        <v>0</v>
      </c>
      <c r="Q25" s="27">
        <f>'FS Jimbaran'!BE34</f>
        <v>0</v>
      </c>
      <c r="R25" s="27">
        <f>'FS Jimbaran'!BF34</f>
        <v>0</v>
      </c>
      <c r="S25" s="27">
        <f>'FS Jimbaran'!BH34</f>
        <v>0</v>
      </c>
      <c r="T25" s="27">
        <f>'FS Jimbaran'!BH34</f>
        <v>0</v>
      </c>
      <c r="U25" s="27">
        <f>'FS Jimbaran'!BI34</f>
        <v>0</v>
      </c>
      <c r="V25" s="27">
        <f>'FS Jimbaran'!BJ34</f>
        <v>0</v>
      </c>
      <c r="W25" s="27">
        <f>'FS Jimbaran'!Y34</f>
        <v>0</v>
      </c>
      <c r="X25" s="27">
        <f>'FS Jimbaran'!Z34</f>
        <v>0</v>
      </c>
      <c r="Y25" s="27">
        <f>'FS Jimbaran'!AA34</f>
        <v>0</v>
      </c>
      <c r="Z25" s="27">
        <f>'FS Jimbaran'!AB34</f>
        <v>0</v>
      </c>
      <c r="AA25" s="27">
        <f>'FS Jimbaran'!AC34</f>
        <v>0</v>
      </c>
      <c r="AB25" s="27">
        <f>'FS Jimbaran'!AD34</f>
        <v>0</v>
      </c>
      <c r="AC25" s="27">
        <f>'FS Jimbaran'!AE34</f>
        <v>0</v>
      </c>
      <c r="AD25" s="27">
        <f>'FS Jimbaran'!AF34</f>
        <v>0</v>
      </c>
      <c r="AE25" s="27">
        <f>'FS Jimbaran'!AG34</f>
        <v>0</v>
      </c>
      <c r="AF25" s="27">
        <f>'FS Jimbaran'!AH34</f>
        <v>0</v>
      </c>
      <c r="AG25" s="27">
        <f>'FS Jimbaran'!AM34</f>
        <v>0</v>
      </c>
      <c r="AH25" s="27">
        <f>'FS Jimbaran'!AR34</f>
        <v>0</v>
      </c>
      <c r="AI25" s="27">
        <f>'FS Jimbaran'!AQ34</f>
        <v>0</v>
      </c>
      <c r="AJ25" s="27">
        <f>'FS Jimbaran'!AR34</f>
        <v>0</v>
      </c>
      <c r="AK25" s="27">
        <f>'FS Jimbaran'!AY34</f>
        <v>0</v>
      </c>
      <c r="AL25" s="27">
        <f>'FS Jimbaran'!AZ34</f>
        <v>0</v>
      </c>
      <c r="AM25" s="27">
        <f>'FS Jimbaran'!BB34</f>
        <v>0</v>
      </c>
      <c r="AN25" s="27">
        <f>'FS Jimbaran'!BB34</f>
        <v>0</v>
      </c>
      <c r="AO25" s="27">
        <f>'FS Jimbaran'!BK34</f>
        <v>0</v>
      </c>
      <c r="AP25" s="27">
        <f>'FS Jimbaran'!BL34</f>
        <v>0</v>
      </c>
      <c r="AQ25" s="27">
        <f>'FS Jimbaran'!BC34</f>
        <v>0</v>
      </c>
      <c r="AR25" s="27">
        <f>'FS Jimbaran'!BD34</f>
        <v>0</v>
      </c>
      <c r="AS25" s="27">
        <f>'FS Jimbaran'!BM34</f>
        <v>0</v>
      </c>
      <c r="AT25" s="27">
        <f>'FS Jimbaran'!BN34</f>
        <v>0</v>
      </c>
      <c r="AU25" s="27">
        <f>'FS Jimbaran'!BO34</f>
        <v>0</v>
      </c>
      <c r="AV25" s="27">
        <f>'FS Jimbaran'!BP34</f>
        <v>0</v>
      </c>
      <c r="AW25" s="27">
        <f>'FS Jimbaran'!E34</f>
        <v>0</v>
      </c>
      <c r="AX25" s="27">
        <f>'FS Jimbaran'!F34</f>
        <v>0</v>
      </c>
      <c r="AY25" s="27">
        <f>'FS Jimbaran'!O34</f>
        <v>0</v>
      </c>
      <c r="AZ25" s="27">
        <f>'FS Jimbaran'!P34</f>
        <v>0</v>
      </c>
      <c r="BA25" s="27">
        <f>'FS Jimbaran'!W34</f>
        <v>0</v>
      </c>
      <c r="BB25" s="27">
        <f>'FS Jimbaran'!X34</f>
        <v>0</v>
      </c>
      <c r="BC25" s="27">
        <f>'FS Jimbaran'!AI34</f>
        <v>0</v>
      </c>
      <c r="BD25" s="27">
        <f>'FS Jimbaran'!AJ34</f>
        <v>0</v>
      </c>
      <c r="BE25" s="27">
        <f>'FS Jimbaran'!AK34</f>
        <v>0</v>
      </c>
      <c r="BF25" s="27">
        <f>'FS Jimbaran'!AL34</f>
        <v>0</v>
      </c>
      <c r="BG25" s="27">
        <f>'FS Jimbaran'!AM34</f>
        <v>0</v>
      </c>
      <c r="BH25" s="27">
        <f>'FS Jimbaran'!AN34</f>
        <v>0</v>
      </c>
      <c r="BI25" s="27">
        <f>'FS Jimbaran'!AO34</f>
        <v>0</v>
      </c>
      <c r="BJ25" s="27">
        <f>'FS Jimbaran'!AO34</f>
        <v>0</v>
      </c>
      <c r="BK25" s="27">
        <f>'FS Jimbaran'!AQ34</f>
        <v>0</v>
      </c>
      <c r="BL25" s="27">
        <f>'FS Jimbaran'!AR34</f>
        <v>0</v>
      </c>
      <c r="BM25" s="27">
        <v>0</v>
      </c>
      <c r="BN25" s="27">
        <v>0</v>
      </c>
      <c r="BO25" s="28">
        <f>'FS Jimbaran'!Q34</f>
        <v>0</v>
      </c>
      <c r="BP25" s="27">
        <f>'FS Jimbaran'!R34</f>
        <v>0</v>
      </c>
    </row>
    <row r="26" spans="1:68">
      <c r="A26" s="22" t="s">
        <v>67</v>
      </c>
      <c r="B26" s="30">
        <f>B25+1</f>
        <v>25</v>
      </c>
      <c r="C26" s="31">
        <v>7</v>
      </c>
      <c r="D26" s="32">
        <v>2020</v>
      </c>
      <c r="E26" s="23">
        <f>'FS Jimbaran'!M35</f>
        <v>9.6999999999999993</v>
      </c>
      <c r="F26" s="27">
        <f>'FS Jimbaran'!N35</f>
        <v>0</v>
      </c>
      <c r="G26" s="27">
        <v>0</v>
      </c>
      <c r="H26" s="27">
        <f>'FS Jimbaran'!H35</f>
        <v>0</v>
      </c>
      <c r="I26" s="27">
        <f>'FS Jimbaran'!I35</f>
        <v>0</v>
      </c>
      <c r="J26" s="27">
        <f>'FS Jimbaran'!J35</f>
        <v>0</v>
      </c>
      <c r="K26" s="27">
        <f>'FS Jimbaran'!K35</f>
        <v>27.6</v>
      </c>
      <c r="L26" s="27">
        <f>'FS Jimbaran'!L35</f>
        <v>0</v>
      </c>
      <c r="M26" s="27">
        <f>'FS Jimbaran'!S35</f>
        <v>0</v>
      </c>
      <c r="N26" s="27">
        <f>'FS Jimbaran'!T35</f>
        <v>0</v>
      </c>
      <c r="O26" s="27">
        <f>'FS Jimbaran'!U35</f>
        <v>19</v>
      </c>
      <c r="P26" s="27">
        <f>'FS Jimbaran'!V35</f>
        <v>0</v>
      </c>
      <c r="Q26" s="27">
        <f>'FS Jimbaran'!BE35</f>
        <v>0</v>
      </c>
      <c r="R26" s="27">
        <f>'FS Jimbaran'!BF35</f>
        <v>0</v>
      </c>
      <c r="S26" s="27">
        <f>'FS Jimbaran'!BH35</f>
        <v>0</v>
      </c>
      <c r="T26" s="27">
        <f>'FS Jimbaran'!BH35</f>
        <v>0</v>
      </c>
      <c r="U26" s="27">
        <f>'FS Jimbaran'!BI35</f>
        <v>0</v>
      </c>
      <c r="V26" s="27">
        <f>'FS Jimbaran'!BJ35</f>
        <v>0</v>
      </c>
      <c r="W26" s="27">
        <f>'FS Jimbaran'!Y35</f>
        <v>0</v>
      </c>
      <c r="X26" s="27">
        <f>'FS Jimbaran'!Z35</f>
        <v>0</v>
      </c>
      <c r="Y26" s="27">
        <f>'FS Jimbaran'!AA35</f>
        <v>0</v>
      </c>
      <c r="Z26" s="27">
        <f>'FS Jimbaran'!AB35</f>
        <v>0</v>
      </c>
      <c r="AA26" s="27">
        <f>'FS Jimbaran'!AC35</f>
        <v>0</v>
      </c>
      <c r="AB26" s="27">
        <f>'FS Jimbaran'!AD35</f>
        <v>0</v>
      </c>
      <c r="AC26" s="27">
        <f>'FS Jimbaran'!AE35</f>
        <v>0</v>
      </c>
      <c r="AD26" s="27">
        <f>'FS Jimbaran'!AF35</f>
        <v>0</v>
      </c>
      <c r="AE26" s="27">
        <f>'FS Jimbaran'!AG35</f>
        <v>0</v>
      </c>
      <c r="AF26" s="27">
        <f>'FS Jimbaran'!AH35</f>
        <v>0</v>
      </c>
      <c r="AG26" s="27">
        <f>'FS Jimbaran'!AM35</f>
        <v>0</v>
      </c>
      <c r="AH26" s="27">
        <f>'FS Jimbaran'!AR35</f>
        <v>0</v>
      </c>
      <c r="AI26" s="27">
        <f>'FS Jimbaran'!AQ35</f>
        <v>0</v>
      </c>
      <c r="AJ26" s="27">
        <f>'FS Jimbaran'!AR35</f>
        <v>0</v>
      </c>
      <c r="AK26" s="27">
        <f>'FS Jimbaran'!AY35</f>
        <v>0</v>
      </c>
      <c r="AL26" s="27">
        <f>'FS Jimbaran'!AZ35</f>
        <v>0</v>
      </c>
      <c r="AM26" s="27">
        <f>'FS Jimbaran'!BB35</f>
        <v>0</v>
      </c>
      <c r="AN26" s="27">
        <f>'FS Jimbaran'!BB35</f>
        <v>0</v>
      </c>
      <c r="AO26" s="27">
        <f>'FS Jimbaran'!BK35</f>
        <v>0</v>
      </c>
      <c r="AP26" s="27">
        <f>'FS Jimbaran'!BL35</f>
        <v>0</v>
      </c>
      <c r="AQ26" s="27">
        <f>'FS Jimbaran'!BC35</f>
        <v>0</v>
      </c>
      <c r="AR26" s="27">
        <f>'FS Jimbaran'!BD35</f>
        <v>0</v>
      </c>
      <c r="AS26" s="27">
        <f>'FS Jimbaran'!BM35</f>
        <v>0</v>
      </c>
      <c r="AT26" s="27">
        <f>'FS Jimbaran'!BN35</f>
        <v>0</v>
      </c>
      <c r="AU26" s="27">
        <f>'FS Jimbaran'!BO35</f>
        <v>0</v>
      </c>
      <c r="AV26" s="27">
        <f>'FS Jimbaran'!BP35</f>
        <v>0</v>
      </c>
      <c r="AW26" s="27">
        <f>'FS Jimbaran'!E35</f>
        <v>25.700000000000003</v>
      </c>
      <c r="AX26" s="27">
        <f>'FS Jimbaran'!F35</f>
        <v>0</v>
      </c>
      <c r="AY26" s="27">
        <f>'FS Jimbaran'!O35</f>
        <v>0</v>
      </c>
      <c r="AZ26" s="27">
        <f>'FS Jimbaran'!P35</f>
        <v>0</v>
      </c>
      <c r="BA26" s="27">
        <f>'FS Jimbaran'!W35</f>
        <v>0</v>
      </c>
      <c r="BB26" s="27">
        <f>'FS Jimbaran'!X35</f>
        <v>0</v>
      </c>
      <c r="BC26" s="27">
        <f>'FS Jimbaran'!AI35</f>
        <v>344</v>
      </c>
      <c r="BD26" s="27">
        <f>'FS Jimbaran'!AJ35</f>
        <v>0</v>
      </c>
      <c r="BE26" s="27">
        <f>'FS Jimbaran'!AK35</f>
        <v>0</v>
      </c>
      <c r="BF26" s="27">
        <f>'FS Jimbaran'!AL35</f>
        <v>0</v>
      </c>
      <c r="BG26" s="27">
        <f>'FS Jimbaran'!AM35</f>
        <v>0</v>
      </c>
      <c r="BH26" s="27">
        <f>'FS Jimbaran'!AN35</f>
        <v>0</v>
      </c>
      <c r="BI26" s="27">
        <f>'FS Jimbaran'!AO35</f>
        <v>0</v>
      </c>
      <c r="BJ26" s="27">
        <f>'FS Jimbaran'!AO35</f>
        <v>0</v>
      </c>
      <c r="BK26" s="27">
        <f>'FS Jimbaran'!AQ35</f>
        <v>0</v>
      </c>
      <c r="BL26" s="27">
        <f>'FS Jimbaran'!AR35</f>
        <v>0</v>
      </c>
      <c r="BM26" s="27">
        <v>0</v>
      </c>
      <c r="BN26" s="27">
        <v>0</v>
      </c>
      <c r="BO26" s="28">
        <f>'FS Jimbaran'!Q35</f>
        <v>0</v>
      </c>
      <c r="BP26" s="27">
        <f>'FS Jimbaran'!R35</f>
        <v>0</v>
      </c>
    </row>
    <row r="27" spans="1:68">
      <c r="A27" s="22" t="s">
        <v>67</v>
      </c>
      <c r="B27" s="30">
        <f t="shared" si="0"/>
        <v>26</v>
      </c>
      <c r="C27" s="31">
        <v>7</v>
      </c>
      <c r="D27" s="32">
        <v>2020</v>
      </c>
      <c r="E27" s="23">
        <f>'FS Jimbaran'!M36</f>
        <v>0</v>
      </c>
      <c r="F27" s="27">
        <f>'FS Jimbaran'!N36</f>
        <v>0</v>
      </c>
      <c r="G27" s="27">
        <v>0</v>
      </c>
      <c r="H27" s="27">
        <f>'FS Jimbaran'!H36</f>
        <v>0</v>
      </c>
      <c r="I27" s="27">
        <f>'FS Jimbaran'!I36</f>
        <v>0</v>
      </c>
      <c r="J27" s="27">
        <f>'FS Jimbaran'!J36</f>
        <v>0</v>
      </c>
      <c r="K27" s="27">
        <f>'FS Jimbaran'!K36</f>
        <v>0</v>
      </c>
      <c r="L27" s="27">
        <f>'FS Jimbaran'!L36</f>
        <v>0</v>
      </c>
      <c r="M27" s="27">
        <f>'FS Jimbaran'!S36</f>
        <v>0</v>
      </c>
      <c r="N27" s="27">
        <f>'FS Jimbaran'!T36</f>
        <v>0</v>
      </c>
      <c r="O27" s="27">
        <f>'FS Jimbaran'!U36</f>
        <v>0</v>
      </c>
      <c r="P27" s="27">
        <f>'FS Jimbaran'!V36</f>
        <v>0</v>
      </c>
      <c r="Q27" s="27">
        <f>'FS Jimbaran'!BE36</f>
        <v>0</v>
      </c>
      <c r="R27" s="27">
        <f>'FS Jimbaran'!BF36</f>
        <v>0</v>
      </c>
      <c r="S27" s="27">
        <f>'FS Jimbaran'!BH36</f>
        <v>0</v>
      </c>
      <c r="T27" s="27">
        <f>'FS Jimbaran'!BH36</f>
        <v>0</v>
      </c>
      <c r="U27" s="27">
        <f>'FS Jimbaran'!BI36</f>
        <v>0</v>
      </c>
      <c r="V27" s="27">
        <f>'FS Jimbaran'!BJ36</f>
        <v>0</v>
      </c>
      <c r="W27" s="27">
        <f>'FS Jimbaran'!Y36</f>
        <v>0</v>
      </c>
      <c r="X27" s="27">
        <f>'FS Jimbaran'!Z36</f>
        <v>0</v>
      </c>
      <c r="Y27" s="27">
        <f>'FS Jimbaran'!AA36</f>
        <v>0</v>
      </c>
      <c r="Z27" s="27">
        <f>'FS Jimbaran'!AB36</f>
        <v>0</v>
      </c>
      <c r="AA27" s="27">
        <f>'FS Jimbaran'!AC36</f>
        <v>0</v>
      </c>
      <c r="AB27" s="27">
        <f>'FS Jimbaran'!AD36</f>
        <v>0</v>
      </c>
      <c r="AC27" s="27">
        <f>'FS Jimbaran'!AE36</f>
        <v>0</v>
      </c>
      <c r="AD27" s="27">
        <f>'FS Jimbaran'!AF36</f>
        <v>0</v>
      </c>
      <c r="AE27" s="27">
        <f>'FS Jimbaran'!AG36</f>
        <v>0</v>
      </c>
      <c r="AF27" s="27">
        <f>'FS Jimbaran'!AH36</f>
        <v>0</v>
      </c>
      <c r="AG27" s="27">
        <f>'FS Jimbaran'!AM36</f>
        <v>0</v>
      </c>
      <c r="AH27" s="27">
        <f>'FS Jimbaran'!AR36</f>
        <v>0</v>
      </c>
      <c r="AI27" s="27">
        <f>'FS Jimbaran'!AQ36</f>
        <v>0</v>
      </c>
      <c r="AJ27" s="27">
        <f>'FS Jimbaran'!AR36</f>
        <v>0</v>
      </c>
      <c r="AK27" s="27">
        <f>'FS Jimbaran'!AY36</f>
        <v>0</v>
      </c>
      <c r="AL27" s="27">
        <f>'FS Jimbaran'!AZ36</f>
        <v>0</v>
      </c>
      <c r="AM27" s="27">
        <f>'FS Jimbaran'!BB36</f>
        <v>0</v>
      </c>
      <c r="AN27" s="27">
        <f>'FS Jimbaran'!BB36</f>
        <v>0</v>
      </c>
      <c r="AO27" s="27">
        <f>'FS Jimbaran'!BK36</f>
        <v>0</v>
      </c>
      <c r="AP27" s="27">
        <f>'FS Jimbaran'!BL36</f>
        <v>0</v>
      </c>
      <c r="AQ27" s="27">
        <f>'FS Jimbaran'!BC36</f>
        <v>0</v>
      </c>
      <c r="AR27" s="27">
        <f>'FS Jimbaran'!BD36</f>
        <v>0</v>
      </c>
      <c r="AS27" s="27">
        <f>'FS Jimbaran'!BM36</f>
        <v>0</v>
      </c>
      <c r="AT27" s="27">
        <f>'FS Jimbaran'!BN36</f>
        <v>0</v>
      </c>
      <c r="AU27" s="27">
        <f>'FS Jimbaran'!BO36</f>
        <v>0</v>
      </c>
      <c r="AV27" s="27">
        <f>'FS Jimbaran'!BP36</f>
        <v>0</v>
      </c>
      <c r="AW27" s="27">
        <f>'FS Jimbaran'!E36</f>
        <v>0</v>
      </c>
      <c r="AX27" s="27">
        <f>'FS Jimbaran'!F36</f>
        <v>0</v>
      </c>
      <c r="AY27" s="27">
        <f>'FS Jimbaran'!O36</f>
        <v>0</v>
      </c>
      <c r="AZ27" s="27">
        <f>'FS Jimbaran'!P36</f>
        <v>0</v>
      </c>
      <c r="BA27" s="27">
        <f>'FS Jimbaran'!W36</f>
        <v>0</v>
      </c>
      <c r="BB27" s="27">
        <f>'FS Jimbaran'!X36</f>
        <v>0</v>
      </c>
      <c r="BC27" s="27">
        <f>'FS Jimbaran'!AI36</f>
        <v>0</v>
      </c>
      <c r="BD27" s="27">
        <f>'FS Jimbaran'!AJ36</f>
        <v>0</v>
      </c>
      <c r="BE27" s="27">
        <f>'FS Jimbaran'!AK36</f>
        <v>0</v>
      </c>
      <c r="BF27" s="27">
        <f>'FS Jimbaran'!AL36</f>
        <v>0</v>
      </c>
      <c r="BG27" s="27">
        <f>'FS Jimbaran'!AM36</f>
        <v>0</v>
      </c>
      <c r="BH27" s="27">
        <f>'FS Jimbaran'!AN36</f>
        <v>0</v>
      </c>
      <c r="BI27" s="27">
        <f>'FS Jimbaran'!AO36</f>
        <v>0</v>
      </c>
      <c r="BJ27" s="27">
        <f>'FS Jimbaran'!AO36</f>
        <v>0</v>
      </c>
      <c r="BK27" s="27">
        <f>'FS Jimbaran'!AQ36</f>
        <v>0</v>
      </c>
      <c r="BL27" s="27">
        <f>'FS Jimbaran'!AR36</f>
        <v>0</v>
      </c>
      <c r="BM27" s="27">
        <v>0</v>
      </c>
      <c r="BN27" s="27">
        <v>0</v>
      </c>
      <c r="BO27" s="28">
        <f>'FS Jimbaran'!Q36</f>
        <v>0</v>
      </c>
      <c r="BP27" s="27">
        <f>'FS Jimbaran'!R36</f>
        <v>0</v>
      </c>
    </row>
    <row r="28" spans="1:68">
      <c r="A28" s="22" t="s">
        <v>67</v>
      </c>
      <c r="B28" s="30">
        <f t="shared" si="0"/>
        <v>27</v>
      </c>
      <c r="C28" s="31">
        <v>7</v>
      </c>
      <c r="D28" s="32">
        <v>2020</v>
      </c>
      <c r="E28" s="23">
        <f>'FS Jimbaran'!M37</f>
        <v>12</v>
      </c>
      <c r="F28" s="27">
        <f>'FS Jimbaran'!N37</f>
        <v>0</v>
      </c>
      <c r="G28" s="27">
        <v>0</v>
      </c>
      <c r="H28" s="27">
        <f>'FS Jimbaran'!H37</f>
        <v>0</v>
      </c>
      <c r="I28" s="27">
        <f>'FS Jimbaran'!I37</f>
        <v>0</v>
      </c>
      <c r="J28" s="27">
        <f>'FS Jimbaran'!J37</f>
        <v>0</v>
      </c>
      <c r="K28" s="27">
        <f>'FS Jimbaran'!K37</f>
        <v>16</v>
      </c>
      <c r="L28" s="27">
        <f>'FS Jimbaran'!L37</f>
        <v>0</v>
      </c>
      <c r="M28" s="27">
        <f>'FS Jimbaran'!S37</f>
        <v>0</v>
      </c>
      <c r="N28" s="27">
        <f>'FS Jimbaran'!T37</f>
        <v>0</v>
      </c>
      <c r="O28" s="27">
        <f>'FS Jimbaran'!U37</f>
        <v>10.5</v>
      </c>
      <c r="P28" s="27">
        <f>'FS Jimbaran'!V37</f>
        <v>0</v>
      </c>
      <c r="Q28" s="27">
        <f>'FS Jimbaran'!BE37</f>
        <v>0</v>
      </c>
      <c r="R28" s="27">
        <f>'FS Jimbaran'!BF37</f>
        <v>0</v>
      </c>
      <c r="S28" s="27">
        <f>'FS Jimbaran'!BH37</f>
        <v>0</v>
      </c>
      <c r="T28" s="27">
        <f>'FS Jimbaran'!BH37</f>
        <v>0</v>
      </c>
      <c r="U28" s="27">
        <f>'FS Jimbaran'!BI37</f>
        <v>0</v>
      </c>
      <c r="V28" s="27">
        <f>'FS Jimbaran'!BJ37</f>
        <v>0</v>
      </c>
      <c r="W28" s="27">
        <f>'FS Jimbaran'!Y37</f>
        <v>0</v>
      </c>
      <c r="X28" s="27">
        <f>'FS Jimbaran'!Z37</f>
        <v>0</v>
      </c>
      <c r="Y28" s="27">
        <f>'FS Jimbaran'!AA37</f>
        <v>0</v>
      </c>
      <c r="Z28" s="27">
        <f>'FS Jimbaran'!AB37</f>
        <v>0</v>
      </c>
      <c r="AA28" s="27">
        <f>'FS Jimbaran'!AC37</f>
        <v>0</v>
      </c>
      <c r="AB28" s="27">
        <f>'FS Jimbaran'!AD37</f>
        <v>0</v>
      </c>
      <c r="AC28" s="27">
        <f>'FS Jimbaran'!AE37</f>
        <v>0</v>
      </c>
      <c r="AD28" s="27">
        <f>'FS Jimbaran'!AF37</f>
        <v>0</v>
      </c>
      <c r="AE28" s="27">
        <f>'FS Jimbaran'!AG37</f>
        <v>0</v>
      </c>
      <c r="AF28" s="27">
        <f>'FS Jimbaran'!AH37</f>
        <v>0</v>
      </c>
      <c r="AG28" s="27">
        <f>'FS Jimbaran'!AM37</f>
        <v>0</v>
      </c>
      <c r="AH28" s="27">
        <f>'FS Jimbaran'!AR37</f>
        <v>0</v>
      </c>
      <c r="AI28" s="27">
        <f>'FS Jimbaran'!AQ37</f>
        <v>0</v>
      </c>
      <c r="AJ28" s="27">
        <f>'FS Jimbaran'!AR37</f>
        <v>0</v>
      </c>
      <c r="AK28" s="27">
        <f>'FS Jimbaran'!AY37</f>
        <v>0</v>
      </c>
      <c r="AL28" s="27">
        <f>'FS Jimbaran'!AZ37</f>
        <v>0</v>
      </c>
      <c r="AM28" s="27">
        <f>'FS Jimbaran'!BB37</f>
        <v>0</v>
      </c>
      <c r="AN28" s="27">
        <f>'FS Jimbaran'!BB37</f>
        <v>0</v>
      </c>
      <c r="AO28" s="27">
        <f>'FS Jimbaran'!BK37</f>
        <v>0</v>
      </c>
      <c r="AP28" s="27">
        <f>'FS Jimbaran'!BL37</f>
        <v>0</v>
      </c>
      <c r="AQ28" s="27">
        <f>'FS Jimbaran'!BC37</f>
        <v>0</v>
      </c>
      <c r="AR28" s="27">
        <f>'FS Jimbaran'!BD37</f>
        <v>0</v>
      </c>
      <c r="AS28" s="27">
        <f>'FS Jimbaran'!BM37</f>
        <v>0</v>
      </c>
      <c r="AT28" s="27">
        <f>'FS Jimbaran'!BN37</f>
        <v>0</v>
      </c>
      <c r="AU28" s="27">
        <f>'FS Jimbaran'!BO37</f>
        <v>0</v>
      </c>
      <c r="AV28" s="27">
        <f>'FS Jimbaran'!BP37</f>
        <v>0</v>
      </c>
      <c r="AW28" s="27">
        <f>'FS Jimbaran'!E37</f>
        <v>21</v>
      </c>
      <c r="AX28" s="27">
        <f>'FS Jimbaran'!F37</f>
        <v>0</v>
      </c>
      <c r="AY28" s="27">
        <f>'FS Jimbaran'!O37</f>
        <v>0</v>
      </c>
      <c r="AZ28" s="27">
        <f>'FS Jimbaran'!P37</f>
        <v>0</v>
      </c>
      <c r="BA28" s="27">
        <f>'FS Jimbaran'!W37</f>
        <v>0</v>
      </c>
      <c r="BB28" s="27">
        <f>'FS Jimbaran'!X37</f>
        <v>0</v>
      </c>
      <c r="BC28" s="27">
        <f>'FS Jimbaran'!AI37</f>
        <v>328</v>
      </c>
      <c r="BD28" s="27">
        <f>'FS Jimbaran'!AJ37</f>
        <v>0</v>
      </c>
      <c r="BE28" s="27">
        <f>'FS Jimbaran'!AK37</f>
        <v>0</v>
      </c>
      <c r="BF28" s="27">
        <f>'FS Jimbaran'!AL37</f>
        <v>0</v>
      </c>
      <c r="BG28" s="27">
        <f>'FS Jimbaran'!AM37</f>
        <v>0</v>
      </c>
      <c r="BH28" s="27">
        <f>'FS Jimbaran'!AN37</f>
        <v>0</v>
      </c>
      <c r="BI28" s="27">
        <f>'FS Jimbaran'!AO37</f>
        <v>0</v>
      </c>
      <c r="BJ28" s="27">
        <f>'FS Jimbaran'!AO37</f>
        <v>0</v>
      </c>
      <c r="BK28" s="27">
        <f>'FS Jimbaran'!AQ37</f>
        <v>0</v>
      </c>
      <c r="BL28" s="27">
        <f>'FS Jimbaran'!AR37</f>
        <v>0</v>
      </c>
      <c r="BM28" s="27">
        <v>0</v>
      </c>
      <c r="BN28" s="27">
        <v>0</v>
      </c>
      <c r="BO28" s="28">
        <f>'FS Jimbaran'!Q37</f>
        <v>0</v>
      </c>
      <c r="BP28" s="27">
        <f>'FS Jimbaran'!R37</f>
        <v>0</v>
      </c>
    </row>
    <row r="29" spans="1:68">
      <c r="A29" s="22" t="s">
        <v>67</v>
      </c>
      <c r="B29" s="30">
        <f t="shared" si="0"/>
        <v>28</v>
      </c>
      <c r="C29" s="31">
        <v>7</v>
      </c>
      <c r="D29" s="32">
        <v>2020</v>
      </c>
      <c r="E29" s="23">
        <f>'FS Jimbaran'!M38</f>
        <v>0</v>
      </c>
      <c r="F29" s="27">
        <f>'FS Jimbaran'!N38</f>
        <v>0</v>
      </c>
      <c r="G29" s="27">
        <v>0</v>
      </c>
      <c r="H29" s="27">
        <f>'FS Jimbaran'!H38</f>
        <v>0</v>
      </c>
      <c r="I29" s="27">
        <f>'FS Jimbaran'!I38</f>
        <v>0</v>
      </c>
      <c r="J29" s="27">
        <f>'FS Jimbaran'!J38</f>
        <v>0</v>
      </c>
      <c r="K29" s="27">
        <f>'FS Jimbaran'!K38</f>
        <v>0</v>
      </c>
      <c r="L29" s="27">
        <f>'FS Jimbaran'!L38</f>
        <v>0</v>
      </c>
      <c r="M29" s="27">
        <f>'FS Jimbaran'!S38</f>
        <v>0</v>
      </c>
      <c r="N29" s="27">
        <f>'FS Jimbaran'!T38</f>
        <v>0</v>
      </c>
      <c r="O29" s="27">
        <f>'FS Jimbaran'!U38</f>
        <v>0</v>
      </c>
      <c r="P29" s="27">
        <f>'FS Jimbaran'!V38</f>
        <v>0</v>
      </c>
      <c r="Q29" s="27">
        <f>'FS Jimbaran'!BE38</f>
        <v>0</v>
      </c>
      <c r="R29" s="27">
        <f>'FS Jimbaran'!BF38</f>
        <v>0</v>
      </c>
      <c r="S29" s="27">
        <f>'FS Jimbaran'!BH38</f>
        <v>0</v>
      </c>
      <c r="T29" s="27">
        <f>'FS Jimbaran'!BH38</f>
        <v>0</v>
      </c>
      <c r="U29" s="27">
        <f>'FS Jimbaran'!BI38</f>
        <v>0</v>
      </c>
      <c r="V29" s="27">
        <f>'FS Jimbaran'!BJ38</f>
        <v>0</v>
      </c>
      <c r="W29" s="27">
        <f>'FS Jimbaran'!Y38</f>
        <v>0</v>
      </c>
      <c r="X29" s="27">
        <f>'FS Jimbaran'!Z38</f>
        <v>0</v>
      </c>
      <c r="Y29" s="27">
        <f>'FS Jimbaran'!AA38</f>
        <v>0</v>
      </c>
      <c r="Z29" s="27">
        <f>'FS Jimbaran'!AB38</f>
        <v>0</v>
      </c>
      <c r="AA29" s="27">
        <f>'FS Jimbaran'!AC38</f>
        <v>0</v>
      </c>
      <c r="AB29" s="27">
        <f>'FS Jimbaran'!AD38</f>
        <v>0</v>
      </c>
      <c r="AC29" s="27">
        <f>'FS Jimbaran'!AE38</f>
        <v>0</v>
      </c>
      <c r="AD29" s="27">
        <f>'FS Jimbaran'!AF38</f>
        <v>0</v>
      </c>
      <c r="AE29" s="27">
        <f>'FS Jimbaran'!AG38</f>
        <v>0</v>
      </c>
      <c r="AF29" s="27">
        <f>'FS Jimbaran'!AH38</f>
        <v>0</v>
      </c>
      <c r="AG29" s="27">
        <f>'FS Jimbaran'!AM38</f>
        <v>0</v>
      </c>
      <c r="AH29" s="27">
        <f>'FS Jimbaran'!AR38</f>
        <v>0</v>
      </c>
      <c r="AI29" s="27">
        <f>'FS Jimbaran'!AQ38</f>
        <v>0</v>
      </c>
      <c r="AJ29" s="27">
        <f>'FS Jimbaran'!AR38</f>
        <v>0</v>
      </c>
      <c r="AK29" s="27">
        <f>'FS Jimbaran'!AY38</f>
        <v>0</v>
      </c>
      <c r="AL29" s="27">
        <f>'FS Jimbaran'!AZ38</f>
        <v>0</v>
      </c>
      <c r="AM29" s="27">
        <f>'FS Jimbaran'!BB38</f>
        <v>0</v>
      </c>
      <c r="AN29" s="27">
        <f>'FS Jimbaran'!BB38</f>
        <v>0</v>
      </c>
      <c r="AO29" s="27">
        <f>'FS Jimbaran'!BK38</f>
        <v>0</v>
      </c>
      <c r="AP29" s="27">
        <f>'FS Jimbaran'!BL38</f>
        <v>0</v>
      </c>
      <c r="AQ29" s="27">
        <f>'FS Jimbaran'!BC38</f>
        <v>0</v>
      </c>
      <c r="AR29" s="27">
        <f>'FS Jimbaran'!BD38</f>
        <v>0</v>
      </c>
      <c r="AS29" s="27">
        <f>'FS Jimbaran'!BM38</f>
        <v>0</v>
      </c>
      <c r="AT29" s="27">
        <f>'FS Jimbaran'!BN38</f>
        <v>0</v>
      </c>
      <c r="AU29" s="27">
        <f>'FS Jimbaran'!BO38</f>
        <v>0</v>
      </c>
      <c r="AV29" s="27">
        <f>'FS Jimbaran'!BP38</f>
        <v>0</v>
      </c>
      <c r="AW29" s="27">
        <f>'FS Jimbaran'!E38</f>
        <v>0</v>
      </c>
      <c r="AX29" s="27">
        <f>'FS Jimbaran'!F38</f>
        <v>0</v>
      </c>
      <c r="AY29" s="27">
        <f>'FS Jimbaran'!O38</f>
        <v>0</v>
      </c>
      <c r="AZ29" s="27">
        <f>'FS Jimbaran'!P38</f>
        <v>0</v>
      </c>
      <c r="BA29" s="27">
        <f>'FS Jimbaran'!W38</f>
        <v>0</v>
      </c>
      <c r="BB29" s="27">
        <f>'FS Jimbaran'!X38</f>
        <v>0</v>
      </c>
      <c r="BC29" s="27">
        <f>'FS Jimbaran'!AI38</f>
        <v>0</v>
      </c>
      <c r="BD29" s="27">
        <f>'FS Jimbaran'!AJ38</f>
        <v>0</v>
      </c>
      <c r="BE29" s="27">
        <f>'FS Jimbaran'!AK38</f>
        <v>0</v>
      </c>
      <c r="BF29" s="27">
        <f>'FS Jimbaran'!AL38</f>
        <v>0</v>
      </c>
      <c r="BG29" s="27">
        <f>'FS Jimbaran'!AM38</f>
        <v>0</v>
      </c>
      <c r="BH29" s="27">
        <f>'FS Jimbaran'!AN38</f>
        <v>0</v>
      </c>
      <c r="BI29" s="27">
        <f>'FS Jimbaran'!AO38</f>
        <v>0</v>
      </c>
      <c r="BJ29" s="27">
        <f>'FS Jimbaran'!AO38</f>
        <v>0</v>
      </c>
      <c r="BK29" s="27">
        <f>'FS Jimbaran'!AQ38</f>
        <v>0</v>
      </c>
      <c r="BL29" s="27">
        <f>'FS Jimbaran'!AR38</f>
        <v>0</v>
      </c>
      <c r="BM29" s="27">
        <v>0</v>
      </c>
      <c r="BN29" s="27">
        <v>0</v>
      </c>
      <c r="BO29" s="28">
        <f>'FS Jimbaran'!Q38</f>
        <v>0</v>
      </c>
      <c r="BP29" s="27">
        <f>'FS Jimbaran'!R38</f>
        <v>0</v>
      </c>
    </row>
    <row r="30" spans="1:68">
      <c r="A30" s="22" t="s">
        <v>67</v>
      </c>
      <c r="B30" s="30">
        <f t="shared" si="0"/>
        <v>29</v>
      </c>
      <c r="C30" s="31">
        <v>7</v>
      </c>
      <c r="D30" s="32">
        <v>2020</v>
      </c>
      <c r="E30" s="23">
        <f>'FS Jimbaran'!M39</f>
        <v>12.2</v>
      </c>
      <c r="F30" s="27">
        <f>'FS Jimbaran'!N39</f>
        <v>0</v>
      </c>
      <c r="G30" s="27">
        <v>0</v>
      </c>
      <c r="H30" s="27">
        <f>'FS Jimbaran'!H39</f>
        <v>0</v>
      </c>
      <c r="I30" s="27">
        <f>'FS Jimbaran'!I39</f>
        <v>0</v>
      </c>
      <c r="J30" s="27">
        <f>'FS Jimbaran'!J39</f>
        <v>0</v>
      </c>
      <c r="K30" s="27">
        <f>'FS Jimbaran'!K39</f>
        <v>20.8</v>
      </c>
      <c r="L30" s="27">
        <f>'FS Jimbaran'!L39</f>
        <v>0</v>
      </c>
      <c r="M30" s="27">
        <f>'FS Jimbaran'!S39</f>
        <v>0</v>
      </c>
      <c r="N30" s="27">
        <f>'FS Jimbaran'!T39</f>
        <v>0</v>
      </c>
      <c r="O30" s="27">
        <f>'FS Jimbaran'!U39</f>
        <v>7.5</v>
      </c>
      <c r="P30" s="27">
        <f>'FS Jimbaran'!V39</f>
        <v>0</v>
      </c>
      <c r="Q30" s="27">
        <f>'FS Jimbaran'!BE39</f>
        <v>0</v>
      </c>
      <c r="R30" s="27">
        <f>'FS Jimbaran'!BF39</f>
        <v>0</v>
      </c>
      <c r="S30" s="27">
        <f>'FS Jimbaran'!BH39</f>
        <v>0</v>
      </c>
      <c r="T30" s="27">
        <f>'FS Jimbaran'!BH39</f>
        <v>0</v>
      </c>
      <c r="U30" s="27">
        <f>'FS Jimbaran'!BI39</f>
        <v>0</v>
      </c>
      <c r="V30" s="27">
        <f>'FS Jimbaran'!BJ39</f>
        <v>0</v>
      </c>
      <c r="W30" s="27">
        <f>'FS Jimbaran'!Y39</f>
        <v>0</v>
      </c>
      <c r="X30" s="27">
        <f>'FS Jimbaran'!Z39</f>
        <v>0</v>
      </c>
      <c r="Y30" s="27">
        <f>'FS Jimbaran'!AA39</f>
        <v>0</v>
      </c>
      <c r="Z30" s="27">
        <f>'FS Jimbaran'!AB39</f>
        <v>0</v>
      </c>
      <c r="AA30" s="27">
        <f>'FS Jimbaran'!AC39</f>
        <v>0</v>
      </c>
      <c r="AB30" s="27">
        <f>'FS Jimbaran'!AD39</f>
        <v>0</v>
      </c>
      <c r="AC30" s="27">
        <f>'FS Jimbaran'!AE39</f>
        <v>0</v>
      </c>
      <c r="AD30" s="27">
        <f>'FS Jimbaran'!AF39</f>
        <v>0</v>
      </c>
      <c r="AE30" s="27">
        <f>'FS Jimbaran'!AG39</f>
        <v>0</v>
      </c>
      <c r="AF30" s="27">
        <f>'FS Jimbaran'!AH39</f>
        <v>0</v>
      </c>
      <c r="AG30" s="27">
        <f>'FS Jimbaran'!AM39</f>
        <v>0</v>
      </c>
      <c r="AH30" s="27">
        <f>'FS Jimbaran'!AR39</f>
        <v>0</v>
      </c>
      <c r="AI30" s="27">
        <f>'FS Jimbaran'!AQ39</f>
        <v>0</v>
      </c>
      <c r="AJ30" s="27">
        <f>'FS Jimbaran'!AR39</f>
        <v>0</v>
      </c>
      <c r="AK30" s="27">
        <f>'FS Jimbaran'!AY39</f>
        <v>0</v>
      </c>
      <c r="AL30" s="27">
        <f>'FS Jimbaran'!AZ39</f>
        <v>0</v>
      </c>
      <c r="AM30" s="27">
        <f>'FS Jimbaran'!BB39</f>
        <v>0</v>
      </c>
      <c r="AN30" s="27">
        <f>'FS Jimbaran'!BB39</f>
        <v>0</v>
      </c>
      <c r="AO30" s="27">
        <f>'FS Jimbaran'!BK39</f>
        <v>0</v>
      </c>
      <c r="AP30" s="27">
        <f>'FS Jimbaran'!BL39</f>
        <v>0</v>
      </c>
      <c r="AQ30" s="27">
        <f>'FS Jimbaran'!BC39</f>
        <v>0</v>
      </c>
      <c r="AR30" s="27">
        <f>'FS Jimbaran'!BD39</f>
        <v>0</v>
      </c>
      <c r="AS30" s="27">
        <f>'FS Jimbaran'!BM39</f>
        <v>0</v>
      </c>
      <c r="AT30" s="27">
        <f>'FS Jimbaran'!BN39</f>
        <v>0</v>
      </c>
      <c r="AU30" s="27">
        <f>'FS Jimbaran'!BO39</f>
        <v>0</v>
      </c>
      <c r="AV30" s="27">
        <f>'FS Jimbaran'!BP39</f>
        <v>0</v>
      </c>
      <c r="AW30" s="27">
        <f>'FS Jimbaran'!E39</f>
        <v>24</v>
      </c>
      <c r="AX30" s="27">
        <f>'FS Jimbaran'!F39</f>
        <v>0</v>
      </c>
      <c r="AY30" s="27">
        <f>'FS Jimbaran'!O39</f>
        <v>0</v>
      </c>
      <c r="AZ30" s="27">
        <f>'FS Jimbaran'!P39</f>
        <v>0</v>
      </c>
      <c r="BA30" s="27">
        <f>'FS Jimbaran'!W39</f>
        <v>0</v>
      </c>
      <c r="BB30" s="27">
        <f>'FS Jimbaran'!X39</f>
        <v>0</v>
      </c>
      <c r="BC30" s="27">
        <f>'FS Jimbaran'!AI39</f>
        <v>336</v>
      </c>
      <c r="BD30" s="27">
        <f>'FS Jimbaran'!AJ39</f>
        <v>0</v>
      </c>
      <c r="BE30" s="27">
        <f>'FS Jimbaran'!AK39</f>
        <v>0</v>
      </c>
      <c r="BF30" s="27">
        <f>'FS Jimbaran'!AL39</f>
        <v>0</v>
      </c>
      <c r="BG30" s="27">
        <f>'FS Jimbaran'!AM39</f>
        <v>0</v>
      </c>
      <c r="BH30" s="27">
        <f>'FS Jimbaran'!AN39</f>
        <v>0</v>
      </c>
      <c r="BI30" s="27">
        <f>'FS Jimbaran'!AO39</f>
        <v>0</v>
      </c>
      <c r="BJ30" s="27">
        <f>'FS Jimbaran'!AO39</f>
        <v>0</v>
      </c>
      <c r="BK30" s="27">
        <f>'FS Jimbaran'!AQ39</f>
        <v>0</v>
      </c>
      <c r="BL30" s="27">
        <f>'FS Jimbaran'!AR39</f>
        <v>0</v>
      </c>
      <c r="BM30" s="27">
        <v>0</v>
      </c>
      <c r="BN30" s="27">
        <v>0</v>
      </c>
      <c r="BO30" s="28">
        <f>'FS Jimbaran'!Q39</f>
        <v>0</v>
      </c>
      <c r="BP30" s="27">
        <f>'FS Jimbaran'!R39</f>
        <v>0</v>
      </c>
    </row>
    <row r="31" spans="1:68">
      <c r="A31" s="22" t="s">
        <v>67</v>
      </c>
      <c r="B31" s="30">
        <f t="shared" si="0"/>
        <v>30</v>
      </c>
      <c r="C31" s="31">
        <v>7</v>
      </c>
      <c r="D31" s="32">
        <v>2020</v>
      </c>
      <c r="E31" s="23">
        <f>'FS Jimbaran'!M40</f>
        <v>0</v>
      </c>
      <c r="F31" s="27">
        <f>'FS Jimbaran'!N40</f>
        <v>0</v>
      </c>
      <c r="G31" s="27">
        <v>0</v>
      </c>
      <c r="H31" s="27">
        <f>'FS Jimbaran'!H40</f>
        <v>0</v>
      </c>
      <c r="I31" s="27">
        <f>'FS Jimbaran'!I40</f>
        <v>0</v>
      </c>
      <c r="J31" s="27">
        <f>'FS Jimbaran'!J40</f>
        <v>0</v>
      </c>
      <c r="K31" s="27">
        <f>'FS Jimbaran'!K40</f>
        <v>0</v>
      </c>
      <c r="L31" s="27">
        <f>'FS Jimbaran'!L40</f>
        <v>0</v>
      </c>
      <c r="M31" s="27">
        <f>'FS Jimbaran'!S40</f>
        <v>0</v>
      </c>
      <c r="N31" s="27">
        <f>'FS Jimbaran'!T40</f>
        <v>0</v>
      </c>
      <c r="O31" s="27">
        <f>'FS Jimbaran'!U40</f>
        <v>0</v>
      </c>
      <c r="P31" s="27">
        <f>'FS Jimbaran'!V40</f>
        <v>0</v>
      </c>
      <c r="Q31" s="27">
        <f>'FS Jimbaran'!BE40</f>
        <v>0</v>
      </c>
      <c r="R31" s="27">
        <f>'FS Jimbaran'!BF40</f>
        <v>0</v>
      </c>
      <c r="S31" s="27">
        <f>'FS Jimbaran'!BH40</f>
        <v>0</v>
      </c>
      <c r="T31" s="27">
        <f>'FS Jimbaran'!BH40</f>
        <v>0</v>
      </c>
      <c r="U31" s="27">
        <f>'FS Jimbaran'!BI40</f>
        <v>0</v>
      </c>
      <c r="V31" s="27">
        <f>'FS Jimbaran'!BJ40</f>
        <v>0</v>
      </c>
      <c r="W31" s="27">
        <f>'FS Jimbaran'!Y40</f>
        <v>0</v>
      </c>
      <c r="X31" s="27">
        <f>'FS Jimbaran'!Z40</f>
        <v>0</v>
      </c>
      <c r="Y31" s="27">
        <f>'FS Jimbaran'!AA40</f>
        <v>0</v>
      </c>
      <c r="Z31" s="27">
        <f>'FS Jimbaran'!AB40</f>
        <v>0</v>
      </c>
      <c r="AA31" s="27">
        <f>'FS Jimbaran'!AC40</f>
        <v>0</v>
      </c>
      <c r="AB31" s="27">
        <f>'FS Jimbaran'!AD40</f>
        <v>0</v>
      </c>
      <c r="AC31" s="27">
        <f>'FS Jimbaran'!AE40</f>
        <v>0</v>
      </c>
      <c r="AD31" s="27">
        <f>'FS Jimbaran'!AF40</f>
        <v>0</v>
      </c>
      <c r="AE31" s="27">
        <f>'FS Jimbaran'!AG40</f>
        <v>0</v>
      </c>
      <c r="AF31" s="27">
        <f>'FS Jimbaran'!AH40</f>
        <v>0</v>
      </c>
      <c r="AG31" s="27">
        <f>'FS Jimbaran'!AM40</f>
        <v>0</v>
      </c>
      <c r="AH31" s="27">
        <f>'FS Jimbaran'!AR40</f>
        <v>0</v>
      </c>
      <c r="AI31" s="27">
        <f>'FS Jimbaran'!AQ40</f>
        <v>0</v>
      </c>
      <c r="AJ31" s="27">
        <f>'FS Jimbaran'!AR40</f>
        <v>0</v>
      </c>
      <c r="AK31" s="27">
        <f>'FS Jimbaran'!AY40</f>
        <v>0</v>
      </c>
      <c r="AL31" s="27">
        <f>'FS Jimbaran'!AZ40</f>
        <v>0</v>
      </c>
      <c r="AM31" s="27">
        <f>'FS Jimbaran'!BB40</f>
        <v>0</v>
      </c>
      <c r="AN31" s="27">
        <f>'FS Jimbaran'!BB40</f>
        <v>0</v>
      </c>
      <c r="AO31" s="27">
        <f>'FS Jimbaran'!BK40</f>
        <v>0</v>
      </c>
      <c r="AP31" s="27">
        <f>'FS Jimbaran'!BL40</f>
        <v>0</v>
      </c>
      <c r="AQ31" s="27">
        <f>'FS Jimbaran'!BC40</f>
        <v>0</v>
      </c>
      <c r="AR31" s="27">
        <f>'FS Jimbaran'!BD40</f>
        <v>0</v>
      </c>
      <c r="AS31" s="27">
        <f>'FS Jimbaran'!BM40</f>
        <v>0</v>
      </c>
      <c r="AT31" s="27">
        <f>'FS Jimbaran'!BN40</f>
        <v>0</v>
      </c>
      <c r="AU31" s="27">
        <f>'FS Jimbaran'!BO40</f>
        <v>0</v>
      </c>
      <c r="AV31" s="27">
        <f>'FS Jimbaran'!BP40</f>
        <v>0</v>
      </c>
      <c r="AW31" s="27">
        <f>'FS Jimbaran'!E40</f>
        <v>0</v>
      </c>
      <c r="AX31" s="27">
        <f>'FS Jimbaran'!F40</f>
        <v>0</v>
      </c>
      <c r="AY31" s="27">
        <f>'FS Jimbaran'!O40</f>
        <v>0</v>
      </c>
      <c r="AZ31" s="27">
        <f>'FS Jimbaran'!P40</f>
        <v>0</v>
      </c>
      <c r="BA31" s="27">
        <f>'FS Jimbaran'!W40</f>
        <v>0</v>
      </c>
      <c r="BB31" s="27">
        <f>'FS Jimbaran'!X40</f>
        <v>0</v>
      </c>
      <c r="BC31" s="27">
        <f>'FS Jimbaran'!AI40</f>
        <v>0</v>
      </c>
      <c r="BD31" s="27">
        <f>'FS Jimbaran'!AJ40</f>
        <v>0</v>
      </c>
      <c r="BE31" s="27">
        <f>'FS Jimbaran'!AK40</f>
        <v>0</v>
      </c>
      <c r="BF31" s="27">
        <f>'FS Jimbaran'!AL40</f>
        <v>0</v>
      </c>
      <c r="BG31" s="27">
        <f>'FS Jimbaran'!AM40</f>
        <v>0</v>
      </c>
      <c r="BH31" s="27">
        <f>'FS Jimbaran'!AN40</f>
        <v>0</v>
      </c>
      <c r="BI31" s="27">
        <f>'FS Jimbaran'!AO40</f>
        <v>0</v>
      </c>
      <c r="BJ31" s="27">
        <f>'FS Jimbaran'!AO40</f>
        <v>0</v>
      </c>
      <c r="BK31" s="27">
        <f>'FS Jimbaran'!AQ40</f>
        <v>0</v>
      </c>
      <c r="BL31" s="27">
        <f>'FS Jimbaran'!AR40</f>
        <v>0</v>
      </c>
      <c r="BM31" s="27">
        <v>0</v>
      </c>
      <c r="BN31" s="27">
        <v>0</v>
      </c>
      <c r="BO31" s="28">
        <f>'FS Jimbaran'!Q40</f>
        <v>0</v>
      </c>
      <c r="BP31" s="27">
        <f>'FS Jimbaran'!R40</f>
        <v>0</v>
      </c>
    </row>
    <row r="32" spans="1:68">
      <c r="A32" s="22" t="s">
        <v>67</v>
      </c>
      <c r="B32" s="30">
        <f t="shared" si="0"/>
        <v>31</v>
      </c>
      <c r="C32" s="31">
        <v>7</v>
      </c>
      <c r="D32" s="32">
        <v>2020</v>
      </c>
      <c r="E32" s="23">
        <f>'FS Jimbaran'!M41</f>
        <v>12</v>
      </c>
      <c r="F32" s="27">
        <f>'FS Jimbaran'!N41</f>
        <v>0</v>
      </c>
      <c r="G32" s="27">
        <v>0</v>
      </c>
      <c r="H32" s="27">
        <f>'FS Jimbaran'!H41</f>
        <v>0</v>
      </c>
      <c r="I32" s="27">
        <f>'FS Jimbaran'!I41</f>
        <v>0</v>
      </c>
      <c r="J32" s="27">
        <f>'FS Jimbaran'!J41</f>
        <v>0</v>
      </c>
      <c r="K32" s="27">
        <f>'FS Jimbaran'!K41</f>
        <v>28.1</v>
      </c>
      <c r="L32" s="27">
        <f>'FS Jimbaran'!L41</f>
        <v>0</v>
      </c>
      <c r="M32" s="27">
        <f>'FS Jimbaran'!S41</f>
        <v>0</v>
      </c>
      <c r="N32" s="27">
        <f>'FS Jimbaran'!T41</f>
        <v>0</v>
      </c>
      <c r="O32" s="27">
        <f>'FS Jimbaran'!U41</f>
        <v>19.5</v>
      </c>
      <c r="P32" s="27">
        <f>'FS Jimbaran'!V41</f>
        <v>0</v>
      </c>
      <c r="Q32" s="27">
        <f>'FS Jimbaran'!BE41</f>
        <v>0</v>
      </c>
      <c r="R32" s="27">
        <f>'FS Jimbaran'!BF41</f>
        <v>0</v>
      </c>
      <c r="S32" s="27">
        <f>'FS Jimbaran'!BH41</f>
        <v>0</v>
      </c>
      <c r="T32" s="27">
        <f>'FS Jimbaran'!BH41</f>
        <v>0</v>
      </c>
      <c r="U32" s="27">
        <f>'FS Jimbaran'!BI41</f>
        <v>0</v>
      </c>
      <c r="V32" s="27">
        <f>'FS Jimbaran'!BJ41</f>
        <v>0</v>
      </c>
      <c r="W32" s="27">
        <f>'FS Jimbaran'!Y41</f>
        <v>0</v>
      </c>
      <c r="X32" s="27">
        <f>'FS Jimbaran'!Z41</f>
        <v>0</v>
      </c>
      <c r="Y32" s="27">
        <f>'FS Jimbaran'!AA41</f>
        <v>0</v>
      </c>
      <c r="Z32" s="27">
        <f>'FS Jimbaran'!AB41</f>
        <v>0</v>
      </c>
      <c r="AA32" s="27">
        <f>'FS Jimbaran'!AC41</f>
        <v>0</v>
      </c>
      <c r="AB32" s="27">
        <f>'FS Jimbaran'!AD41</f>
        <v>0</v>
      </c>
      <c r="AC32" s="27">
        <f>'FS Jimbaran'!AE41</f>
        <v>0</v>
      </c>
      <c r="AD32" s="27">
        <f>'FS Jimbaran'!AF41</f>
        <v>0</v>
      </c>
      <c r="AE32" s="27">
        <f>'FS Jimbaran'!AG41</f>
        <v>0</v>
      </c>
      <c r="AF32" s="27">
        <f>'FS Jimbaran'!AH41</f>
        <v>0</v>
      </c>
      <c r="AG32" s="27">
        <f>'FS Jimbaran'!AM41</f>
        <v>0</v>
      </c>
      <c r="AH32" s="27">
        <f>'FS Jimbaran'!AR41</f>
        <v>0</v>
      </c>
      <c r="AI32" s="27">
        <f>'FS Jimbaran'!AQ41</f>
        <v>0</v>
      </c>
      <c r="AJ32" s="27">
        <f>'FS Jimbaran'!AR41</f>
        <v>0</v>
      </c>
      <c r="AK32" s="27">
        <f>'FS Jimbaran'!AY41</f>
        <v>0</v>
      </c>
      <c r="AL32" s="27">
        <f>'FS Jimbaran'!AZ41</f>
        <v>0</v>
      </c>
      <c r="AM32" s="27">
        <f>'FS Jimbaran'!BB41</f>
        <v>0</v>
      </c>
      <c r="AN32" s="27">
        <f>'FS Jimbaran'!BB41</f>
        <v>0</v>
      </c>
      <c r="AO32" s="27">
        <f>'FS Jimbaran'!BK41</f>
        <v>0</v>
      </c>
      <c r="AP32" s="27">
        <f>'FS Jimbaran'!BL41</f>
        <v>0</v>
      </c>
      <c r="AQ32" s="27">
        <f>'FS Jimbaran'!BC41</f>
        <v>0</v>
      </c>
      <c r="AR32" s="27">
        <f>'FS Jimbaran'!BD41</f>
        <v>0</v>
      </c>
      <c r="AS32" s="27">
        <f>'FS Jimbaran'!BM41</f>
        <v>0</v>
      </c>
      <c r="AT32" s="27">
        <f>'FS Jimbaran'!BN41</f>
        <v>0</v>
      </c>
      <c r="AU32" s="27">
        <f>'FS Jimbaran'!BO41</f>
        <v>0</v>
      </c>
      <c r="AV32" s="27">
        <f>'FS Jimbaran'!BP41</f>
        <v>0</v>
      </c>
      <c r="AW32" s="27">
        <f>'FS Jimbaran'!E41</f>
        <v>23.5</v>
      </c>
      <c r="AX32" s="27">
        <f>'FS Jimbaran'!F41</f>
        <v>0</v>
      </c>
      <c r="AY32" s="27">
        <f>'FS Jimbaran'!O41</f>
        <v>0</v>
      </c>
      <c r="AZ32" s="27">
        <f>'FS Jimbaran'!P41</f>
        <v>0</v>
      </c>
      <c r="BA32" s="27">
        <f>'FS Jimbaran'!W41</f>
        <v>0</v>
      </c>
      <c r="BB32" s="27">
        <f>'FS Jimbaran'!X41</f>
        <v>0</v>
      </c>
      <c r="BC32" s="27">
        <f>'FS Jimbaran'!AI41</f>
        <v>400</v>
      </c>
      <c r="BD32" s="27">
        <v>0</v>
      </c>
      <c r="BE32" s="27">
        <f>'FS Jimbaran'!AK41</f>
        <v>0</v>
      </c>
      <c r="BF32" s="27">
        <f>'FS Jimbaran'!AL41</f>
        <v>0</v>
      </c>
      <c r="BG32" s="27">
        <f>'FS Jimbaran'!AM41</f>
        <v>0</v>
      </c>
      <c r="BH32" s="27">
        <f>'FS Jimbaran'!AN41</f>
        <v>0</v>
      </c>
      <c r="BI32" s="27">
        <f>'FS Jimbaran'!AO41</f>
        <v>0</v>
      </c>
      <c r="BJ32" s="27">
        <f>'FS Jimbaran'!AO41</f>
        <v>0</v>
      </c>
      <c r="BK32" s="27">
        <f>'FS Jimbaran'!AQ41</f>
        <v>0</v>
      </c>
      <c r="BL32" s="27">
        <f>'FS Jimbaran'!AR41</f>
        <v>0</v>
      </c>
      <c r="BM32" s="27">
        <v>0</v>
      </c>
      <c r="BN32" s="27">
        <v>0</v>
      </c>
      <c r="BO32" s="28">
        <f>'FS Jimbaran'!Q41</f>
        <v>0</v>
      </c>
      <c r="BP32" s="27">
        <f>'FS Jimbaran'!R41</f>
        <v>0</v>
      </c>
    </row>
    <row r="33" spans="5:68">
      <c r="E33" s="23">
        <f>'FS Jimbaran'!M42</f>
        <v>130.9</v>
      </c>
      <c r="F33" s="27">
        <f>'FS Jimbaran'!N42</f>
        <v>0</v>
      </c>
      <c r="G33" s="27">
        <v>0</v>
      </c>
      <c r="H33" s="27">
        <f>'FS Jimbaran'!H42</f>
        <v>0</v>
      </c>
      <c r="I33" s="27">
        <f>'FS Jimbaran'!I42</f>
        <v>0</v>
      </c>
      <c r="J33" s="27">
        <f>'FS Jimbaran'!J42</f>
        <v>0</v>
      </c>
      <c r="K33" s="27">
        <f>'FS Jimbaran'!K42</f>
        <v>376.90000000000009</v>
      </c>
      <c r="L33" s="27">
        <f>'FS Jimbaran'!L42</f>
        <v>0</v>
      </c>
      <c r="M33" s="27">
        <f>'FS Jimbaran'!S42</f>
        <v>0</v>
      </c>
      <c r="N33" s="27">
        <f>'FS Jimbaran'!T42</f>
        <v>0</v>
      </c>
      <c r="O33" s="27">
        <f>'FS Jimbaran'!U42</f>
        <v>209.5</v>
      </c>
      <c r="P33" s="27">
        <f>'FS Jimbaran'!V42</f>
        <v>0</v>
      </c>
      <c r="Q33" s="27">
        <f>'FS Jimbaran'!BE42</f>
        <v>0</v>
      </c>
      <c r="R33" s="27">
        <f>'FS Jimbaran'!BF42</f>
        <v>0</v>
      </c>
      <c r="S33" s="27">
        <f>'FS Jimbaran'!BH42</f>
        <v>0</v>
      </c>
      <c r="T33" s="27">
        <f>'FS Jimbaran'!BH42</f>
        <v>0</v>
      </c>
      <c r="U33" s="27">
        <f>'FS Jimbaran'!BI42</f>
        <v>0</v>
      </c>
      <c r="V33" s="27">
        <f>'FS Jimbaran'!BJ42</f>
        <v>0</v>
      </c>
      <c r="W33" s="27">
        <f>'FS Jimbaran'!Y42</f>
        <v>0</v>
      </c>
      <c r="X33" s="27">
        <f>'FS Jimbaran'!Z42</f>
        <v>0</v>
      </c>
      <c r="Y33" s="27">
        <f>'FS Jimbaran'!AA42</f>
        <v>0</v>
      </c>
      <c r="Z33" s="27">
        <f>'FS Jimbaran'!AB42</f>
        <v>0</v>
      </c>
      <c r="AA33" s="27">
        <f>'FS Jimbaran'!AC42</f>
        <v>0</v>
      </c>
      <c r="AB33" s="27">
        <f>'FS Jimbaran'!AD42</f>
        <v>0</v>
      </c>
      <c r="AC33" s="27">
        <f>'FS Jimbaran'!AE42</f>
        <v>0</v>
      </c>
      <c r="AD33" s="27">
        <f>'FS Jimbaran'!AF42</f>
        <v>0</v>
      </c>
      <c r="AE33" s="27">
        <f>'FS Jimbaran'!AG42</f>
        <v>0</v>
      </c>
      <c r="AF33" s="27">
        <f>'FS Jimbaran'!AH42</f>
        <v>0</v>
      </c>
      <c r="AG33" s="27">
        <f>'FS Jimbaran'!AM42</f>
        <v>0</v>
      </c>
      <c r="AH33" s="27">
        <f>'FS Jimbaran'!AR42</f>
        <v>0</v>
      </c>
      <c r="AI33" s="27">
        <f>'FS Jimbaran'!AQ42</f>
        <v>0</v>
      </c>
      <c r="AJ33" s="27">
        <f>'FS Jimbaran'!AR42</f>
        <v>0</v>
      </c>
      <c r="AK33" s="27">
        <f>'FS Jimbaran'!AY42</f>
        <v>0</v>
      </c>
      <c r="AL33" s="27">
        <f>'FS Jimbaran'!AZ42</f>
        <v>0</v>
      </c>
      <c r="AM33" s="27">
        <f>'FS Jimbaran'!BB42</f>
        <v>0</v>
      </c>
      <c r="AN33" s="27">
        <f>'FS Jimbaran'!BB42</f>
        <v>0</v>
      </c>
      <c r="AO33" s="27">
        <f>'FS Jimbaran'!BK42</f>
        <v>0</v>
      </c>
      <c r="AP33" s="27">
        <f>'FS Jimbaran'!BL42</f>
        <v>0</v>
      </c>
      <c r="AQ33" s="27">
        <f>'FS Jimbaran'!BC42</f>
        <v>0</v>
      </c>
      <c r="AR33" s="27">
        <f>'FS Jimbaran'!BD42</f>
        <v>0</v>
      </c>
      <c r="AS33" s="27">
        <f>'FS Jimbaran'!BM42</f>
        <v>0</v>
      </c>
      <c r="AT33" s="27">
        <f>'FS Jimbaran'!BN42</f>
        <v>0</v>
      </c>
      <c r="AU33" s="27">
        <f>'FS Jimbaran'!BO42</f>
        <v>0</v>
      </c>
      <c r="AV33" s="27">
        <f>'FS Jimbaran'!BP42</f>
        <v>0</v>
      </c>
      <c r="AW33" s="27">
        <f>'FS Jimbaran'!E42</f>
        <v>381.59999999999997</v>
      </c>
      <c r="AX33" s="27">
        <f>'FS Jimbaran'!F42</f>
        <v>0</v>
      </c>
      <c r="AY33" s="27">
        <f>'FS Jimbaran'!O42</f>
        <v>0</v>
      </c>
      <c r="AZ33" s="27">
        <f>'FS Jimbaran'!P42</f>
        <v>0</v>
      </c>
      <c r="BA33" s="27">
        <f>'FS Jimbaran'!W42</f>
        <v>0</v>
      </c>
      <c r="BB33" s="27">
        <f>'FS Jimbaran'!X42</f>
        <v>0</v>
      </c>
      <c r="BC33" s="27">
        <f>'FS Jimbaran'!AI42</f>
        <v>6656</v>
      </c>
      <c r="BD33" s="27">
        <f>SUM(BD2:BD32)</f>
        <v>8284726</v>
      </c>
      <c r="BE33" s="27">
        <f>'FS Jimbaran'!AK42</f>
        <v>0</v>
      </c>
      <c r="BF33" s="27">
        <f>'FS Jimbaran'!AL42</f>
        <v>0</v>
      </c>
      <c r="BG33" s="27">
        <f>'FS Jimbaran'!AM42</f>
        <v>0</v>
      </c>
      <c r="BH33" s="27">
        <f>'FS Jimbaran'!AN42</f>
        <v>0</v>
      </c>
      <c r="BI33" s="27">
        <f>'FS Jimbaran'!AO42</f>
        <v>0</v>
      </c>
      <c r="BJ33" s="27">
        <f>'FS Jimbaran'!AO42</f>
        <v>0</v>
      </c>
      <c r="BK33" s="27">
        <f>'FS Jimbaran'!AQ42</f>
        <v>0</v>
      </c>
      <c r="BL33" s="27">
        <f>'FS Jimbaran'!AR42</f>
        <v>0</v>
      </c>
      <c r="BM33" s="27">
        <v>0</v>
      </c>
      <c r="BN33" s="27">
        <v>0</v>
      </c>
      <c r="BO33" s="28">
        <f>'FS Jimbaran'!Q42</f>
        <v>0</v>
      </c>
      <c r="BP33" s="27">
        <f>'FS Jimbaran'!R42</f>
        <v>0</v>
      </c>
    </row>
    <row r="34" spans="5:68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</row>
    <row r="35" spans="5:68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</row>
    <row r="36" spans="5:68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</row>
    <row r="37" spans="5:68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</row>
    <row r="38" spans="5:68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</row>
    <row r="39" spans="5:68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</row>
    <row r="40" spans="5:68"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</row>
    <row r="41" spans="5:68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</row>
    <row r="42" spans="5:68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</row>
    <row r="43" spans="5:68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</row>
    <row r="44" spans="5:68"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</row>
    <row r="45" spans="5:68"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</row>
    <row r="46" spans="5:68"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</row>
    <row r="47" spans="5:68"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</row>
    <row r="48" spans="5:68"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</row>
    <row r="49" spans="5:68"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2"/>
  <sheetViews>
    <sheetView zoomScale="85" zoomScaleNormal="85" workbookViewId="0">
      <pane xSplit="4" ySplit="10" topLeftCell="E33" activePane="bottomRight" state="frozen"/>
      <selection pane="bottomRight" activeCell="A43" sqref="A43:XFD51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8" width="14.28515625" style="15" customWidth="1"/>
  </cols>
  <sheetData>
    <row r="6" spans="1:68" s="5" customFormat="1" ht="19.5" thickBot="1">
      <c r="B6" s="5" t="s">
        <v>71</v>
      </c>
      <c r="C6" s="9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</row>
    <row r="7" spans="1:68" s="3" customFormat="1" ht="16.5" thickBot="1">
      <c r="A7" s="7"/>
      <c r="B7" s="71" t="s">
        <v>72</v>
      </c>
      <c r="C7" s="72"/>
      <c r="D7" s="72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</row>
    <row r="8" spans="1:68" s="6" customFormat="1" ht="15.75" customHeight="1">
      <c r="A8" s="11"/>
      <c r="B8" s="73" t="s">
        <v>73</v>
      </c>
      <c r="C8" s="76" t="s">
        <v>74</v>
      </c>
      <c r="D8" s="78" t="s">
        <v>75</v>
      </c>
      <c r="E8" s="69" t="s">
        <v>76</v>
      </c>
      <c r="F8" s="70"/>
      <c r="G8" s="70"/>
      <c r="H8" s="70"/>
      <c r="I8" s="70"/>
      <c r="J8" s="70"/>
      <c r="K8" s="67" t="s">
        <v>77</v>
      </c>
      <c r="L8" s="67"/>
      <c r="M8" s="68" t="s">
        <v>78</v>
      </c>
      <c r="N8" s="68"/>
      <c r="O8" s="68"/>
      <c r="P8" s="68"/>
      <c r="Q8" s="68"/>
      <c r="R8" s="68"/>
      <c r="S8" s="68"/>
      <c r="T8" s="68"/>
      <c r="U8" s="63" t="s">
        <v>79</v>
      </c>
      <c r="V8" s="63"/>
      <c r="W8" s="63"/>
      <c r="X8" s="63"/>
      <c r="Y8" s="64" t="s">
        <v>80</v>
      </c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5" t="s">
        <v>81</v>
      </c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6" t="s">
        <v>82</v>
      </c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</row>
    <row r="9" spans="1:68" s="12" customFormat="1" ht="15" customHeight="1">
      <c r="A9" s="6"/>
      <c r="B9" s="74"/>
      <c r="C9" s="77"/>
      <c r="D9" s="79"/>
      <c r="E9" s="69"/>
      <c r="F9" s="70"/>
      <c r="G9" s="70"/>
      <c r="H9" s="70"/>
      <c r="I9" s="70"/>
      <c r="J9" s="70"/>
      <c r="K9" s="67"/>
      <c r="L9" s="67"/>
      <c r="M9" s="68"/>
      <c r="N9" s="68"/>
      <c r="O9" s="68"/>
      <c r="P9" s="68"/>
      <c r="Q9" s="68"/>
      <c r="R9" s="68"/>
      <c r="S9" s="68"/>
      <c r="T9" s="68"/>
      <c r="U9" s="63"/>
      <c r="V9" s="63"/>
      <c r="W9" s="63"/>
      <c r="X9" s="63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</row>
    <row r="10" spans="1:68" s="12" customFormat="1" ht="61.5" customHeight="1">
      <c r="A10" s="6"/>
      <c r="B10" s="75"/>
      <c r="C10" s="77"/>
      <c r="D10" s="79"/>
      <c r="E10" s="13" t="s">
        <v>47</v>
      </c>
      <c r="F10" s="13" t="s">
        <v>48</v>
      </c>
      <c r="G10" s="13" t="s">
        <v>5</v>
      </c>
      <c r="H10" s="13" t="s">
        <v>6</v>
      </c>
      <c r="I10" s="13" t="s">
        <v>7</v>
      </c>
      <c r="J10" s="13" t="s">
        <v>8</v>
      </c>
      <c r="K10" s="13" t="s">
        <v>69</v>
      </c>
      <c r="L10" s="13" t="s">
        <v>70</v>
      </c>
      <c r="M10" s="49" t="s">
        <v>3</v>
      </c>
      <c r="N10" s="14" t="s">
        <v>4</v>
      </c>
      <c r="O10" s="14" t="s">
        <v>49</v>
      </c>
      <c r="P10" s="14" t="s">
        <v>50</v>
      </c>
      <c r="Q10" s="14" t="s">
        <v>65</v>
      </c>
      <c r="R10" s="14" t="s">
        <v>66</v>
      </c>
      <c r="S10" s="14" t="s">
        <v>11</v>
      </c>
      <c r="T10" s="14" t="s">
        <v>12</v>
      </c>
      <c r="U10" s="49" t="s">
        <v>51</v>
      </c>
      <c r="V10" s="14" t="s">
        <v>52</v>
      </c>
      <c r="W10" s="14" t="s">
        <v>13</v>
      </c>
      <c r="X10" s="14" t="s">
        <v>14</v>
      </c>
      <c r="Y10" s="49" t="s">
        <v>21</v>
      </c>
      <c r="Z10" s="14" t="s">
        <v>22</v>
      </c>
      <c r="AA10" s="14" t="s">
        <v>23</v>
      </c>
      <c r="AB10" s="14" t="s">
        <v>24</v>
      </c>
      <c r="AC10" s="14" t="s">
        <v>25</v>
      </c>
      <c r="AD10" s="14" t="s">
        <v>26</v>
      </c>
      <c r="AE10" s="14" t="s">
        <v>27</v>
      </c>
      <c r="AF10" s="14" t="s">
        <v>28</v>
      </c>
      <c r="AG10" s="14" t="s">
        <v>29</v>
      </c>
      <c r="AH10" s="14" t="s">
        <v>30</v>
      </c>
      <c r="AI10" s="49" t="s">
        <v>53</v>
      </c>
      <c r="AJ10" s="14" t="s">
        <v>54</v>
      </c>
      <c r="AK10" s="14" t="s">
        <v>55</v>
      </c>
      <c r="AL10" s="14" t="s">
        <v>56</v>
      </c>
      <c r="AM10" s="14" t="s">
        <v>57</v>
      </c>
      <c r="AN10" s="14" t="s">
        <v>58</v>
      </c>
      <c r="AO10" s="14" t="s">
        <v>59</v>
      </c>
      <c r="AP10" s="14" t="s">
        <v>60</v>
      </c>
      <c r="AQ10" s="14" t="s">
        <v>61</v>
      </c>
      <c r="AR10" s="14" t="s">
        <v>62</v>
      </c>
      <c r="AS10" s="14" t="s">
        <v>63</v>
      </c>
      <c r="AT10" s="14" t="s">
        <v>64</v>
      </c>
      <c r="AU10" s="14" t="s">
        <v>31</v>
      </c>
      <c r="AV10" s="14" t="s">
        <v>32</v>
      </c>
      <c r="AW10" s="14" t="s">
        <v>33</v>
      </c>
      <c r="AX10" s="14" t="s">
        <v>34</v>
      </c>
      <c r="AY10" s="14" t="s">
        <v>35</v>
      </c>
      <c r="AZ10" s="14" t="s">
        <v>36</v>
      </c>
      <c r="BA10" s="14" t="s">
        <v>37</v>
      </c>
      <c r="BB10" s="14" t="s">
        <v>38</v>
      </c>
      <c r="BC10" s="14" t="s">
        <v>41</v>
      </c>
      <c r="BD10" s="14" t="s">
        <v>42</v>
      </c>
      <c r="BE10" s="14" t="s">
        <v>15</v>
      </c>
      <c r="BF10" s="14" t="s">
        <v>16</v>
      </c>
      <c r="BG10" s="14" t="s">
        <v>17</v>
      </c>
      <c r="BH10" s="14" t="s">
        <v>18</v>
      </c>
      <c r="BI10" s="14" t="s">
        <v>19</v>
      </c>
      <c r="BJ10" s="14" t="s">
        <v>20</v>
      </c>
      <c r="BK10" s="14" t="s">
        <v>39</v>
      </c>
      <c r="BL10" s="14" t="s">
        <v>40</v>
      </c>
      <c r="BM10" s="14" t="s">
        <v>43</v>
      </c>
      <c r="BN10" s="14" t="s">
        <v>44</v>
      </c>
      <c r="BO10" s="14" t="s">
        <v>45</v>
      </c>
      <c r="BP10" s="14" t="s">
        <v>46</v>
      </c>
    </row>
    <row r="11" spans="1:68">
      <c r="A11" s="8"/>
      <c r="B11" s="41">
        <v>1</v>
      </c>
      <c r="C11" s="51">
        <v>0</v>
      </c>
      <c r="D11" s="52">
        <v>0</v>
      </c>
      <c r="E11" s="43">
        <v>24.099999999999998</v>
      </c>
      <c r="F11" s="42">
        <v>0</v>
      </c>
      <c r="G11" s="19">
        <v>0</v>
      </c>
      <c r="H11" s="19">
        <v>0</v>
      </c>
      <c r="I11" s="19">
        <v>0</v>
      </c>
      <c r="J11" s="20">
        <v>0</v>
      </c>
      <c r="K11" s="43">
        <v>25.4</v>
      </c>
      <c r="L11" s="44">
        <v>0</v>
      </c>
      <c r="M11" s="43">
        <v>6</v>
      </c>
      <c r="N11" s="42">
        <v>0</v>
      </c>
      <c r="O11" s="19">
        <v>0</v>
      </c>
      <c r="P11" s="19">
        <v>0</v>
      </c>
      <c r="Q11" s="18">
        <v>0</v>
      </c>
      <c r="R11" s="19">
        <v>0</v>
      </c>
      <c r="S11" s="19">
        <v>0</v>
      </c>
      <c r="T11" s="20">
        <v>0</v>
      </c>
      <c r="U11" s="43">
        <v>13</v>
      </c>
      <c r="V11" s="42">
        <v>0</v>
      </c>
      <c r="W11" s="19">
        <v>0</v>
      </c>
      <c r="X11" s="20">
        <v>0</v>
      </c>
      <c r="Y11" s="43">
        <v>0</v>
      </c>
      <c r="Z11" s="15">
        <v>0</v>
      </c>
      <c r="AA11" s="18">
        <v>0</v>
      </c>
      <c r="AB11" s="19">
        <v>0</v>
      </c>
      <c r="AC11" s="18">
        <v>0</v>
      </c>
      <c r="AD11" s="19">
        <v>0</v>
      </c>
      <c r="AE11" s="19">
        <v>0</v>
      </c>
      <c r="AF11" s="19">
        <v>0</v>
      </c>
      <c r="AG11" s="19">
        <v>0</v>
      </c>
      <c r="AH11" s="20">
        <v>0</v>
      </c>
      <c r="AI11" s="43">
        <v>520</v>
      </c>
      <c r="AJ11" s="42">
        <v>8284726</v>
      </c>
      <c r="AK11" s="18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</row>
    <row r="12" spans="1:68">
      <c r="A12" s="8"/>
      <c r="B12" s="41">
        <v>2</v>
      </c>
      <c r="C12" s="51">
        <v>0</v>
      </c>
      <c r="D12" s="52">
        <v>0</v>
      </c>
      <c r="E12" s="43">
        <v>0</v>
      </c>
      <c r="F12" s="42">
        <v>0</v>
      </c>
      <c r="G12" s="19">
        <v>0</v>
      </c>
      <c r="H12" s="19">
        <v>0</v>
      </c>
      <c r="I12" s="19">
        <v>0</v>
      </c>
      <c r="J12" s="20">
        <v>0</v>
      </c>
      <c r="K12" s="43">
        <v>0</v>
      </c>
      <c r="L12" s="44">
        <v>0</v>
      </c>
      <c r="M12" s="43">
        <v>0</v>
      </c>
      <c r="N12" s="42">
        <v>0</v>
      </c>
      <c r="O12" s="19">
        <v>0</v>
      </c>
      <c r="P12" s="19">
        <v>0</v>
      </c>
      <c r="Q12" s="18">
        <v>0</v>
      </c>
      <c r="R12" s="19">
        <v>0</v>
      </c>
      <c r="S12" s="19">
        <v>0</v>
      </c>
      <c r="T12" s="20">
        <v>0</v>
      </c>
      <c r="U12" s="43">
        <v>0</v>
      </c>
      <c r="V12" s="42">
        <v>0</v>
      </c>
      <c r="W12" s="19">
        <v>0</v>
      </c>
      <c r="X12" s="20">
        <v>0</v>
      </c>
      <c r="Y12" s="43">
        <v>0</v>
      </c>
      <c r="Z12" s="42">
        <v>0</v>
      </c>
      <c r="AA12" s="18">
        <v>0</v>
      </c>
      <c r="AB12" s="19">
        <v>0</v>
      </c>
      <c r="AC12" s="18">
        <v>0</v>
      </c>
      <c r="AD12" s="19">
        <v>0</v>
      </c>
      <c r="AE12" s="19">
        <v>0</v>
      </c>
      <c r="AF12" s="19">
        <v>0</v>
      </c>
      <c r="AG12" s="19">
        <v>0</v>
      </c>
      <c r="AH12" s="20">
        <v>0</v>
      </c>
      <c r="AI12" s="43">
        <v>0</v>
      </c>
      <c r="AJ12" s="42">
        <v>0</v>
      </c>
      <c r="AK12" s="18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</row>
    <row r="13" spans="1:68">
      <c r="A13" s="8"/>
      <c r="B13" s="41">
        <v>3</v>
      </c>
      <c r="C13" s="51">
        <v>0</v>
      </c>
      <c r="D13" s="52">
        <v>0</v>
      </c>
      <c r="E13" s="43">
        <v>21.200000000000003</v>
      </c>
      <c r="F13" s="42">
        <v>0</v>
      </c>
      <c r="G13" s="19">
        <v>0</v>
      </c>
      <c r="H13" s="19">
        <v>0</v>
      </c>
      <c r="I13" s="19">
        <v>0</v>
      </c>
      <c r="J13" s="20">
        <v>0</v>
      </c>
      <c r="K13" s="43">
        <v>23.8</v>
      </c>
      <c r="L13" s="44">
        <v>0</v>
      </c>
      <c r="M13" s="43">
        <v>6.2</v>
      </c>
      <c r="N13" s="42">
        <v>0</v>
      </c>
      <c r="O13" s="19">
        <v>0</v>
      </c>
      <c r="P13" s="19">
        <v>0</v>
      </c>
      <c r="Q13" s="18">
        <v>0</v>
      </c>
      <c r="R13" s="19">
        <v>0</v>
      </c>
      <c r="S13" s="19">
        <v>0</v>
      </c>
      <c r="T13" s="20">
        <v>0</v>
      </c>
      <c r="U13" s="43">
        <v>7.5</v>
      </c>
      <c r="V13" s="42">
        <v>0</v>
      </c>
      <c r="W13" s="19">
        <v>0</v>
      </c>
      <c r="X13" s="20">
        <v>0</v>
      </c>
      <c r="Y13" s="43">
        <v>0</v>
      </c>
      <c r="Z13" s="42">
        <v>0</v>
      </c>
      <c r="AA13" s="18">
        <v>0</v>
      </c>
      <c r="AB13" s="19">
        <v>0</v>
      </c>
      <c r="AC13" s="18">
        <v>0</v>
      </c>
      <c r="AD13" s="19">
        <v>0</v>
      </c>
      <c r="AE13" s="19">
        <v>0</v>
      </c>
      <c r="AF13" s="19">
        <v>0</v>
      </c>
      <c r="AG13" s="19">
        <v>0</v>
      </c>
      <c r="AH13" s="20">
        <v>0</v>
      </c>
      <c r="AI13" s="43">
        <v>448.00000000000006</v>
      </c>
      <c r="AJ13" s="42">
        <v>0</v>
      </c>
      <c r="AK13" s="18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</row>
    <row r="14" spans="1:68">
      <c r="A14" s="8"/>
      <c r="B14" s="41">
        <v>4</v>
      </c>
      <c r="C14" s="51">
        <v>0</v>
      </c>
      <c r="D14" s="52">
        <v>0</v>
      </c>
      <c r="E14" s="43">
        <v>0</v>
      </c>
      <c r="F14" s="42">
        <v>0</v>
      </c>
      <c r="G14" s="19">
        <v>0</v>
      </c>
      <c r="H14" s="19">
        <v>0</v>
      </c>
      <c r="I14" s="19">
        <v>0</v>
      </c>
      <c r="J14" s="20">
        <v>0</v>
      </c>
      <c r="K14" s="43">
        <v>0</v>
      </c>
      <c r="L14" s="44">
        <v>0</v>
      </c>
      <c r="M14" s="43">
        <v>0</v>
      </c>
      <c r="N14" s="42">
        <v>0</v>
      </c>
      <c r="O14" s="19">
        <v>0</v>
      </c>
      <c r="P14" s="19">
        <v>0</v>
      </c>
      <c r="Q14" s="18">
        <v>0</v>
      </c>
      <c r="R14" s="19">
        <v>0</v>
      </c>
      <c r="S14" s="19">
        <v>0</v>
      </c>
      <c r="T14" s="20">
        <v>0</v>
      </c>
      <c r="U14" s="43">
        <v>0</v>
      </c>
      <c r="V14" s="42">
        <v>0</v>
      </c>
      <c r="W14" s="19">
        <v>0</v>
      </c>
      <c r="X14" s="20">
        <v>0</v>
      </c>
      <c r="Y14" s="43">
        <v>0</v>
      </c>
      <c r="Z14" s="42">
        <v>0</v>
      </c>
      <c r="AA14" s="18">
        <v>0</v>
      </c>
      <c r="AB14" s="19">
        <v>0</v>
      </c>
      <c r="AC14" s="18">
        <v>0</v>
      </c>
      <c r="AD14" s="19">
        <v>0</v>
      </c>
      <c r="AE14" s="19">
        <v>0</v>
      </c>
      <c r="AF14" s="19">
        <v>0</v>
      </c>
      <c r="AG14" s="19">
        <v>0</v>
      </c>
      <c r="AH14" s="20">
        <v>0</v>
      </c>
      <c r="AI14" s="43">
        <v>0</v>
      </c>
      <c r="AJ14" s="42">
        <v>0</v>
      </c>
      <c r="AK14" s="18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</row>
    <row r="15" spans="1:68">
      <c r="A15" s="8"/>
      <c r="B15" s="41">
        <v>5</v>
      </c>
      <c r="C15" s="51">
        <v>0</v>
      </c>
      <c r="D15" s="52">
        <v>0</v>
      </c>
      <c r="E15" s="43">
        <v>26</v>
      </c>
      <c r="F15" s="42">
        <v>0</v>
      </c>
      <c r="G15" s="19">
        <v>0</v>
      </c>
      <c r="H15" s="19">
        <v>0</v>
      </c>
      <c r="I15" s="19">
        <v>0</v>
      </c>
      <c r="J15" s="20">
        <v>0</v>
      </c>
      <c r="K15" s="43">
        <v>27.2</v>
      </c>
      <c r="L15" s="44">
        <v>0</v>
      </c>
      <c r="M15" s="43">
        <v>10.5</v>
      </c>
      <c r="N15" s="42">
        <v>0</v>
      </c>
      <c r="O15" s="19">
        <v>0</v>
      </c>
      <c r="P15" s="19">
        <v>0</v>
      </c>
      <c r="Q15" s="18">
        <v>0</v>
      </c>
      <c r="R15" s="19">
        <v>0</v>
      </c>
      <c r="S15" s="19">
        <v>0</v>
      </c>
      <c r="T15" s="20">
        <v>0</v>
      </c>
      <c r="U15" s="43">
        <v>16</v>
      </c>
      <c r="V15" s="42">
        <v>0</v>
      </c>
      <c r="W15" s="19">
        <v>0</v>
      </c>
      <c r="X15" s="20">
        <v>0</v>
      </c>
      <c r="Y15" s="43">
        <v>0</v>
      </c>
      <c r="Z15" s="42">
        <v>0</v>
      </c>
      <c r="AA15" s="18">
        <v>0</v>
      </c>
      <c r="AB15" s="19">
        <v>0</v>
      </c>
      <c r="AC15" s="18">
        <v>0</v>
      </c>
      <c r="AD15" s="19">
        <v>0</v>
      </c>
      <c r="AE15" s="19">
        <v>0</v>
      </c>
      <c r="AF15" s="19">
        <v>0</v>
      </c>
      <c r="AG15" s="19">
        <v>0</v>
      </c>
      <c r="AH15" s="20">
        <v>0</v>
      </c>
      <c r="AI15" s="43">
        <v>408</v>
      </c>
      <c r="AJ15" s="42">
        <v>0</v>
      </c>
      <c r="AK15" s="18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</row>
    <row r="16" spans="1:68">
      <c r="A16" s="8"/>
      <c r="B16" s="41">
        <v>6</v>
      </c>
      <c r="C16" s="51">
        <v>0</v>
      </c>
      <c r="D16" s="52">
        <v>0</v>
      </c>
      <c r="E16" s="43">
        <v>0</v>
      </c>
      <c r="F16" s="42">
        <v>0</v>
      </c>
      <c r="G16" s="19">
        <v>0</v>
      </c>
      <c r="H16" s="19">
        <v>0</v>
      </c>
      <c r="I16" s="19">
        <v>0</v>
      </c>
      <c r="J16" s="20">
        <v>0</v>
      </c>
      <c r="K16" s="43">
        <v>0</v>
      </c>
      <c r="L16" s="44">
        <v>0</v>
      </c>
      <c r="M16" s="43">
        <v>0</v>
      </c>
      <c r="N16" s="42">
        <v>0</v>
      </c>
      <c r="O16" s="19">
        <v>0</v>
      </c>
      <c r="P16" s="19">
        <v>0</v>
      </c>
      <c r="Q16" s="18">
        <v>0</v>
      </c>
      <c r="R16" s="19">
        <v>0</v>
      </c>
      <c r="S16" s="19">
        <v>0</v>
      </c>
      <c r="T16" s="20">
        <v>0</v>
      </c>
      <c r="U16" s="43">
        <v>0</v>
      </c>
      <c r="V16" s="42">
        <v>0</v>
      </c>
      <c r="W16" s="19">
        <v>0</v>
      </c>
      <c r="X16" s="20">
        <v>0</v>
      </c>
      <c r="Y16" s="43">
        <v>0</v>
      </c>
      <c r="Z16" s="42">
        <v>0</v>
      </c>
      <c r="AA16" s="18">
        <v>0</v>
      </c>
      <c r="AB16" s="19">
        <v>0</v>
      </c>
      <c r="AC16" s="18">
        <v>0</v>
      </c>
      <c r="AD16" s="19">
        <v>0</v>
      </c>
      <c r="AE16" s="19">
        <v>0</v>
      </c>
      <c r="AF16" s="19">
        <v>0</v>
      </c>
      <c r="AG16" s="19">
        <v>0</v>
      </c>
      <c r="AH16" s="20">
        <v>0</v>
      </c>
      <c r="AI16" s="43">
        <v>0</v>
      </c>
      <c r="AJ16" s="42">
        <v>0</v>
      </c>
      <c r="AK16" s="18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</row>
    <row r="17" spans="1:68">
      <c r="A17" s="8"/>
      <c r="B17" s="41">
        <v>7</v>
      </c>
      <c r="C17" s="51">
        <v>0</v>
      </c>
      <c r="D17" s="52">
        <v>0</v>
      </c>
      <c r="E17" s="43">
        <v>21.799999999999997</v>
      </c>
      <c r="F17" s="42">
        <v>0</v>
      </c>
      <c r="G17" s="19">
        <v>0</v>
      </c>
      <c r="H17" s="19">
        <v>0</v>
      </c>
      <c r="I17" s="19">
        <v>0</v>
      </c>
      <c r="J17" s="20">
        <v>0</v>
      </c>
      <c r="K17" s="43">
        <v>16.100000000000001</v>
      </c>
      <c r="L17" s="44">
        <v>0</v>
      </c>
      <c r="M17" s="43">
        <v>10.3</v>
      </c>
      <c r="N17" s="42">
        <v>0</v>
      </c>
      <c r="O17" s="19">
        <v>0</v>
      </c>
      <c r="P17" s="19">
        <v>0</v>
      </c>
      <c r="Q17" s="18">
        <v>0</v>
      </c>
      <c r="R17" s="19">
        <v>0</v>
      </c>
      <c r="S17" s="19">
        <v>0</v>
      </c>
      <c r="T17" s="20">
        <v>0</v>
      </c>
      <c r="U17" s="43">
        <v>12.5</v>
      </c>
      <c r="V17" s="42">
        <v>0</v>
      </c>
      <c r="W17" s="19">
        <v>0</v>
      </c>
      <c r="X17" s="20">
        <v>0</v>
      </c>
      <c r="Y17" s="43">
        <v>0</v>
      </c>
      <c r="Z17" s="42">
        <v>0</v>
      </c>
      <c r="AA17" s="18">
        <v>0</v>
      </c>
      <c r="AB17" s="19">
        <v>0</v>
      </c>
      <c r="AC17" s="18">
        <v>0</v>
      </c>
      <c r="AD17" s="19">
        <v>0</v>
      </c>
      <c r="AE17" s="19">
        <v>0</v>
      </c>
      <c r="AF17" s="19">
        <v>0</v>
      </c>
      <c r="AG17" s="19">
        <v>0</v>
      </c>
      <c r="AH17" s="20">
        <v>0</v>
      </c>
      <c r="AI17" s="43">
        <v>544</v>
      </c>
      <c r="AJ17" s="42">
        <v>0</v>
      </c>
      <c r="AK17" s="18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</row>
    <row r="18" spans="1:68">
      <c r="A18" s="8"/>
      <c r="B18" s="41">
        <v>8</v>
      </c>
      <c r="C18" s="51">
        <v>0</v>
      </c>
      <c r="D18" s="52">
        <v>0</v>
      </c>
      <c r="E18" s="43">
        <v>0</v>
      </c>
      <c r="F18" s="42">
        <v>0</v>
      </c>
      <c r="G18" s="19">
        <v>0</v>
      </c>
      <c r="H18" s="19">
        <v>0</v>
      </c>
      <c r="I18" s="19">
        <v>0</v>
      </c>
      <c r="J18" s="20">
        <v>0</v>
      </c>
      <c r="K18" s="43">
        <v>0</v>
      </c>
      <c r="L18" s="44">
        <v>0</v>
      </c>
      <c r="M18" s="43">
        <v>0</v>
      </c>
      <c r="N18" s="42">
        <v>0</v>
      </c>
      <c r="O18" s="19">
        <v>0</v>
      </c>
      <c r="P18" s="19">
        <v>0</v>
      </c>
      <c r="Q18" s="18">
        <v>0</v>
      </c>
      <c r="R18" s="19">
        <v>0</v>
      </c>
      <c r="S18" s="19">
        <v>0</v>
      </c>
      <c r="T18" s="20">
        <v>0</v>
      </c>
      <c r="U18" s="43">
        <v>0</v>
      </c>
      <c r="V18" s="42">
        <v>0</v>
      </c>
      <c r="W18" s="19">
        <v>0</v>
      </c>
      <c r="X18" s="20">
        <v>0</v>
      </c>
      <c r="Y18" s="43">
        <v>0</v>
      </c>
      <c r="Z18" s="42">
        <v>0</v>
      </c>
      <c r="AA18" s="18">
        <v>0</v>
      </c>
      <c r="AB18" s="19">
        <v>0</v>
      </c>
      <c r="AC18" s="18">
        <v>0</v>
      </c>
      <c r="AD18" s="19">
        <v>0</v>
      </c>
      <c r="AE18" s="19">
        <v>0</v>
      </c>
      <c r="AF18" s="19">
        <v>0</v>
      </c>
      <c r="AG18" s="19">
        <v>0</v>
      </c>
      <c r="AH18" s="20">
        <v>0</v>
      </c>
      <c r="AI18" s="43">
        <v>0</v>
      </c>
      <c r="AJ18" s="42">
        <v>0</v>
      </c>
      <c r="AK18" s="18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</row>
    <row r="19" spans="1:68">
      <c r="A19" s="8"/>
      <c r="B19" s="41">
        <v>9</v>
      </c>
      <c r="C19" s="51">
        <v>0</v>
      </c>
      <c r="D19" s="52">
        <v>0</v>
      </c>
      <c r="E19" s="43">
        <v>19.8</v>
      </c>
      <c r="F19" s="42">
        <v>0</v>
      </c>
      <c r="G19" s="19">
        <v>0</v>
      </c>
      <c r="H19" s="19">
        <v>0</v>
      </c>
      <c r="I19" s="19">
        <v>0</v>
      </c>
      <c r="J19" s="20">
        <v>0</v>
      </c>
      <c r="K19" s="43">
        <v>27.7</v>
      </c>
      <c r="L19" s="44">
        <v>0</v>
      </c>
      <c r="M19" s="43">
        <v>3.6</v>
      </c>
      <c r="N19" s="42">
        <v>0</v>
      </c>
      <c r="O19" s="19">
        <v>0</v>
      </c>
      <c r="P19" s="19">
        <v>0</v>
      </c>
      <c r="Q19" s="18">
        <v>0</v>
      </c>
      <c r="R19" s="19">
        <v>0</v>
      </c>
      <c r="S19" s="19">
        <v>0</v>
      </c>
      <c r="T19" s="20">
        <v>0</v>
      </c>
      <c r="U19" s="43">
        <v>8</v>
      </c>
      <c r="V19" s="42">
        <v>0</v>
      </c>
      <c r="W19" s="19">
        <v>0</v>
      </c>
      <c r="X19" s="20">
        <v>0</v>
      </c>
      <c r="Y19" s="43">
        <v>0</v>
      </c>
      <c r="Z19" s="42">
        <v>0</v>
      </c>
      <c r="AA19" s="18">
        <v>0</v>
      </c>
      <c r="AB19" s="19">
        <v>0</v>
      </c>
      <c r="AC19" s="18">
        <v>0</v>
      </c>
      <c r="AD19" s="19">
        <v>0</v>
      </c>
      <c r="AE19" s="19">
        <v>0</v>
      </c>
      <c r="AF19" s="19">
        <v>0</v>
      </c>
      <c r="AG19" s="19">
        <v>0</v>
      </c>
      <c r="AH19" s="20">
        <v>0</v>
      </c>
      <c r="AI19" s="43">
        <v>456.00000000000011</v>
      </c>
      <c r="AJ19" s="42">
        <v>0</v>
      </c>
      <c r="AK19" s="18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</row>
    <row r="20" spans="1:68">
      <c r="A20" s="8"/>
      <c r="B20" s="41">
        <v>10</v>
      </c>
      <c r="C20" s="51">
        <v>0</v>
      </c>
      <c r="D20" s="52">
        <v>0</v>
      </c>
      <c r="E20" s="43">
        <v>0</v>
      </c>
      <c r="F20" s="42">
        <v>0</v>
      </c>
      <c r="G20" s="19">
        <v>0</v>
      </c>
      <c r="H20" s="19">
        <v>0</v>
      </c>
      <c r="I20" s="19">
        <v>0</v>
      </c>
      <c r="J20" s="20">
        <v>0</v>
      </c>
      <c r="K20" s="43">
        <v>0</v>
      </c>
      <c r="L20" s="44">
        <v>0</v>
      </c>
      <c r="M20" s="43">
        <v>0</v>
      </c>
      <c r="N20" s="42">
        <v>0</v>
      </c>
      <c r="O20" s="19">
        <v>0</v>
      </c>
      <c r="P20" s="19">
        <v>0</v>
      </c>
      <c r="Q20" s="18">
        <v>0</v>
      </c>
      <c r="R20" s="19">
        <v>0</v>
      </c>
      <c r="S20" s="19">
        <v>0</v>
      </c>
      <c r="T20" s="20">
        <v>0</v>
      </c>
      <c r="U20" s="43">
        <v>0</v>
      </c>
      <c r="V20" s="42">
        <v>0</v>
      </c>
      <c r="W20" s="19">
        <v>0</v>
      </c>
      <c r="X20" s="20">
        <v>0</v>
      </c>
      <c r="Y20" s="43">
        <v>0</v>
      </c>
      <c r="Z20" s="42">
        <v>0</v>
      </c>
      <c r="AA20" s="18">
        <v>0</v>
      </c>
      <c r="AB20" s="19">
        <v>0</v>
      </c>
      <c r="AC20" s="18">
        <v>0</v>
      </c>
      <c r="AD20" s="19">
        <v>0</v>
      </c>
      <c r="AE20" s="19">
        <v>0</v>
      </c>
      <c r="AF20" s="19">
        <v>0</v>
      </c>
      <c r="AG20" s="19">
        <v>0</v>
      </c>
      <c r="AH20" s="20">
        <v>0</v>
      </c>
      <c r="AI20" s="43">
        <v>0</v>
      </c>
      <c r="AJ20" s="42">
        <v>0</v>
      </c>
      <c r="AK20" s="18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</row>
    <row r="21" spans="1:68">
      <c r="A21" s="8"/>
      <c r="B21" s="41">
        <v>11</v>
      </c>
      <c r="C21" s="51">
        <v>0</v>
      </c>
      <c r="D21" s="52">
        <v>0</v>
      </c>
      <c r="E21" s="43">
        <v>21.2</v>
      </c>
      <c r="F21" s="42">
        <v>0</v>
      </c>
      <c r="G21" s="19">
        <v>0</v>
      </c>
      <c r="H21" s="19">
        <v>0</v>
      </c>
      <c r="I21" s="19">
        <v>0</v>
      </c>
      <c r="J21" s="20">
        <v>0</v>
      </c>
      <c r="K21" s="43">
        <v>23.3</v>
      </c>
      <c r="L21" s="44">
        <v>0</v>
      </c>
      <c r="M21" s="43">
        <v>8.8000000000000007</v>
      </c>
      <c r="N21" s="42">
        <v>0</v>
      </c>
      <c r="O21" s="19">
        <v>0</v>
      </c>
      <c r="P21" s="19">
        <v>0</v>
      </c>
      <c r="Q21" s="18">
        <v>0</v>
      </c>
      <c r="R21" s="19">
        <v>0</v>
      </c>
      <c r="S21" s="19">
        <v>0</v>
      </c>
      <c r="T21" s="20">
        <v>0</v>
      </c>
      <c r="U21" s="43">
        <v>17.5</v>
      </c>
      <c r="V21" s="42">
        <v>0</v>
      </c>
      <c r="W21" s="19">
        <v>0</v>
      </c>
      <c r="X21" s="20">
        <v>0</v>
      </c>
      <c r="Y21" s="43">
        <v>0</v>
      </c>
      <c r="Z21" s="42">
        <v>0</v>
      </c>
      <c r="AA21" s="18">
        <v>0</v>
      </c>
      <c r="AB21" s="19">
        <v>0</v>
      </c>
      <c r="AC21" s="18">
        <v>0</v>
      </c>
      <c r="AD21" s="19">
        <v>0</v>
      </c>
      <c r="AE21" s="19">
        <v>0</v>
      </c>
      <c r="AF21" s="19">
        <v>0</v>
      </c>
      <c r="AG21" s="19">
        <v>0</v>
      </c>
      <c r="AH21" s="20">
        <v>0</v>
      </c>
      <c r="AI21" s="43">
        <v>328</v>
      </c>
      <c r="AJ21" s="42">
        <v>0</v>
      </c>
      <c r="AK21" s="18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</row>
    <row r="22" spans="1:68">
      <c r="A22" s="8"/>
      <c r="B22" s="41">
        <v>12</v>
      </c>
      <c r="C22" s="51">
        <v>0</v>
      </c>
      <c r="D22" s="52">
        <v>0</v>
      </c>
      <c r="E22" s="43">
        <v>0</v>
      </c>
      <c r="F22" s="42">
        <v>0</v>
      </c>
      <c r="G22" s="19">
        <v>0</v>
      </c>
      <c r="H22" s="19">
        <v>0</v>
      </c>
      <c r="I22" s="19">
        <v>0</v>
      </c>
      <c r="J22" s="20">
        <v>0</v>
      </c>
      <c r="K22" s="43">
        <v>0</v>
      </c>
      <c r="L22" s="44">
        <v>0</v>
      </c>
      <c r="M22" s="43">
        <v>0</v>
      </c>
      <c r="N22" s="42">
        <v>0</v>
      </c>
      <c r="O22" s="19">
        <v>0</v>
      </c>
      <c r="P22" s="19">
        <v>0</v>
      </c>
      <c r="Q22" s="18">
        <v>0</v>
      </c>
      <c r="R22" s="19">
        <v>0</v>
      </c>
      <c r="S22" s="19">
        <v>0</v>
      </c>
      <c r="T22" s="20">
        <v>0</v>
      </c>
      <c r="U22" s="43">
        <v>0</v>
      </c>
      <c r="V22" s="42">
        <v>0</v>
      </c>
      <c r="W22" s="19">
        <v>0</v>
      </c>
      <c r="X22" s="20">
        <v>0</v>
      </c>
      <c r="Y22" s="43">
        <v>0</v>
      </c>
      <c r="Z22" s="42">
        <v>0</v>
      </c>
      <c r="AA22" s="18">
        <v>0</v>
      </c>
      <c r="AB22" s="19">
        <v>0</v>
      </c>
      <c r="AC22" s="18">
        <v>0</v>
      </c>
      <c r="AD22" s="19">
        <v>0</v>
      </c>
      <c r="AE22" s="19">
        <v>0</v>
      </c>
      <c r="AF22" s="19">
        <v>0</v>
      </c>
      <c r="AG22" s="19">
        <v>0</v>
      </c>
      <c r="AH22" s="20">
        <v>0</v>
      </c>
      <c r="AI22" s="43">
        <v>0</v>
      </c>
      <c r="AJ22" s="42">
        <v>0</v>
      </c>
      <c r="AK22" s="18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</row>
    <row r="23" spans="1:68">
      <c r="A23" s="8"/>
      <c r="B23" s="41">
        <v>13</v>
      </c>
      <c r="C23" s="51">
        <v>0</v>
      </c>
      <c r="D23" s="52">
        <v>0</v>
      </c>
      <c r="E23" s="43">
        <v>24</v>
      </c>
      <c r="F23" s="42">
        <v>0</v>
      </c>
      <c r="G23" s="19">
        <v>0</v>
      </c>
      <c r="H23" s="19">
        <v>0</v>
      </c>
      <c r="I23" s="19">
        <v>0</v>
      </c>
      <c r="J23" s="20">
        <v>0</v>
      </c>
      <c r="K23" s="43">
        <v>18.600000000000001</v>
      </c>
      <c r="L23" s="44">
        <v>0</v>
      </c>
      <c r="M23" s="43">
        <v>6.1</v>
      </c>
      <c r="N23" s="42">
        <v>0</v>
      </c>
      <c r="O23" s="19">
        <v>0</v>
      </c>
      <c r="P23" s="19">
        <v>0</v>
      </c>
      <c r="Q23" s="18">
        <v>0</v>
      </c>
      <c r="R23" s="19">
        <v>0</v>
      </c>
      <c r="S23" s="19">
        <v>0</v>
      </c>
      <c r="T23" s="20">
        <v>0</v>
      </c>
      <c r="U23" s="43">
        <v>18</v>
      </c>
      <c r="V23" s="42">
        <v>0</v>
      </c>
      <c r="W23" s="19">
        <v>0</v>
      </c>
      <c r="X23" s="20">
        <v>0</v>
      </c>
      <c r="Y23" s="43">
        <v>0</v>
      </c>
      <c r="Z23" s="42">
        <v>0</v>
      </c>
      <c r="AA23" s="18">
        <v>0</v>
      </c>
      <c r="AB23" s="19">
        <v>0</v>
      </c>
      <c r="AC23" s="18">
        <v>0</v>
      </c>
      <c r="AD23" s="19">
        <v>0</v>
      </c>
      <c r="AE23" s="19">
        <v>0</v>
      </c>
      <c r="AF23" s="19">
        <v>0</v>
      </c>
      <c r="AG23" s="19">
        <v>0</v>
      </c>
      <c r="AH23" s="20">
        <v>0</v>
      </c>
      <c r="AI23" s="43">
        <v>415.99999999999994</v>
      </c>
      <c r="AJ23" s="42">
        <v>0</v>
      </c>
      <c r="AK23" s="18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</row>
    <row r="24" spans="1:68">
      <c r="A24" s="8"/>
      <c r="B24" s="41">
        <v>14</v>
      </c>
      <c r="C24" s="51">
        <v>0</v>
      </c>
      <c r="D24" s="52">
        <v>0</v>
      </c>
      <c r="E24" s="43">
        <v>0</v>
      </c>
      <c r="F24" s="42">
        <v>0</v>
      </c>
      <c r="G24" s="19">
        <v>0</v>
      </c>
      <c r="H24" s="19">
        <v>0</v>
      </c>
      <c r="I24" s="19">
        <v>0</v>
      </c>
      <c r="J24" s="20">
        <v>0</v>
      </c>
      <c r="K24" s="43">
        <v>0</v>
      </c>
      <c r="L24" s="44">
        <v>0</v>
      </c>
      <c r="M24" s="43">
        <v>0</v>
      </c>
      <c r="N24" s="42">
        <v>0</v>
      </c>
      <c r="O24" s="19">
        <v>0</v>
      </c>
      <c r="P24" s="19">
        <v>0</v>
      </c>
      <c r="Q24" s="18">
        <v>0</v>
      </c>
      <c r="R24" s="19">
        <v>0</v>
      </c>
      <c r="S24" s="19">
        <v>0</v>
      </c>
      <c r="T24" s="20">
        <v>0</v>
      </c>
      <c r="U24" s="43">
        <v>0</v>
      </c>
      <c r="V24" s="42">
        <v>0</v>
      </c>
      <c r="W24" s="19">
        <v>0</v>
      </c>
      <c r="X24" s="20">
        <v>0</v>
      </c>
      <c r="Y24" s="43">
        <v>0</v>
      </c>
      <c r="Z24" s="42">
        <v>0</v>
      </c>
      <c r="AA24" s="18">
        <v>0</v>
      </c>
      <c r="AB24" s="19">
        <v>0</v>
      </c>
      <c r="AC24" s="18">
        <v>0</v>
      </c>
      <c r="AD24" s="19">
        <v>0</v>
      </c>
      <c r="AE24" s="19">
        <v>0</v>
      </c>
      <c r="AF24" s="19">
        <v>0</v>
      </c>
      <c r="AG24" s="19">
        <v>0</v>
      </c>
      <c r="AH24" s="20">
        <v>0</v>
      </c>
      <c r="AI24" s="43">
        <v>0</v>
      </c>
      <c r="AJ24" s="42">
        <v>0</v>
      </c>
      <c r="AK24" s="18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</row>
    <row r="25" spans="1:68">
      <c r="A25" s="8"/>
      <c r="B25" s="41">
        <v>15</v>
      </c>
      <c r="C25" s="51">
        <v>0</v>
      </c>
      <c r="D25" s="52">
        <v>0</v>
      </c>
      <c r="E25" s="43">
        <v>23.3</v>
      </c>
      <c r="F25" s="42">
        <v>0</v>
      </c>
      <c r="G25" s="19">
        <v>0</v>
      </c>
      <c r="H25" s="19">
        <v>0</v>
      </c>
      <c r="I25" s="19">
        <v>0</v>
      </c>
      <c r="J25" s="20">
        <v>0</v>
      </c>
      <c r="K25" s="43">
        <v>23.4</v>
      </c>
      <c r="L25" s="44">
        <v>0</v>
      </c>
      <c r="M25" s="43">
        <v>4.5</v>
      </c>
      <c r="N25" s="42">
        <v>0</v>
      </c>
      <c r="O25" s="19">
        <v>0</v>
      </c>
      <c r="P25" s="19">
        <v>0</v>
      </c>
      <c r="Q25" s="18">
        <v>0</v>
      </c>
      <c r="R25" s="19">
        <v>0</v>
      </c>
      <c r="S25" s="19">
        <v>0</v>
      </c>
      <c r="T25" s="20">
        <v>0</v>
      </c>
      <c r="U25" s="43">
        <v>12.5</v>
      </c>
      <c r="V25" s="42">
        <v>0</v>
      </c>
      <c r="W25" s="19">
        <v>0</v>
      </c>
      <c r="X25" s="20">
        <v>0</v>
      </c>
      <c r="Y25" s="43">
        <v>0</v>
      </c>
      <c r="Z25" s="42">
        <v>0</v>
      </c>
      <c r="AA25" s="18">
        <v>0</v>
      </c>
      <c r="AB25" s="19">
        <v>0</v>
      </c>
      <c r="AC25" s="18">
        <v>0</v>
      </c>
      <c r="AD25" s="19">
        <v>0</v>
      </c>
      <c r="AE25" s="19">
        <v>0</v>
      </c>
      <c r="AF25" s="19">
        <v>0</v>
      </c>
      <c r="AG25" s="19">
        <v>0</v>
      </c>
      <c r="AH25" s="20">
        <v>0</v>
      </c>
      <c r="AI25" s="43">
        <v>336</v>
      </c>
      <c r="AJ25" s="42">
        <v>0</v>
      </c>
      <c r="AK25" s="18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</row>
    <row r="26" spans="1:68">
      <c r="A26" s="8"/>
      <c r="B26" s="41">
        <v>16</v>
      </c>
      <c r="C26" s="51">
        <v>0</v>
      </c>
      <c r="D26" s="52">
        <v>0</v>
      </c>
      <c r="E26" s="43">
        <v>0</v>
      </c>
      <c r="F26" s="42">
        <v>0</v>
      </c>
      <c r="G26" s="19">
        <v>0</v>
      </c>
      <c r="H26" s="19">
        <v>0</v>
      </c>
      <c r="I26" s="19">
        <v>0</v>
      </c>
      <c r="J26" s="20">
        <v>0</v>
      </c>
      <c r="K26" s="43">
        <v>0</v>
      </c>
      <c r="L26" s="44">
        <v>0</v>
      </c>
      <c r="M26" s="43">
        <v>0</v>
      </c>
      <c r="N26" s="42">
        <v>0</v>
      </c>
      <c r="O26" s="19">
        <v>0</v>
      </c>
      <c r="P26" s="19">
        <v>0</v>
      </c>
      <c r="Q26" s="18">
        <v>0</v>
      </c>
      <c r="R26" s="19">
        <v>0</v>
      </c>
      <c r="S26" s="19">
        <v>0</v>
      </c>
      <c r="T26" s="20">
        <v>0</v>
      </c>
      <c r="U26" s="43">
        <v>0</v>
      </c>
      <c r="V26" s="42">
        <v>0</v>
      </c>
      <c r="W26" s="19">
        <v>0</v>
      </c>
      <c r="X26" s="20">
        <v>0</v>
      </c>
      <c r="Y26" s="43">
        <v>0</v>
      </c>
      <c r="Z26" s="42">
        <v>0</v>
      </c>
      <c r="AA26" s="18">
        <v>0</v>
      </c>
      <c r="AB26" s="19">
        <v>0</v>
      </c>
      <c r="AC26" s="18">
        <v>0</v>
      </c>
      <c r="AD26" s="19">
        <v>0</v>
      </c>
      <c r="AE26" s="19">
        <v>0</v>
      </c>
      <c r="AF26" s="19">
        <v>0</v>
      </c>
      <c r="AG26" s="19">
        <v>0</v>
      </c>
      <c r="AH26" s="20">
        <v>0</v>
      </c>
      <c r="AI26" s="43">
        <v>0</v>
      </c>
      <c r="AJ26" s="42">
        <v>0</v>
      </c>
      <c r="AK26" s="18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0</v>
      </c>
      <c r="BP26" s="19">
        <v>0</v>
      </c>
    </row>
    <row r="27" spans="1:68">
      <c r="A27" s="8"/>
      <c r="B27" s="41">
        <v>17</v>
      </c>
      <c r="C27" s="51">
        <v>0</v>
      </c>
      <c r="D27" s="52">
        <v>0</v>
      </c>
      <c r="E27" s="43">
        <v>25.700000000000003</v>
      </c>
      <c r="F27" s="42">
        <v>0</v>
      </c>
      <c r="G27" s="19">
        <v>0</v>
      </c>
      <c r="H27" s="19">
        <v>0</v>
      </c>
      <c r="I27" s="19">
        <v>0</v>
      </c>
      <c r="J27" s="20">
        <v>0</v>
      </c>
      <c r="K27" s="43">
        <v>28.1</v>
      </c>
      <c r="L27" s="44">
        <v>0</v>
      </c>
      <c r="M27" s="43">
        <v>5.7</v>
      </c>
      <c r="N27" s="42">
        <v>0</v>
      </c>
      <c r="O27" s="19">
        <v>0</v>
      </c>
      <c r="P27" s="19">
        <v>0</v>
      </c>
      <c r="Q27" s="18">
        <v>0</v>
      </c>
      <c r="R27" s="19">
        <v>0</v>
      </c>
      <c r="S27" s="19">
        <v>0</v>
      </c>
      <c r="T27" s="20">
        <v>0</v>
      </c>
      <c r="U27" s="43">
        <v>9</v>
      </c>
      <c r="V27" s="42">
        <v>0</v>
      </c>
      <c r="W27" s="19">
        <v>0</v>
      </c>
      <c r="X27" s="20">
        <v>0</v>
      </c>
      <c r="Y27" s="43">
        <v>0</v>
      </c>
      <c r="Z27" s="42">
        <v>0</v>
      </c>
      <c r="AA27" s="18">
        <v>0</v>
      </c>
      <c r="AB27" s="19">
        <v>0</v>
      </c>
      <c r="AC27" s="18">
        <v>0</v>
      </c>
      <c r="AD27" s="19">
        <v>0</v>
      </c>
      <c r="AE27" s="19">
        <v>0</v>
      </c>
      <c r="AF27" s="19">
        <v>0</v>
      </c>
      <c r="AG27" s="19">
        <v>0</v>
      </c>
      <c r="AH27" s="20">
        <v>0</v>
      </c>
      <c r="AI27" s="43">
        <v>448.00000000000006</v>
      </c>
      <c r="AJ27" s="42">
        <v>0</v>
      </c>
      <c r="AK27" s="18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</row>
    <row r="28" spans="1:68">
      <c r="A28" s="8"/>
      <c r="B28" s="41">
        <v>18</v>
      </c>
      <c r="C28" s="51">
        <v>0</v>
      </c>
      <c r="D28" s="52">
        <v>0</v>
      </c>
      <c r="E28" s="43">
        <v>0</v>
      </c>
      <c r="F28" s="42">
        <v>0</v>
      </c>
      <c r="G28" s="19">
        <v>0</v>
      </c>
      <c r="H28" s="19">
        <v>0</v>
      </c>
      <c r="I28" s="19">
        <v>0</v>
      </c>
      <c r="J28" s="20">
        <v>0</v>
      </c>
      <c r="K28" s="43">
        <v>0</v>
      </c>
      <c r="L28" s="44">
        <v>0</v>
      </c>
      <c r="M28" s="43">
        <v>0</v>
      </c>
      <c r="N28" s="42">
        <v>0</v>
      </c>
      <c r="O28" s="19">
        <v>0</v>
      </c>
      <c r="P28" s="19">
        <v>0</v>
      </c>
      <c r="Q28" s="18">
        <v>0</v>
      </c>
      <c r="R28" s="19">
        <v>0</v>
      </c>
      <c r="S28" s="19">
        <v>0</v>
      </c>
      <c r="T28" s="20">
        <v>0</v>
      </c>
      <c r="U28" s="43">
        <v>0</v>
      </c>
      <c r="V28" s="42">
        <v>0</v>
      </c>
      <c r="W28" s="19">
        <v>0</v>
      </c>
      <c r="X28" s="20">
        <v>0</v>
      </c>
      <c r="Y28" s="43">
        <v>0</v>
      </c>
      <c r="Z28" s="42">
        <v>0</v>
      </c>
      <c r="AA28" s="18">
        <v>0</v>
      </c>
      <c r="AB28" s="19">
        <v>0</v>
      </c>
      <c r="AC28" s="18">
        <v>0</v>
      </c>
      <c r="AD28" s="19">
        <v>0</v>
      </c>
      <c r="AE28" s="19">
        <v>0</v>
      </c>
      <c r="AF28" s="19">
        <v>0</v>
      </c>
      <c r="AG28" s="19">
        <v>0</v>
      </c>
      <c r="AH28" s="20">
        <v>0</v>
      </c>
      <c r="AI28" s="43">
        <v>0</v>
      </c>
      <c r="AJ28" s="42">
        <v>0</v>
      </c>
      <c r="AK28" s="18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</row>
    <row r="29" spans="1:68">
      <c r="A29" s="8"/>
      <c r="B29" s="41">
        <v>19</v>
      </c>
      <c r="C29" s="51">
        <v>0</v>
      </c>
      <c r="D29" s="52">
        <v>0</v>
      </c>
      <c r="E29" s="43">
        <v>29.2</v>
      </c>
      <c r="F29" s="42">
        <v>0</v>
      </c>
      <c r="G29" s="19">
        <v>0</v>
      </c>
      <c r="H29" s="19">
        <v>0</v>
      </c>
      <c r="I29" s="19">
        <v>0</v>
      </c>
      <c r="J29" s="20">
        <v>0</v>
      </c>
      <c r="K29" s="43">
        <v>29.3</v>
      </c>
      <c r="L29" s="44">
        <v>0</v>
      </c>
      <c r="M29" s="43">
        <v>9.1999999999999993</v>
      </c>
      <c r="N29" s="42">
        <v>0</v>
      </c>
      <c r="O29" s="19">
        <v>0</v>
      </c>
      <c r="P29" s="19">
        <v>0</v>
      </c>
      <c r="Q29" s="18">
        <v>0</v>
      </c>
      <c r="R29" s="19">
        <v>0</v>
      </c>
      <c r="S29" s="19">
        <v>0</v>
      </c>
      <c r="T29" s="20">
        <v>0</v>
      </c>
      <c r="U29" s="43">
        <v>13</v>
      </c>
      <c r="V29" s="42">
        <v>0</v>
      </c>
      <c r="W29" s="19">
        <v>0</v>
      </c>
      <c r="X29" s="20">
        <v>0</v>
      </c>
      <c r="Y29" s="43">
        <v>0</v>
      </c>
      <c r="Z29" s="42">
        <v>0</v>
      </c>
      <c r="AA29" s="18">
        <v>0</v>
      </c>
      <c r="AB29" s="19">
        <v>0</v>
      </c>
      <c r="AC29" s="18">
        <v>0</v>
      </c>
      <c r="AD29" s="19">
        <v>0</v>
      </c>
      <c r="AE29" s="19">
        <v>0</v>
      </c>
      <c r="AF29" s="19">
        <v>0</v>
      </c>
      <c r="AG29" s="19">
        <v>0</v>
      </c>
      <c r="AH29" s="20">
        <v>0</v>
      </c>
      <c r="AI29" s="43">
        <v>392</v>
      </c>
      <c r="AJ29" s="42">
        <v>0</v>
      </c>
      <c r="AK29" s="18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</row>
    <row r="30" spans="1:68">
      <c r="A30" s="8"/>
      <c r="B30" s="41">
        <v>20</v>
      </c>
      <c r="C30" s="51">
        <v>0</v>
      </c>
      <c r="D30" s="52">
        <v>0</v>
      </c>
      <c r="E30" s="43">
        <v>0</v>
      </c>
      <c r="F30" s="42">
        <v>0</v>
      </c>
      <c r="G30" s="19">
        <v>0</v>
      </c>
      <c r="H30" s="19">
        <v>0</v>
      </c>
      <c r="I30" s="19">
        <v>0</v>
      </c>
      <c r="J30" s="20">
        <v>0</v>
      </c>
      <c r="K30" s="43">
        <v>0</v>
      </c>
      <c r="L30" s="44">
        <v>0</v>
      </c>
      <c r="M30" s="43">
        <v>0</v>
      </c>
      <c r="N30" s="42">
        <v>0</v>
      </c>
      <c r="O30" s="19">
        <v>0</v>
      </c>
      <c r="P30" s="19">
        <v>0</v>
      </c>
      <c r="Q30" s="18">
        <v>0</v>
      </c>
      <c r="R30" s="19">
        <v>0</v>
      </c>
      <c r="S30" s="19">
        <v>0</v>
      </c>
      <c r="T30" s="20">
        <v>0</v>
      </c>
      <c r="U30" s="43">
        <v>0</v>
      </c>
      <c r="V30" s="42">
        <v>0</v>
      </c>
      <c r="W30" s="19">
        <v>0</v>
      </c>
      <c r="X30" s="20">
        <v>0</v>
      </c>
      <c r="Y30" s="43">
        <v>0</v>
      </c>
      <c r="Z30" s="42">
        <v>0</v>
      </c>
      <c r="AA30" s="18">
        <v>0</v>
      </c>
      <c r="AB30" s="19">
        <v>0</v>
      </c>
      <c r="AC30" s="18">
        <v>0</v>
      </c>
      <c r="AD30" s="19">
        <v>0</v>
      </c>
      <c r="AE30" s="19">
        <v>0</v>
      </c>
      <c r="AF30" s="19">
        <v>0</v>
      </c>
      <c r="AG30" s="19">
        <v>0</v>
      </c>
      <c r="AH30" s="20">
        <v>0</v>
      </c>
      <c r="AI30" s="43">
        <v>0</v>
      </c>
      <c r="AJ30" s="42">
        <v>0</v>
      </c>
      <c r="AK30" s="18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</row>
    <row r="31" spans="1:68">
      <c r="A31" s="8"/>
      <c r="B31" s="41">
        <v>21</v>
      </c>
      <c r="C31" s="51">
        <v>0</v>
      </c>
      <c r="D31" s="52">
        <v>0</v>
      </c>
      <c r="E31" s="43">
        <v>22.700000000000003</v>
      </c>
      <c r="F31" s="42">
        <v>0</v>
      </c>
      <c r="G31" s="19">
        <v>0</v>
      </c>
      <c r="H31" s="19">
        <v>0</v>
      </c>
      <c r="I31" s="19">
        <v>0</v>
      </c>
      <c r="J31" s="20">
        <v>0</v>
      </c>
      <c r="K31" s="43">
        <v>17.7</v>
      </c>
      <c r="L31" s="44">
        <v>0</v>
      </c>
      <c r="M31" s="43">
        <v>5.5</v>
      </c>
      <c r="N31" s="42">
        <v>0</v>
      </c>
      <c r="O31" s="19">
        <v>0</v>
      </c>
      <c r="P31" s="19">
        <v>0</v>
      </c>
      <c r="Q31" s="18">
        <v>0</v>
      </c>
      <c r="R31" s="19">
        <v>0</v>
      </c>
      <c r="S31" s="19">
        <v>0</v>
      </c>
      <c r="T31" s="20">
        <v>0</v>
      </c>
      <c r="U31" s="43">
        <v>8.5</v>
      </c>
      <c r="V31" s="42">
        <v>0</v>
      </c>
      <c r="W31" s="19">
        <v>0</v>
      </c>
      <c r="X31" s="20">
        <v>0</v>
      </c>
      <c r="Y31" s="43">
        <v>0</v>
      </c>
      <c r="Z31" s="42">
        <v>0</v>
      </c>
      <c r="AA31" s="18">
        <v>0</v>
      </c>
      <c r="AB31" s="19">
        <v>0</v>
      </c>
      <c r="AC31" s="18">
        <v>0</v>
      </c>
      <c r="AD31" s="19">
        <v>0</v>
      </c>
      <c r="AE31" s="19">
        <v>0</v>
      </c>
      <c r="AF31" s="19">
        <v>0</v>
      </c>
      <c r="AG31" s="19">
        <v>0</v>
      </c>
      <c r="AH31" s="20">
        <v>0</v>
      </c>
      <c r="AI31" s="43">
        <v>424</v>
      </c>
      <c r="AJ31" s="42">
        <v>0</v>
      </c>
      <c r="AK31" s="18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</row>
    <row r="32" spans="1:68">
      <c r="A32" s="8"/>
      <c r="B32" s="41">
        <v>22</v>
      </c>
      <c r="C32" s="51">
        <v>0</v>
      </c>
      <c r="D32" s="52">
        <v>0</v>
      </c>
      <c r="E32" s="43">
        <v>0</v>
      </c>
      <c r="F32" s="42">
        <v>0</v>
      </c>
      <c r="G32" s="19">
        <v>0</v>
      </c>
      <c r="H32" s="19">
        <v>0</v>
      </c>
      <c r="I32" s="19">
        <v>0</v>
      </c>
      <c r="J32" s="20">
        <v>0</v>
      </c>
      <c r="K32" s="43">
        <v>0</v>
      </c>
      <c r="L32" s="44">
        <v>0</v>
      </c>
      <c r="M32" s="43">
        <v>0</v>
      </c>
      <c r="N32" s="42">
        <v>0</v>
      </c>
      <c r="O32" s="19">
        <v>0</v>
      </c>
      <c r="P32" s="19">
        <v>0</v>
      </c>
      <c r="Q32" s="18">
        <v>0</v>
      </c>
      <c r="R32" s="19">
        <v>0</v>
      </c>
      <c r="S32" s="19">
        <v>0</v>
      </c>
      <c r="T32" s="20">
        <v>0</v>
      </c>
      <c r="U32" s="43">
        <v>0</v>
      </c>
      <c r="V32" s="42">
        <v>0</v>
      </c>
      <c r="W32" s="19">
        <v>0</v>
      </c>
      <c r="X32" s="20">
        <v>0</v>
      </c>
      <c r="Y32" s="43">
        <v>0</v>
      </c>
      <c r="Z32" s="42">
        <v>0</v>
      </c>
      <c r="AA32" s="18">
        <v>0</v>
      </c>
      <c r="AB32" s="19">
        <v>0</v>
      </c>
      <c r="AC32" s="18">
        <v>0</v>
      </c>
      <c r="AD32" s="19">
        <v>0</v>
      </c>
      <c r="AE32" s="19">
        <v>0</v>
      </c>
      <c r="AF32" s="19">
        <v>0</v>
      </c>
      <c r="AG32" s="19">
        <v>0</v>
      </c>
      <c r="AH32" s="20">
        <v>0</v>
      </c>
      <c r="AI32" s="43">
        <v>0</v>
      </c>
      <c r="AJ32" s="42">
        <v>0</v>
      </c>
      <c r="AK32" s="18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</row>
    <row r="33" spans="1:68">
      <c r="A33" s="8"/>
      <c r="B33" s="41">
        <v>23</v>
      </c>
      <c r="C33" s="51">
        <v>0</v>
      </c>
      <c r="D33" s="52">
        <v>0</v>
      </c>
      <c r="E33" s="43">
        <v>28.4</v>
      </c>
      <c r="F33" s="42">
        <v>0</v>
      </c>
      <c r="G33" s="19">
        <v>0</v>
      </c>
      <c r="H33" s="19">
        <v>0</v>
      </c>
      <c r="I33" s="19">
        <v>0</v>
      </c>
      <c r="J33" s="20">
        <v>0</v>
      </c>
      <c r="K33" s="43">
        <v>23.8</v>
      </c>
      <c r="L33" s="44">
        <v>0</v>
      </c>
      <c r="M33" s="43">
        <v>8.6</v>
      </c>
      <c r="N33" s="42">
        <v>0</v>
      </c>
      <c r="O33" s="19">
        <v>0</v>
      </c>
      <c r="P33" s="19">
        <v>0</v>
      </c>
      <c r="Q33" s="18">
        <v>0</v>
      </c>
      <c r="R33" s="19">
        <v>0</v>
      </c>
      <c r="S33" s="19">
        <v>0</v>
      </c>
      <c r="T33" s="20">
        <v>0</v>
      </c>
      <c r="U33" s="43">
        <v>17.5</v>
      </c>
      <c r="V33" s="42">
        <v>0</v>
      </c>
      <c r="W33" s="19">
        <v>0</v>
      </c>
      <c r="X33" s="20">
        <v>0</v>
      </c>
      <c r="Y33" s="43">
        <v>0</v>
      </c>
      <c r="Z33" s="42">
        <v>0</v>
      </c>
      <c r="AA33" s="18">
        <v>0</v>
      </c>
      <c r="AB33" s="19">
        <v>0</v>
      </c>
      <c r="AC33" s="18">
        <v>0</v>
      </c>
      <c r="AD33" s="19">
        <v>0</v>
      </c>
      <c r="AE33" s="19">
        <v>0</v>
      </c>
      <c r="AF33" s="19">
        <v>0</v>
      </c>
      <c r="AG33" s="19">
        <v>0</v>
      </c>
      <c r="AH33" s="20">
        <v>0</v>
      </c>
      <c r="AI33" s="43">
        <v>528.00000000000011</v>
      </c>
      <c r="AJ33" s="42">
        <v>0</v>
      </c>
      <c r="AK33" s="18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0</v>
      </c>
      <c r="BM33" s="19">
        <v>0</v>
      </c>
      <c r="BN33" s="19">
        <v>0</v>
      </c>
      <c r="BO33" s="19">
        <v>0</v>
      </c>
      <c r="BP33" s="19">
        <v>0</v>
      </c>
    </row>
    <row r="34" spans="1:68">
      <c r="A34" s="8"/>
      <c r="B34" s="41">
        <v>24</v>
      </c>
      <c r="C34" s="51">
        <v>0</v>
      </c>
      <c r="D34" s="52">
        <v>0</v>
      </c>
      <c r="E34" s="43">
        <v>0</v>
      </c>
      <c r="F34" s="42">
        <v>0</v>
      </c>
      <c r="G34" s="19">
        <v>0</v>
      </c>
      <c r="H34" s="19">
        <v>0</v>
      </c>
      <c r="I34" s="19">
        <v>0</v>
      </c>
      <c r="J34" s="20">
        <v>0</v>
      </c>
      <c r="K34" s="43">
        <v>0</v>
      </c>
      <c r="L34" s="44">
        <v>0</v>
      </c>
      <c r="M34" s="43">
        <v>0</v>
      </c>
      <c r="N34" s="42">
        <v>0</v>
      </c>
      <c r="O34" s="19">
        <v>0</v>
      </c>
      <c r="P34" s="19">
        <v>0</v>
      </c>
      <c r="Q34" s="18">
        <v>0</v>
      </c>
      <c r="R34" s="19">
        <v>0</v>
      </c>
      <c r="S34" s="19">
        <v>0</v>
      </c>
      <c r="T34" s="20">
        <v>0</v>
      </c>
      <c r="U34" s="43">
        <v>0</v>
      </c>
      <c r="V34" s="42">
        <v>0</v>
      </c>
      <c r="W34" s="19">
        <v>0</v>
      </c>
      <c r="X34" s="20">
        <v>0</v>
      </c>
      <c r="Y34" s="43">
        <v>0</v>
      </c>
      <c r="Z34" s="42">
        <v>0</v>
      </c>
      <c r="AA34" s="18">
        <v>0</v>
      </c>
      <c r="AB34" s="19">
        <v>0</v>
      </c>
      <c r="AC34" s="18">
        <v>0</v>
      </c>
      <c r="AD34" s="19">
        <v>0</v>
      </c>
      <c r="AE34" s="19">
        <v>0</v>
      </c>
      <c r="AF34" s="19">
        <v>0</v>
      </c>
      <c r="AG34" s="19">
        <v>0</v>
      </c>
      <c r="AH34" s="20">
        <v>0</v>
      </c>
      <c r="AI34" s="43">
        <v>0</v>
      </c>
      <c r="AJ34" s="42">
        <v>0</v>
      </c>
      <c r="AK34" s="18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</row>
    <row r="35" spans="1:68">
      <c r="A35" s="8"/>
      <c r="B35" s="41">
        <v>25</v>
      </c>
      <c r="C35" s="51">
        <v>0</v>
      </c>
      <c r="D35" s="52">
        <v>0</v>
      </c>
      <c r="E35" s="43">
        <v>25.700000000000003</v>
      </c>
      <c r="F35" s="42">
        <v>0</v>
      </c>
      <c r="G35" s="19">
        <v>0</v>
      </c>
      <c r="H35" s="19">
        <v>0</v>
      </c>
      <c r="I35" s="19">
        <v>0</v>
      </c>
      <c r="J35" s="20">
        <v>0</v>
      </c>
      <c r="K35" s="43">
        <v>27.6</v>
      </c>
      <c r="L35" s="44">
        <v>0</v>
      </c>
      <c r="M35" s="43">
        <v>9.6999999999999993</v>
      </c>
      <c r="N35" s="42">
        <v>0</v>
      </c>
      <c r="O35" s="19">
        <v>0</v>
      </c>
      <c r="P35" s="19">
        <v>0</v>
      </c>
      <c r="Q35" s="18">
        <v>0</v>
      </c>
      <c r="R35" s="19">
        <v>0</v>
      </c>
      <c r="S35" s="19">
        <v>0</v>
      </c>
      <c r="T35" s="20">
        <v>0</v>
      </c>
      <c r="U35" s="43">
        <v>19</v>
      </c>
      <c r="V35" s="42">
        <v>0</v>
      </c>
      <c r="W35" s="19">
        <v>0</v>
      </c>
      <c r="X35" s="20">
        <v>0</v>
      </c>
      <c r="Y35" s="43">
        <v>0</v>
      </c>
      <c r="Z35" s="42">
        <v>0</v>
      </c>
      <c r="AA35" s="18">
        <v>0</v>
      </c>
      <c r="AB35" s="19">
        <v>0</v>
      </c>
      <c r="AC35" s="18">
        <v>0</v>
      </c>
      <c r="AD35" s="19">
        <v>0</v>
      </c>
      <c r="AE35" s="19">
        <v>0</v>
      </c>
      <c r="AF35" s="19">
        <v>0</v>
      </c>
      <c r="AG35" s="19">
        <v>0</v>
      </c>
      <c r="AH35" s="20">
        <v>0</v>
      </c>
      <c r="AI35" s="43">
        <v>344</v>
      </c>
      <c r="AJ35" s="42">
        <v>0</v>
      </c>
      <c r="AK35" s="18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</row>
    <row r="36" spans="1:68">
      <c r="A36" s="8"/>
      <c r="B36" s="41">
        <v>26</v>
      </c>
      <c r="C36" s="51">
        <v>0</v>
      </c>
      <c r="D36" s="52">
        <v>0</v>
      </c>
      <c r="E36" s="43">
        <v>0</v>
      </c>
      <c r="F36" s="42">
        <v>0</v>
      </c>
      <c r="G36" s="19">
        <v>0</v>
      </c>
      <c r="H36" s="19">
        <v>0</v>
      </c>
      <c r="I36" s="19">
        <v>0</v>
      </c>
      <c r="J36" s="20">
        <v>0</v>
      </c>
      <c r="K36" s="43">
        <v>0</v>
      </c>
      <c r="L36" s="44">
        <v>0</v>
      </c>
      <c r="M36" s="43">
        <v>0</v>
      </c>
      <c r="N36" s="42">
        <v>0</v>
      </c>
      <c r="O36" s="19">
        <v>0</v>
      </c>
      <c r="P36" s="19">
        <v>0</v>
      </c>
      <c r="Q36" s="18">
        <v>0</v>
      </c>
      <c r="R36" s="19">
        <v>0</v>
      </c>
      <c r="S36" s="19">
        <v>0</v>
      </c>
      <c r="T36" s="20">
        <v>0</v>
      </c>
      <c r="U36" s="43">
        <v>0</v>
      </c>
      <c r="V36" s="42">
        <v>0</v>
      </c>
      <c r="W36" s="19">
        <v>0</v>
      </c>
      <c r="X36" s="20">
        <v>0</v>
      </c>
      <c r="Y36" s="43">
        <v>0</v>
      </c>
      <c r="Z36" s="42">
        <v>0</v>
      </c>
      <c r="AA36" s="18">
        <v>0</v>
      </c>
      <c r="AB36" s="19">
        <v>0</v>
      </c>
      <c r="AC36" s="18">
        <v>0</v>
      </c>
      <c r="AD36" s="19">
        <v>0</v>
      </c>
      <c r="AE36" s="19">
        <v>0</v>
      </c>
      <c r="AF36" s="19">
        <v>0</v>
      </c>
      <c r="AG36" s="19">
        <v>0</v>
      </c>
      <c r="AH36" s="20">
        <v>0</v>
      </c>
      <c r="AI36" s="43">
        <v>0</v>
      </c>
      <c r="AJ36" s="42">
        <v>0</v>
      </c>
      <c r="AK36" s="18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</row>
    <row r="37" spans="1:68">
      <c r="A37" s="8"/>
      <c r="B37" s="41">
        <v>27</v>
      </c>
      <c r="C37" s="51">
        <v>0</v>
      </c>
      <c r="D37" s="52">
        <v>0</v>
      </c>
      <c r="E37" s="43">
        <v>21</v>
      </c>
      <c r="F37" s="42">
        <v>0</v>
      </c>
      <c r="G37" s="19">
        <v>0</v>
      </c>
      <c r="H37" s="19">
        <v>0</v>
      </c>
      <c r="I37" s="19">
        <v>0</v>
      </c>
      <c r="J37" s="20">
        <v>0</v>
      </c>
      <c r="K37" s="43">
        <v>16</v>
      </c>
      <c r="L37" s="44">
        <v>0</v>
      </c>
      <c r="M37" s="43">
        <v>12</v>
      </c>
      <c r="N37" s="42">
        <v>0</v>
      </c>
      <c r="O37" s="19">
        <v>0</v>
      </c>
      <c r="P37" s="19">
        <v>0</v>
      </c>
      <c r="Q37" s="18">
        <v>0</v>
      </c>
      <c r="R37" s="19">
        <v>0</v>
      </c>
      <c r="S37" s="19">
        <v>0</v>
      </c>
      <c r="T37" s="20">
        <v>0</v>
      </c>
      <c r="U37" s="43">
        <v>10.5</v>
      </c>
      <c r="V37" s="42">
        <v>0</v>
      </c>
      <c r="W37" s="19">
        <v>0</v>
      </c>
      <c r="X37" s="20">
        <v>0</v>
      </c>
      <c r="Y37" s="43">
        <v>0</v>
      </c>
      <c r="Z37" s="42">
        <v>0</v>
      </c>
      <c r="AA37" s="18">
        <v>0</v>
      </c>
      <c r="AB37" s="19">
        <v>0</v>
      </c>
      <c r="AC37" s="18">
        <v>0</v>
      </c>
      <c r="AD37" s="19">
        <v>0</v>
      </c>
      <c r="AE37" s="19">
        <v>0</v>
      </c>
      <c r="AF37" s="19">
        <v>0</v>
      </c>
      <c r="AG37" s="19">
        <v>0</v>
      </c>
      <c r="AH37" s="20">
        <v>0</v>
      </c>
      <c r="AI37" s="43">
        <v>328</v>
      </c>
      <c r="AJ37" s="42">
        <v>0</v>
      </c>
      <c r="AK37" s="18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</row>
    <row r="38" spans="1:68">
      <c r="A38" s="8"/>
      <c r="B38" s="41">
        <v>28</v>
      </c>
      <c r="C38" s="51">
        <v>0</v>
      </c>
      <c r="D38" s="52">
        <v>0</v>
      </c>
      <c r="E38" s="43">
        <v>0</v>
      </c>
      <c r="F38" s="42">
        <v>0</v>
      </c>
      <c r="G38" s="19">
        <v>0</v>
      </c>
      <c r="H38" s="19">
        <v>0</v>
      </c>
      <c r="I38" s="19">
        <v>0</v>
      </c>
      <c r="J38" s="20">
        <v>0</v>
      </c>
      <c r="K38" s="43">
        <v>0</v>
      </c>
      <c r="L38" s="44">
        <v>0</v>
      </c>
      <c r="M38" s="43">
        <v>0</v>
      </c>
      <c r="N38" s="42">
        <v>0</v>
      </c>
      <c r="O38" s="19">
        <v>0</v>
      </c>
      <c r="P38" s="19">
        <v>0</v>
      </c>
      <c r="Q38" s="18">
        <v>0</v>
      </c>
      <c r="R38" s="19">
        <v>0</v>
      </c>
      <c r="S38" s="19">
        <v>0</v>
      </c>
      <c r="T38" s="20">
        <v>0</v>
      </c>
      <c r="U38" s="43">
        <v>0</v>
      </c>
      <c r="V38" s="42">
        <v>0</v>
      </c>
      <c r="W38" s="19">
        <v>0</v>
      </c>
      <c r="X38" s="20">
        <v>0</v>
      </c>
      <c r="Y38" s="43">
        <v>0</v>
      </c>
      <c r="Z38" s="42">
        <v>0</v>
      </c>
      <c r="AA38" s="18">
        <v>0</v>
      </c>
      <c r="AB38" s="19">
        <v>0</v>
      </c>
      <c r="AC38" s="18">
        <v>0</v>
      </c>
      <c r="AD38" s="19">
        <v>0</v>
      </c>
      <c r="AE38" s="19">
        <v>0</v>
      </c>
      <c r="AF38" s="19">
        <v>0</v>
      </c>
      <c r="AG38" s="19">
        <v>0</v>
      </c>
      <c r="AH38" s="20">
        <v>0</v>
      </c>
      <c r="AI38" s="43">
        <v>0</v>
      </c>
      <c r="AJ38" s="42">
        <v>0</v>
      </c>
      <c r="AK38" s="18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</row>
    <row r="39" spans="1:68">
      <c r="A39" s="8"/>
      <c r="B39" s="45">
        <v>29</v>
      </c>
      <c r="C39" s="51">
        <v>0</v>
      </c>
      <c r="D39" s="52">
        <v>0</v>
      </c>
      <c r="E39" s="43">
        <v>24</v>
      </c>
      <c r="F39" s="42">
        <v>0</v>
      </c>
      <c r="G39" s="19">
        <v>0</v>
      </c>
      <c r="H39" s="19">
        <v>0</v>
      </c>
      <c r="I39" s="19">
        <v>0</v>
      </c>
      <c r="J39" s="20">
        <v>0</v>
      </c>
      <c r="K39" s="43">
        <v>20.8</v>
      </c>
      <c r="L39" s="44">
        <v>0</v>
      </c>
      <c r="M39" s="43">
        <v>12.2</v>
      </c>
      <c r="N39" s="46">
        <v>0</v>
      </c>
      <c r="O39" s="21">
        <v>0</v>
      </c>
      <c r="P39" s="21">
        <v>0</v>
      </c>
      <c r="Q39" s="47">
        <v>0</v>
      </c>
      <c r="R39" s="21">
        <v>0</v>
      </c>
      <c r="S39" s="21">
        <v>0</v>
      </c>
      <c r="T39" s="48">
        <v>0</v>
      </c>
      <c r="U39" s="43">
        <v>7.5</v>
      </c>
      <c r="V39" s="42">
        <v>0</v>
      </c>
      <c r="W39" s="19">
        <v>0</v>
      </c>
      <c r="X39" s="20">
        <v>0</v>
      </c>
      <c r="Y39" s="43">
        <v>0</v>
      </c>
      <c r="Z39" s="42">
        <v>0</v>
      </c>
      <c r="AA39" s="18">
        <v>0</v>
      </c>
      <c r="AB39" s="19">
        <v>0</v>
      </c>
      <c r="AC39" s="18">
        <v>0</v>
      </c>
      <c r="AD39" s="19">
        <v>0</v>
      </c>
      <c r="AE39" s="19">
        <v>0</v>
      </c>
      <c r="AF39" s="19">
        <v>0</v>
      </c>
      <c r="AG39" s="19">
        <v>0</v>
      </c>
      <c r="AH39" s="20">
        <v>0</v>
      </c>
      <c r="AI39" s="43">
        <v>336</v>
      </c>
      <c r="AJ39" s="42">
        <v>0</v>
      </c>
      <c r="AK39" s="18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</row>
    <row r="40" spans="1:68">
      <c r="A40" s="8"/>
      <c r="B40" s="55">
        <v>30</v>
      </c>
      <c r="C40" s="56">
        <v>0</v>
      </c>
      <c r="D40" s="57">
        <v>0</v>
      </c>
      <c r="E40" s="43">
        <v>0</v>
      </c>
      <c r="F40" s="46">
        <v>0</v>
      </c>
      <c r="G40" s="21">
        <v>0</v>
      </c>
      <c r="H40" s="21">
        <v>0</v>
      </c>
      <c r="I40" s="21">
        <v>0</v>
      </c>
      <c r="J40" s="48">
        <v>0</v>
      </c>
      <c r="K40" s="43">
        <v>0</v>
      </c>
      <c r="L40" s="59">
        <v>0</v>
      </c>
      <c r="M40" s="43">
        <v>0</v>
      </c>
      <c r="N40" s="46">
        <v>0</v>
      </c>
      <c r="O40" s="21">
        <v>0</v>
      </c>
      <c r="P40" s="21">
        <v>0</v>
      </c>
      <c r="Q40" s="47">
        <v>0</v>
      </c>
      <c r="R40" s="21">
        <v>0</v>
      </c>
      <c r="S40" s="21">
        <v>0</v>
      </c>
      <c r="T40" s="48">
        <v>0</v>
      </c>
      <c r="U40" s="43">
        <v>0</v>
      </c>
      <c r="V40" s="46">
        <v>0</v>
      </c>
      <c r="W40" s="21">
        <v>0</v>
      </c>
      <c r="X40" s="48">
        <v>0</v>
      </c>
      <c r="Y40" s="58">
        <v>0</v>
      </c>
      <c r="Z40" s="46">
        <v>0</v>
      </c>
      <c r="AA40" s="47">
        <v>0</v>
      </c>
      <c r="AB40" s="21">
        <v>0</v>
      </c>
      <c r="AC40" s="47">
        <v>0</v>
      </c>
      <c r="AD40" s="21">
        <v>0</v>
      </c>
      <c r="AE40" s="21">
        <v>0</v>
      </c>
      <c r="AF40" s="21">
        <v>0</v>
      </c>
      <c r="AG40" s="21">
        <v>0</v>
      </c>
      <c r="AH40" s="48">
        <v>0</v>
      </c>
      <c r="AI40" s="43">
        <v>0</v>
      </c>
      <c r="AJ40" s="46">
        <v>0</v>
      </c>
      <c r="AK40" s="47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v>0</v>
      </c>
      <c r="AV40" s="21">
        <v>0</v>
      </c>
      <c r="AW40" s="21">
        <v>0</v>
      </c>
      <c r="AX40" s="21">
        <v>0</v>
      </c>
      <c r="AY40" s="21">
        <v>0</v>
      </c>
      <c r="AZ40" s="21">
        <v>0</v>
      </c>
      <c r="BA40" s="21">
        <v>0</v>
      </c>
      <c r="BB40" s="21">
        <v>0</v>
      </c>
      <c r="BC40" s="21"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  <c r="BI40" s="21">
        <v>0</v>
      </c>
      <c r="BJ40" s="21">
        <v>0</v>
      </c>
      <c r="BK40" s="21">
        <v>0</v>
      </c>
      <c r="BL40" s="21">
        <v>0</v>
      </c>
      <c r="BM40" s="21">
        <v>0</v>
      </c>
      <c r="BN40" s="21">
        <v>0</v>
      </c>
      <c r="BO40" s="21">
        <v>0</v>
      </c>
      <c r="BP40" s="21">
        <v>0</v>
      </c>
    </row>
    <row r="41" spans="1:68">
      <c r="A41" s="4"/>
      <c r="B41" s="45">
        <v>31</v>
      </c>
      <c r="C41" s="56">
        <v>0</v>
      </c>
      <c r="D41" s="57">
        <v>0</v>
      </c>
      <c r="E41" s="43">
        <v>23.5</v>
      </c>
      <c r="F41" s="60">
        <v>0</v>
      </c>
      <c r="G41" s="43">
        <v>0</v>
      </c>
      <c r="H41" s="43">
        <v>0</v>
      </c>
      <c r="I41" s="43">
        <v>0</v>
      </c>
      <c r="J41" s="61">
        <v>0</v>
      </c>
      <c r="K41" s="43">
        <v>28.1</v>
      </c>
      <c r="L41" s="62">
        <v>0</v>
      </c>
      <c r="M41" s="43">
        <v>12</v>
      </c>
      <c r="N41" s="60">
        <v>0</v>
      </c>
      <c r="O41" s="43">
        <v>0</v>
      </c>
      <c r="P41" s="43">
        <v>0</v>
      </c>
      <c r="Q41" s="53">
        <v>0</v>
      </c>
      <c r="R41" s="43">
        <v>0</v>
      </c>
      <c r="S41" s="43">
        <v>0</v>
      </c>
      <c r="T41" s="61">
        <v>0</v>
      </c>
      <c r="U41" s="43">
        <v>19.5</v>
      </c>
      <c r="V41" s="60">
        <v>0</v>
      </c>
      <c r="W41" s="43">
        <v>0</v>
      </c>
      <c r="X41" s="43">
        <v>0</v>
      </c>
      <c r="Y41" s="43">
        <v>0</v>
      </c>
      <c r="Z41" s="54">
        <f>SUM(Z11:Z38)</f>
        <v>0</v>
      </c>
      <c r="AA41" s="53">
        <v>0</v>
      </c>
      <c r="AB41" s="43">
        <v>0</v>
      </c>
      <c r="AC41" s="53">
        <v>0</v>
      </c>
      <c r="AD41" s="43">
        <v>0</v>
      </c>
      <c r="AE41" s="43">
        <v>0</v>
      </c>
      <c r="AF41" s="43">
        <v>0</v>
      </c>
      <c r="AG41" s="43">
        <v>0</v>
      </c>
      <c r="AH41" s="61">
        <v>0</v>
      </c>
      <c r="AI41" s="43">
        <v>400</v>
      </c>
      <c r="AJ41" s="60">
        <v>0</v>
      </c>
      <c r="AK41" s="53">
        <v>0</v>
      </c>
      <c r="AL41" s="43">
        <v>0</v>
      </c>
      <c r="AM41" s="43">
        <v>0</v>
      </c>
      <c r="AN41" s="43">
        <v>0</v>
      </c>
      <c r="AO41" s="43">
        <v>0</v>
      </c>
      <c r="AP41" s="43">
        <v>0</v>
      </c>
      <c r="AQ41" s="43">
        <v>0</v>
      </c>
      <c r="AR41" s="43">
        <v>0</v>
      </c>
      <c r="AS41" s="43">
        <v>0</v>
      </c>
      <c r="AT41" s="43">
        <v>0</v>
      </c>
      <c r="AU41" s="43">
        <v>0</v>
      </c>
      <c r="AV41" s="43">
        <v>0</v>
      </c>
      <c r="AW41" s="43">
        <v>0</v>
      </c>
      <c r="AX41" s="43">
        <v>0</v>
      </c>
      <c r="AY41" s="43">
        <v>0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0</v>
      </c>
      <c r="BF41" s="43">
        <v>0</v>
      </c>
      <c r="BG41" s="43">
        <v>0</v>
      </c>
      <c r="BH41" s="43">
        <v>0</v>
      </c>
      <c r="BI41" s="43">
        <v>0</v>
      </c>
      <c r="BJ41" s="43">
        <v>0</v>
      </c>
      <c r="BK41" s="43">
        <v>0</v>
      </c>
      <c r="BL41" s="43">
        <v>0</v>
      </c>
      <c r="BM41" s="43">
        <v>0</v>
      </c>
      <c r="BN41" s="43">
        <v>0</v>
      </c>
      <c r="BO41" s="43">
        <v>0</v>
      </c>
      <c r="BP41" s="43">
        <v>0</v>
      </c>
    </row>
    <row r="42" spans="1:68">
      <c r="E42" s="15">
        <f>SUM(E11:E41)</f>
        <v>381.59999999999997</v>
      </c>
      <c r="F42" s="15">
        <f t="shared" ref="F42:BP42" si="0">SUM(F11:F41)</f>
        <v>0</v>
      </c>
      <c r="G42" s="15">
        <f t="shared" si="0"/>
        <v>0</v>
      </c>
      <c r="H42" s="15">
        <f t="shared" si="0"/>
        <v>0</v>
      </c>
      <c r="I42" s="15">
        <f t="shared" si="0"/>
        <v>0</v>
      </c>
      <c r="J42" s="15">
        <f t="shared" si="0"/>
        <v>0</v>
      </c>
      <c r="K42" s="15">
        <f t="shared" si="0"/>
        <v>376.90000000000009</v>
      </c>
      <c r="L42" s="15">
        <f t="shared" si="0"/>
        <v>0</v>
      </c>
      <c r="M42" s="15">
        <f t="shared" si="0"/>
        <v>130.9</v>
      </c>
      <c r="N42" s="15">
        <f t="shared" si="0"/>
        <v>0</v>
      </c>
      <c r="O42" s="15">
        <f t="shared" si="0"/>
        <v>0</v>
      </c>
      <c r="P42" s="15">
        <f t="shared" si="0"/>
        <v>0</v>
      </c>
      <c r="Q42" s="15">
        <f t="shared" si="0"/>
        <v>0</v>
      </c>
      <c r="R42" s="15">
        <f t="shared" si="0"/>
        <v>0</v>
      </c>
      <c r="S42" s="15">
        <f t="shared" si="0"/>
        <v>0</v>
      </c>
      <c r="T42" s="15">
        <f t="shared" si="0"/>
        <v>0</v>
      </c>
      <c r="U42" s="15">
        <f t="shared" si="0"/>
        <v>209.5</v>
      </c>
      <c r="V42" s="15">
        <f t="shared" si="0"/>
        <v>0</v>
      </c>
      <c r="W42" s="15">
        <f t="shared" si="0"/>
        <v>0</v>
      </c>
      <c r="X42" s="15">
        <f t="shared" si="0"/>
        <v>0</v>
      </c>
      <c r="Y42" s="15">
        <f t="shared" si="0"/>
        <v>0</v>
      </c>
      <c r="Z42" s="15">
        <f t="shared" si="0"/>
        <v>0</v>
      </c>
      <c r="AA42" s="15">
        <f t="shared" si="0"/>
        <v>0</v>
      </c>
      <c r="AB42" s="15">
        <f t="shared" si="0"/>
        <v>0</v>
      </c>
      <c r="AC42" s="15">
        <f t="shared" si="0"/>
        <v>0</v>
      </c>
      <c r="AD42" s="15">
        <f t="shared" si="0"/>
        <v>0</v>
      </c>
      <c r="AE42" s="15">
        <f t="shared" si="0"/>
        <v>0</v>
      </c>
      <c r="AF42" s="15">
        <f t="shared" si="0"/>
        <v>0</v>
      </c>
      <c r="AG42" s="15">
        <f t="shared" si="0"/>
        <v>0</v>
      </c>
      <c r="AH42" s="15">
        <f t="shared" si="0"/>
        <v>0</v>
      </c>
      <c r="AI42" s="15">
        <f t="shared" si="0"/>
        <v>6656</v>
      </c>
      <c r="AJ42" s="15">
        <f t="shared" si="0"/>
        <v>8284726</v>
      </c>
      <c r="AK42" s="15">
        <f t="shared" si="0"/>
        <v>0</v>
      </c>
      <c r="AL42" s="15">
        <f t="shared" si="0"/>
        <v>0</v>
      </c>
      <c r="AM42" s="15">
        <f t="shared" si="0"/>
        <v>0</v>
      </c>
      <c r="AN42" s="15">
        <f t="shared" si="0"/>
        <v>0</v>
      </c>
      <c r="AO42" s="15">
        <f t="shared" si="0"/>
        <v>0</v>
      </c>
      <c r="AP42" s="15">
        <f t="shared" si="0"/>
        <v>0</v>
      </c>
      <c r="AQ42" s="15">
        <f t="shared" si="0"/>
        <v>0</v>
      </c>
      <c r="AR42" s="15">
        <f t="shared" si="0"/>
        <v>0</v>
      </c>
      <c r="AS42" s="15">
        <f t="shared" si="0"/>
        <v>0</v>
      </c>
      <c r="AT42" s="15">
        <f t="shared" si="0"/>
        <v>0</v>
      </c>
      <c r="AU42" s="15">
        <f t="shared" si="0"/>
        <v>0</v>
      </c>
      <c r="AV42" s="15">
        <f t="shared" si="0"/>
        <v>0</v>
      </c>
      <c r="AW42" s="15">
        <f t="shared" si="0"/>
        <v>0</v>
      </c>
      <c r="AX42" s="15">
        <f t="shared" si="0"/>
        <v>0</v>
      </c>
      <c r="AY42" s="15">
        <f t="shared" si="0"/>
        <v>0</v>
      </c>
      <c r="AZ42" s="15">
        <f t="shared" si="0"/>
        <v>0</v>
      </c>
      <c r="BA42" s="15">
        <f t="shared" si="0"/>
        <v>0</v>
      </c>
      <c r="BB42" s="15">
        <f t="shared" si="0"/>
        <v>0</v>
      </c>
      <c r="BC42" s="15">
        <f t="shared" si="0"/>
        <v>0</v>
      </c>
      <c r="BD42" s="15">
        <f t="shared" si="0"/>
        <v>0</v>
      </c>
      <c r="BE42" s="15">
        <f t="shared" si="0"/>
        <v>0</v>
      </c>
      <c r="BF42" s="15">
        <f t="shared" si="0"/>
        <v>0</v>
      </c>
      <c r="BG42" s="15">
        <f t="shared" si="0"/>
        <v>0</v>
      </c>
      <c r="BH42" s="15">
        <f t="shared" si="0"/>
        <v>0</v>
      </c>
      <c r="BI42" s="15">
        <f t="shared" si="0"/>
        <v>0</v>
      </c>
      <c r="BJ42" s="15">
        <f t="shared" si="0"/>
        <v>0</v>
      </c>
      <c r="BK42" s="15">
        <f t="shared" si="0"/>
        <v>0</v>
      </c>
      <c r="BL42" s="15">
        <f t="shared" si="0"/>
        <v>0</v>
      </c>
      <c r="BM42" s="15">
        <f t="shared" si="0"/>
        <v>0</v>
      </c>
      <c r="BN42" s="15">
        <f t="shared" si="0"/>
        <v>0</v>
      </c>
      <c r="BO42" s="15">
        <f t="shared" si="0"/>
        <v>0</v>
      </c>
      <c r="BP42" s="15">
        <f t="shared" si="0"/>
        <v>0</v>
      </c>
    </row>
  </sheetData>
  <mergeCells count="11">
    <mergeCell ref="E8:J9"/>
    <mergeCell ref="B7:D7"/>
    <mergeCell ref="B8:B10"/>
    <mergeCell ref="C8:C10"/>
    <mergeCell ref="D8:D10"/>
    <mergeCell ref="U8:X9"/>
    <mergeCell ref="Y8:AL9"/>
    <mergeCell ref="AM8:BD9"/>
    <mergeCell ref="BE8:BP9"/>
    <mergeCell ref="K8:L9"/>
    <mergeCell ref="M8:T9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F317A489-5D05-4F2E-AF4C-BAADF5422A57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2023-02-27T11:41:34Z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