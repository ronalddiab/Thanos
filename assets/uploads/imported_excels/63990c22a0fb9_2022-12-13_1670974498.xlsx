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rieu.nguyen\Desktop\HEP Info\HEP Daily 2022\"/>
    </mc:Choice>
  </mc:AlternateContent>
  <xr:revisionPtr revIDLastSave="0" documentId="13_ncr:1_{4DDBDD3C-5E38-47DC-A589-A54A06A14D76}" xr6:coauthVersionLast="36" xr6:coauthVersionMax="36" xr10:uidLastSave="{00000000-0000-0000-0000-000000000000}"/>
  <bookViews>
    <workbookView xWindow="-120" yWindow="-120" windowWidth="29040" windowHeight="15840" activeTab="1" xr2:uid="{00000000-000D-0000-FFFF-FFFF00000000}"/>
  </bookViews>
  <sheets>
    <sheet name="TOTAL" sheetId="1" r:id="rId1"/>
    <sheet name="November" sheetId="2" r:id="rId2"/>
  </sheets>
  <externalReferences>
    <externalReference r:id="rId3"/>
  </externalReferences>
  <calcPr calcId="191029"/>
</workbook>
</file>

<file path=xl/calcChain.xml><?xml version="1.0" encoding="utf-8"?>
<calcChain xmlns="http://schemas.openxmlformats.org/spreadsheetml/2006/main">
  <c r="P6" i="2" l="1"/>
  <c r="N6" i="2"/>
  <c r="L6" i="2"/>
  <c r="J6" i="2"/>
  <c r="H6" i="2"/>
  <c r="F6" i="2"/>
  <c r="D6" i="2"/>
  <c r="B6" i="2"/>
  <c r="R40" i="2" l="1"/>
  <c r="U37" i="2"/>
  <c r="U36" i="2"/>
  <c r="U35" i="2"/>
  <c r="U34" i="2"/>
  <c r="U33" i="2"/>
  <c r="U32" i="2"/>
  <c r="U31" i="2"/>
  <c r="U30" i="2"/>
  <c r="U29" i="2"/>
  <c r="U28" i="2"/>
  <c r="U27" i="2"/>
  <c r="U26" i="2"/>
  <c r="U25" i="2"/>
  <c r="U24" i="2"/>
  <c r="U23" i="2"/>
  <c r="U22" i="2"/>
  <c r="U21" i="2"/>
  <c r="U20" i="2"/>
  <c r="U19" i="2"/>
  <c r="U18" i="2"/>
  <c r="U17" i="2"/>
  <c r="U16" i="2"/>
  <c r="U15" i="2"/>
  <c r="U14" i="2"/>
  <c r="U13" i="2"/>
  <c r="U12" i="2"/>
  <c r="U11" i="2"/>
  <c r="U10" i="2"/>
  <c r="U9" i="2"/>
  <c r="U8" i="2"/>
  <c r="V34" i="2" l="1"/>
  <c r="V37" i="2"/>
  <c r="V36" i="2"/>
  <c r="V35" i="2"/>
  <c r="V33" i="2"/>
  <c r="V32" i="2"/>
  <c r="V31" i="2"/>
  <c r="V30" i="2"/>
  <c r="V29" i="2"/>
  <c r="V28" i="2"/>
  <c r="V27" i="2"/>
  <c r="V26" i="2"/>
  <c r="V25" i="2"/>
  <c r="V24" i="2"/>
  <c r="V23" i="2"/>
  <c r="V22" i="2"/>
  <c r="V21" i="2"/>
  <c r="V20" i="2"/>
  <c r="V19" i="2"/>
  <c r="V18" i="2"/>
  <c r="V17" i="2"/>
  <c r="V16" i="2"/>
  <c r="V15" i="2"/>
  <c r="V14" i="2"/>
  <c r="V13" i="2"/>
  <c r="V12" i="2"/>
  <c r="V11" i="2"/>
  <c r="V10" i="2"/>
  <c r="V9" i="2"/>
  <c r="V8" i="2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2" i="1"/>
  <c r="Q37" i="2"/>
  <c r="O37" i="2"/>
  <c r="M37" i="2"/>
  <c r="K37" i="2"/>
  <c r="I37" i="2"/>
  <c r="G37" i="2"/>
  <c r="E37" i="2"/>
  <c r="G31" i="1" s="1"/>
  <c r="C37" i="2"/>
  <c r="E31" i="1" s="1"/>
  <c r="Q36" i="2"/>
  <c r="O36" i="2"/>
  <c r="M36" i="2"/>
  <c r="K36" i="2"/>
  <c r="I36" i="2"/>
  <c r="G36" i="2"/>
  <c r="E36" i="2"/>
  <c r="G30" i="1" s="1"/>
  <c r="C36" i="2"/>
  <c r="E30" i="1" s="1"/>
  <c r="Q35" i="2"/>
  <c r="O35" i="2"/>
  <c r="M35" i="2"/>
  <c r="K35" i="2"/>
  <c r="I35" i="2"/>
  <c r="G35" i="2"/>
  <c r="E35" i="2"/>
  <c r="G29" i="1" s="1"/>
  <c r="C35" i="2"/>
  <c r="E29" i="1" s="1"/>
  <c r="Q34" i="2"/>
  <c r="O34" i="2"/>
  <c r="M34" i="2"/>
  <c r="K34" i="2"/>
  <c r="I34" i="2"/>
  <c r="G34" i="2"/>
  <c r="E34" i="2"/>
  <c r="G28" i="1" s="1"/>
  <c r="C34" i="2"/>
  <c r="E28" i="1" s="1"/>
  <c r="Q33" i="2"/>
  <c r="O33" i="2"/>
  <c r="M33" i="2"/>
  <c r="K33" i="2"/>
  <c r="I33" i="2"/>
  <c r="G33" i="2"/>
  <c r="E33" i="2"/>
  <c r="G27" i="1" s="1"/>
  <c r="C33" i="2"/>
  <c r="E27" i="1" s="1"/>
  <c r="Q32" i="2"/>
  <c r="O32" i="2"/>
  <c r="M32" i="2"/>
  <c r="K32" i="2"/>
  <c r="I32" i="2"/>
  <c r="G32" i="2"/>
  <c r="E32" i="2"/>
  <c r="G26" i="1" s="1"/>
  <c r="C32" i="2"/>
  <c r="E26" i="1" s="1"/>
  <c r="Q31" i="2"/>
  <c r="O31" i="2"/>
  <c r="M31" i="2"/>
  <c r="K31" i="2"/>
  <c r="I31" i="2"/>
  <c r="G31" i="2"/>
  <c r="E31" i="2"/>
  <c r="G25" i="1" s="1"/>
  <c r="C31" i="2"/>
  <c r="E25" i="1" s="1"/>
  <c r="Q30" i="2"/>
  <c r="O30" i="2"/>
  <c r="M30" i="2"/>
  <c r="K30" i="2"/>
  <c r="I30" i="2"/>
  <c r="G30" i="2"/>
  <c r="E30" i="2"/>
  <c r="G24" i="1" s="1"/>
  <c r="C30" i="2"/>
  <c r="E24" i="1" s="1"/>
  <c r="Q29" i="2"/>
  <c r="O29" i="2"/>
  <c r="M29" i="2"/>
  <c r="K29" i="2"/>
  <c r="I29" i="2"/>
  <c r="G29" i="2"/>
  <c r="E29" i="2"/>
  <c r="G23" i="1" s="1"/>
  <c r="C29" i="2"/>
  <c r="E23" i="1" s="1"/>
  <c r="Q28" i="2"/>
  <c r="O28" i="2"/>
  <c r="M28" i="2"/>
  <c r="K28" i="2"/>
  <c r="I28" i="2"/>
  <c r="G28" i="2"/>
  <c r="E28" i="2"/>
  <c r="G22" i="1" s="1"/>
  <c r="C28" i="2"/>
  <c r="E22" i="1" s="1"/>
  <c r="Q27" i="2"/>
  <c r="O27" i="2"/>
  <c r="M27" i="2"/>
  <c r="K27" i="2"/>
  <c r="I27" i="2"/>
  <c r="G27" i="2"/>
  <c r="E27" i="2"/>
  <c r="G21" i="1" s="1"/>
  <c r="C27" i="2"/>
  <c r="E21" i="1" s="1"/>
  <c r="Q26" i="2"/>
  <c r="O26" i="2"/>
  <c r="M26" i="2"/>
  <c r="K26" i="2"/>
  <c r="I26" i="2"/>
  <c r="G26" i="2"/>
  <c r="E26" i="2"/>
  <c r="G20" i="1" s="1"/>
  <c r="C26" i="2"/>
  <c r="E20" i="1" s="1"/>
  <c r="Q25" i="2"/>
  <c r="O25" i="2"/>
  <c r="M25" i="2"/>
  <c r="K25" i="2"/>
  <c r="I25" i="2"/>
  <c r="G25" i="2"/>
  <c r="E25" i="2"/>
  <c r="G19" i="1" s="1"/>
  <c r="C25" i="2"/>
  <c r="E19" i="1" s="1"/>
  <c r="Q24" i="2"/>
  <c r="O24" i="2"/>
  <c r="M24" i="2"/>
  <c r="K24" i="2"/>
  <c r="I24" i="2"/>
  <c r="G24" i="2"/>
  <c r="E24" i="2"/>
  <c r="G18" i="1" s="1"/>
  <c r="C24" i="2"/>
  <c r="E18" i="1" s="1"/>
  <c r="Q23" i="2"/>
  <c r="O23" i="2"/>
  <c r="M23" i="2"/>
  <c r="K23" i="2"/>
  <c r="I23" i="2"/>
  <c r="G23" i="2"/>
  <c r="E23" i="2"/>
  <c r="G17" i="1" s="1"/>
  <c r="C23" i="2"/>
  <c r="E17" i="1" s="1"/>
  <c r="Q22" i="2"/>
  <c r="O22" i="2"/>
  <c r="M22" i="2"/>
  <c r="K22" i="2"/>
  <c r="I22" i="2"/>
  <c r="G22" i="2"/>
  <c r="E22" i="2"/>
  <c r="G16" i="1" s="1"/>
  <c r="C22" i="2"/>
  <c r="E16" i="1" s="1"/>
  <c r="Q21" i="2"/>
  <c r="O21" i="2"/>
  <c r="M21" i="2"/>
  <c r="K21" i="2"/>
  <c r="I21" i="2"/>
  <c r="G21" i="2"/>
  <c r="E21" i="2"/>
  <c r="G15" i="1" s="1"/>
  <c r="C21" i="2"/>
  <c r="E15" i="1" s="1"/>
  <c r="Q20" i="2"/>
  <c r="O20" i="2"/>
  <c r="M20" i="2"/>
  <c r="K20" i="2"/>
  <c r="I20" i="2"/>
  <c r="G20" i="2"/>
  <c r="E20" i="2"/>
  <c r="G14" i="1" s="1"/>
  <c r="C20" i="2"/>
  <c r="E14" i="1" s="1"/>
  <c r="Q19" i="2"/>
  <c r="O19" i="2"/>
  <c r="M19" i="2"/>
  <c r="K19" i="2"/>
  <c r="I19" i="2"/>
  <c r="G19" i="2"/>
  <c r="E19" i="2"/>
  <c r="G13" i="1" s="1"/>
  <c r="C19" i="2"/>
  <c r="E13" i="1" s="1"/>
  <c r="Q18" i="2"/>
  <c r="O18" i="2"/>
  <c r="M18" i="2"/>
  <c r="K18" i="2"/>
  <c r="I18" i="2"/>
  <c r="G18" i="2"/>
  <c r="E18" i="2"/>
  <c r="G12" i="1" s="1"/>
  <c r="C18" i="2"/>
  <c r="E12" i="1" s="1"/>
  <c r="Q17" i="2"/>
  <c r="O17" i="2"/>
  <c r="M17" i="2"/>
  <c r="K17" i="2"/>
  <c r="I17" i="2"/>
  <c r="G17" i="2"/>
  <c r="E17" i="2"/>
  <c r="G11" i="1" s="1"/>
  <c r="C17" i="2"/>
  <c r="E11" i="1" s="1"/>
  <c r="Q16" i="2"/>
  <c r="O16" i="2"/>
  <c r="M16" i="2"/>
  <c r="K16" i="2"/>
  <c r="I16" i="2"/>
  <c r="G16" i="2"/>
  <c r="E16" i="2"/>
  <c r="G10" i="1" s="1"/>
  <c r="C16" i="2"/>
  <c r="E10" i="1" s="1"/>
  <c r="Q15" i="2"/>
  <c r="O15" i="2"/>
  <c r="M15" i="2"/>
  <c r="K15" i="2"/>
  <c r="I15" i="2"/>
  <c r="G15" i="2"/>
  <c r="E15" i="2"/>
  <c r="G9" i="1" s="1"/>
  <c r="C15" i="2"/>
  <c r="E9" i="1" s="1"/>
  <c r="Q14" i="2"/>
  <c r="O14" i="2"/>
  <c r="M14" i="2"/>
  <c r="K14" i="2"/>
  <c r="I14" i="2"/>
  <c r="G14" i="2"/>
  <c r="E14" i="2"/>
  <c r="G8" i="1" s="1"/>
  <c r="C14" i="2"/>
  <c r="E8" i="1" s="1"/>
  <c r="Q13" i="2"/>
  <c r="O13" i="2"/>
  <c r="M13" i="2"/>
  <c r="K13" i="2"/>
  <c r="I13" i="2"/>
  <c r="G13" i="2"/>
  <c r="E13" i="2"/>
  <c r="G7" i="1" s="1"/>
  <c r="C13" i="2"/>
  <c r="E7" i="1" s="1"/>
  <c r="Q12" i="2"/>
  <c r="O12" i="2"/>
  <c r="M12" i="2"/>
  <c r="K12" i="2"/>
  <c r="I12" i="2"/>
  <c r="G12" i="2"/>
  <c r="E12" i="2"/>
  <c r="G6" i="1" s="1"/>
  <c r="C12" i="2"/>
  <c r="E6" i="1" s="1"/>
  <c r="Q11" i="2"/>
  <c r="O11" i="2"/>
  <c r="M11" i="2"/>
  <c r="K11" i="2"/>
  <c r="I11" i="2"/>
  <c r="G11" i="2"/>
  <c r="E11" i="2"/>
  <c r="G5" i="1" s="1"/>
  <c r="C11" i="2"/>
  <c r="E5" i="1" s="1"/>
  <c r="Q10" i="2"/>
  <c r="O10" i="2"/>
  <c r="M10" i="2"/>
  <c r="K10" i="2"/>
  <c r="I10" i="2"/>
  <c r="G10" i="2"/>
  <c r="E10" i="2"/>
  <c r="G4" i="1" s="1"/>
  <c r="C10" i="2"/>
  <c r="E4" i="1" s="1"/>
  <c r="Q9" i="2"/>
  <c r="O9" i="2"/>
  <c r="M9" i="2"/>
  <c r="K9" i="2"/>
  <c r="I9" i="2"/>
  <c r="G9" i="2"/>
  <c r="E9" i="2"/>
  <c r="G3" i="1" s="1"/>
  <c r="C9" i="2"/>
  <c r="E3" i="1" s="1"/>
  <c r="Q8" i="2"/>
  <c r="O8" i="2"/>
  <c r="M8" i="2"/>
  <c r="K8" i="2"/>
  <c r="I8" i="2"/>
  <c r="G8" i="2"/>
  <c r="E8" i="2"/>
  <c r="C8" i="2"/>
  <c r="V40" i="2" l="1"/>
  <c r="W40" i="2"/>
  <c r="K3" i="1"/>
  <c r="K15" i="1"/>
  <c r="K21" i="1"/>
  <c r="K27" i="1"/>
  <c r="K4" i="1"/>
  <c r="K10" i="1"/>
  <c r="K13" i="1"/>
  <c r="K16" i="1"/>
  <c r="K22" i="1"/>
  <c r="K25" i="1"/>
  <c r="K28" i="1"/>
  <c r="M39" i="2"/>
  <c r="K9" i="1"/>
  <c r="I4" i="1"/>
  <c r="I10" i="1"/>
  <c r="I13" i="1"/>
  <c r="I16" i="1"/>
  <c r="I19" i="1"/>
  <c r="I22" i="1"/>
  <c r="I28" i="1"/>
  <c r="I31" i="1"/>
  <c r="O39" i="2"/>
  <c r="I5" i="1"/>
  <c r="I8" i="1"/>
  <c r="I11" i="1"/>
  <c r="I14" i="1"/>
  <c r="I17" i="1"/>
  <c r="I20" i="1"/>
  <c r="I23" i="1"/>
  <c r="I26" i="1"/>
  <c r="I29" i="1"/>
  <c r="G39" i="2"/>
  <c r="I3" i="1"/>
  <c r="K5" i="1"/>
  <c r="I9" i="1"/>
  <c r="K11" i="1"/>
  <c r="K14" i="1"/>
  <c r="I15" i="1"/>
  <c r="K17" i="1"/>
  <c r="K20" i="1"/>
  <c r="I21" i="1"/>
  <c r="K23" i="1"/>
  <c r="K26" i="1"/>
  <c r="I27" i="1"/>
  <c r="K29" i="1"/>
  <c r="K7" i="1"/>
  <c r="K19" i="1"/>
  <c r="K31" i="1"/>
  <c r="K6" i="1"/>
  <c r="I7" i="1"/>
  <c r="K12" i="1"/>
  <c r="K18" i="1"/>
  <c r="K24" i="1"/>
  <c r="I25" i="1"/>
  <c r="K30" i="1"/>
  <c r="Q39" i="2"/>
  <c r="I6" i="1"/>
  <c r="I12" i="1"/>
  <c r="I18" i="1"/>
  <c r="I24" i="1"/>
  <c r="I30" i="1"/>
  <c r="I2" i="1"/>
  <c r="K8" i="1"/>
  <c r="K39" i="2"/>
  <c r="I39" i="2"/>
  <c r="E39" i="2"/>
  <c r="G2" i="1"/>
  <c r="C39" i="2"/>
  <c r="E2" i="1"/>
  <c r="K2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</calcChain>
</file>

<file path=xl/sharedStrings.xml><?xml version="1.0" encoding="utf-8"?>
<sst xmlns="http://schemas.openxmlformats.org/spreadsheetml/2006/main" count="69" uniqueCount="37">
  <si>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</si>
  <si>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</si>
  <si>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</si>
  <si>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</si>
  <si>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</si>
  <si>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</si>
  <si>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</si>
  <si>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San Francisco at Embarcadero</t>
  </si>
  <si>
    <t>PREVIOUS Meter Reading</t>
  </si>
  <si>
    <t>DATE</t>
  </si>
  <si>
    <t>Usage (kWh)</t>
  </si>
  <si>
    <t>Usage   (Therms)</t>
  </si>
  <si>
    <t>Usage (Mlbs)</t>
  </si>
  <si>
    <t>Usage      (Gallons)</t>
  </si>
  <si>
    <t>Usage (Gallons)</t>
  </si>
  <si>
    <t>Total</t>
  </si>
  <si>
    <t>Natual Gas (Therms)</t>
  </si>
  <si>
    <t>Natural Gas $/Therms</t>
  </si>
  <si>
    <t>Water Utility Supply (USG) USG</t>
  </si>
  <si>
    <t>Water Utility Supply (USG) $/USG</t>
  </si>
  <si>
    <t>District Energy Heating Steam Mlbs</t>
  </si>
  <si>
    <t>District Energy Heating $/Steam Mlbs</t>
  </si>
  <si>
    <t>Room Nights</t>
  </si>
  <si>
    <t>MONTHLY METER READINGS:  November 2022</t>
  </si>
  <si>
    <r>
      <rPr>
        <b/>
        <sz val="9.5"/>
        <color theme="1"/>
        <rFont val="Calibri Light"/>
        <family val="2"/>
        <scheme val="major"/>
      </rPr>
      <t>1B ELECTRIC</t>
    </r>
    <r>
      <rPr>
        <sz val="9.5"/>
        <color theme="1"/>
        <rFont val="Calibri Light"/>
        <family val="2"/>
        <scheme val="major"/>
      </rPr>
      <t xml:space="preserve"> (kWh)</t>
    </r>
  </si>
  <si>
    <r>
      <rPr>
        <b/>
        <sz val="9.5"/>
        <color theme="1"/>
        <rFont val="Calibri Light"/>
        <family val="2"/>
        <scheme val="major"/>
      </rPr>
      <t>1B GAS</t>
    </r>
    <r>
      <rPr>
        <sz val="9.5"/>
        <color theme="1"/>
        <rFont val="Calibri Light"/>
        <family val="2"/>
        <scheme val="major"/>
      </rPr>
      <t xml:space="preserve">      (CCF)</t>
    </r>
  </si>
  <si>
    <r>
      <t xml:space="preserve">1B STEAM </t>
    </r>
    <r>
      <rPr>
        <sz val="9.5"/>
        <color theme="1"/>
        <rFont val="Calibri Light"/>
        <family val="2"/>
        <scheme val="major"/>
      </rPr>
      <t>(Mlbs)</t>
    </r>
  </si>
  <si>
    <r>
      <rPr>
        <b/>
        <sz val="9.5"/>
        <color theme="1"/>
        <rFont val="Calibri Light"/>
        <family val="2"/>
        <scheme val="major"/>
      </rPr>
      <t>1B WATER</t>
    </r>
    <r>
      <rPr>
        <sz val="9.5"/>
        <color theme="1"/>
        <rFont val="Calibri Light"/>
        <family val="2"/>
        <scheme val="major"/>
      </rPr>
      <t xml:space="preserve">    (Gallons)</t>
    </r>
  </si>
  <si>
    <r>
      <t xml:space="preserve">4TH CT - 5    </t>
    </r>
    <r>
      <rPr>
        <sz val="9.5"/>
        <color theme="1"/>
        <rFont val="Calibri Light"/>
        <family val="2"/>
        <scheme val="major"/>
      </rPr>
      <t>(Gallons)</t>
    </r>
  </si>
  <si>
    <r>
      <t xml:space="preserve">36TH STEAM </t>
    </r>
    <r>
      <rPr>
        <sz val="9.5"/>
        <color theme="1"/>
        <rFont val="Calibri Light"/>
        <family val="2"/>
        <scheme val="major"/>
      </rPr>
      <t>(Mlbs)</t>
    </r>
  </si>
  <si>
    <r>
      <t xml:space="preserve">36TH WATER </t>
    </r>
    <r>
      <rPr>
        <sz val="9.5"/>
        <color theme="1"/>
        <rFont val="Calibri Light"/>
        <family val="2"/>
        <scheme val="major"/>
      </rPr>
      <t>(Gallons)</t>
    </r>
  </si>
  <si>
    <r>
      <t xml:space="preserve">EAST PENT.CT -3    </t>
    </r>
    <r>
      <rPr>
        <sz val="9.5"/>
        <color theme="1"/>
        <rFont val="Calibri Light"/>
        <family val="2"/>
        <scheme val="major"/>
      </rPr>
      <t>(Gallons)</t>
    </r>
  </si>
  <si>
    <t>High Temp</t>
  </si>
  <si>
    <t>Low Temp</t>
  </si>
  <si>
    <t>Avg Temp</t>
  </si>
  <si>
    <r>
      <t xml:space="preserve">Heating Degree Day </t>
    </r>
    <r>
      <rPr>
        <b/>
        <sz val="10"/>
        <color theme="1"/>
        <rFont val="Calibri Light"/>
        <family val="2"/>
        <scheme val="major"/>
      </rPr>
      <t>(HDD)</t>
    </r>
  </si>
  <si>
    <r>
      <t xml:space="preserve">Cooling Degree Day </t>
    </r>
    <r>
      <rPr>
        <b/>
        <sz val="10"/>
        <color theme="1"/>
        <rFont val="Calibri Light"/>
        <family val="2"/>
        <scheme val="major"/>
      </rPr>
      <t>(CDD)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</si>
</sst>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 Light"/>
      <family val="2"/>
      <scheme val="major"/>
    </font>
    <font>
      <sz val="10"/>
      <color theme="1"/>
      <name val="Calibri Light"/>
      <family val="2"/>
      <scheme val="major"/>
    </font>
    <font>
      <b/>
      <sz val="16"/>
      <color theme="1"/>
      <name val="Calibri Light"/>
      <family val="2"/>
      <scheme val="major"/>
    </font>
    <font>
      <b/>
      <sz val="13"/>
      <color theme="1"/>
      <name val="Calibri Light"/>
      <family val="2"/>
      <scheme val="major"/>
    </font>
    <font>
      <b/>
      <sz val="14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9.5"/>
      <color theme="1"/>
      <name val="Calibri Light"/>
      <family val="2"/>
      <scheme val="major"/>
    </font>
    <font>
      <b/>
      <sz val="9.5"/>
      <color theme="1"/>
      <name val="Calibri Light"/>
      <family val="2"/>
      <scheme val="major"/>
    </font>
    <font>
      <sz val="10.5"/>
      <color theme="1"/>
      <name val="Calibri Light"/>
      <family val="2"/>
      <scheme val="major"/>
    </font>
    <font>
      <b/>
      <sz val="10"/>
      <color theme="1"/>
      <name val="Calibri Light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1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2" fontId="3" fillId="0" borderId="1" xfId="0" applyNumberFormat="1" applyFont="1" applyBorder="1" applyAlignment="1">
      <alignment horizontal="center" wrapText="1"/>
    </xf>
    <xf numFmtId="164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0" fillId="2" borderId="3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13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1" fontId="0" fillId="0" borderId="10" xfId="0" applyNumberFormat="1" applyBorder="1" applyAlignment="1">
      <alignment horizont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1" fontId="0" fillId="0" borderId="13" xfId="0" applyNumberFormat="1" applyBorder="1" applyAlignment="1">
      <alignment horizont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1" fontId="0" fillId="0" borderId="0" xfId="0" applyNumberFormat="1" applyBorder="1" applyAlignment="1">
      <alignment horizontal="center"/>
    </xf>
    <xf numFmtId="0" fontId="5" fillId="0" borderId="0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1" fontId="0" fillId="0" borderId="19" xfId="0" applyNumberFormat="1" applyBorder="1" applyAlignment="1">
      <alignment horizontal="center"/>
    </xf>
    <xf numFmtId="0" fontId="5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 shrinkToFit="1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28575</xdr:colOff>
      <xdr:row>0</xdr:row>
      <xdr:rowOff>0</xdr:rowOff>
    </xdr:from>
    <xdr:ext cx="1752600" cy="1123951"/>
    <xdr:pic>
      <xdr:nvPicPr>
        <xdr:cNvPr id="2" name="Picture 1">
          <a:extLst>
            <a:ext uri="{FF2B5EF4-FFF2-40B4-BE49-F238E27FC236}">
              <a16:creationId xmlns:a16="http://schemas.microsoft.com/office/drawing/2014/main" id="{D357C45F-DB8B-4BDB-A398-26FF7A9197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15650" y="0"/>
          <a:ext cx="1752600" cy="1123951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AG\Engineering\Dept\Meter%20Readings\Engineering%20Meter%20Readings\Meter%20Readings%20Data%20Sheet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UARY"/>
      <sheetName val="FEBRUARY"/>
      <sheetName val="MARCH"/>
      <sheetName val="APRIL"/>
      <sheetName val="MAY"/>
      <sheetName val="JUNE"/>
      <sheetName val="JULY"/>
      <sheetName val="AUGUST"/>
      <sheetName val="SEPTEMBER"/>
      <sheetName val="OCTOBER"/>
      <sheetName val="NOVEMBER"/>
      <sheetName val="DECEMBER"/>
      <sheetName val="YTD Summa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38">
          <cell r="B38">
            <v>24785</v>
          </cell>
          <cell r="D38">
            <v>58557</v>
          </cell>
          <cell r="F38">
            <v>36039</v>
          </cell>
          <cell r="H38">
            <v>11316025</v>
          </cell>
          <cell r="J38">
            <v>441154</v>
          </cell>
          <cell r="L38">
            <v>38147</v>
          </cell>
          <cell r="N38">
            <v>31311062</v>
          </cell>
          <cell r="P38">
            <v>6398730</v>
          </cell>
        </row>
      </sheetData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Y31"/>
  <sheetViews>
    <sheetView topLeftCell="H1" workbookViewId="0">
      <selection activeCell="L4" sqref="L4:L31"/>
    </sheetView>
  </sheetViews>
  <sheetFormatPr defaultColWidth="11.5703125" defaultRowHeight="15" x14ac:dyDescent="0.25"/>
  <cols>
    <col min="1" max="1" width="27.42578125" style="3" bestFit="1" customWidth="1"/>
    <col min="2" max="2" width="11.5703125" style="2"/>
    <col min="3" max="3" width="11.5703125" style="14"/>
    <col min="4" max="4" width="13.42578125" style="2" customWidth="1"/>
    <col min="5" max="5" width="12.5703125" style="1" customWidth="1"/>
    <col min="6" max="6" width="12.5703125" style="10" customWidth="1"/>
    <col min="7" max="7" width="11.5703125" style="1"/>
    <col min="8" max="8" width="11.5703125" style="10"/>
    <col min="9" max="9" width="11.5703125" style="1"/>
    <col min="10" max="12" width="11.5703125" style="12"/>
    <col min="13" max="25" width="11.5703125" style="1"/>
  </cols>
  <sheetData>
    <row r="1" spans="1:25" s="3" customFormat="1" ht="75" x14ac:dyDescent="0.25">
      <c r="A1" s="5" t="s">
        <v>0</v>
      </c>
      <c r="B1" s="6" t="s">
        <v>1</v>
      </c>
      <c r="C1" s="13" t="s">
        <v>2</v>
      </c>
      <c r="D1" s="6" t="s">
        <v>3</v>
      </c>
      <c r="E1" s="7" t="s">
        <v>4</v>
      </c>
      <c r="F1" s="8" t="s">
        <v>5</v>
      </c>
      <c r="G1" s="7" t="s">
        <v>16</v>
      </c>
      <c r="H1" s="8" t="s">
        <v>17</v>
      </c>
      <c r="I1" s="7" t="s">
        <v>18</v>
      </c>
      <c r="J1" s="11" t="s">
        <v>19</v>
      </c>
      <c r="K1" s="7" t="s">
        <v>20</v>
      </c>
      <c r="L1" s="8" t="s">
        <v>21</v>
      </c>
      <c r="M1" s="7" t="s">
        <v>6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x14ac:dyDescent="0.25">
      <c r="A2" s="3" t="s">
        <v>7</v>
      </c>
      <c r="B2" s="2">
        <v>1</v>
      </c>
      <c r="C2" s="14">
        <v>11</v>
      </c>
      <c r="D2" s="2">
        <v>2022</v>
      </c>
      <c r="E2" s="4">
        <f>IF(November!C8&gt;0,November!C8,0)</f>
        <v>6000</v>
      </c>
      <c r="F2" s="9">
        <v>0.16</v>
      </c>
      <c r="G2" s="4">
        <f>IF(November!E8&gt;0,November!E8,0)</f>
        <v>46.067999999999998</v>
      </c>
      <c r="H2" s="10">
        <v>2.31</v>
      </c>
      <c r="I2" s="4">
        <f>IF((November!I8+November!O8)&gt;0,(November!I8+November!O8),0)</f>
        <v>6263</v>
      </c>
      <c r="J2" s="10">
        <v>0.04</v>
      </c>
      <c r="K2" s="4">
        <f>IF((November!G8+November!M8)&gt;0,(November!G8+November!M8),0)</f>
        <v>11.3</v>
      </c>
      <c r="L2" s="10">
        <v>51.8</v>
      </c>
      <c r="M2" s="4">
        <f>November!R8</f>
        <v>64</v>
      </c>
    </row>
    <row r="3" spans="1:25" x14ac:dyDescent="0.25">
      <c r="A3" s="3" t="s">
        <v>7</v>
      </c>
      <c r="B3" s="2">
        <f>B2+1</f>
        <v>2</v>
      </c>
      <c r="C3" s="14">
        <v>11</v>
      </c>
      <c r="D3" s="14">
        <v>2022</v>
      </c>
      <c r="E3" s="4">
        <f>IF(November!C9&gt;0,November!C9,0)</f>
        <v>6000</v>
      </c>
      <c r="F3" s="9">
        <v>0.16</v>
      </c>
      <c r="G3" s="4">
        <f>IF(November!E9&gt;0,November!E9,0)</f>
        <v>48.161999999999999</v>
      </c>
      <c r="H3" s="14">
        <v>2.31</v>
      </c>
      <c r="I3" s="4">
        <f>IF((November!I9+November!O9)&gt;0,(November!I9+November!O9),0)</f>
        <v>7702</v>
      </c>
      <c r="J3" s="10">
        <v>0.04</v>
      </c>
      <c r="K3" s="4">
        <f>IF((November!G9+November!M9)&gt;0,(November!G9+November!M9),0)</f>
        <v>11.8</v>
      </c>
      <c r="L3" s="14">
        <v>51.8</v>
      </c>
      <c r="M3" s="4">
        <f>November!R9</f>
        <v>123</v>
      </c>
      <c r="O3" s="4"/>
    </row>
    <row r="4" spans="1:25" x14ac:dyDescent="0.25">
      <c r="A4" s="3" t="s">
        <v>7</v>
      </c>
      <c r="B4" s="2">
        <f t="shared" ref="B4:B31" si="0">B3+1</f>
        <v>3</v>
      </c>
      <c r="C4" s="14">
        <v>11</v>
      </c>
      <c r="D4" s="14">
        <v>2022</v>
      </c>
      <c r="E4" s="4">
        <f>IF(November!C10&gt;0,November!C10,0)</f>
        <v>6900</v>
      </c>
      <c r="F4" s="9">
        <v>0.16</v>
      </c>
      <c r="G4" s="4">
        <f>IF(November!E10&gt;0,November!E10,0)</f>
        <v>54.443999999999996</v>
      </c>
      <c r="H4" s="14">
        <v>2.31</v>
      </c>
      <c r="I4" s="4">
        <f>IF((November!I10+November!O10)&gt;0,(November!I10+November!O10),0)</f>
        <v>8858</v>
      </c>
      <c r="J4" s="10">
        <v>0.04</v>
      </c>
      <c r="K4" s="4">
        <f>IF((November!G10+November!M10)&gt;0,(November!G10+November!M10),0)</f>
        <v>13.200000000000001</v>
      </c>
      <c r="L4" s="14">
        <v>51.8</v>
      </c>
      <c r="M4" s="4">
        <f>November!R10</f>
        <v>125</v>
      </c>
    </row>
    <row r="5" spans="1:25" x14ac:dyDescent="0.25">
      <c r="A5" s="3" t="s">
        <v>7</v>
      </c>
      <c r="B5" s="2">
        <f t="shared" si="0"/>
        <v>4</v>
      </c>
      <c r="C5" s="14">
        <v>11</v>
      </c>
      <c r="D5" s="14">
        <v>2022</v>
      </c>
      <c r="E5" s="4">
        <f>IF(November!C11&gt;0,November!C11,0)</f>
        <v>6600</v>
      </c>
      <c r="F5" s="9">
        <v>0.16</v>
      </c>
      <c r="G5" s="4">
        <f>IF(November!E11&gt;0,November!E11,0)</f>
        <v>51.302999999999997</v>
      </c>
      <c r="H5" s="14">
        <v>2.31</v>
      </c>
      <c r="I5" s="4">
        <f>IF((November!I11+November!O11)&gt;0,(November!I11+November!O11),0)</f>
        <v>10855</v>
      </c>
      <c r="J5" s="10">
        <v>0.04</v>
      </c>
      <c r="K5" s="4">
        <f>IF((November!G11+November!M11)&gt;0,(November!G11+November!M11),0)</f>
        <v>17.100000000000001</v>
      </c>
      <c r="L5" s="14">
        <v>51.8</v>
      </c>
      <c r="M5" s="4">
        <f>November!R11</f>
        <v>114</v>
      </c>
    </row>
    <row r="6" spans="1:25" x14ac:dyDescent="0.25">
      <c r="A6" s="3" t="s">
        <v>7</v>
      </c>
      <c r="B6" s="2">
        <f t="shared" si="0"/>
        <v>5</v>
      </c>
      <c r="C6" s="14">
        <v>11</v>
      </c>
      <c r="D6" s="14">
        <v>2022</v>
      </c>
      <c r="E6" s="4">
        <f>IF(November!C12&gt;0,November!C12,0)</f>
        <v>6900</v>
      </c>
      <c r="F6" s="9">
        <v>0.16</v>
      </c>
      <c r="G6" s="4">
        <f>IF(November!E12&gt;0,November!E12,0)</f>
        <v>52.349999999999994</v>
      </c>
      <c r="H6" s="14">
        <v>2.31</v>
      </c>
      <c r="I6" s="4">
        <f>IF((November!I12+November!O12)&gt;0,(November!I12+November!O12),0)</f>
        <v>10675</v>
      </c>
      <c r="J6" s="10">
        <v>0.04</v>
      </c>
      <c r="K6" s="4">
        <f>IF((November!G12+November!M12)&gt;0,(November!G12+November!M12),0)</f>
        <v>13.9</v>
      </c>
      <c r="L6" s="14">
        <v>51.8</v>
      </c>
      <c r="M6" s="4">
        <f>November!R12</f>
        <v>122</v>
      </c>
    </row>
    <row r="7" spans="1:25" x14ac:dyDescent="0.25">
      <c r="A7" s="3" t="s">
        <v>7</v>
      </c>
      <c r="B7" s="2">
        <f t="shared" si="0"/>
        <v>6</v>
      </c>
      <c r="C7" s="14">
        <v>11</v>
      </c>
      <c r="D7" s="14">
        <v>2022</v>
      </c>
      <c r="E7" s="4">
        <f>IF(November!C13&gt;0,November!C13,0)</f>
        <v>6600</v>
      </c>
      <c r="F7" s="9">
        <v>0.16</v>
      </c>
      <c r="G7" s="4">
        <f>IF(November!E13&gt;0,November!E13,0)</f>
        <v>54.443999999999996</v>
      </c>
      <c r="H7" s="14">
        <v>2.31</v>
      </c>
      <c r="I7" s="4">
        <f>IF((November!I13+November!O13)&gt;0,(November!I13+November!O13),0)</f>
        <v>11445</v>
      </c>
      <c r="J7" s="10">
        <v>0.04</v>
      </c>
      <c r="K7" s="4">
        <f>IF((November!G13+November!M13)&gt;0,(November!G13+November!M13),0)</f>
        <v>13</v>
      </c>
      <c r="L7" s="14">
        <v>51.8</v>
      </c>
      <c r="M7" s="4">
        <f>November!R13</f>
        <v>96</v>
      </c>
    </row>
    <row r="8" spans="1:25" x14ac:dyDescent="0.25">
      <c r="A8" s="3" t="s">
        <v>7</v>
      </c>
      <c r="B8" s="2">
        <f t="shared" si="0"/>
        <v>7</v>
      </c>
      <c r="C8" s="14">
        <v>11</v>
      </c>
      <c r="D8" s="14">
        <v>2022</v>
      </c>
      <c r="E8" s="4">
        <f>IF(November!C14&gt;0,November!C14,0)</f>
        <v>6300</v>
      </c>
      <c r="F8" s="9">
        <v>0.16</v>
      </c>
      <c r="G8" s="4">
        <f>IF(November!E14&gt;0,November!E14,0)</f>
        <v>47.114999999999995</v>
      </c>
      <c r="H8" s="14">
        <v>2.31</v>
      </c>
      <c r="I8" s="4">
        <f>IF((November!I14+November!O14)&gt;0,(November!I14+November!O14),0)</f>
        <v>10410</v>
      </c>
      <c r="J8" s="10">
        <v>0.04</v>
      </c>
      <c r="K8" s="4">
        <f>IF((November!G14+November!M14)&gt;0,(November!G14+November!M14),0)</f>
        <v>11.8</v>
      </c>
      <c r="L8" s="14">
        <v>51.8</v>
      </c>
      <c r="M8" s="4">
        <f>November!R14</f>
        <v>96</v>
      </c>
    </row>
    <row r="9" spans="1:25" x14ac:dyDescent="0.25">
      <c r="A9" s="3" t="s">
        <v>7</v>
      </c>
      <c r="B9" s="2">
        <f t="shared" si="0"/>
        <v>8</v>
      </c>
      <c r="C9" s="14">
        <v>11</v>
      </c>
      <c r="D9" s="14">
        <v>2022</v>
      </c>
      <c r="E9" s="4">
        <f>IF(November!C15&gt;0,November!C15,0)</f>
        <v>6600</v>
      </c>
      <c r="F9" s="9">
        <v>0.16</v>
      </c>
      <c r="G9" s="4">
        <f>IF(November!E15&gt;0,November!E15,0)</f>
        <v>51.302999999999997</v>
      </c>
      <c r="H9" s="14">
        <v>2.31</v>
      </c>
      <c r="I9" s="4">
        <f>IF((November!I15+November!O15)&gt;0,(November!I15+November!O15),0)</f>
        <v>9169</v>
      </c>
      <c r="J9" s="10">
        <v>0.04</v>
      </c>
      <c r="K9" s="4">
        <f>IF((November!G15+November!M15)&gt;0,(November!G15+November!M15),0)</f>
        <v>13.200000000000001</v>
      </c>
      <c r="L9" s="14">
        <v>51.8</v>
      </c>
      <c r="M9" s="4">
        <f>November!R15</f>
        <v>140</v>
      </c>
    </row>
    <row r="10" spans="1:25" x14ac:dyDescent="0.25">
      <c r="A10" s="3" t="s">
        <v>7</v>
      </c>
      <c r="B10" s="2">
        <f t="shared" si="0"/>
        <v>9</v>
      </c>
      <c r="C10" s="14">
        <v>11</v>
      </c>
      <c r="D10" s="14">
        <v>2022</v>
      </c>
      <c r="E10" s="4">
        <f>IF(November!C16&gt;0,November!C16,0)</f>
        <v>6300</v>
      </c>
      <c r="F10" s="9">
        <v>0.16</v>
      </c>
      <c r="G10" s="4">
        <f>IF(November!E16&gt;0,November!E16,0)</f>
        <v>50.256</v>
      </c>
      <c r="H10" s="14">
        <v>2.31</v>
      </c>
      <c r="I10" s="4">
        <f>IF((November!I16+November!O16)&gt;0,(November!I16+November!O16),0)</f>
        <v>8616</v>
      </c>
      <c r="J10" s="10">
        <v>0.04</v>
      </c>
      <c r="K10" s="4">
        <f>IF((November!G16+November!M16)&gt;0,(November!G16+November!M16),0)</f>
        <v>16.600000000000001</v>
      </c>
      <c r="L10" s="14">
        <v>51.8</v>
      </c>
      <c r="M10" s="4">
        <f>November!R16</f>
        <v>132</v>
      </c>
    </row>
    <row r="11" spans="1:25" x14ac:dyDescent="0.25">
      <c r="A11" s="3" t="s">
        <v>7</v>
      </c>
      <c r="B11" s="2">
        <f t="shared" si="0"/>
        <v>10</v>
      </c>
      <c r="C11" s="14">
        <v>11</v>
      </c>
      <c r="D11" s="14">
        <v>2022</v>
      </c>
      <c r="E11" s="4">
        <f>IF(November!C17&gt;0,November!C17,0)</f>
        <v>6900</v>
      </c>
      <c r="F11" s="9">
        <v>0.16</v>
      </c>
      <c r="G11" s="4">
        <f>IF(November!E17&gt;0,November!E17,0)</f>
        <v>52.349999999999994</v>
      </c>
      <c r="H11" s="14">
        <v>2.31</v>
      </c>
      <c r="I11" s="4">
        <f>IF((November!I17+November!O17)&gt;0,(November!I17+November!O17),0)</f>
        <v>10075</v>
      </c>
      <c r="J11" s="10">
        <v>0.04</v>
      </c>
      <c r="K11" s="4">
        <f>IF((November!G17+November!M17)&gt;0,(November!G17+November!M17),0)</f>
        <v>15.4</v>
      </c>
      <c r="L11" s="14">
        <v>51.8</v>
      </c>
      <c r="M11" s="4">
        <f>November!R17</f>
        <v>121</v>
      </c>
    </row>
    <row r="12" spans="1:25" x14ac:dyDescent="0.25">
      <c r="A12" s="3" t="s">
        <v>7</v>
      </c>
      <c r="B12" s="2">
        <f t="shared" si="0"/>
        <v>11</v>
      </c>
      <c r="C12" s="14">
        <v>11</v>
      </c>
      <c r="D12" s="14">
        <v>2022</v>
      </c>
      <c r="E12" s="4">
        <f>IF(November!C18&gt;0,November!C18,0)</f>
        <v>6600</v>
      </c>
      <c r="F12" s="9">
        <v>0.16</v>
      </c>
      <c r="G12" s="4">
        <f>IF(November!E18&gt;0,November!E18,0)</f>
        <v>53.396999999999998</v>
      </c>
      <c r="H12" s="14">
        <v>2.31</v>
      </c>
      <c r="I12" s="4">
        <f>IF((November!I18+November!O18)&gt;0,(November!I18+November!O18),0)</f>
        <v>10785</v>
      </c>
      <c r="J12" s="10">
        <v>0.04</v>
      </c>
      <c r="K12" s="4">
        <f>IF((November!G18+November!M18)&gt;0,(November!G18+November!M18),0)</f>
        <v>11.3</v>
      </c>
      <c r="L12" s="14">
        <v>51.8</v>
      </c>
      <c r="M12" s="4">
        <f>November!R18</f>
        <v>135</v>
      </c>
    </row>
    <row r="13" spans="1:25" x14ac:dyDescent="0.25">
      <c r="A13" s="3" t="s">
        <v>7</v>
      </c>
      <c r="B13" s="2">
        <f t="shared" si="0"/>
        <v>12</v>
      </c>
      <c r="C13" s="14">
        <v>11</v>
      </c>
      <c r="D13" s="14">
        <v>2022</v>
      </c>
      <c r="E13" s="4">
        <f>IF(November!C19&gt;0,November!C19,0)</f>
        <v>6900</v>
      </c>
      <c r="F13" s="9">
        <v>0.16</v>
      </c>
      <c r="G13" s="4">
        <f>IF(November!E19&gt;0,November!E19,0)</f>
        <v>50.256</v>
      </c>
      <c r="H13" s="14">
        <v>2.31</v>
      </c>
      <c r="I13" s="4">
        <f>IF((November!I19+November!O19)&gt;0,(November!I19+November!O19),0)</f>
        <v>10545</v>
      </c>
      <c r="J13" s="10">
        <v>0.04</v>
      </c>
      <c r="K13" s="4">
        <f>IF((November!G19+November!M19)&gt;0,(November!G19+November!M19),0)</f>
        <v>16.5</v>
      </c>
      <c r="L13" s="14">
        <v>51.8</v>
      </c>
      <c r="M13" s="4">
        <f>November!R19</f>
        <v>103</v>
      </c>
    </row>
    <row r="14" spans="1:25" x14ac:dyDescent="0.25">
      <c r="A14" s="3" t="s">
        <v>7</v>
      </c>
      <c r="B14" s="2">
        <f t="shared" si="0"/>
        <v>13</v>
      </c>
      <c r="C14" s="14">
        <v>11</v>
      </c>
      <c r="D14" s="14">
        <v>2022</v>
      </c>
      <c r="E14" s="4">
        <f>IF(November!C20&gt;0,November!C20,0)</f>
        <v>6900</v>
      </c>
      <c r="F14" s="9">
        <v>0.16</v>
      </c>
      <c r="G14" s="4">
        <f>IF(November!E20&gt;0,November!E20,0)</f>
        <v>51.302999999999997</v>
      </c>
      <c r="H14" s="14">
        <v>2.31</v>
      </c>
      <c r="I14" s="4">
        <f>IF((November!I20+November!O20)&gt;0,(November!I20+November!O20),0)</f>
        <v>12105</v>
      </c>
      <c r="J14" s="10">
        <v>0.04</v>
      </c>
      <c r="K14" s="4">
        <f>IF((November!G20+November!M20)&gt;0,(November!G20+November!M20),0)</f>
        <v>12.8</v>
      </c>
      <c r="L14" s="14">
        <v>51.8</v>
      </c>
      <c r="M14" s="4">
        <f>November!R20</f>
        <v>96</v>
      </c>
    </row>
    <row r="15" spans="1:25" x14ac:dyDescent="0.25">
      <c r="A15" s="3" t="s">
        <v>7</v>
      </c>
      <c r="B15" s="2">
        <f t="shared" si="0"/>
        <v>14</v>
      </c>
      <c r="C15" s="14">
        <v>11</v>
      </c>
      <c r="D15" s="14">
        <v>2022</v>
      </c>
      <c r="E15" s="4">
        <f>IF(November!C21&gt;0,November!C21,0)</f>
        <v>6900</v>
      </c>
      <c r="F15" s="9">
        <v>0.16</v>
      </c>
      <c r="G15" s="4">
        <f>IF(November!E21&gt;0,November!E21,0)</f>
        <v>43.973999999999997</v>
      </c>
      <c r="H15" s="14">
        <v>2.31</v>
      </c>
      <c r="I15" s="4">
        <f>IF((November!I21+November!O21)&gt;0,(November!I21+November!O21),0)</f>
        <v>10135</v>
      </c>
      <c r="J15" s="10">
        <v>0.04</v>
      </c>
      <c r="K15" s="4">
        <f>IF((November!G21+November!M21)&gt;0,(November!G21+November!M21),0)</f>
        <v>13.600000000000001</v>
      </c>
      <c r="L15" s="14">
        <v>51.8</v>
      </c>
      <c r="M15" s="4">
        <f>November!R21</f>
        <v>89</v>
      </c>
    </row>
    <row r="16" spans="1:25" x14ac:dyDescent="0.25">
      <c r="A16" s="3" t="s">
        <v>7</v>
      </c>
      <c r="B16" s="2">
        <f t="shared" si="0"/>
        <v>15</v>
      </c>
      <c r="C16" s="14">
        <v>11</v>
      </c>
      <c r="D16" s="14">
        <v>2022</v>
      </c>
      <c r="E16" s="4">
        <f>IF(November!C22&gt;0,November!C22,0)</f>
        <v>6600</v>
      </c>
      <c r="F16" s="9">
        <v>0.16</v>
      </c>
      <c r="G16" s="4">
        <f>IF(November!E22&gt;0,November!E22,0)</f>
        <v>47.114999999999995</v>
      </c>
      <c r="H16" s="14">
        <v>2.31</v>
      </c>
      <c r="I16" s="4">
        <f>IF((November!I22+November!O22)&gt;0,(November!I22+November!O22),0)</f>
        <v>9512</v>
      </c>
      <c r="J16" s="10">
        <v>0.04</v>
      </c>
      <c r="K16" s="4">
        <f>IF((November!G22+November!M22)&gt;0,(November!G22+November!M22),0)</f>
        <v>13.100000000000001</v>
      </c>
      <c r="L16" s="14">
        <v>51.8</v>
      </c>
      <c r="M16" s="4">
        <f>November!R22</f>
        <v>110</v>
      </c>
    </row>
    <row r="17" spans="1:13" x14ac:dyDescent="0.25">
      <c r="A17" s="3" t="s">
        <v>7</v>
      </c>
      <c r="B17" s="2">
        <f t="shared" si="0"/>
        <v>16</v>
      </c>
      <c r="C17" s="14">
        <v>11</v>
      </c>
      <c r="D17" s="14">
        <v>2022</v>
      </c>
      <c r="E17" s="4">
        <f>IF(November!C23&gt;0,November!C23,0)</f>
        <v>6900</v>
      </c>
      <c r="F17" s="9">
        <v>0.16</v>
      </c>
      <c r="G17" s="4">
        <f>IF(November!E23&gt;0,November!E23,0)</f>
        <v>47.114999999999995</v>
      </c>
      <c r="H17" s="14">
        <v>2.31</v>
      </c>
      <c r="I17" s="4">
        <f>IF((November!I23+November!O23)&gt;0,(November!I23+November!O23),0)</f>
        <v>9398</v>
      </c>
      <c r="J17" s="10">
        <v>0.04</v>
      </c>
      <c r="K17" s="4">
        <f>IF((November!G23+November!M23)&gt;0,(November!G23+November!M23),0)</f>
        <v>13</v>
      </c>
      <c r="L17" s="14">
        <v>51.8</v>
      </c>
      <c r="M17" s="4">
        <f>November!R23</f>
        <v>134</v>
      </c>
    </row>
    <row r="18" spans="1:13" x14ac:dyDescent="0.25">
      <c r="A18" s="3" t="s">
        <v>7</v>
      </c>
      <c r="B18" s="2">
        <f t="shared" si="0"/>
        <v>17</v>
      </c>
      <c r="C18" s="14">
        <v>11</v>
      </c>
      <c r="D18" s="14">
        <v>2022</v>
      </c>
      <c r="E18" s="4">
        <f>IF(November!C24&gt;0,November!C24,0)</f>
        <v>7500</v>
      </c>
      <c r="F18" s="9">
        <v>0.16</v>
      </c>
      <c r="G18" s="4">
        <f>IF(November!E24&gt;0,November!E24,0)</f>
        <v>57.584999999999994</v>
      </c>
      <c r="H18" s="14">
        <v>2.31</v>
      </c>
      <c r="I18" s="4">
        <f>IF((November!I24+November!O24)&gt;0,(November!I24+November!O24),0)</f>
        <v>8240</v>
      </c>
      <c r="J18" s="10">
        <v>0.04</v>
      </c>
      <c r="K18" s="4">
        <f>IF((November!G24+November!M24)&gt;0,(November!G24+November!M24),0)</f>
        <v>13.9</v>
      </c>
      <c r="L18" s="14">
        <v>51.8</v>
      </c>
      <c r="M18" s="4">
        <f>November!R24</f>
        <v>117</v>
      </c>
    </row>
    <row r="19" spans="1:13" x14ac:dyDescent="0.25">
      <c r="A19" s="3" t="s">
        <v>7</v>
      </c>
      <c r="B19" s="2">
        <f t="shared" si="0"/>
        <v>18</v>
      </c>
      <c r="C19" s="14">
        <v>11</v>
      </c>
      <c r="D19" s="14">
        <v>2022</v>
      </c>
      <c r="E19" s="4">
        <f>IF(November!C25&gt;0,November!C25,0)</f>
        <v>6900</v>
      </c>
      <c r="F19" s="9">
        <v>0.16</v>
      </c>
      <c r="G19" s="4">
        <f>IF(November!E25&gt;0,November!E25,0)</f>
        <v>49.208999999999996</v>
      </c>
      <c r="H19" s="14">
        <v>2.31</v>
      </c>
      <c r="I19" s="4">
        <f>IF((November!I25+November!O25)&gt;0,(November!I25+November!O25),0)</f>
        <v>11300</v>
      </c>
      <c r="J19" s="10">
        <v>0.04</v>
      </c>
      <c r="K19" s="4">
        <f>IF((November!G25+November!M25)&gt;0,(November!G25+November!M25),0)</f>
        <v>13.1</v>
      </c>
      <c r="L19" s="14">
        <v>51.8</v>
      </c>
      <c r="M19" s="4">
        <f>November!R25</f>
        <v>79</v>
      </c>
    </row>
    <row r="20" spans="1:13" x14ac:dyDescent="0.25">
      <c r="A20" s="3" t="s">
        <v>7</v>
      </c>
      <c r="B20" s="2">
        <f t="shared" si="0"/>
        <v>19</v>
      </c>
      <c r="C20" s="14">
        <v>11</v>
      </c>
      <c r="D20" s="14">
        <v>2022</v>
      </c>
      <c r="E20" s="4">
        <f>IF(November!C26&gt;0,November!C26,0)</f>
        <v>7200</v>
      </c>
      <c r="F20" s="9">
        <v>0.16</v>
      </c>
      <c r="G20" s="4">
        <f>IF(November!E26&gt;0,November!E26,0)</f>
        <v>48.161999999999999</v>
      </c>
      <c r="H20" s="14">
        <v>2.31</v>
      </c>
      <c r="I20" s="4">
        <f>IF((November!I26+November!O26)&gt;0,(November!I26+November!O26),0)</f>
        <v>13425</v>
      </c>
      <c r="J20" s="10">
        <v>0.04</v>
      </c>
      <c r="K20" s="4">
        <f>IF((November!G26+November!M26)&gt;0,(November!G26+November!M26),0)</f>
        <v>12.7</v>
      </c>
      <c r="L20" s="14">
        <v>51.8</v>
      </c>
      <c r="M20" s="4">
        <f>November!R26</f>
        <v>73</v>
      </c>
    </row>
    <row r="21" spans="1:13" x14ac:dyDescent="0.25">
      <c r="A21" s="3" t="s">
        <v>7</v>
      </c>
      <c r="B21" s="2">
        <f t="shared" si="0"/>
        <v>20</v>
      </c>
      <c r="C21" s="14">
        <v>11</v>
      </c>
      <c r="D21" s="14">
        <v>2022</v>
      </c>
      <c r="E21" s="4">
        <f>IF(November!C27&gt;0,November!C27,0)</f>
        <v>7500</v>
      </c>
      <c r="F21" s="9">
        <v>0.16</v>
      </c>
      <c r="G21" s="4">
        <f>IF(November!E27&gt;0,November!E27,0)</f>
        <v>55.491</v>
      </c>
      <c r="H21" s="14">
        <v>2.31</v>
      </c>
      <c r="I21" s="4">
        <f>IF((November!I27+November!O27)&gt;0,(November!I27+November!O27),0)</f>
        <v>18445</v>
      </c>
      <c r="J21" s="10">
        <v>0.04</v>
      </c>
      <c r="K21" s="4">
        <f>IF((November!G27+November!M27)&gt;0,(November!G27+November!M27),0)</f>
        <v>15.4</v>
      </c>
      <c r="L21" s="14">
        <v>51.8</v>
      </c>
      <c r="M21" s="4">
        <f>November!R27</f>
        <v>69</v>
      </c>
    </row>
    <row r="22" spans="1:13" x14ac:dyDescent="0.25">
      <c r="A22" s="3" t="s">
        <v>7</v>
      </c>
      <c r="B22" s="2">
        <f t="shared" si="0"/>
        <v>21</v>
      </c>
      <c r="C22" s="14">
        <v>11</v>
      </c>
      <c r="D22" s="14">
        <v>2022</v>
      </c>
      <c r="E22" s="4">
        <f>IF(November!C28&gt;0,November!C28,0)</f>
        <v>6900</v>
      </c>
      <c r="F22" s="9">
        <v>0.16</v>
      </c>
      <c r="G22" s="4">
        <f>IF(November!E28&gt;0,November!E28,0)</f>
        <v>48.161999999999999</v>
      </c>
      <c r="H22" s="14">
        <v>2.31</v>
      </c>
      <c r="I22" s="4">
        <f>IF((November!I28+November!O28)&gt;0,(November!I28+November!O28),0)</f>
        <v>13075</v>
      </c>
      <c r="J22" s="10">
        <v>0.04</v>
      </c>
      <c r="K22" s="4">
        <f>IF((November!G28+November!M28)&gt;0,(November!G28+November!M28),0)</f>
        <v>12.100000000000001</v>
      </c>
      <c r="L22" s="14">
        <v>51.8</v>
      </c>
      <c r="M22" s="4">
        <f>November!R28</f>
        <v>31</v>
      </c>
    </row>
    <row r="23" spans="1:13" x14ac:dyDescent="0.25">
      <c r="A23" s="3" t="s">
        <v>7</v>
      </c>
      <c r="B23" s="2">
        <f t="shared" si="0"/>
        <v>22</v>
      </c>
      <c r="C23" s="14">
        <v>11</v>
      </c>
      <c r="D23" s="14">
        <v>2022</v>
      </c>
      <c r="E23" s="4">
        <f>IF(November!C29&gt;0,November!C29,0)</f>
        <v>7200</v>
      </c>
      <c r="F23" s="9">
        <v>0.16</v>
      </c>
      <c r="G23" s="4">
        <f>IF(November!E29&gt;0,November!E29,0)</f>
        <v>50.256</v>
      </c>
      <c r="H23" s="14">
        <v>2.31</v>
      </c>
      <c r="I23" s="4">
        <f>IF((November!I29+November!O29)&gt;0,(November!I29+November!O29),0)</f>
        <v>6930</v>
      </c>
      <c r="J23" s="10">
        <v>0.04</v>
      </c>
      <c r="K23" s="4">
        <f>IF((November!G29+November!M29)&gt;0,(November!G29+November!M29),0)</f>
        <v>13</v>
      </c>
      <c r="L23" s="14">
        <v>51.8</v>
      </c>
      <c r="M23" s="4">
        <f>November!R29</f>
        <v>38</v>
      </c>
    </row>
    <row r="24" spans="1:13" x14ac:dyDescent="0.25">
      <c r="A24" s="3" t="s">
        <v>7</v>
      </c>
      <c r="B24" s="2">
        <f t="shared" si="0"/>
        <v>23</v>
      </c>
      <c r="C24" s="14">
        <v>11</v>
      </c>
      <c r="D24" s="14">
        <v>2022</v>
      </c>
      <c r="E24" s="4">
        <f>IF(November!C30&gt;0,November!C30,0)</f>
        <v>4500</v>
      </c>
      <c r="F24" s="9">
        <v>0.16</v>
      </c>
      <c r="G24" s="4">
        <f>IF(November!E30&gt;0,November!E30,0)</f>
        <v>31.409999999999997</v>
      </c>
      <c r="H24" s="14">
        <v>2.31</v>
      </c>
      <c r="I24" s="4">
        <f>IF((November!I30+November!O30)&gt;0,(November!I30+November!O30),0)</f>
        <v>3770</v>
      </c>
      <c r="J24" s="10">
        <v>0.04</v>
      </c>
      <c r="K24" s="4">
        <f>IF((November!G30+November!M30)&gt;0,(November!G30+November!M30),0)</f>
        <v>6.7</v>
      </c>
      <c r="L24" s="14">
        <v>51.8</v>
      </c>
      <c r="M24" s="4">
        <f>November!R30</f>
        <v>33</v>
      </c>
    </row>
    <row r="25" spans="1:13" x14ac:dyDescent="0.25">
      <c r="A25" s="3" t="s">
        <v>7</v>
      </c>
      <c r="B25" s="2">
        <f t="shared" si="0"/>
        <v>24</v>
      </c>
      <c r="C25" s="14">
        <v>11</v>
      </c>
      <c r="D25" s="14">
        <v>2022</v>
      </c>
      <c r="E25" s="4">
        <f>IF(November!C31&gt;0,November!C31,0)</f>
        <v>9000</v>
      </c>
      <c r="F25" s="9">
        <v>0.16</v>
      </c>
      <c r="G25" s="4">
        <f>IF(November!E31&gt;0,November!E31,0)</f>
        <v>53.396999999999998</v>
      </c>
      <c r="H25" s="14">
        <v>2.31</v>
      </c>
      <c r="I25" s="4">
        <f>IF((November!I31+November!O31)&gt;0,(November!I31+November!O31),0)</f>
        <v>9380</v>
      </c>
      <c r="J25" s="10">
        <v>0.04</v>
      </c>
      <c r="K25" s="4">
        <f>IF((November!G31+November!M31)&gt;0,(November!G31+November!M31),0)</f>
        <v>15.900000000000002</v>
      </c>
      <c r="L25" s="14">
        <v>51.8</v>
      </c>
      <c r="M25" s="4">
        <f>November!R31</f>
        <v>0</v>
      </c>
    </row>
    <row r="26" spans="1:13" x14ac:dyDescent="0.25">
      <c r="A26" s="3" t="s">
        <v>7</v>
      </c>
      <c r="B26" s="2">
        <f>B25+1</f>
        <v>25</v>
      </c>
      <c r="C26" s="14">
        <v>11</v>
      </c>
      <c r="D26" s="14">
        <v>2022</v>
      </c>
      <c r="E26" s="4">
        <f>IF(November!C32&gt;0,November!C32,0)</f>
        <v>4200</v>
      </c>
      <c r="F26" s="9">
        <v>0.16</v>
      </c>
      <c r="G26" s="4">
        <f>IF(November!E32&gt;0,November!E32,0)</f>
        <v>45.020999999999994</v>
      </c>
      <c r="H26" s="14">
        <v>2.31</v>
      </c>
      <c r="I26" s="4">
        <f>IF((November!I32+November!O32)&gt;0,(November!I32+November!O32),0)</f>
        <v>4010</v>
      </c>
      <c r="J26" s="10">
        <v>0.04</v>
      </c>
      <c r="K26" s="4">
        <f>IF((November!G32+November!M32)&gt;0,(November!G32+November!M32),0)</f>
        <v>7.6</v>
      </c>
      <c r="L26" s="14">
        <v>51.8</v>
      </c>
      <c r="M26" s="4">
        <f>November!R32</f>
        <v>47</v>
      </c>
    </row>
    <row r="27" spans="1:13" x14ac:dyDescent="0.25">
      <c r="A27" s="3" t="s">
        <v>7</v>
      </c>
      <c r="B27" s="2">
        <f t="shared" si="0"/>
        <v>26</v>
      </c>
      <c r="C27" s="14">
        <v>11</v>
      </c>
      <c r="D27" s="14">
        <v>2022</v>
      </c>
      <c r="E27" s="4">
        <f>IF(November!C33&gt;0,November!C33,0)</f>
        <v>6900</v>
      </c>
      <c r="F27" s="9">
        <v>0.16</v>
      </c>
      <c r="G27" s="4">
        <f>IF(November!E33&gt;0,November!E33,0)</f>
        <v>47.114999999999995</v>
      </c>
      <c r="H27" s="14">
        <v>2.31</v>
      </c>
      <c r="I27" s="4">
        <f>IF((November!I33+November!O33)&gt;0,(November!I33+November!O33),0)</f>
        <v>9530</v>
      </c>
      <c r="J27" s="10">
        <v>0.04</v>
      </c>
      <c r="K27" s="4">
        <f>IF((November!G33+November!M33)&gt;0,(November!G33+November!M33),0)</f>
        <v>12.5</v>
      </c>
      <c r="L27" s="14">
        <v>51.8</v>
      </c>
      <c r="M27" s="4">
        <f>November!R33</f>
        <v>60</v>
      </c>
    </row>
    <row r="28" spans="1:13" x14ac:dyDescent="0.25">
      <c r="A28" s="3" t="s">
        <v>7</v>
      </c>
      <c r="B28" s="2">
        <f t="shared" si="0"/>
        <v>27</v>
      </c>
      <c r="C28" s="14">
        <v>11</v>
      </c>
      <c r="D28" s="14">
        <v>2022</v>
      </c>
      <c r="E28" s="4">
        <f>IF(November!C34&gt;0,November!C34,0)</f>
        <v>8400</v>
      </c>
      <c r="F28" s="9">
        <v>0.16</v>
      </c>
      <c r="G28" s="4">
        <f>IF(November!E34&gt;0,November!E34,0)</f>
        <v>55.491</v>
      </c>
      <c r="H28" s="14">
        <v>2.31</v>
      </c>
      <c r="I28" s="4">
        <f>IF((November!I34+November!O34)&gt;0,(November!I34+November!O34),0)</f>
        <v>10505</v>
      </c>
      <c r="J28" s="10">
        <v>0.04</v>
      </c>
      <c r="K28" s="4">
        <f>IF((November!G34+November!M34)&gt;0,(November!G34+November!M34),0)</f>
        <v>13.7</v>
      </c>
      <c r="L28" s="14">
        <v>51.8</v>
      </c>
      <c r="M28" s="4">
        <f>November!R34</f>
        <v>0</v>
      </c>
    </row>
    <row r="29" spans="1:13" x14ac:dyDescent="0.25">
      <c r="A29" s="3" t="s">
        <v>7</v>
      </c>
      <c r="B29" s="2">
        <f t="shared" si="0"/>
        <v>28</v>
      </c>
      <c r="C29" s="14">
        <v>11</v>
      </c>
      <c r="D29" s="14">
        <v>2022</v>
      </c>
      <c r="E29" s="4">
        <f>IF(November!C35&gt;0,November!C35,0)</f>
        <v>5700</v>
      </c>
      <c r="F29" s="9">
        <v>0.16</v>
      </c>
      <c r="G29" s="4">
        <f>IF(November!E35&gt;0,November!E35,0)</f>
        <v>33.503999999999998</v>
      </c>
      <c r="H29" s="14">
        <v>2.31</v>
      </c>
      <c r="I29" s="4">
        <f>IF((November!I35+November!O35)&gt;0,(November!I35+November!O35),0)</f>
        <v>5419</v>
      </c>
      <c r="J29" s="10">
        <v>0.04</v>
      </c>
      <c r="K29" s="4">
        <f>IF((November!G35+November!M35)&gt;0,(November!G35+November!M35),0)</f>
        <v>9.8000000000000007</v>
      </c>
      <c r="L29" s="14">
        <v>51.8</v>
      </c>
      <c r="M29" s="4">
        <f>November!R35</f>
        <v>53</v>
      </c>
    </row>
    <row r="30" spans="1:13" x14ac:dyDescent="0.25">
      <c r="A30" s="3" t="s">
        <v>7</v>
      </c>
      <c r="B30" s="2">
        <f t="shared" si="0"/>
        <v>29</v>
      </c>
      <c r="C30" s="14">
        <v>11</v>
      </c>
      <c r="D30" s="14">
        <v>2022</v>
      </c>
      <c r="E30" s="4">
        <f>IF(November!C36&gt;0,November!C36,0)</f>
        <v>6600</v>
      </c>
      <c r="F30" s="9">
        <v>0.16</v>
      </c>
      <c r="G30" s="4">
        <f>IF(November!E36&gt;0,November!E36,0)</f>
        <v>43.973999999999997</v>
      </c>
      <c r="H30" s="14">
        <v>2.31</v>
      </c>
      <c r="I30" s="4">
        <f>IF((November!I36+November!O36)&gt;0,(November!I36+November!O36),0)</f>
        <v>6744</v>
      </c>
      <c r="J30" s="10">
        <v>0.04</v>
      </c>
      <c r="K30" s="4">
        <f>IF((November!G36+November!M36)&gt;0,(November!G36+November!M36),0)</f>
        <v>12.100000000000001</v>
      </c>
      <c r="L30" s="14">
        <v>51.8</v>
      </c>
      <c r="M30" s="4">
        <f>November!R36</f>
        <v>68</v>
      </c>
    </row>
    <row r="31" spans="1:13" x14ac:dyDescent="0.25">
      <c r="A31" s="3" t="s">
        <v>7</v>
      </c>
      <c r="B31" s="2">
        <f t="shared" si="0"/>
        <v>30</v>
      </c>
      <c r="C31" s="14">
        <v>11</v>
      </c>
      <c r="D31" s="14">
        <v>2022</v>
      </c>
      <c r="E31" s="4">
        <f>IF(November!C37&gt;0,November!C37,0)</f>
        <v>6300</v>
      </c>
      <c r="F31" s="9">
        <v>0.16</v>
      </c>
      <c r="G31" s="4">
        <f>IF(November!E37&gt;0,November!E37,0)</f>
        <v>48.161999999999999</v>
      </c>
      <c r="H31" s="14">
        <v>2.31</v>
      </c>
      <c r="I31" s="4">
        <f>IF((November!I37+November!O37)&gt;0,(November!I37+November!O37),0)</f>
        <v>6792</v>
      </c>
      <c r="J31" s="10">
        <v>0.04</v>
      </c>
      <c r="K31" s="4">
        <f>IF((November!G37+November!M37)&gt;0,(November!G37+November!M37),0)</f>
        <v>13.7</v>
      </c>
      <c r="L31" s="14">
        <v>51.8</v>
      </c>
      <c r="M31" s="4">
        <f>November!R37</f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CB26F-3336-4084-8E5A-828616B6B5CA}">
  <dimension ref="A1:W40"/>
  <sheetViews>
    <sheetView tabSelected="1" showWhiteSpace="0" topLeftCell="L13" zoomScaleNormal="100" workbookViewId="0">
      <selection activeCell="W43" sqref="W43:W44"/>
    </sheetView>
  </sheetViews>
  <sheetFormatPr defaultColWidth="9.140625" defaultRowHeight="12.75" x14ac:dyDescent="0.25"/>
  <cols>
    <col min="1" max="1" width="9.85546875" style="16" bestFit="1" customWidth="1"/>
    <col min="2" max="2" width="12.5703125" style="16" customWidth="1"/>
    <col min="3" max="3" width="9.7109375" style="16" customWidth="1"/>
    <col min="4" max="4" width="8.5703125" style="16" customWidth="1"/>
    <col min="5" max="5" width="9.7109375" style="16" customWidth="1"/>
    <col min="6" max="6" width="8.85546875" style="16" customWidth="1"/>
    <col min="7" max="7" width="9.7109375" style="16" customWidth="1"/>
    <col min="8" max="8" width="16.28515625" style="16" customWidth="1"/>
    <col min="9" max="9" width="13.7109375" style="16" customWidth="1"/>
    <col min="10" max="10" width="9.85546875" style="16" customWidth="1"/>
    <col min="11" max="11" width="8.42578125" style="16" customWidth="1"/>
    <col min="12" max="12" width="8.7109375" style="16" customWidth="1"/>
    <col min="13" max="13" width="9.7109375" style="16" customWidth="1"/>
    <col min="14" max="15" width="13.7109375" style="16" customWidth="1"/>
    <col min="16" max="16" width="12.140625" style="16" customWidth="1"/>
    <col min="17" max="17" width="13.7109375" style="16" customWidth="1"/>
    <col min="18" max="19" width="9.140625" style="16"/>
    <col min="20" max="20" width="6.85546875" style="16" customWidth="1"/>
    <col min="21" max="21" width="8.140625" style="16" customWidth="1"/>
    <col min="22" max="22" width="9.140625" style="16"/>
    <col min="23" max="23" width="10.5703125" style="16" customWidth="1"/>
    <col min="24" max="16384" width="9.140625" style="16"/>
  </cols>
  <sheetData>
    <row r="1" spans="1:23" ht="18" customHeight="1" x14ac:dyDescent="0.25">
      <c r="A1" s="53"/>
      <c r="B1" s="53"/>
      <c r="C1" s="15"/>
    </row>
    <row r="2" spans="1:23" ht="21" x14ac:dyDescent="0.35">
      <c r="A2" s="54" t="s">
        <v>23</v>
      </c>
      <c r="B2" s="54"/>
      <c r="C2" s="54"/>
      <c r="D2" s="54"/>
      <c r="E2" s="54"/>
      <c r="F2" s="54"/>
      <c r="G2" s="54"/>
      <c r="H2" s="54"/>
      <c r="I2" s="54"/>
      <c r="J2" s="54"/>
      <c r="K2" s="17"/>
    </row>
    <row r="3" spans="1:23" ht="16.5" customHeight="1" x14ac:dyDescent="0.35">
      <c r="A3" s="54"/>
      <c r="B3" s="54"/>
      <c r="C3" s="54"/>
      <c r="D3" s="54"/>
      <c r="E3" s="54"/>
      <c r="F3" s="54"/>
      <c r="G3" s="54"/>
      <c r="H3" s="54"/>
      <c r="I3" s="54"/>
      <c r="J3" s="54"/>
      <c r="K3" s="17"/>
    </row>
    <row r="4" spans="1:23" s="19" customFormat="1" ht="24.75" customHeight="1" x14ac:dyDescent="0.25">
      <c r="A4" s="55"/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18"/>
    </row>
    <row r="5" spans="1:23" s="19" customFormat="1" ht="16.5" customHeight="1" x14ac:dyDescent="0.25">
      <c r="A5" s="18"/>
      <c r="B5" s="47"/>
      <c r="C5" s="18"/>
      <c r="D5" s="47"/>
      <c r="E5" s="18"/>
      <c r="F5" s="47"/>
      <c r="G5" s="18"/>
      <c r="H5" s="47"/>
      <c r="I5" s="18"/>
      <c r="J5" s="47"/>
      <c r="K5" s="18"/>
      <c r="L5" s="50"/>
      <c r="M5" s="18"/>
    </row>
    <row r="6" spans="1:23" s="19" customFormat="1" ht="49.5" customHeight="1" thickBot="1" x14ac:dyDescent="0.3">
      <c r="A6" s="52" t="s">
        <v>8</v>
      </c>
      <c r="B6" s="48">
        <f>[1]OCTOBER!B38</f>
        <v>24785</v>
      </c>
      <c r="C6" s="48"/>
      <c r="D6" s="48">
        <f>[1]OCTOBER!D38</f>
        <v>58557</v>
      </c>
      <c r="E6" s="48"/>
      <c r="F6" s="48">
        <f>[1]OCTOBER!F38</f>
        <v>36039</v>
      </c>
      <c r="G6" s="48"/>
      <c r="H6" s="48">
        <f>[1]OCTOBER!H38</f>
        <v>11316025</v>
      </c>
      <c r="I6" s="48"/>
      <c r="J6" s="49">
        <f>[1]OCTOBER!J38</f>
        <v>441154</v>
      </c>
      <c r="K6" s="48"/>
      <c r="L6" s="49">
        <f>[1]OCTOBER!L38</f>
        <v>38147</v>
      </c>
      <c r="M6" s="48"/>
      <c r="N6" s="51">
        <f>[1]OCTOBER!N38</f>
        <v>31311062</v>
      </c>
      <c r="O6" s="51"/>
      <c r="P6" s="51">
        <f>[1]OCTOBER!P38</f>
        <v>6398730</v>
      </c>
      <c r="Q6" s="51"/>
    </row>
    <row r="7" spans="1:23" s="20" customFormat="1" ht="47.25" customHeight="1" x14ac:dyDescent="0.25">
      <c r="A7" s="27" t="s">
        <v>9</v>
      </c>
      <c r="B7" s="21" t="s">
        <v>24</v>
      </c>
      <c r="C7" s="22" t="s">
        <v>10</v>
      </c>
      <c r="D7" s="21" t="s">
        <v>25</v>
      </c>
      <c r="E7" s="22" t="s">
        <v>11</v>
      </c>
      <c r="F7" s="23" t="s">
        <v>26</v>
      </c>
      <c r="G7" s="22" t="s">
        <v>12</v>
      </c>
      <c r="H7" s="21" t="s">
        <v>27</v>
      </c>
      <c r="I7" s="22" t="s">
        <v>13</v>
      </c>
      <c r="J7" s="23" t="s">
        <v>28</v>
      </c>
      <c r="K7" s="22" t="s">
        <v>14</v>
      </c>
      <c r="L7" s="23" t="s">
        <v>29</v>
      </c>
      <c r="M7" s="22" t="s">
        <v>12</v>
      </c>
      <c r="N7" s="23" t="s">
        <v>30</v>
      </c>
      <c r="O7" s="22" t="s">
        <v>13</v>
      </c>
      <c r="P7" s="23" t="s">
        <v>31</v>
      </c>
      <c r="Q7" s="28" t="s">
        <v>13</v>
      </c>
      <c r="R7" s="29" t="s">
        <v>22</v>
      </c>
      <c r="S7" s="30" t="s">
        <v>32</v>
      </c>
      <c r="T7" s="31" t="s">
        <v>33</v>
      </c>
      <c r="U7" s="31" t="s">
        <v>34</v>
      </c>
      <c r="V7" s="32" t="s">
        <v>35</v>
      </c>
      <c r="W7" s="45" t="s">
        <v>36</v>
      </c>
    </row>
    <row r="8" spans="1:23" ht="20.25" customHeight="1" x14ac:dyDescent="0.25">
      <c r="A8" s="42">
        <v>1</v>
      </c>
      <c r="B8" s="24">
        <v>24805</v>
      </c>
      <c r="C8" s="24">
        <f>+(B8-B6)*300</f>
        <v>6000</v>
      </c>
      <c r="D8" s="24">
        <v>58601</v>
      </c>
      <c r="E8" s="24">
        <f>+(D8-D6)*1.047</f>
        <v>46.067999999999998</v>
      </c>
      <c r="F8" s="24">
        <v>36081</v>
      </c>
      <c r="G8" s="24">
        <f>+(F8-F6)*0.1</f>
        <v>4.2</v>
      </c>
      <c r="H8" s="24">
        <v>11318172</v>
      </c>
      <c r="I8" s="24">
        <f>+H8-H6</f>
        <v>2147</v>
      </c>
      <c r="J8" s="24">
        <v>441504</v>
      </c>
      <c r="K8" s="24">
        <f>+J8-J6</f>
        <v>350</v>
      </c>
      <c r="L8" s="24">
        <v>38218</v>
      </c>
      <c r="M8" s="24">
        <f>+(L8-L6)*0.1</f>
        <v>7.1000000000000005</v>
      </c>
      <c r="N8" s="24">
        <v>31315178</v>
      </c>
      <c r="O8" s="24">
        <f>+N8-N6</f>
        <v>4116</v>
      </c>
      <c r="P8" s="24">
        <v>6398806</v>
      </c>
      <c r="Q8" s="35">
        <f>+P8-P6</f>
        <v>76</v>
      </c>
      <c r="R8" s="33">
        <v>64</v>
      </c>
      <c r="S8" s="34">
        <v>58</v>
      </c>
      <c r="T8" s="24">
        <v>48</v>
      </c>
      <c r="U8" s="24">
        <f>(S8+T8)/2</f>
        <v>53</v>
      </c>
      <c r="V8" s="35">
        <f>65-U8</f>
        <v>12</v>
      </c>
      <c r="W8" s="46">
        <v>0</v>
      </c>
    </row>
    <row r="9" spans="1:23" ht="20.25" customHeight="1" x14ac:dyDescent="0.25">
      <c r="A9" s="42">
        <v>2</v>
      </c>
      <c r="B9" s="24">
        <v>24825</v>
      </c>
      <c r="C9" s="24">
        <f>+(B9-B8)*300</f>
        <v>6000</v>
      </c>
      <c r="D9" s="24">
        <v>58647</v>
      </c>
      <c r="E9" s="24">
        <f>+(D9-D8)*1.047</f>
        <v>48.161999999999999</v>
      </c>
      <c r="F9" s="24">
        <v>36123</v>
      </c>
      <c r="G9" s="24">
        <f>+(F9-F8)*0.1</f>
        <v>4.2</v>
      </c>
      <c r="H9" s="24">
        <v>11320240</v>
      </c>
      <c r="I9" s="24">
        <f>+H9-H8</f>
        <v>2068</v>
      </c>
      <c r="J9" s="24">
        <v>441801</v>
      </c>
      <c r="K9" s="24">
        <f>+J9-J8</f>
        <v>297</v>
      </c>
      <c r="L9" s="24">
        <v>38294</v>
      </c>
      <c r="M9" s="24">
        <f>+(L9-L8)*0.1</f>
        <v>7.6000000000000005</v>
      </c>
      <c r="N9" s="24">
        <v>31320812</v>
      </c>
      <c r="O9" s="24">
        <f>+N9-N8</f>
        <v>5634</v>
      </c>
      <c r="P9" s="24">
        <v>6398807</v>
      </c>
      <c r="Q9" s="35">
        <f>+P9-P8</f>
        <v>1</v>
      </c>
      <c r="R9" s="36">
        <v>123</v>
      </c>
      <c r="S9" s="34">
        <v>58</v>
      </c>
      <c r="T9" s="24">
        <v>48</v>
      </c>
      <c r="U9" s="24">
        <f t="shared" ref="U9:U37" si="0">(S9+T9)/2</f>
        <v>53</v>
      </c>
      <c r="V9" s="35">
        <f t="shared" ref="V9:V37" si="1">65-U9</f>
        <v>12</v>
      </c>
      <c r="W9" s="46">
        <v>0</v>
      </c>
    </row>
    <row r="10" spans="1:23" ht="20.25" customHeight="1" x14ac:dyDescent="0.25">
      <c r="A10" s="42">
        <v>3</v>
      </c>
      <c r="B10" s="24">
        <v>24848</v>
      </c>
      <c r="C10" s="24">
        <f t="shared" ref="C10:C37" si="2">+(B10-B9)*300</f>
        <v>6900</v>
      </c>
      <c r="D10" s="24">
        <v>58699</v>
      </c>
      <c r="E10" s="24">
        <f t="shared" ref="E10:E37" si="3">+(D10-D9)*1.047</f>
        <v>54.443999999999996</v>
      </c>
      <c r="F10" s="24">
        <v>36167</v>
      </c>
      <c r="G10" s="24">
        <f t="shared" ref="G10:G37" si="4">+(F10-F9)*0.1</f>
        <v>4.4000000000000004</v>
      </c>
      <c r="H10" s="24">
        <v>11322780</v>
      </c>
      <c r="I10" s="24">
        <f>+H10-H9</f>
        <v>2540</v>
      </c>
      <c r="J10" s="24">
        <v>442152</v>
      </c>
      <c r="K10" s="24">
        <f>+J10-J9</f>
        <v>351</v>
      </c>
      <c r="L10" s="24">
        <v>38382</v>
      </c>
      <c r="M10" s="24">
        <f t="shared" ref="M10:M37" si="5">+(L10-L9)*0.1</f>
        <v>8.8000000000000007</v>
      </c>
      <c r="N10" s="24">
        <v>31327130</v>
      </c>
      <c r="O10" s="24">
        <f>+N10-N9</f>
        <v>6318</v>
      </c>
      <c r="P10" s="24">
        <v>6398914</v>
      </c>
      <c r="Q10" s="35">
        <f>+P10-P9</f>
        <v>107</v>
      </c>
      <c r="R10" s="36">
        <v>125</v>
      </c>
      <c r="S10" s="34">
        <v>59</v>
      </c>
      <c r="T10" s="24">
        <v>46</v>
      </c>
      <c r="U10" s="24">
        <f t="shared" si="0"/>
        <v>52.5</v>
      </c>
      <c r="V10" s="35">
        <f t="shared" si="1"/>
        <v>12.5</v>
      </c>
      <c r="W10" s="46">
        <v>0</v>
      </c>
    </row>
    <row r="11" spans="1:23" ht="20.25" customHeight="1" x14ac:dyDescent="0.25">
      <c r="A11" s="42">
        <v>4</v>
      </c>
      <c r="B11" s="24">
        <v>24870</v>
      </c>
      <c r="C11" s="24">
        <f t="shared" si="2"/>
        <v>6600</v>
      </c>
      <c r="D11" s="24">
        <v>58748</v>
      </c>
      <c r="E11" s="24">
        <f t="shared" si="3"/>
        <v>51.302999999999997</v>
      </c>
      <c r="F11" s="24">
        <v>36200</v>
      </c>
      <c r="G11" s="24">
        <f t="shared" si="4"/>
        <v>3.3000000000000003</v>
      </c>
      <c r="H11" s="24">
        <v>11325335</v>
      </c>
      <c r="I11" s="24">
        <f t="shared" ref="I11:K37" si="6">+H11-H10</f>
        <v>2555</v>
      </c>
      <c r="J11" s="24">
        <v>442537</v>
      </c>
      <c r="K11" s="24">
        <f t="shared" si="6"/>
        <v>385</v>
      </c>
      <c r="L11" s="24">
        <v>38520</v>
      </c>
      <c r="M11" s="24">
        <f t="shared" si="5"/>
        <v>13.8</v>
      </c>
      <c r="N11" s="24">
        <v>31335430</v>
      </c>
      <c r="O11" s="24">
        <f t="shared" ref="O11:Q26" si="7">+N11-N10</f>
        <v>8300</v>
      </c>
      <c r="P11" s="24">
        <v>6399380</v>
      </c>
      <c r="Q11" s="35">
        <f t="shared" si="7"/>
        <v>466</v>
      </c>
      <c r="R11" s="36">
        <v>114</v>
      </c>
      <c r="S11" s="34">
        <v>63</v>
      </c>
      <c r="T11" s="24">
        <v>46</v>
      </c>
      <c r="U11" s="24">
        <f t="shared" si="0"/>
        <v>54.5</v>
      </c>
      <c r="V11" s="35">
        <f t="shared" si="1"/>
        <v>10.5</v>
      </c>
      <c r="W11" s="46">
        <v>0</v>
      </c>
    </row>
    <row r="12" spans="1:23" ht="20.25" customHeight="1" x14ac:dyDescent="0.25">
      <c r="A12" s="42">
        <v>5</v>
      </c>
      <c r="B12" s="24">
        <v>24893</v>
      </c>
      <c r="C12" s="24">
        <f t="shared" si="2"/>
        <v>6900</v>
      </c>
      <c r="D12" s="24">
        <v>58798</v>
      </c>
      <c r="E12" s="24">
        <f t="shared" si="3"/>
        <v>52.349999999999994</v>
      </c>
      <c r="F12" s="24">
        <v>36253</v>
      </c>
      <c r="G12" s="24">
        <f t="shared" si="4"/>
        <v>5.3000000000000007</v>
      </c>
      <c r="H12" s="24">
        <v>11327440</v>
      </c>
      <c r="I12" s="24">
        <f t="shared" si="6"/>
        <v>2105</v>
      </c>
      <c r="J12" s="24">
        <v>442895</v>
      </c>
      <c r="K12" s="24">
        <f t="shared" si="6"/>
        <v>358</v>
      </c>
      <c r="L12" s="24">
        <v>38606</v>
      </c>
      <c r="M12" s="24">
        <f t="shared" si="5"/>
        <v>8.6</v>
      </c>
      <c r="N12" s="24">
        <v>31344000</v>
      </c>
      <c r="O12" s="24">
        <f t="shared" si="7"/>
        <v>8570</v>
      </c>
      <c r="P12" s="24">
        <v>6399508</v>
      </c>
      <c r="Q12" s="35">
        <f t="shared" si="7"/>
        <v>128</v>
      </c>
      <c r="R12" s="36">
        <v>122</v>
      </c>
      <c r="S12" s="34">
        <v>60</v>
      </c>
      <c r="T12" s="24">
        <v>51</v>
      </c>
      <c r="U12" s="24">
        <f t="shared" si="0"/>
        <v>55.5</v>
      </c>
      <c r="V12" s="35">
        <f t="shared" si="1"/>
        <v>9.5</v>
      </c>
      <c r="W12" s="46">
        <v>0</v>
      </c>
    </row>
    <row r="13" spans="1:23" ht="20.25" customHeight="1" x14ac:dyDescent="0.25">
      <c r="A13" s="42">
        <v>6</v>
      </c>
      <c r="B13" s="24">
        <v>24915</v>
      </c>
      <c r="C13" s="24">
        <f t="shared" si="2"/>
        <v>6600</v>
      </c>
      <c r="D13" s="24">
        <v>58850</v>
      </c>
      <c r="E13" s="24">
        <f t="shared" si="3"/>
        <v>54.443999999999996</v>
      </c>
      <c r="F13" s="24">
        <v>36300</v>
      </c>
      <c r="G13" s="24">
        <f t="shared" si="4"/>
        <v>4.7</v>
      </c>
      <c r="H13" s="24">
        <v>11329740</v>
      </c>
      <c r="I13" s="24">
        <f t="shared" si="6"/>
        <v>2300</v>
      </c>
      <c r="J13" s="24">
        <v>443141</v>
      </c>
      <c r="K13" s="24">
        <f t="shared" si="6"/>
        <v>246</v>
      </c>
      <c r="L13" s="24">
        <v>38689</v>
      </c>
      <c r="M13" s="24">
        <f t="shared" si="5"/>
        <v>8.3000000000000007</v>
      </c>
      <c r="N13" s="24">
        <v>31353145</v>
      </c>
      <c r="O13" s="24">
        <f t="shared" si="7"/>
        <v>9145</v>
      </c>
      <c r="P13" s="24">
        <v>6399510</v>
      </c>
      <c r="Q13" s="35">
        <f t="shared" si="7"/>
        <v>2</v>
      </c>
      <c r="R13" s="36">
        <v>96</v>
      </c>
      <c r="S13" s="34">
        <v>60</v>
      </c>
      <c r="T13" s="24">
        <v>51</v>
      </c>
      <c r="U13" s="24">
        <f t="shared" si="0"/>
        <v>55.5</v>
      </c>
      <c r="V13" s="35">
        <f t="shared" si="1"/>
        <v>9.5</v>
      </c>
      <c r="W13" s="46">
        <v>0</v>
      </c>
    </row>
    <row r="14" spans="1:23" ht="20.25" customHeight="1" x14ac:dyDescent="0.25">
      <c r="A14" s="42">
        <v>7</v>
      </c>
      <c r="B14" s="24">
        <v>24936</v>
      </c>
      <c r="C14" s="24">
        <f t="shared" si="2"/>
        <v>6300</v>
      </c>
      <c r="D14" s="24">
        <v>58895</v>
      </c>
      <c r="E14" s="24">
        <f t="shared" si="3"/>
        <v>47.114999999999995</v>
      </c>
      <c r="F14" s="24">
        <v>36342</v>
      </c>
      <c r="G14" s="24">
        <f t="shared" si="4"/>
        <v>4.2</v>
      </c>
      <c r="H14" s="24">
        <v>11331796</v>
      </c>
      <c r="I14" s="24">
        <f t="shared" si="6"/>
        <v>2056</v>
      </c>
      <c r="J14" s="24">
        <v>443245</v>
      </c>
      <c r="K14" s="24">
        <f t="shared" si="6"/>
        <v>104</v>
      </c>
      <c r="L14" s="24">
        <v>38765</v>
      </c>
      <c r="M14" s="24">
        <f t="shared" si="5"/>
        <v>7.6000000000000005</v>
      </c>
      <c r="N14" s="24">
        <v>31361499</v>
      </c>
      <c r="O14" s="24">
        <f t="shared" si="7"/>
        <v>8354</v>
      </c>
      <c r="P14" s="24">
        <v>6399768</v>
      </c>
      <c r="Q14" s="35">
        <f t="shared" si="7"/>
        <v>258</v>
      </c>
      <c r="R14" s="36">
        <v>96</v>
      </c>
      <c r="S14" s="34">
        <v>60</v>
      </c>
      <c r="T14" s="24">
        <v>51</v>
      </c>
      <c r="U14" s="24">
        <f t="shared" si="0"/>
        <v>55.5</v>
      </c>
      <c r="V14" s="35">
        <f t="shared" si="1"/>
        <v>9.5</v>
      </c>
      <c r="W14" s="46">
        <v>0</v>
      </c>
    </row>
    <row r="15" spans="1:23" ht="20.25" customHeight="1" x14ac:dyDescent="0.25">
      <c r="A15" s="42">
        <v>8</v>
      </c>
      <c r="B15" s="24">
        <v>24958</v>
      </c>
      <c r="C15" s="24">
        <f t="shared" si="2"/>
        <v>6600</v>
      </c>
      <c r="D15" s="24">
        <v>58944</v>
      </c>
      <c r="E15" s="24">
        <f t="shared" si="3"/>
        <v>51.302999999999997</v>
      </c>
      <c r="F15" s="24">
        <v>36387</v>
      </c>
      <c r="G15" s="24">
        <f t="shared" si="4"/>
        <v>4.5</v>
      </c>
      <c r="H15" s="24">
        <v>11334075</v>
      </c>
      <c r="I15" s="24">
        <f t="shared" si="6"/>
        <v>2279</v>
      </c>
      <c r="J15" s="24">
        <v>443854</v>
      </c>
      <c r="K15" s="24">
        <f t="shared" si="6"/>
        <v>609</v>
      </c>
      <c r="L15" s="24">
        <v>38852</v>
      </c>
      <c r="M15" s="24">
        <f t="shared" si="5"/>
        <v>8.7000000000000011</v>
      </c>
      <c r="N15" s="24">
        <v>31368389</v>
      </c>
      <c r="O15" s="24">
        <f t="shared" si="7"/>
        <v>6890</v>
      </c>
      <c r="P15" s="24">
        <v>6399861</v>
      </c>
      <c r="Q15" s="35">
        <f t="shared" si="7"/>
        <v>93</v>
      </c>
      <c r="R15" s="36">
        <v>140</v>
      </c>
      <c r="S15" s="34">
        <v>55</v>
      </c>
      <c r="T15" s="24">
        <v>47</v>
      </c>
      <c r="U15" s="24">
        <f t="shared" si="0"/>
        <v>51</v>
      </c>
      <c r="V15" s="35">
        <f t="shared" si="1"/>
        <v>14</v>
      </c>
      <c r="W15" s="46">
        <v>0</v>
      </c>
    </row>
    <row r="16" spans="1:23" ht="20.25" customHeight="1" x14ac:dyDescent="0.25">
      <c r="A16" s="42">
        <v>9</v>
      </c>
      <c r="B16" s="24">
        <v>24979</v>
      </c>
      <c r="C16" s="24">
        <f>+(B16-B15)*300</f>
        <v>6300</v>
      </c>
      <c r="D16" s="24">
        <v>58992</v>
      </c>
      <c r="E16" s="24">
        <f t="shared" si="3"/>
        <v>50.256</v>
      </c>
      <c r="F16" s="24">
        <v>36439</v>
      </c>
      <c r="G16" s="24">
        <f t="shared" si="4"/>
        <v>5.2</v>
      </c>
      <c r="H16" s="24">
        <v>11336220</v>
      </c>
      <c r="I16" s="24">
        <f t="shared" si="6"/>
        <v>2145</v>
      </c>
      <c r="J16" s="24">
        <v>443904</v>
      </c>
      <c r="K16" s="24">
        <f t="shared" si="6"/>
        <v>50</v>
      </c>
      <c r="L16" s="24">
        <v>38966</v>
      </c>
      <c r="M16" s="24">
        <f t="shared" si="5"/>
        <v>11.4</v>
      </c>
      <c r="N16" s="24">
        <v>31374860</v>
      </c>
      <c r="O16" s="24">
        <f t="shared" si="7"/>
        <v>6471</v>
      </c>
      <c r="P16" s="24">
        <v>6399956</v>
      </c>
      <c r="Q16" s="35">
        <f t="shared" si="7"/>
        <v>95</v>
      </c>
      <c r="R16" s="36">
        <v>132</v>
      </c>
      <c r="S16" s="34">
        <v>57</v>
      </c>
      <c r="T16" s="24">
        <v>44</v>
      </c>
      <c r="U16" s="24">
        <f t="shared" si="0"/>
        <v>50.5</v>
      </c>
      <c r="V16" s="35">
        <f t="shared" si="1"/>
        <v>14.5</v>
      </c>
      <c r="W16" s="46">
        <v>0</v>
      </c>
    </row>
    <row r="17" spans="1:23" ht="20.25" customHeight="1" x14ac:dyDescent="0.25">
      <c r="A17" s="42">
        <v>10</v>
      </c>
      <c r="B17" s="24">
        <v>25002</v>
      </c>
      <c r="C17" s="24">
        <f t="shared" si="2"/>
        <v>6900</v>
      </c>
      <c r="D17" s="24">
        <v>59042</v>
      </c>
      <c r="E17" s="24">
        <f t="shared" si="3"/>
        <v>52.349999999999994</v>
      </c>
      <c r="F17" s="24">
        <v>36473</v>
      </c>
      <c r="G17" s="24">
        <f t="shared" si="4"/>
        <v>3.4000000000000004</v>
      </c>
      <c r="H17" s="24">
        <v>11338795</v>
      </c>
      <c r="I17" s="24">
        <f t="shared" si="6"/>
        <v>2575</v>
      </c>
      <c r="J17" s="24">
        <v>444479</v>
      </c>
      <c r="K17" s="24">
        <f t="shared" si="6"/>
        <v>575</v>
      </c>
      <c r="L17" s="24">
        <v>39086</v>
      </c>
      <c r="M17" s="24">
        <f t="shared" si="5"/>
        <v>12</v>
      </c>
      <c r="N17" s="24">
        <v>31382360</v>
      </c>
      <c r="O17" s="24">
        <f t="shared" si="7"/>
        <v>7500</v>
      </c>
      <c r="P17" s="24">
        <v>6399992</v>
      </c>
      <c r="Q17" s="35">
        <f t="shared" si="7"/>
        <v>36</v>
      </c>
      <c r="R17" s="36">
        <v>121</v>
      </c>
      <c r="S17" s="34">
        <v>58</v>
      </c>
      <c r="T17" s="24">
        <v>45</v>
      </c>
      <c r="U17" s="24">
        <f t="shared" si="0"/>
        <v>51.5</v>
      </c>
      <c r="V17" s="35">
        <f t="shared" si="1"/>
        <v>13.5</v>
      </c>
      <c r="W17" s="46">
        <v>0</v>
      </c>
    </row>
    <row r="18" spans="1:23" ht="20.25" customHeight="1" x14ac:dyDescent="0.25">
      <c r="A18" s="42">
        <v>11</v>
      </c>
      <c r="B18" s="24">
        <v>25024</v>
      </c>
      <c r="C18" s="24">
        <f t="shared" si="2"/>
        <v>6600</v>
      </c>
      <c r="D18" s="24">
        <v>59093</v>
      </c>
      <c r="E18" s="24">
        <f t="shared" si="3"/>
        <v>53.396999999999998</v>
      </c>
      <c r="F18" s="24">
        <v>36516</v>
      </c>
      <c r="G18" s="24">
        <f t="shared" si="4"/>
        <v>4.3</v>
      </c>
      <c r="H18" s="24">
        <v>11341130</v>
      </c>
      <c r="I18" s="24">
        <f t="shared" si="6"/>
        <v>2335</v>
      </c>
      <c r="J18" s="24">
        <v>444687</v>
      </c>
      <c r="K18" s="24">
        <f t="shared" si="6"/>
        <v>208</v>
      </c>
      <c r="L18" s="24">
        <v>39156</v>
      </c>
      <c r="M18" s="24">
        <f t="shared" si="5"/>
        <v>7</v>
      </c>
      <c r="N18" s="24">
        <v>31390810</v>
      </c>
      <c r="O18" s="24">
        <f t="shared" si="7"/>
        <v>8450</v>
      </c>
      <c r="P18" s="24">
        <v>6399992</v>
      </c>
      <c r="Q18" s="35">
        <f t="shared" si="7"/>
        <v>0</v>
      </c>
      <c r="R18" s="36">
        <v>135</v>
      </c>
      <c r="S18" s="34">
        <v>58</v>
      </c>
      <c r="T18" s="24">
        <v>45</v>
      </c>
      <c r="U18" s="24">
        <f t="shared" si="0"/>
        <v>51.5</v>
      </c>
      <c r="V18" s="35">
        <f t="shared" si="1"/>
        <v>13.5</v>
      </c>
      <c r="W18" s="46">
        <v>0</v>
      </c>
    </row>
    <row r="19" spans="1:23" ht="20.25" customHeight="1" x14ac:dyDescent="0.25">
      <c r="A19" s="42">
        <v>12</v>
      </c>
      <c r="B19" s="24">
        <v>25047</v>
      </c>
      <c r="C19" s="24">
        <f t="shared" si="2"/>
        <v>6900</v>
      </c>
      <c r="D19" s="24">
        <v>59141</v>
      </c>
      <c r="E19" s="24">
        <f t="shared" si="3"/>
        <v>50.256</v>
      </c>
      <c r="F19" s="24">
        <v>36560</v>
      </c>
      <c r="G19" s="24">
        <f t="shared" si="4"/>
        <v>4.4000000000000004</v>
      </c>
      <c r="H19" s="24">
        <v>11343415</v>
      </c>
      <c r="I19" s="24">
        <f t="shared" si="6"/>
        <v>2285</v>
      </c>
      <c r="J19" s="24">
        <v>445021</v>
      </c>
      <c r="K19" s="24">
        <f t="shared" si="6"/>
        <v>334</v>
      </c>
      <c r="L19" s="24">
        <v>39277</v>
      </c>
      <c r="M19" s="24">
        <f t="shared" si="5"/>
        <v>12.100000000000001</v>
      </c>
      <c r="N19" s="24">
        <v>31399070</v>
      </c>
      <c r="O19" s="24">
        <f t="shared" si="7"/>
        <v>8260</v>
      </c>
      <c r="P19" s="24">
        <v>6399992</v>
      </c>
      <c r="Q19" s="35">
        <f t="shared" si="7"/>
        <v>0</v>
      </c>
      <c r="R19" s="36">
        <v>103</v>
      </c>
      <c r="S19" s="34">
        <v>59</v>
      </c>
      <c r="T19" s="24">
        <v>44</v>
      </c>
      <c r="U19" s="24">
        <f t="shared" si="0"/>
        <v>51.5</v>
      </c>
      <c r="V19" s="35">
        <f t="shared" si="1"/>
        <v>13.5</v>
      </c>
      <c r="W19" s="46">
        <v>0</v>
      </c>
    </row>
    <row r="20" spans="1:23" ht="20.25" customHeight="1" x14ac:dyDescent="0.25">
      <c r="A20" s="42">
        <v>13</v>
      </c>
      <c r="B20" s="24">
        <v>25070</v>
      </c>
      <c r="C20" s="24">
        <f t="shared" si="2"/>
        <v>6900</v>
      </c>
      <c r="D20" s="24">
        <v>59190</v>
      </c>
      <c r="E20" s="24">
        <f t="shared" si="3"/>
        <v>51.302999999999997</v>
      </c>
      <c r="F20" s="24">
        <v>36605</v>
      </c>
      <c r="G20" s="24">
        <f t="shared" si="4"/>
        <v>4.5</v>
      </c>
      <c r="H20" s="24">
        <v>11345692</v>
      </c>
      <c r="I20" s="24">
        <f t="shared" si="6"/>
        <v>2277</v>
      </c>
      <c r="J20" s="24">
        <v>445510</v>
      </c>
      <c r="K20" s="24">
        <f t="shared" si="6"/>
        <v>489</v>
      </c>
      <c r="L20" s="24">
        <v>39360</v>
      </c>
      <c r="M20" s="24">
        <f t="shared" si="5"/>
        <v>8.3000000000000007</v>
      </c>
      <c r="N20" s="24">
        <v>31408898</v>
      </c>
      <c r="O20" s="24">
        <f t="shared" si="7"/>
        <v>9828</v>
      </c>
      <c r="P20" s="24">
        <v>6399995</v>
      </c>
      <c r="Q20" s="35">
        <f t="shared" si="7"/>
        <v>3</v>
      </c>
      <c r="R20" s="36">
        <v>96</v>
      </c>
      <c r="S20" s="34">
        <v>59</v>
      </c>
      <c r="T20" s="24">
        <v>42</v>
      </c>
      <c r="U20" s="24">
        <f t="shared" si="0"/>
        <v>50.5</v>
      </c>
      <c r="V20" s="35">
        <f t="shared" si="1"/>
        <v>14.5</v>
      </c>
      <c r="W20" s="46">
        <v>0</v>
      </c>
    </row>
    <row r="21" spans="1:23" ht="20.25" customHeight="1" x14ac:dyDescent="0.25">
      <c r="A21" s="42">
        <v>14</v>
      </c>
      <c r="B21" s="24">
        <v>25093</v>
      </c>
      <c r="C21" s="24">
        <f t="shared" si="2"/>
        <v>6900</v>
      </c>
      <c r="D21" s="24">
        <v>59232</v>
      </c>
      <c r="E21" s="24">
        <f t="shared" si="3"/>
        <v>43.973999999999997</v>
      </c>
      <c r="F21" s="24">
        <v>36647</v>
      </c>
      <c r="G21" s="24">
        <f t="shared" si="4"/>
        <v>4.2</v>
      </c>
      <c r="H21" s="24">
        <v>11347690</v>
      </c>
      <c r="I21" s="24">
        <f t="shared" si="6"/>
        <v>1998</v>
      </c>
      <c r="J21" s="24">
        <v>446021</v>
      </c>
      <c r="K21" s="24">
        <f t="shared" si="6"/>
        <v>511</v>
      </c>
      <c r="L21" s="24">
        <v>39454</v>
      </c>
      <c r="M21" s="24">
        <f t="shared" si="5"/>
        <v>9.4</v>
      </c>
      <c r="N21" s="24">
        <v>31417035</v>
      </c>
      <c r="O21" s="24">
        <f t="shared" si="7"/>
        <v>8137</v>
      </c>
      <c r="P21" s="24">
        <v>6399995</v>
      </c>
      <c r="Q21" s="35">
        <f t="shared" si="7"/>
        <v>0</v>
      </c>
      <c r="R21" s="36">
        <v>89</v>
      </c>
      <c r="S21" s="34">
        <v>61</v>
      </c>
      <c r="T21" s="24">
        <v>43</v>
      </c>
      <c r="U21" s="24">
        <f t="shared" si="0"/>
        <v>52</v>
      </c>
      <c r="V21" s="35">
        <f t="shared" si="1"/>
        <v>13</v>
      </c>
      <c r="W21" s="46">
        <v>0</v>
      </c>
    </row>
    <row r="22" spans="1:23" ht="20.25" customHeight="1" x14ac:dyDescent="0.25">
      <c r="A22" s="42">
        <v>15</v>
      </c>
      <c r="B22" s="24">
        <v>25115</v>
      </c>
      <c r="C22" s="24">
        <f t="shared" si="2"/>
        <v>6600</v>
      </c>
      <c r="D22" s="24">
        <v>59277</v>
      </c>
      <c r="E22" s="24">
        <f t="shared" si="3"/>
        <v>47.114999999999995</v>
      </c>
      <c r="F22" s="24">
        <v>36689</v>
      </c>
      <c r="G22" s="24">
        <f t="shared" si="4"/>
        <v>4.2</v>
      </c>
      <c r="H22" s="24">
        <v>11350595</v>
      </c>
      <c r="I22" s="24">
        <f t="shared" si="6"/>
        <v>2905</v>
      </c>
      <c r="J22" s="24">
        <v>446582</v>
      </c>
      <c r="K22" s="24">
        <f t="shared" si="6"/>
        <v>561</v>
      </c>
      <c r="L22" s="24">
        <v>39543</v>
      </c>
      <c r="M22" s="24">
        <f t="shared" si="5"/>
        <v>8.9</v>
      </c>
      <c r="N22" s="24">
        <v>31423642</v>
      </c>
      <c r="O22" s="24">
        <f t="shared" si="7"/>
        <v>6607</v>
      </c>
      <c r="P22" s="24">
        <v>6399995</v>
      </c>
      <c r="Q22" s="35">
        <f t="shared" si="7"/>
        <v>0</v>
      </c>
      <c r="R22" s="36">
        <v>110</v>
      </c>
      <c r="S22" s="34">
        <v>64</v>
      </c>
      <c r="T22" s="24">
        <v>43</v>
      </c>
      <c r="U22" s="24">
        <f t="shared" si="0"/>
        <v>53.5</v>
      </c>
      <c r="V22" s="35">
        <f t="shared" si="1"/>
        <v>11.5</v>
      </c>
      <c r="W22" s="46">
        <v>0</v>
      </c>
    </row>
    <row r="23" spans="1:23" ht="20.25" customHeight="1" x14ac:dyDescent="0.25">
      <c r="A23" s="42">
        <v>16</v>
      </c>
      <c r="B23" s="24">
        <v>25138</v>
      </c>
      <c r="C23" s="24">
        <f t="shared" si="2"/>
        <v>6900</v>
      </c>
      <c r="D23" s="24">
        <v>59322</v>
      </c>
      <c r="E23" s="24">
        <f t="shared" si="3"/>
        <v>47.114999999999995</v>
      </c>
      <c r="F23" s="24">
        <v>36731</v>
      </c>
      <c r="G23" s="24">
        <f t="shared" si="4"/>
        <v>4.2</v>
      </c>
      <c r="H23" s="24">
        <v>11353475</v>
      </c>
      <c r="I23" s="24">
        <f t="shared" si="6"/>
        <v>2880</v>
      </c>
      <c r="J23" s="24">
        <v>447256</v>
      </c>
      <c r="K23" s="24">
        <f t="shared" si="6"/>
        <v>674</v>
      </c>
      <c r="L23" s="24">
        <v>39631</v>
      </c>
      <c r="M23" s="24">
        <f t="shared" si="5"/>
        <v>8.8000000000000007</v>
      </c>
      <c r="N23" s="24">
        <v>31430160</v>
      </c>
      <c r="O23" s="24">
        <f t="shared" si="7"/>
        <v>6518</v>
      </c>
      <c r="P23" s="24">
        <v>6400123</v>
      </c>
      <c r="Q23" s="35">
        <f t="shared" si="7"/>
        <v>128</v>
      </c>
      <c r="R23" s="36">
        <v>134</v>
      </c>
      <c r="S23" s="34">
        <v>65</v>
      </c>
      <c r="T23" s="24">
        <v>41</v>
      </c>
      <c r="U23" s="24">
        <f t="shared" si="0"/>
        <v>53</v>
      </c>
      <c r="V23" s="35">
        <f t="shared" si="1"/>
        <v>12</v>
      </c>
      <c r="W23" s="46">
        <v>0</v>
      </c>
    </row>
    <row r="24" spans="1:23" ht="20.25" customHeight="1" x14ac:dyDescent="0.25">
      <c r="A24" s="42">
        <v>17</v>
      </c>
      <c r="B24" s="24">
        <v>25163</v>
      </c>
      <c r="C24" s="24">
        <f t="shared" si="2"/>
        <v>7500</v>
      </c>
      <c r="D24" s="24">
        <v>59377</v>
      </c>
      <c r="E24" s="24">
        <f t="shared" si="3"/>
        <v>57.584999999999994</v>
      </c>
      <c r="F24" s="24">
        <v>36776</v>
      </c>
      <c r="G24" s="24">
        <f t="shared" si="4"/>
        <v>4.5</v>
      </c>
      <c r="H24" s="24">
        <v>11353615</v>
      </c>
      <c r="I24" s="24">
        <f t="shared" si="6"/>
        <v>140</v>
      </c>
      <c r="J24" s="24">
        <v>447956</v>
      </c>
      <c r="K24" s="24">
        <f t="shared" si="6"/>
        <v>700</v>
      </c>
      <c r="L24" s="24">
        <v>39725</v>
      </c>
      <c r="M24" s="24">
        <f t="shared" si="5"/>
        <v>9.4</v>
      </c>
      <c r="N24" s="24">
        <v>31438260</v>
      </c>
      <c r="O24" s="24">
        <f t="shared" si="7"/>
        <v>8100</v>
      </c>
      <c r="P24" s="24">
        <v>6400123</v>
      </c>
      <c r="Q24" s="35">
        <f t="shared" si="7"/>
        <v>0</v>
      </c>
      <c r="R24" s="36">
        <v>117</v>
      </c>
      <c r="S24" s="34">
        <v>61</v>
      </c>
      <c r="T24" s="24">
        <v>44</v>
      </c>
      <c r="U24" s="24">
        <f t="shared" si="0"/>
        <v>52.5</v>
      </c>
      <c r="V24" s="35">
        <f t="shared" si="1"/>
        <v>12.5</v>
      </c>
      <c r="W24" s="46">
        <v>0</v>
      </c>
    </row>
    <row r="25" spans="1:23" ht="20.25" customHeight="1" x14ac:dyDescent="0.25">
      <c r="A25" s="42">
        <v>18</v>
      </c>
      <c r="B25" s="24">
        <v>25186</v>
      </c>
      <c r="C25" s="24">
        <f t="shared" si="2"/>
        <v>6900</v>
      </c>
      <c r="D25" s="24">
        <v>59424</v>
      </c>
      <c r="E25" s="24">
        <f t="shared" si="3"/>
        <v>49.208999999999996</v>
      </c>
      <c r="F25" s="24">
        <v>36816</v>
      </c>
      <c r="G25" s="24">
        <f t="shared" si="4"/>
        <v>4</v>
      </c>
      <c r="H25" s="24">
        <v>11358710</v>
      </c>
      <c r="I25" s="24">
        <f t="shared" si="6"/>
        <v>5095</v>
      </c>
      <c r="J25" s="24">
        <v>448809</v>
      </c>
      <c r="K25" s="24">
        <f t="shared" si="6"/>
        <v>853</v>
      </c>
      <c r="L25" s="24">
        <v>39816</v>
      </c>
      <c r="M25" s="24">
        <f t="shared" si="5"/>
        <v>9.1</v>
      </c>
      <c r="N25" s="24">
        <v>31444465</v>
      </c>
      <c r="O25" s="24">
        <f t="shared" si="7"/>
        <v>6205</v>
      </c>
      <c r="P25" s="24">
        <v>6400171</v>
      </c>
      <c r="Q25" s="35">
        <f t="shared" si="7"/>
        <v>48</v>
      </c>
      <c r="R25" s="36">
        <v>79</v>
      </c>
      <c r="S25" s="34">
        <v>63</v>
      </c>
      <c r="T25" s="24">
        <v>44</v>
      </c>
      <c r="U25" s="24">
        <f t="shared" si="0"/>
        <v>53.5</v>
      </c>
      <c r="V25" s="35">
        <f t="shared" si="1"/>
        <v>11.5</v>
      </c>
      <c r="W25" s="46">
        <v>0</v>
      </c>
    </row>
    <row r="26" spans="1:23" ht="20.25" customHeight="1" x14ac:dyDescent="0.25">
      <c r="A26" s="42">
        <v>19</v>
      </c>
      <c r="B26" s="24">
        <v>25210</v>
      </c>
      <c r="C26" s="24">
        <f t="shared" si="2"/>
        <v>7200</v>
      </c>
      <c r="D26" s="24">
        <v>59470</v>
      </c>
      <c r="E26" s="24">
        <f t="shared" si="3"/>
        <v>48.161999999999999</v>
      </c>
      <c r="F26" s="24">
        <v>36859</v>
      </c>
      <c r="G26" s="24">
        <f t="shared" si="4"/>
        <v>4.3</v>
      </c>
      <c r="H26" s="24">
        <v>11366200</v>
      </c>
      <c r="I26" s="24">
        <f t="shared" si="6"/>
        <v>7490</v>
      </c>
      <c r="J26" s="24">
        <v>449340</v>
      </c>
      <c r="K26" s="24">
        <f t="shared" si="6"/>
        <v>531</v>
      </c>
      <c r="L26" s="24">
        <v>39900</v>
      </c>
      <c r="M26" s="24">
        <f t="shared" si="5"/>
        <v>8.4</v>
      </c>
      <c r="N26" s="24">
        <v>31450400</v>
      </c>
      <c r="O26" s="24">
        <f t="shared" si="7"/>
        <v>5935</v>
      </c>
      <c r="P26" s="24">
        <v>6400173</v>
      </c>
      <c r="Q26" s="35">
        <f t="shared" si="7"/>
        <v>2</v>
      </c>
      <c r="R26" s="36">
        <v>73</v>
      </c>
      <c r="S26" s="34">
        <v>65</v>
      </c>
      <c r="T26" s="24">
        <v>43</v>
      </c>
      <c r="U26" s="24">
        <f t="shared" si="0"/>
        <v>54</v>
      </c>
      <c r="V26" s="35">
        <f t="shared" si="1"/>
        <v>11</v>
      </c>
      <c r="W26" s="46">
        <v>0</v>
      </c>
    </row>
    <row r="27" spans="1:23" ht="20.25" customHeight="1" x14ac:dyDescent="0.25">
      <c r="A27" s="42">
        <v>20</v>
      </c>
      <c r="B27" s="24">
        <v>25235</v>
      </c>
      <c r="C27" s="24">
        <f t="shared" si="2"/>
        <v>7500</v>
      </c>
      <c r="D27" s="24">
        <v>59523</v>
      </c>
      <c r="E27" s="24">
        <f t="shared" si="3"/>
        <v>55.491</v>
      </c>
      <c r="F27" s="24">
        <v>36908</v>
      </c>
      <c r="G27" s="24">
        <f t="shared" si="4"/>
        <v>4.9000000000000004</v>
      </c>
      <c r="H27" s="24">
        <v>11376220</v>
      </c>
      <c r="I27" s="24">
        <f t="shared" si="6"/>
        <v>10020</v>
      </c>
      <c r="J27" s="24">
        <v>450167</v>
      </c>
      <c r="K27" s="24">
        <f t="shared" si="6"/>
        <v>827</v>
      </c>
      <c r="L27" s="24">
        <v>40005</v>
      </c>
      <c r="M27" s="24">
        <f t="shared" si="5"/>
        <v>10.5</v>
      </c>
      <c r="N27" s="24">
        <v>31458825</v>
      </c>
      <c r="O27" s="24">
        <f t="shared" ref="O27:Q37" si="8">+N27-N26</f>
        <v>8425</v>
      </c>
      <c r="P27" s="24">
        <v>6400187</v>
      </c>
      <c r="Q27" s="35">
        <f t="shared" si="8"/>
        <v>14</v>
      </c>
      <c r="R27" s="36">
        <v>69</v>
      </c>
      <c r="S27" s="34">
        <v>64</v>
      </c>
      <c r="T27" s="24">
        <v>45</v>
      </c>
      <c r="U27" s="24">
        <f t="shared" si="0"/>
        <v>54.5</v>
      </c>
      <c r="V27" s="35">
        <f t="shared" si="1"/>
        <v>10.5</v>
      </c>
      <c r="W27" s="46">
        <v>0</v>
      </c>
    </row>
    <row r="28" spans="1:23" ht="20.25" customHeight="1" x14ac:dyDescent="0.25">
      <c r="A28" s="42">
        <v>21</v>
      </c>
      <c r="B28" s="24">
        <v>25258</v>
      </c>
      <c r="C28" s="24">
        <f t="shared" si="2"/>
        <v>6900</v>
      </c>
      <c r="D28" s="24">
        <v>59569</v>
      </c>
      <c r="E28" s="24">
        <f t="shared" si="3"/>
        <v>48.161999999999999</v>
      </c>
      <c r="F28" s="24">
        <v>36951</v>
      </c>
      <c r="G28" s="24">
        <f t="shared" si="4"/>
        <v>4.3</v>
      </c>
      <c r="H28" s="24">
        <v>11384640</v>
      </c>
      <c r="I28" s="24">
        <f t="shared" si="6"/>
        <v>8420</v>
      </c>
      <c r="J28" s="24">
        <v>450169</v>
      </c>
      <c r="K28" s="24">
        <f t="shared" si="6"/>
        <v>2</v>
      </c>
      <c r="L28" s="24">
        <v>40083</v>
      </c>
      <c r="M28" s="24">
        <f t="shared" si="5"/>
        <v>7.8000000000000007</v>
      </c>
      <c r="N28" s="24">
        <v>31463480</v>
      </c>
      <c r="O28" s="24">
        <f t="shared" si="8"/>
        <v>4655</v>
      </c>
      <c r="P28" s="24">
        <v>6400211</v>
      </c>
      <c r="Q28" s="35">
        <f t="shared" si="8"/>
        <v>24</v>
      </c>
      <c r="R28" s="36">
        <v>31</v>
      </c>
      <c r="S28" s="34">
        <v>65</v>
      </c>
      <c r="T28" s="24">
        <v>42</v>
      </c>
      <c r="U28" s="24">
        <f t="shared" si="0"/>
        <v>53.5</v>
      </c>
      <c r="V28" s="35">
        <f t="shared" si="1"/>
        <v>11.5</v>
      </c>
      <c r="W28" s="46">
        <v>0</v>
      </c>
    </row>
    <row r="29" spans="1:23" ht="20.25" customHeight="1" x14ac:dyDescent="0.25">
      <c r="A29" s="42">
        <v>22</v>
      </c>
      <c r="B29" s="24">
        <v>25282</v>
      </c>
      <c r="C29" s="24">
        <f t="shared" si="2"/>
        <v>7200</v>
      </c>
      <c r="D29" s="24">
        <v>59617</v>
      </c>
      <c r="E29" s="24">
        <f t="shared" si="3"/>
        <v>50.256</v>
      </c>
      <c r="F29" s="24">
        <v>36997</v>
      </c>
      <c r="G29" s="24">
        <f t="shared" si="4"/>
        <v>4.6000000000000005</v>
      </c>
      <c r="H29" s="24">
        <v>11387030</v>
      </c>
      <c r="I29" s="24">
        <f t="shared" si="6"/>
        <v>2390</v>
      </c>
      <c r="J29" s="24">
        <v>451644</v>
      </c>
      <c r="K29" s="24">
        <f t="shared" si="6"/>
        <v>1475</v>
      </c>
      <c r="L29" s="24">
        <v>40167</v>
      </c>
      <c r="M29" s="24">
        <f t="shared" si="5"/>
        <v>8.4</v>
      </c>
      <c r="N29" s="24">
        <v>31468020</v>
      </c>
      <c r="O29" s="24">
        <f t="shared" si="8"/>
        <v>4540</v>
      </c>
      <c r="P29" s="24">
        <v>6400300</v>
      </c>
      <c r="Q29" s="35">
        <f t="shared" si="8"/>
        <v>89</v>
      </c>
      <c r="R29" s="36">
        <v>38</v>
      </c>
      <c r="S29" s="34">
        <v>62</v>
      </c>
      <c r="T29" s="24">
        <v>44</v>
      </c>
      <c r="U29" s="24">
        <f t="shared" si="0"/>
        <v>53</v>
      </c>
      <c r="V29" s="35">
        <f t="shared" si="1"/>
        <v>12</v>
      </c>
      <c r="W29" s="46">
        <v>0</v>
      </c>
    </row>
    <row r="30" spans="1:23" ht="20.25" customHeight="1" x14ac:dyDescent="0.25">
      <c r="A30" s="42">
        <v>23</v>
      </c>
      <c r="B30" s="24">
        <v>25297</v>
      </c>
      <c r="C30" s="24">
        <f t="shared" si="2"/>
        <v>4500</v>
      </c>
      <c r="D30" s="24">
        <v>59647</v>
      </c>
      <c r="E30" s="24">
        <f t="shared" si="3"/>
        <v>31.409999999999997</v>
      </c>
      <c r="F30" s="24">
        <v>37028</v>
      </c>
      <c r="G30" s="24">
        <f t="shared" si="4"/>
        <v>3.1</v>
      </c>
      <c r="H30" s="24">
        <v>11388410</v>
      </c>
      <c r="I30" s="24">
        <f t="shared" si="6"/>
        <v>1380</v>
      </c>
      <c r="J30" s="24">
        <v>452057</v>
      </c>
      <c r="K30" s="24">
        <f t="shared" si="6"/>
        <v>413</v>
      </c>
      <c r="L30" s="24">
        <v>40203</v>
      </c>
      <c r="M30" s="24">
        <f t="shared" si="5"/>
        <v>3.6</v>
      </c>
      <c r="N30" s="24">
        <v>31470410</v>
      </c>
      <c r="O30" s="24">
        <f t="shared" si="8"/>
        <v>2390</v>
      </c>
      <c r="P30" s="24">
        <v>6400302</v>
      </c>
      <c r="Q30" s="35">
        <f t="shared" si="8"/>
        <v>2</v>
      </c>
      <c r="R30" s="36">
        <v>33</v>
      </c>
      <c r="S30" s="34">
        <v>68</v>
      </c>
      <c r="T30" s="24">
        <v>44</v>
      </c>
      <c r="U30" s="24">
        <f t="shared" si="0"/>
        <v>56</v>
      </c>
      <c r="V30" s="35">
        <f t="shared" si="1"/>
        <v>9</v>
      </c>
      <c r="W30" s="46">
        <v>0</v>
      </c>
    </row>
    <row r="31" spans="1:23" ht="20.25" customHeight="1" x14ac:dyDescent="0.25">
      <c r="A31" s="42">
        <v>24</v>
      </c>
      <c r="B31" s="24">
        <v>25327</v>
      </c>
      <c r="C31" s="24">
        <f t="shared" si="2"/>
        <v>9000</v>
      </c>
      <c r="D31" s="24">
        <v>59698</v>
      </c>
      <c r="E31" s="24">
        <f t="shared" si="3"/>
        <v>53.396999999999998</v>
      </c>
      <c r="F31" s="24">
        <v>37074</v>
      </c>
      <c r="G31" s="24">
        <f t="shared" si="4"/>
        <v>4.6000000000000005</v>
      </c>
      <c r="H31" s="24">
        <v>11390550</v>
      </c>
      <c r="I31" s="24">
        <f t="shared" si="6"/>
        <v>2140</v>
      </c>
      <c r="J31" s="24">
        <v>452502</v>
      </c>
      <c r="K31" s="24">
        <f t="shared" si="6"/>
        <v>445</v>
      </c>
      <c r="L31" s="24">
        <v>40316</v>
      </c>
      <c r="M31" s="24">
        <f t="shared" si="5"/>
        <v>11.3</v>
      </c>
      <c r="N31" s="24">
        <v>31477650</v>
      </c>
      <c r="O31" s="24">
        <f t="shared" si="8"/>
        <v>7240</v>
      </c>
      <c r="P31" s="24">
        <v>6400325</v>
      </c>
      <c r="Q31" s="35">
        <f t="shared" si="8"/>
        <v>23</v>
      </c>
      <c r="R31" s="36"/>
      <c r="S31" s="34">
        <v>68</v>
      </c>
      <c r="T31" s="24">
        <v>44</v>
      </c>
      <c r="U31" s="24">
        <f t="shared" si="0"/>
        <v>56</v>
      </c>
      <c r="V31" s="35">
        <f t="shared" si="1"/>
        <v>9</v>
      </c>
      <c r="W31" s="46">
        <v>0</v>
      </c>
    </row>
    <row r="32" spans="1:23" ht="20.25" customHeight="1" x14ac:dyDescent="0.25">
      <c r="A32" s="42">
        <v>25</v>
      </c>
      <c r="B32" s="24">
        <v>25341</v>
      </c>
      <c r="C32" s="24">
        <f t="shared" si="2"/>
        <v>4200</v>
      </c>
      <c r="D32" s="24">
        <v>59741</v>
      </c>
      <c r="E32" s="24">
        <f t="shared" si="3"/>
        <v>45.020999999999994</v>
      </c>
      <c r="F32" s="24">
        <v>37110</v>
      </c>
      <c r="G32" s="24">
        <f t="shared" si="4"/>
        <v>3.6</v>
      </c>
      <c r="H32" s="24">
        <v>11392450</v>
      </c>
      <c r="I32" s="24">
        <f t="shared" si="6"/>
        <v>1900</v>
      </c>
      <c r="J32" s="24">
        <v>452924</v>
      </c>
      <c r="K32" s="24">
        <f t="shared" si="6"/>
        <v>422</v>
      </c>
      <c r="L32" s="24">
        <v>40356</v>
      </c>
      <c r="M32" s="24">
        <f t="shared" si="5"/>
        <v>4</v>
      </c>
      <c r="N32" s="24">
        <v>31479760</v>
      </c>
      <c r="O32" s="24">
        <f t="shared" si="8"/>
        <v>2110</v>
      </c>
      <c r="P32" s="24">
        <v>6400396</v>
      </c>
      <c r="Q32" s="35">
        <f t="shared" si="8"/>
        <v>71</v>
      </c>
      <c r="R32" s="36">
        <v>47</v>
      </c>
      <c r="S32" s="34">
        <v>68</v>
      </c>
      <c r="T32" s="24">
        <v>44</v>
      </c>
      <c r="U32" s="24">
        <f t="shared" si="0"/>
        <v>56</v>
      </c>
      <c r="V32" s="35">
        <f t="shared" si="1"/>
        <v>9</v>
      </c>
      <c r="W32" s="46">
        <v>0</v>
      </c>
    </row>
    <row r="33" spans="1:23" ht="20.25" customHeight="1" x14ac:dyDescent="0.25">
      <c r="A33" s="42">
        <v>26</v>
      </c>
      <c r="B33" s="24">
        <v>25364</v>
      </c>
      <c r="C33" s="24">
        <f t="shared" si="2"/>
        <v>6900</v>
      </c>
      <c r="D33" s="24">
        <v>59786</v>
      </c>
      <c r="E33" s="24">
        <f t="shared" si="3"/>
        <v>47.114999999999995</v>
      </c>
      <c r="F33" s="24">
        <v>37150</v>
      </c>
      <c r="G33" s="24">
        <f t="shared" si="4"/>
        <v>4</v>
      </c>
      <c r="H33" s="24">
        <v>11394990</v>
      </c>
      <c r="I33" s="24">
        <f t="shared" si="6"/>
        <v>2540</v>
      </c>
      <c r="J33" s="24">
        <v>453858</v>
      </c>
      <c r="K33" s="24">
        <f t="shared" si="6"/>
        <v>934</v>
      </c>
      <c r="L33" s="24">
        <v>40441</v>
      </c>
      <c r="M33" s="24">
        <f t="shared" si="5"/>
        <v>8.5</v>
      </c>
      <c r="N33" s="24">
        <v>31486750</v>
      </c>
      <c r="O33" s="24">
        <f t="shared" si="8"/>
        <v>6990</v>
      </c>
      <c r="P33" s="24">
        <v>6400411</v>
      </c>
      <c r="Q33" s="35">
        <f t="shared" si="8"/>
        <v>15</v>
      </c>
      <c r="R33" s="36">
        <v>60</v>
      </c>
      <c r="S33" s="34">
        <v>61</v>
      </c>
      <c r="T33" s="24">
        <v>49</v>
      </c>
      <c r="U33" s="24">
        <f t="shared" si="0"/>
        <v>55</v>
      </c>
      <c r="V33" s="35">
        <f t="shared" si="1"/>
        <v>10</v>
      </c>
      <c r="W33" s="46">
        <v>0</v>
      </c>
    </row>
    <row r="34" spans="1:23" ht="20.25" customHeight="1" x14ac:dyDescent="0.25">
      <c r="A34" s="42">
        <v>27</v>
      </c>
      <c r="B34" s="24">
        <v>25392</v>
      </c>
      <c r="C34" s="24">
        <f t="shared" si="2"/>
        <v>8400</v>
      </c>
      <c r="D34" s="24">
        <v>59839</v>
      </c>
      <c r="E34" s="24">
        <f t="shared" si="3"/>
        <v>55.491</v>
      </c>
      <c r="F34" s="24">
        <v>37201</v>
      </c>
      <c r="G34" s="24">
        <f t="shared" si="4"/>
        <v>5.1000000000000005</v>
      </c>
      <c r="H34" s="24">
        <v>11397178</v>
      </c>
      <c r="I34" s="24">
        <f t="shared" si="6"/>
        <v>2188</v>
      </c>
      <c r="J34" s="24">
        <v>454034</v>
      </c>
      <c r="K34" s="24">
        <f t="shared" si="6"/>
        <v>176</v>
      </c>
      <c r="L34" s="24">
        <v>40527</v>
      </c>
      <c r="M34" s="24">
        <f t="shared" si="5"/>
        <v>8.6</v>
      </c>
      <c r="N34" s="24">
        <v>31495067</v>
      </c>
      <c r="O34" s="24">
        <f t="shared" si="8"/>
        <v>8317</v>
      </c>
      <c r="P34" s="24">
        <v>6400447</v>
      </c>
      <c r="Q34" s="35">
        <f t="shared" si="8"/>
        <v>36</v>
      </c>
      <c r="R34" s="36"/>
      <c r="S34" s="34">
        <v>61</v>
      </c>
      <c r="T34" s="24">
        <v>49</v>
      </c>
      <c r="U34" s="24">
        <f t="shared" si="0"/>
        <v>55</v>
      </c>
      <c r="V34" s="35">
        <f t="shared" si="1"/>
        <v>10</v>
      </c>
      <c r="W34" s="46">
        <v>0</v>
      </c>
    </row>
    <row r="35" spans="1:23" ht="20.25" customHeight="1" x14ac:dyDescent="0.25">
      <c r="A35" s="42">
        <v>28</v>
      </c>
      <c r="B35" s="24">
        <v>25411</v>
      </c>
      <c r="C35" s="24">
        <f t="shared" si="2"/>
        <v>5700</v>
      </c>
      <c r="D35" s="24">
        <v>59871</v>
      </c>
      <c r="E35" s="24">
        <f t="shared" si="3"/>
        <v>33.503999999999998</v>
      </c>
      <c r="F35" s="24">
        <v>37236</v>
      </c>
      <c r="G35" s="24">
        <f t="shared" si="4"/>
        <v>3.5</v>
      </c>
      <c r="H35" s="24">
        <v>11398477</v>
      </c>
      <c r="I35" s="24">
        <f t="shared" si="6"/>
        <v>1299</v>
      </c>
      <c r="J35" s="24">
        <v>454316</v>
      </c>
      <c r="K35" s="24">
        <f t="shared" si="6"/>
        <v>282</v>
      </c>
      <c r="L35" s="24">
        <v>40590</v>
      </c>
      <c r="M35" s="24">
        <f t="shared" si="5"/>
        <v>6.3000000000000007</v>
      </c>
      <c r="N35" s="24">
        <v>31499187</v>
      </c>
      <c r="O35" s="24">
        <f t="shared" si="8"/>
        <v>4120</v>
      </c>
      <c r="P35" s="24">
        <v>6400466</v>
      </c>
      <c r="Q35" s="35">
        <f t="shared" si="8"/>
        <v>19</v>
      </c>
      <c r="R35" s="36">
        <v>53</v>
      </c>
      <c r="S35" s="34">
        <v>61</v>
      </c>
      <c r="T35" s="24">
        <v>49</v>
      </c>
      <c r="U35" s="24">
        <f t="shared" si="0"/>
        <v>55</v>
      </c>
      <c r="V35" s="35">
        <f t="shared" si="1"/>
        <v>10</v>
      </c>
      <c r="W35" s="46">
        <v>0</v>
      </c>
    </row>
    <row r="36" spans="1:23" ht="20.25" customHeight="1" x14ac:dyDescent="0.25">
      <c r="A36" s="42">
        <v>29</v>
      </c>
      <c r="B36" s="24">
        <v>25433</v>
      </c>
      <c r="C36" s="24">
        <f t="shared" si="2"/>
        <v>6600</v>
      </c>
      <c r="D36" s="24">
        <v>59913</v>
      </c>
      <c r="E36" s="24">
        <f t="shared" si="3"/>
        <v>43.973999999999997</v>
      </c>
      <c r="F36" s="24">
        <v>37279</v>
      </c>
      <c r="G36" s="24">
        <f t="shared" si="4"/>
        <v>4.3</v>
      </c>
      <c r="H36" s="24">
        <v>11400527</v>
      </c>
      <c r="I36" s="24">
        <f t="shared" si="6"/>
        <v>2050</v>
      </c>
      <c r="J36" s="24">
        <v>454793</v>
      </c>
      <c r="K36" s="24">
        <f t="shared" si="6"/>
        <v>477</v>
      </c>
      <c r="L36" s="24">
        <v>40668</v>
      </c>
      <c r="M36" s="24">
        <f t="shared" si="5"/>
        <v>7.8000000000000007</v>
      </c>
      <c r="N36" s="24">
        <v>31503881</v>
      </c>
      <c r="O36" s="24">
        <f t="shared" si="8"/>
        <v>4694</v>
      </c>
      <c r="P36" s="24">
        <v>6400487</v>
      </c>
      <c r="Q36" s="35">
        <f t="shared" si="8"/>
        <v>21</v>
      </c>
      <c r="R36" s="36">
        <v>68</v>
      </c>
      <c r="S36" s="34">
        <v>57</v>
      </c>
      <c r="T36" s="24">
        <v>41</v>
      </c>
      <c r="U36" s="24">
        <f t="shared" si="0"/>
        <v>49</v>
      </c>
      <c r="V36" s="35">
        <f t="shared" si="1"/>
        <v>16</v>
      </c>
      <c r="W36" s="46">
        <v>0</v>
      </c>
    </row>
    <row r="37" spans="1:23" ht="20.25" customHeight="1" thickBot="1" x14ac:dyDescent="0.3">
      <c r="A37" s="43">
        <v>30</v>
      </c>
      <c r="B37" s="24">
        <v>25454</v>
      </c>
      <c r="C37" s="38">
        <f t="shared" si="2"/>
        <v>6300</v>
      </c>
      <c r="D37" s="24">
        <v>59959</v>
      </c>
      <c r="E37" s="38">
        <f t="shared" si="3"/>
        <v>48.161999999999999</v>
      </c>
      <c r="F37" s="24">
        <v>37321</v>
      </c>
      <c r="G37" s="38">
        <f t="shared" si="4"/>
        <v>4.2</v>
      </c>
      <c r="H37" s="24">
        <v>11402610</v>
      </c>
      <c r="I37" s="38">
        <f t="shared" si="6"/>
        <v>2083</v>
      </c>
      <c r="J37" s="24">
        <v>455148</v>
      </c>
      <c r="K37" s="38">
        <f t="shared" si="6"/>
        <v>355</v>
      </c>
      <c r="L37" s="24">
        <v>40763</v>
      </c>
      <c r="M37" s="38">
        <f t="shared" si="5"/>
        <v>9.5</v>
      </c>
      <c r="N37" s="24">
        <v>31508590</v>
      </c>
      <c r="O37" s="38">
        <f t="shared" si="8"/>
        <v>4709</v>
      </c>
      <c r="P37" s="24">
        <v>6400587</v>
      </c>
      <c r="Q37" s="39">
        <f t="shared" si="8"/>
        <v>100</v>
      </c>
      <c r="R37" s="44">
        <v>80</v>
      </c>
      <c r="S37" s="37">
        <v>57</v>
      </c>
      <c r="T37" s="38">
        <v>43</v>
      </c>
      <c r="U37" s="38">
        <f t="shared" si="0"/>
        <v>50</v>
      </c>
      <c r="V37" s="39">
        <f t="shared" si="1"/>
        <v>15</v>
      </c>
      <c r="W37" s="46">
        <v>0</v>
      </c>
    </row>
    <row r="38" spans="1:23" ht="15" x14ac:dyDescent="0.25">
      <c r="R38" s="40"/>
      <c r="S38" s="41"/>
      <c r="T38" s="41"/>
      <c r="U38" s="41"/>
      <c r="V38" s="41"/>
      <c r="W38" s="46"/>
    </row>
    <row r="39" spans="1:23" x14ac:dyDescent="0.25">
      <c r="A39" s="25" t="s">
        <v>15</v>
      </c>
      <c r="C39" s="26">
        <f>SUM(C8:C38)</f>
        <v>200700</v>
      </c>
      <c r="E39" s="26">
        <f>SUM(E8:E38)</f>
        <v>1467.894</v>
      </c>
      <c r="G39" s="26">
        <f>SUM(G8:G38)</f>
        <v>128.19999999999996</v>
      </c>
      <c r="I39" s="26">
        <f>SUM(I8:I38)</f>
        <v>86585</v>
      </c>
      <c r="K39" s="26">
        <f>SUM(K8:K38)</f>
        <v>13994</v>
      </c>
      <c r="M39" s="26">
        <f>SUM(M8:M38)</f>
        <v>261.60000000000002</v>
      </c>
      <c r="O39" s="26">
        <f>SUM(O8:O38)</f>
        <v>197528</v>
      </c>
      <c r="Q39" s="26">
        <f>SUM(Q8:Q38)</f>
        <v>1857</v>
      </c>
    </row>
    <row r="40" spans="1:23" x14ac:dyDescent="0.25">
      <c r="R40" s="16">
        <f>SUM(R8:R39)</f>
        <v>2548</v>
      </c>
      <c r="V40" s="16">
        <f>SUM(V8:V38)</f>
        <v>352.5</v>
      </c>
      <c r="W40" s="16">
        <f>SUM(W8:W39)</f>
        <v>0</v>
      </c>
    </row>
  </sheetData>
  <mergeCells count="3">
    <mergeCell ref="A1:B1"/>
    <mergeCell ref="A2:J3"/>
    <mergeCell ref="A4:L4"/>
  </mergeCells>
  <printOptions horizontalCentered="1"/>
  <pageMargins left="0.2" right="0.2" top="0.25" bottom="0.25" header="0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November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Trieu Nguyen</cp:lastModifiedBy>
  <cp:revision/>
  <dcterms:created xsi:type="dcterms:W3CDTF">2017-05-03T09:23:30Z</dcterms:created>
  <dcterms:modified xsi:type="dcterms:W3CDTF">2022-12-13T23:13:55Z</dcterms:modified>
  <cp:category/>
  <cp:contentStatus/>
</cp:coreProperties>
</file>