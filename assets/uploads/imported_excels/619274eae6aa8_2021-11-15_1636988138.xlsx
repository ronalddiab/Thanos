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71338D87-22F0-4DA1-AF48-DC1890166E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3" l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E2" i="3"/>
  <c r="F2" i="3"/>
  <c r="G2" i="3"/>
  <c r="H2" i="3"/>
  <c r="I2" i="3"/>
  <c r="J2" i="3"/>
  <c r="E3" i="3"/>
  <c r="F3" i="3"/>
  <c r="G3" i="3"/>
  <c r="H3" i="3"/>
  <c r="I3" i="3"/>
  <c r="J3" i="3"/>
  <c r="E4" i="3"/>
  <c r="F4" i="3"/>
  <c r="G4" i="3"/>
  <c r="H4" i="3"/>
  <c r="I4" i="3"/>
  <c r="J4" i="3"/>
  <c r="E5" i="3"/>
  <c r="F5" i="3"/>
  <c r="G5" i="3"/>
  <c r="H5" i="3"/>
  <c r="I5" i="3"/>
  <c r="J5" i="3"/>
  <c r="E6" i="3"/>
  <c r="F6" i="3"/>
  <c r="G6" i="3"/>
  <c r="H6" i="3"/>
  <c r="I6" i="3"/>
  <c r="J6" i="3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E13" i="3"/>
  <c r="F13" i="3"/>
  <c r="G13" i="3"/>
  <c r="H13" i="3"/>
  <c r="I13" i="3"/>
  <c r="J13" i="3"/>
  <c r="E14" i="3"/>
  <c r="F14" i="3"/>
  <c r="G14" i="3"/>
  <c r="H14" i="3"/>
  <c r="I14" i="3"/>
  <c r="J14" i="3"/>
  <c r="E15" i="3"/>
  <c r="F15" i="3"/>
  <c r="G15" i="3"/>
  <c r="H15" i="3"/>
  <c r="I15" i="3"/>
  <c r="J15" i="3"/>
  <c r="E16" i="3"/>
  <c r="F16" i="3"/>
  <c r="G16" i="3"/>
  <c r="H16" i="3"/>
  <c r="I16" i="3"/>
  <c r="J16" i="3"/>
  <c r="E17" i="3"/>
  <c r="F17" i="3"/>
  <c r="G17" i="3"/>
  <c r="H17" i="3"/>
  <c r="I17" i="3"/>
  <c r="J17" i="3"/>
  <c r="E18" i="3"/>
  <c r="F18" i="3"/>
  <c r="G18" i="3"/>
  <c r="H18" i="3"/>
  <c r="I18" i="3"/>
  <c r="J18" i="3"/>
  <c r="E19" i="3"/>
  <c r="F19" i="3"/>
  <c r="G19" i="3"/>
  <c r="H19" i="3"/>
  <c r="I19" i="3"/>
  <c r="J19" i="3"/>
  <c r="E20" i="3"/>
  <c r="F20" i="3"/>
  <c r="G20" i="3"/>
  <c r="H20" i="3"/>
  <c r="I20" i="3"/>
  <c r="J20" i="3"/>
  <c r="E21" i="3"/>
  <c r="F21" i="3"/>
  <c r="G21" i="3"/>
  <c r="H21" i="3"/>
  <c r="I21" i="3"/>
  <c r="J21" i="3"/>
  <c r="E22" i="3"/>
  <c r="F22" i="3"/>
  <c r="G22" i="3"/>
  <c r="H22" i="3"/>
  <c r="I22" i="3"/>
  <c r="J22" i="3"/>
  <c r="E23" i="3"/>
  <c r="F23" i="3"/>
  <c r="G23" i="3"/>
  <c r="H23" i="3"/>
  <c r="I23" i="3"/>
  <c r="J23" i="3"/>
  <c r="E24" i="3"/>
  <c r="F24" i="3"/>
  <c r="G24" i="3"/>
  <c r="H24" i="3"/>
  <c r="I24" i="3"/>
  <c r="J24" i="3"/>
  <c r="E25" i="3"/>
  <c r="F25" i="3"/>
  <c r="G25" i="3"/>
  <c r="H25" i="3"/>
  <c r="I25" i="3"/>
  <c r="J25" i="3"/>
  <c r="E26" i="3"/>
  <c r="F26" i="3"/>
  <c r="G26" i="3"/>
  <c r="H26" i="3"/>
  <c r="I26" i="3"/>
  <c r="J26" i="3"/>
  <c r="E27" i="3"/>
  <c r="F27" i="3"/>
  <c r="G27" i="3"/>
  <c r="H27" i="3"/>
  <c r="I27" i="3"/>
  <c r="J27" i="3"/>
  <c r="E28" i="3"/>
  <c r="F28" i="3"/>
  <c r="G28" i="3"/>
  <c r="H28" i="3"/>
  <c r="I28" i="3"/>
  <c r="J28" i="3"/>
  <c r="E29" i="3"/>
  <c r="F29" i="3"/>
  <c r="G29" i="3"/>
  <c r="H29" i="3"/>
  <c r="I29" i="3"/>
  <c r="J29" i="3"/>
  <c r="E30" i="3"/>
  <c r="F30" i="3"/>
  <c r="G30" i="3"/>
  <c r="H30" i="3"/>
  <c r="I30" i="3"/>
  <c r="J30" i="3"/>
  <c r="E31" i="3"/>
  <c r="F31" i="3"/>
  <c r="G31" i="3"/>
  <c r="H31" i="3"/>
  <c r="I31" i="3"/>
  <c r="J31" i="3"/>
  <c r="E32" i="3"/>
  <c r="F32" i="3"/>
  <c r="G32" i="3"/>
  <c r="H32" i="3"/>
  <c r="I32" i="3"/>
  <c r="J32" i="3"/>
  <c r="M2" i="3"/>
  <c r="N2" i="3"/>
  <c r="O2" i="3"/>
  <c r="P2" i="3"/>
  <c r="Q2" i="3"/>
  <c r="R2" i="3"/>
  <c r="S2" i="3"/>
  <c r="T2" i="3"/>
  <c r="U2" i="3"/>
  <c r="V2" i="3"/>
  <c r="W2" i="3"/>
  <c r="X2" i="3"/>
  <c r="M3" i="3"/>
  <c r="N3" i="3"/>
  <c r="O3" i="3"/>
  <c r="P3" i="3"/>
  <c r="Q3" i="3"/>
  <c r="R3" i="3"/>
  <c r="S3" i="3"/>
  <c r="T3" i="3"/>
  <c r="U3" i="3"/>
  <c r="V3" i="3"/>
  <c r="W3" i="3"/>
  <c r="X3" i="3"/>
  <c r="M4" i="3"/>
  <c r="N4" i="3"/>
  <c r="O4" i="3"/>
  <c r="P4" i="3"/>
  <c r="Q4" i="3"/>
  <c r="R4" i="3"/>
  <c r="S4" i="3"/>
  <c r="T4" i="3"/>
  <c r="U4" i="3"/>
  <c r="V4" i="3"/>
  <c r="W4" i="3"/>
  <c r="X4" i="3"/>
  <c r="M5" i="3"/>
  <c r="N5" i="3"/>
  <c r="O5" i="3"/>
  <c r="P5" i="3"/>
  <c r="Q5" i="3"/>
  <c r="R5" i="3"/>
  <c r="S5" i="3"/>
  <c r="T5" i="3"/>
  <c r="U5" i="3"/>
  <c r="V5" i="3"/>
  <c r="W5" i="3"/>
  <c r="X5" i="3"/>
  <c r="M6" i="3"/>
  <c r="N6" i="3"/>
  <c r="O6" i="3"/>
  <c r="P6" i="3"/>
  <c r="Q6" i="3"/>
  <c r="R6" i="3"/>
  <c r="S6" i="3"/>
  <c r="T6" i="3"/>
  <c r="U6" i="3"/>
  <c r="V6" i="3"/>
  <c r="W6" i="3"/>
  <c r="X6" i="3"/>
  <c r="M7" i="3"/>
  <c r="N7" i="3"/>
  <c r="O7" i="3"/>
  <c r="P7" i="3"/>
  <c r="Q7" i="3"/>
  <c r="R7" i="3"/>
  <c r="S7" i="3"/>
  <c r="T7" i="3"/>
  <c r="U7" i="3"/>
  <c r="V7" i="3"/>
  <c r="W7" i="3"/>
  <c r="X7" i="3"/>
  <c r="M8" i="3"/>
  <c r="N8" i="3"/>
  <c r="O8" i="3"/>
  <c r="P8" i="3"/>
  <c r="Q8" i="3"/>
  <c r="R8" i="3"/>
  <c r="S8" i="3"/>
  <c r="T8" i="3"/>
  <c r="U8" i="3"/>
  <c r="V8" i="3"/>
  <c r="W8" i="3"/>
  <c r="X8" i="3"/>
  <c r="M9" i="3"/>
  <c r="N9" i="3"/>
  <c r="O9" i="3"/>
  <c r="P9" i="3"/>
  <c r="Q9" i="3"/>
  <c r="R9" i="3"/>
  <c r="S9" i="3"/>
  <c r="T9" i="3"/>
  <c r="U9" i="3"/>
  <c r="V9" i="3"/>
  <c r="W9" i="3"/>
  <c r="X9" i="3"/>
  <c r="M10" i="3"/>
  <c r="N10" i="3"/>
  <c r="O10" i="3"/>
  <c r="P10" i="3"/>
  <c r="Q10" i="3"/>
  <c r="R10" i="3"/>
  <c r="S10" i="3"/>
  <c r="T10" i="3"/>
  <c r="U10" i="3"/>
  <c r="V10" i="3"/>
  <c r="W10" i="3"/>
  <c r="X10" i="3"/>
  <c r="M11" i="3"/>
  <c r="N11" i="3"/>
  <c r="O11" i="3"/>
  <c r="P11" i="3"/>
  <c r="Q11" i="3"/>
  <c r="R11" i="3"/>
  <c r="S11" i="3"/>
  <c r="T11" i="3"/>
  <c r="U11" i="3"/>
  <c r="V11" i="3"/>
  <c r="W11" i="3"/>
  <c r="X11" i="3"/>
  <c r="M12" i="3"/>
  <c r="N12" i="3"/>
  <c r="O12" i="3"/>
  <c r="P12" i="3"/>
  <c r="Q12" i="3"/>
  <c r="R12" i="3"/>
  <c r="S12" i="3"/>
  <c r="T12" i="3"/>
  <c r="U12" i="3"/>
  <c r="V12" i="3"/>
  <c r="W12" i="3"/>
  <c r="X12" i="3"/>
  <c r="M13" i="3"/>
  <c r="N13" i="3"/>
  <c r="O13" i="3"/>
  <c r="P13" i="3"/>
  <c r="Q13" i="3"/>
  <c r="R13" i="3"/>
  <c r="S13" i="3"/>
  <c r="T13" i="3"/>
  <c r="U13" i="3"/>
  <c r="V13" i="3"/>
  <c r="W13" i="3"/>
  <c r="X13" i="3"/>
  <c r="M14" i="3"/>
  <c r="N14" i="3"/>
  <c r="O14" i="3"/>
  <c r="P14" i="3"/>
  <c r="Q14" i="3"/>
  <c r="R14" i="3"/>
  <c r="S14" i="3"/>
  <c r="T14" i="3"/>
  <c r="U14" i="3"/>
  <c r="V14" i="3"/>
  <c r="W14" i="3"/>
  <c r="X14" i="3"/>
  <c r="M15" i="3"/>
  <c r="N15" i="3"/>
  <c r="O15" i="3"/>
  <c r="P15" i="3"/>
  <c r="Q15" i="3"/>
  <c r="R15" i="3"/>
  <c r="S15" i="3"/>
  <c r="T15" i="3"/>
  <c r="U15" i="3"/>
  <c r="V15" i="3"/>
  <c r="W15" i="3"/>
  <c r="X15" i="3"/>
  <c r="M16" i="3"/>
  <c r="N16" i="3"/>
  <c r="O16" i="3"/>
  <c r="P16" i="3"/>
  <c r="Q16" i="3"/>
  <c r="R16" i="3"/>
  <c r="S16" i="3"/>
  <c r="T16" i="3"/>
  <c r="U16" i="3"/>
  <c r="V16" i="3"/>
  <c r="W16" i="3"/>
  <c r="X16" i="3"/>
  <c r="M17" i="3"/>
  <c r="N17" i="3"/>
  <c r="O17" i="3"/>
  <c r="P17" i="3"/>
  <c r="Q17" i="3"/>
  <c r="R17" i="3"/>
  <c r="S17" i="3"/>
  <c r="T17" i="3"/>
  <c r="U17" i="3"/>
  <c r="V17" i="3"/>
  <c r="W17" i="3"/>
  <c r="X17" i="3"/>
  <c r="M18" i="3"/>
  <c r="N18" i="3"/>
  <c r="O18" i="3"/>
  <c r="P18" i="3"/>
  <c r="Q18" i="3"/>
  <c r="R18" i="3"/>
  <c r="S18" i="3"/>
  <c r="T18" i="3"/>
  <c r="U18" i="3"/>
  <c r="V18" i="3"/>
  <c r="W18" i="3"/>
  <c r="X18" i="3"/>
  <c r="M19" i="3"/>
  <c r="N19" i="3"/>
  <c r="O19" i="3"/>
  <c r="P19" i="3"/>
  <c r="Q19" i="3"/>
  <c r="R19" i="3"/>
  <c r="S19" i="3"/>
  <c r="T19" i="3"/>
  <c r="U19" i="3"/>
  <c r="V19" i="3"/>
  <c r="W19" i="3"/>
  <c r="X19" i="3"/>
  <c r="M20" i="3"/>
  <c r="N20" i="3"/>
  <c r="O20" i="3"/>
  <c r="P20" i="3"/>
  <c r="Q20" i="3"/>
  <c r="R20" i="3"/>
  <c r="S20" i="3"/>
  <c r="T20" i="3"/>
  <c r="U20" i="3"/>
  <c r="V20" i="3"/>
  <c r="W20" i="3"/>
  <c r="X20" i="3"/>
  <c r="M21" i="3"/>
  <c r="N21" i="3"/>
  <c r="O21" i="3"/>
  <c r="P21" i="3"/>
  <c r="Q21" i="3"/>
  <c r="R21" i="3"/>
  <c r="S21" i="3"/>
  <c r="T21" i="3"/>
  <c r="U21" i="3"/>
  <c r="V21" i="3"/>
  <c r="W21" i="3"/>
  <c r="X21" i="3"/>
  <c r="M22" i="3"/>
  <c r="N22" i="3"/>
  <c r="O22" i="3"/>
  <c r="P22" i="3"/>
  <c r="Q22" i="3"/>
  <c r="R22" i="3"/>
  <c r="S22" i="3"/>
  <c r="T22" i="3"/>
  <c r="U22" i="3"/>
  <c r="V22" i="3"/>
  <c r="W22" i="3"/>
  <c r="X22" i="3"/>
  <c r="M23" i="3"/>
  <c r="N23" i="3"/>
  <c r="O23" i="3"/>
  <c r="P23" i="3"/>
  <c r="Q23" i="3"/>
  <c r="R23" i="3"/>
  <c r="S23" i="3"/>
  <c r="T23" i="3"/>
  <c r="U23" i="3"/>
  <c r="V23" i="3"/>
  <c r="W23" i="3"/>
  <c r="X23" i="3"/>
  <c r="M24" i="3"/>
  <c r="N24" i="3"/>
  <c r="O24" i="3"/>
  <c r="P24" i="3"/>
  <c r="Q24" i="3"/>
  <c r="R24" i="3"/>
  <c r="S24" i="3"/>
  <c r="T24" i="3"/>
  <c r="U24" i="3"/>
  <c r="V24" i="3"/>
  <c r="W24" i="3"/>
  <c r="X24" i="3"/>
  <c r="M25" i="3"/>
  <c r="N25" i="3"/>
  <c r="O25" i="3"/>
  <c r="P25" i="3"/>
  <c r="Q25" i="3"/>
  <c r="R25" i="3"/>
  <c r="S25" i="3"/>
  <c r="T25" i="3"/>
  <c r="U25" i="3"/>
  <c r="V25" i="3"/>
  <c r="W25" i="3"/>
  <c r="X25" i="3"/>
  <c r="M26" i="3"/>
  <c r="N26" i="3"/>
  <c r="O26" i="3"/>
  <c r="P26" i="3"/>
  <c r="Q26" i="3"/>
  <c r="R26" i="3"/>
  <c r="S26" i="3"/>
  <c r="T26" i="3"/>
  <c r="U26" i="3"/>
  <c r="V26" i="3"/>
  <c r="W26" i="3"/>
  <c r="X26" i="3"/>
  <c r="M27" i="3"/>
  <c r="N27" i="3"/>
  <c r="O27" i="3"/>
  <c r="P27" i="3"/>
  <c r="Q27" i="3"/>
  <c r="R27" i="3"/>
  <c r="S27" i="3"/>
  <c r="T27" i="3"/>
  <c r="U27" i="3"/>
  <c r="V27" i="3"/>
  <c r="W27" i="3"/>
  <c r="X27" i="3"/>
  <c r="M28" i="3"/>
  <c r="N28" i="3"/>
  <c r="O28" i="3"/>
  <c r="P28" i="3"/>
  <c r="Q28" i="3"/>
  <c r="R28" i="3"/>
  <c r="S28" i="3"/>
  <c r="T28" i="3"/>
  <c r="U28" i="3"/>
  <c r="V28" i="3"/>
  <c r="W28" i="3"/>
  <c r="X28" i="3"/>
  <c r="M29" i="3"/>
  <c r="N29" i="3"/>
  <c r="O29" i="3"/>
  <c r="P29" i="3"/>
  <c r="Q29" i="3"/>
  <c r="R29" i="3"/>
  <c r="S29" i="3"/>
  <c r="T29" i="3"/>
  <c r="U29" i="3"/>
  <c r="V29" i="3"/>
  <c r="W29" i="3"/>
  <c r="X29" i="3"/>
  <c r="M30" i="3"/>
  <c r="N30" i="3"/>
  <c r="O30" i="3"/>
  <c r="P30" i="3"/>
  <c r="Q30" i="3"/>
  <c r="R30" i="3"/>
  <c r="S30" i="3"/>
  <c r="T30" i="3"/>
  <c r="U30" i="3"/>
  <c r="V30" i="3"/>
  <c r="W30" i="3"/>
  <c r="X30" i="3"/>
  <c r="M31" i="3"/>
  <c r="N31" i="3"/>
  <c r="O31" i="3"/>
  <c r="P31" i="3"/>
  <c r="Q31" i="3"/>
  <c r="R31" i="3"/>
  <c r="S31" i="3"/>
  <c r="T31" i="3"/>
  <c r="U31" i="3"/>
  <c r="V31" i="3"/>
  <c r="W31" i="3"/>
  <c r="X31" i="3"/>
  <c r="M32" i="3"/>
  <c r="G32" i="1" s="1"/>
  <c r="N32" i="3"/>
  <c r="O32" i="3"/>
  <c r="P32" i="3"/>
  <c r="Q32" i="3"/>
  <c r="R32" i="3"/>
  <c r="S32" i="3"/>
  <c r="T32" i="3"/>
  <c r="U32" i="3"/>
  <c r="V32" i="3"/>
  <c r="W32" i="3"/>
  <c r="X3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K2" i="3"/>
  <c r="F17" i="2"/>
  <c r="G17" i="2"/>
  <c r="G43" i="2" s="1"/>
  <c r="I38" i="2"/>
  <c r="H38" i="2"/>
  <c r="D39" i="2"/>
  <c r="E39" i="2"/>
  <c r="D40" i="2"/>
  <c r="E40" i="2"/>
  <c r="D41" i="2"/>
  <c r="E41" i="2"/>
  <c r="D42" i="2"/>
  <c r="E42" i="2"/>
  <c r="D43" i="2"/>
  <c r="E43" i="2"/>
  <c r="D44" i="2"/>
  <c r="E44" i="2"/>
  <c r="D38" i="2"/>
  <c r="E38" i="2"/>
  <c r="F38" i="2"/>
  <c r="G38" i="2"/>
  <c r="F39" i="2"/>
  <c r="G39" i="2"/>
  <c r="F40" i="2"/>
  <c r="G40" i="2"/>
  <c r="F42" i="2"/>
  <c r="F43" i="2"/>
  <c r="F44" i="2"/>
  <c r="G44" i="2"/>
  <c r="G41" i="2"/>
  <c r="F41" i="2"/>
  <c r="E17" i="2"/>
  <c r="D37" i="2"/>
  <c r="E32" i="1"/>
  <c r="Z32" i="3"/>
  <c r="K31" i="1"/>
  <c r="I32" i="1"/>
  <c r="K32" i="1"/>
  <c r="G42" i="2" l="1"/>
  <c r="K29" i="1"/>
  <c r="K30" i="1"/>
  <c r="Z21" i="3" l="1"/>
  <c r="Z22" i="3"/>
  <c r="Z23" i="3"/>
  <c r="Z24" i="3"/>
  <c r="Z25" i="3"/>
  <c r="Z26" i="3"/>
  <c r="Z27" i="3"/>
  <c r="Z28" i="3"/>
  <c r="Z29" i="3"/>
  <c r="Z30" i="3"/>
  <c r="Z31" i="3"/>
  <c r="G30" i="1"/>
  <c r="I30" i="1"/>
  <c r="G31" i="1"/>
  <c r="I31" i="1"/>
  <c r="E31" i="1" l="1"/>
  <c r="E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<sst xmlns="http://schemas.openxmlformats.org/spreadsheetml/2006/main" count="133" uniqueCount="59">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</sst>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6" borderId="2" xfId="0" applyFont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F12" sqref="F1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>
        <f>(Submetering!E2+Submetering!F2)</f>
        <v>5424</v>
      </c>
      <c r="F2" s="12">
        <v>0.14000000000000001</v>
      </c>
      <c r="G2" s="4">
        <f>Submetering!M2</f>
        <v>2351</v>
      </c>
      <c r="H2" s="12">
        <v>0.25</v>
      </c>
      <c r="I2" s="4">
        <f>Submetering!N2</f>
        <v>102</v>
      </c>
      <c r="J2" s="13">
        <v>2.06</v>
      </c>
      <c r="K2" s="4">
        <f>'Hampshire Daily'!B5</f>
        <v>69</v>
      </c>
      <c r="L2" s="4">
        <f>'Hampshire Daily'!C5</f>
        <v>177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5656</v>
      </c>
      <c r="F3" s="12">
        <v>0.14000000000000001</v>
      </c>
      <c r="G3" s="4">
        <f>Submetering!M3</f>
        <v>2424</v>
      </c>
      <c r="H3" s="12">
        <v>0.25</v>
      </c>
      <c r="I3" s="4">
        <f>Submetering!N3</f>
        <v>78</v>
      </c>
      <c r="J3" s="13">
        <v>2.06</v>
      </c>
      <c r="K3" s="4">
        <f>'Hampshire Daily'!B6</f>
        <v>42</v>
      </c>
      <c r="L3" s="4">
        <f>'Hampshire Daily'!C6</f>
        <v>151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6039</v>
      </c>
      <c r="F4" s="12">
        <v>0.14000000000000001</v>
      </c>
      <c r="G4" s="4">
        <f>Submetering!M4</f>
        <v>2447</v>
      </c>
      <c r="H4" s="12">
        <v>0.25</v>
      </c>
      <c r="I4" s="4">
        <f>Submetering!N4</f>
        <v>97</v>
      </c>
      <c r="J4" s="13">
        <v>2.06</v>
      </c>
      <c r="K4" s="4">
        <f>'Hampshire Daily'!B7</f>
        <v>49</v>
      </c>
      <c r="L4" s="4">
        <f>'Hampshire Daily'!C7</f>
        <v>146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6068</v>
      </c>
      <c r="F5" s="12">
        <v>0.14000000000000001</v>
      </c>
      <c r="G5" s="4">
        <f>Submetering!M5</f>
        <v>2453</v>
      </c>
      <c r="H5" s="12">
        <v>0.25</v>
      </c>
      <c r="I5" s="4">
        <f>Submetering!N5</f>
        <v>112</v>
      </c>
      <c r="J5" s="13">
        <v>2.06</v>
      </c>
      <c r="K5" s="4">
        <f>'Hampshire Daily'!B8</f>
        <v>83</v>
      </c>
      <c r="L5" s="4">
        <f>'Hampshire Daily'!C8</f>
        <v>168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5927</v>
      </c>
      <c r="F6" s="12">
        <v>0.14000000000000001</v>
      </c>
      <c r="G6" s="4">
        <f>Submetering!M6</f>
        <v>2508</v>
      </c>
      <c r="H6" s="12">
        <v>0.25</v>
      </c>
      <c r="I6" s="4">
        <f>Submetering!N6</f>
        <v>96</v>
      </c>
      <c r="J6" s="13">
        <v>2.06</v>
      </c>
      <c r="K6" s="4">
        <f>'Hampshire Daily'!B9</f>
        <v>7</v>
      </c>
      <c r="L6" s="4">
        <f>'Hampshire Daily'!C9</f>
        <v>147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5602</v>
      </c>
      <c r="F7" s="12">
        <v>0.14000000000000001</v>
      </c>
      <c r="G7" s="4">
        <f>Submetering!M7</f>
        <v>2465</v>
      </c>
      <c r="H7" s="12">
        <v>0.25</v>
      </c>
      <c r="I7" s="4">
        <f>Submetering!N7</f>
        <v>87</v>
      </c>
      <c r="J7" s="13">
        <v>2.06</v>
      </c>
      <c r="K7" s="4">
        <f>'Hampshire Daily'!B10</f>
        <v>13</v>
      </c>
      <c r="L7" s="4">
        <f>'Hampshire Daily'!C10</f>
        <v>36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8841</v>
      </c>
      <c r="F8" s="12">
        <v>0.14000000000000001</v>
      </c>
      <c r="G8" s="4">
        <f>Submetering!M8</f>
        <v>1778</v>
      </c>
      <c r="H8" s="12">
        <v>0.25</v>
      </c>
      <c r="I8" s="4">
        <f>Submetering!N8</f>
        <v>73</v>
      </c>
      <c r="J8" s="13">
        <v>2.06</v>
      </c>
      <c r="K8" s="4">
        <f>'Hampshire Daily'!B11</f>
        <v>52</v>
      </c>
      <c r="L8" s="4">
        <f>'Hampshire Daily'!C11</f>
        <v>91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10114</v>
      </c>
      <c r="F9" s="12">
        <v>0.14000000000000001</v>
      </c>
      <c r="G9" s="4">
        <f>Submetering!M9</f>
        <v>1547</v>
      </c>
      <c r="H9" s="12">
        <v>0.25</v>
      </c>
      <c r="I9" s="4">
        <f>Submetering!N9</f>
        <v>67</v>
      </c>
      <c r="J9" s="13">
        <v>2.06</v>
      </c>
      <c r="K9" s="4">
        <f>'Hampshire Daily'!B12</f>
        <v>37</v>
      </c>
      <c r="L9" s="4">
        <f>'Hampshire Daily'!C12</f>
        <v>135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10227</v>
      </c>
      <c r="F10" s="12">
        <v>0.14000000000000001</v>
      </c>
      <c r="G10" s="4">
        <f>Submetering!M10</f>
        <v>1662</v>
      </c>
      <c r="H10" s="12">
        <v>0.25</v>
      </c>
      <c r="I10" s="4">
        <f>Submetering!N10</f>
        <v>84</v>
      </c>
      <c r="J10" s="13">
        <v>2.06</v>
      </c>
      <c r="K10" s="4">
        <f>'Hampshire Daily'!B13</f>
        <v>49</v>
      </c>
      <c r="L10" s="4">
        <f>'Hampshire Daily'!C13</f>
        <v>219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13699</v>
      </c>
      <c r="F11" s="12">
        <v>0.14000000000000001</v>
      </c>
      <c r="G11" s="4">
        <f>Submetering!M11</f>
        <v>2201</v>
      </c>
      <c r="H11" s="12">
        <v>0.25</v>
      </c>
      <c r="I11" s="4">
        <f>Submetering!N11</f>
        <v>124</v>
      </c>
      <c r="J11" s="13">
        <v>2.06</v>
      </c>
      <c r="K11" s="4">
        <f>'Hampshire Daily'!B14</f>
        <v>57</v>
      </c>
      <c r="L11" s="4">
        <f>'Hampshire Daily'!C14</f>
        <v>171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7642</v>
      </c>
      <c r="F12" s="12">
        <v>0.14000000000000001</v>
      </c>
      <c r="G12" s="4">
        <f>Submetering!M12</f>
        <v>1328</v>
      </c>
      <c r="H12" s="12">
        <v>0.25</v>
      </c>
      <c r="I12" s="4">
        <f>Submetering!N12</f>
        <v>124</v>
      </c>
      <c r="J12" s="13">
        <v>2.06</v>
      </c>
      <c r="K12" s="4">
        <f>'Hampshire Daily'!B15</f>
        <v>44</v>
      </c>
      <c r="L12" s="4">
        <f>'Hampshire Daily'!C15</f>
        <v>128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11114</v>
      </c>
      <c r="F13" s="12">
        <v>0.14000000000000001</v>
      </c>
      <c r="G13" s="4">
        <f>Submetering!M13</f>
        <v>1817</v>
      </c>
      <c r="H13" s="12">
        <v>0.25</v>
      </c>
      <c r="I13" s="4">
        <f>Submetering!N13</f>
        <v>113</v>
      </c>
      <c r="J13" s="13">
        <v>2.06</v>
      </c>
      <c r="K13" s="4">
        <f>'Hampshire Daily'!B16</f>
        <v>35</v>
      </c>
      <c r="L13" s="4">
        <f>'Hampshire Daily'!C16</f>
        <v>60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5252</v>
      </c>
      <c r="F14" s="12">
        <v>0.14000000000000001</v>
      </c>
      <c r="G14" s="4">
        <f>Submetering!M14</f>
        <v>1671</v>
      </c>
      <c r="H14" s="12">
        <v>0.25</v>
      </c>
      <c r="I14" s="4">
        <f>Submetering!N14</f>
        <v>72</v>
      </c>
      <c r="J14" s="13">
        <v>2.06</v>
      </c>
      <c r="K14" s="4">
        <f>'Hampshire Daily'!B17</f>
        <v>102</v>
      </c>
      <c r="L14" s="4">
        <f>'Hampshire Daily'!C17</f>
        <v>130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5258</v>
      </c>
      <c r="F15" s="12">
        <v>0.14000000000000001</v>
      </c>
      <c r="G15" s="4">
        <f>Submetering!M15</f>
        <v>1568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73</v>
      </c>
      <c r="L15" s="4">
        <f>'Hampshire Daily'!C18</f>
        <v>116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6927</v>
      </c>
      <c r="F16" s="12">
        <v>0.14000000000000001</v>
      </c>
      <c r="G16" s="4">
        <f>Submetering!M16</f>
        <v>1423</v>
      </c>
      <c r="H16" s="12">
        <v>0.25</v>
      </c>
      <c r="I16" s="4">
        <f>Submetering!N16</f>
        <v>161</v>
      </c>
      <c r="J16" s="13">
        <v>2.06</v>
      </c>
      <c r="K16" s="4">
        <f>'Hampshire Daily'!B19</f>
        <v>123</v>
      </c>
      <c r="L16" s="4">
        <f>'Hampshire Daily'!C19</f>
        <v>259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4280</v>
      </c>
      <c r="F17" s="12">
        <v>0.14000000000000001</v>
      </c>
      <c r="G17" s="4">
        <f>Submetering!M17</f>
        <v>1867</v>
      </c>
      <c r="H17" s="12">
        <v>0.25</v>
      </c>
      <c r="I17" s="4">
        <f>Submetering!N17</f>
        <v>96</v>
      </c>
      <c r="J17" s="13">
        <v>2.06</v>
      </c>
      <c r="K17" s="4">
        <f>'Hampshire Daily'!B20</f>
        <v>56</v>
      </c>
      <c r="L17" s="4">
        <f>'Hampshire Daily'!C20</f>
        <v>232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8526</v>
      </c>
      <c r="F18" s="12">
        <v>0.14000000000000001</v>
      </c>
      <c r="G18" s="4">
        <f>Submetering!M18</f>
        <v>1464</v>
      </c>
      <c r="H18" s="12">
        <v>0.25</v>
      </c>
      <c r="I18" s="4">
        <f>Submetering!N18</f>
        <v>105</v>
      </c>
      <c r="J18" s="13">
        <v>2.06</v>
      </c>
      <c r="K18" s="4">
        <f>'Hampshire Daily'!B21</f>
        <v>19</v>
      </c>
      <c r="L18" s="4">
        <f>'Hampshire Daily'!C21</f>
        <v>100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8888</v>
      </c>
      <c r="F19" s="12">
        <v>0.14000000000000001</v>
      </c>
      <c r="G19" s="4">
        <f>Submetering!M19</f>
        <v>1452</v>
      </c>
      <c r="H19" s="12">
        <v>0.25</v>
      </c>
      <c r="I19" s="4">
        <f>Submetering!N19</f>
        <v>92</v>
      </c>
      <c r="J19" s="13">
        <v>2.06</v>
      </c>
      <c r="K19" s="4">
        <f>'Hampshire Daily'!B22</f>
        <v>121</v>
      </c>
      <c r="L19" s="4">
        <f>'Hampshire Daily'!C22</f>
        <v>180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7444</v>
      </c>
      <c r="F20" s="12">
        <v>0.14000000000000001</v>
      </c>
      <c r="G20" s="4">
        <f>Submetering!M20</f>
        <v>1720</v>
      </c>
      <c r="H20" s="12">
        <v>0.25</v>
      </c>
      <c r="I20" s="4">
        <f>Submetering!N20</f>
        <v>93</v>
      </c>
      <c r="J20" s="13">
        <v>2.06</v>
      </c>
      <c r="K20" s="4">
        <f>'Hampshire Daily'!B23</f>
        <v>51</v>
      </c>
      <c r="L20" s="4">
        <f>'Hampshire Daily'!C23</f>
        <v>121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7814</v>
      </c>
      <c r="F21" s="12">
        <v>0.14000000000000001</v>
      </c>
      <c r="G21" s="4">
        <f>Submetering!M21</f>
        <v>1758</v>
      </c>
      <c r="H21" s="12">
        <v>0.25</v>
      </c>
      <c r="I21" s="4">
        <f>Submetering!N21</f>
        <v>81</v>
      </c>
      <c r="J21" s="13">
        <v>2.06</v>
      </c>
      <c r="K21" s="4">
        <f>'Hampshire Daily'!B24</f>
        <v>60</v>
      </c>
      <c r="L21" s="4">
        <f>'Hampshire Daily'!C24</f>
        <v>195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8898</v>
      </c>
      <c r="F22" s="12">
        <v>0.14000000000000001</v>
      </c>
      <c r="G22" s="4">
        <f>Submetering!M22</f>
        <v>1894</v>
      </c>
      <c r="H22" s="12">
        <v>0.25</v>
      </c>
      <c r="I22" s="4">
        <f>Submetering!N22</f>
        <v>84</v>
      </c>
      <c r="J22" s="13">
        <v>2.06</v>
      </c>
      <c r="K22" s="4">
        <f>'Hampshire Daily'!B25</f>
        <v>33</v>
      </c>
      <c r="L22" s="4">
        <f>'Hampshire Daily'!C25</f>
        <v>203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3780</v>
      </c>
      <c r="F23" s="12">
        <v>0.14000000000000001</v>
      </c>
      <c r="G23" s="4">
        <f>Submetering!M23</f>
        <v>2527</v>
      </c>
      <c r="H23" s="12">
        <v>0.25</v>
      </c>
      <c r="I23" s="4">
        <f>Submetering!N23</f>
        <v>88</v>
      </c>
      <c r="J23" s="13">
        <v>2.06</v>
      </c>
      <c r="K23" s="4">
        <f>'Hampshire Daily'!B26</f>
        <v>52</v>
      </c>
      <c r="L23" s="4">
        <f>'Hampshire Daily'!C26</f>
        <v>194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3444</v>
      </c>
      <c r="F24" s="12">
        <v>0.14000000000000001</v>
      </c>
      <c r="G24" s="4">
        <f>Submetering!M24</f>
        <v>2366</v>
      </c>
      <c r="H24" s="12">
        <v>0.25</v>
      </c>
      <c r="I24" s="4">
        <f>Submetering!N24</f>
        <v>103</v>
      </c>
      <c r="J24" s="13">
        <v>2.06</v>
      </c>
      <c r="K24" s="4">
        <f>'Hampshire Daily'!B27</f>
        <v>28</v>
      </c>
      <c r="L24" s="4">
        <f>'Hampshire Daily'!C27</f>
        <v>220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3491</v>
      </c>
      <c r="F25" s="12">
        <v>0.14000000000000001</v>
      </c>
      <c r="G25" s="4">
        <f>Submetering!M25</f>
        <v>2279</v>
      </c>
      <c r="H25" s="12">
        <v>0.25</v>
      </c>
      <c r="I25" s="4">
        <f>Submetering!N25</f>
        <v>87</v>
      </c>
      <c r="J25" s="13">
        <v>2.06</v>
      </c>
      <c r="K25" s="4">
        <f>'Hampshire Daily'!B28</f>
        <v>36</v>
      </c>
      <c r="L25" s="4">
        <f>'Hampshire Daily'!C28</f>
        <v>213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4440</v>
      </c>
      <c r="F26" s="12">
        <v>0.14000000000000001</v>
      </c>
      <c r="G26" s="4">
        <f>Submetering!M26</f>
        <v>2319</v>
      </c>
      <c r="H26" s="12">
        <v>0.25</v>
      </c>
      <c r="I26" s="4">
        <f>Submetering!N26</f>
        <v>106</v>
      </c>
      <c r="J26" s="13">
        <v>2.06</v>
      </c>
      <c r="K26" s="4">
        <f>'Hampshire Daily'!B29</f>
        <v>47</v>
      </c>
      <c r="L26" s="4">
        <f>'Hampshire Daily'!C29</f>
        <v>230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10229</v>
      </c>
      <c r="F27" s="12">
        <v>0.14000000000000001</v>
      </c>
      <c r="G27" s="4">
        <f>Submetering!M27</f>
        <v>1781</v>
      </c>
      <c r="H27" s="12">
        <v>0.25</v>
      </c>
      <c r="I27" s="4">
        <f>Submetering!N27</f>
        <v>100</v>
      </c>
      <c r="J27" s="13">
        <v>2.06</v>
      </c>
      <c r="K27" s="4">
        <f>'Hampshire Daily'!B30</f>
        <v>29</v>
      </c>
      <c r="L27" s="4">
        <f>'Hampshire Daily'!C30</f>
        <v>219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10790</v>
      </c>
      <c r="F28" s="12">
        <v>0.14000000000000001</v>
      </c>
      <c r="G28" s="4">
        <f>Submetering!M28</f>
        <v>1727</v>
      </c>
      <c r="H28" s="12">
        <v>0.25</v>
      </c>
      <c r="I28" s="4">
        <f>Submetering!N28</f>
        <v>109</v>
      </c>
      <c r="J28" s="13">
        <v>2.06</v>
      </c>
      <c r="K28" s="4">
        <f>'Hampshire Daily'!B31</f>
        <v>36</v>
      </c>
      <c r="L28" s="4">
        <f>'Hampshire Daily'!C31</f>
        <v>253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9843</v>
      </c>
      <c r="F29" s="12">
        <v>0.14000000000000001</v>
      </c>
      <c r="G29" s="4">
        <f>Submetering!M29</f>
        <v>1644</v>
      </c>
      <c r="H29" s="12">
        <v>0.25</v>
      </c>
      <c r="I29" s="4">
        <f>Submetering!N29</f>
        <v>95</v>
      </c>
      <c r="J29" s="13">
        <v>2.06</v>
      </c>
      <c r="K29" s="4">
        <f>'Hampshire Daily'!B32</f>
        <v>32</v>
      </c>
      <c r="L29" s="4">
        <f>'Hampshire Daily'!C32</f>
        <v>221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5104</v>
      </c>
      <c r="F30" s="12">
        <v>0.14000000000000001</v>
      </c>
      <c r="G30" s="4">
        <f>Submetering!M30</f>
        <v>2225</v>
      </c>
      <c r="H30" s="12">
        <v>0.25</v>
      </c>
      <c r="I30" s="4">
        <f>Submetering!N30</f>
        <v>98</v>
      </c>
      <c r="J30" s="13">
        <v>2.06</v>
      </c>
      <c r="K30" s="4">
        <f>'Hampshire Daily'!B33</f>
        <v>33</v>
      </c>
      <c r="L30" s="4">
        <f>'Hampshire Daily'!C33</f>
        <v>209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3823</v>
      </c>
      <c r="F31" s="12">
        <v>0.14000000000000001</v>
      </c>
      <c r="G31" s="4">
        <f>Submetering!M31</f>
        <v>2441</v>
      </c>
      <c r="H31" s="12">
        <v>0.25</v>
      </c>
      <c r="I31" s="4">
        <f>Submetering!N31</f>
        <v>124</v>
      </c>
      <c r="J31" s="13">
        <v>2.06</v>
      </c>
      <c r="K31" s="4">
        <f>'Hampshire Daily'!B34</f>
        <v>27</v>
      </c>
      <c r="L31" s="4">
        <f>'Hampshire Daily'!C34</f>
        <v>226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3732</v>
      </c>
      <c r="F32" s="12">
        <v>0.14000000000000001</v>
      </c>
      <c r="G32" s="4">
        <f>Submetering!M32</f>
        <v>2519</v>
      </c>
      <c r="H32" s="12">
        <v>0.25</v>
      </c>
      <c r="I32" s="4">
        <f>Submetering!N32</f>
        <v>108</v>
      </c>
      <c r="J32" s="13">
        <v>2.06</v>
      </c>
      <c r="K32" s="4">
        <f>'Hampshire Daily'!B35</f>
        <v>21</v>
      </c>
      <c r="L32" s="4">
        <f>'Hampshire Daily'!C35</f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38" sqref="U38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>
        <f>IF(('Hampshire Daily'!F5-'Hampshire Daily'!F4&lt;0),"0",('Hampshire Daily'!F5-'Hampshire Daily'!F4))</f>
        <v>2713</v>
      </c>
      <c r="F2" s="4">
        <f>IF(('Hampshire Daily'!G5-'Hampshire Daily'!G4&lt;0),"0",('Hampshire Daily'!G5-'Hampshire Daily'!G4))</f>
        <v>2711</v>
      </c>
      <c r="G2" s="4">
        <f>IF(('Hampshire Daily'!H5-'Hampshire Daily'!H4&lt;0),"0",('Hampshire Daily'!H5-'Hampshire Daily'!H4))</f>
        <v>0</v>
      </c>
      <c r="H2" s="4">
        <f>IF(('Hampshire Daily'!I5-'Hampshire Daily'!I4&lt;0),"0",('Hampshire Daily'!I5-'Hampshire Daily'!I4))</f>
        <v>1939</v>
      </c>
      <c r="I2" s="4">
        <f>IF(('Hampshire Daily'!J5-'Hampshire Daily'!J4&lt;0),"0",('Hampshire Daily'!J5-'Hampshire Daily'!J4))</f>
        <v>8</v>
      </c>
      <c r="J2" s="4">
        <f>IF(('Hampshire Daily'!K5-'Hampshire Daily'!K4&lt;0),"0",('Hampshire Daily'!K5-'Hampshire Daily'!K4))</f>
        <v>2595</v>
      </c>
      <c r="K2" s="4">
        <f>IF(('Hampshire Daily'!L5-'Hampshire Daily'!L4&lt;0),"0",('Hampshire Daily'!L5-'Hampshire Daily'!L4))</f>
        <v>1198</v>
      </c>
      <c r="L2" s="4">
        <f>IF(('Hampshire Daily'!M5-'Hampshire Daily'!M4&lt;0),"0",('Hampshire Daily'!M5-'Hampshire Daily'!M4))</f>
        <v>0</v>
      </c>
      <c r="M2" s="4">
        <f>IF(('Hampshire Daily'!N5-'Hampshire Daily'!N4&lt;0),"0",('Hampshire Daily'!N5-'Hampshire Daily'!N4))</f>
        <v>2351</v>
      </c>
      <c r="N2" s="4">
        <f>IF(('Hampshire Daily'!O5-'Hampshire Daily'!O4&lt;0),"0",('Hampshire Daily'!O5-'Hampshire Daily'!O4))</f>
        <v>102</v>
      </c>
      <c r="O2" s="4">
        <f>IF(('Hampshire Daily'!P5-'Hampshire Daily'!P4&lt;0),"0",('Hampshire Daily'!P5-'Hampshire Daily'!P4))</f>
        <v>782</v>
      </c>
      <c r="P2" s="4">
        <f>IF(('Hampshire Daily'!Q5-'Hampshire Daily'!Q4&lt;0),"0",('Hampshire Daily'!Q5-'Hampshire Daily'!Q4))</f>
        <v>20</v>
      </c>
      <c r="Q2" s="4">
        <f>IF(('Hampshire Daily'!R5-'Hampshire Daily'!R4&lt;0),"0",('Hampshire Daily'!R5-'Hampshire Daily'!R4))</f>
        <v>1</v>
      </c>
      <c r="R2" s="4">
        <f>IF(('Hampshire Daily'!S5-'Hampshire Daily'!S4&lt;0),"0",('Hampshire Daily'!S5-'Hampshire Daily'!S4))</f>
        <v>26</v>
      </c>
      <c r="S2" s="4">
        <f>IF(('Hampshire Daily'!T5-'Hampshire Daily'!T4&lt;0),"0",('Hampshire Daily'!T5-'Hampshire Daily'!T4))</f>
        <v>40</v>
      </c>
      <c r="T2" s="4">
        <f>IF(('Hampshire Daily'!U5-'Hampshire Daily'!U4&lt;0),"0",('Hampshire Daily'!U5-'Hampshire Daily'!U4))</f>
        <v>9</v>
      </c>
      <c r="U2" s="4">
        <f>IF(('Hampshire Daily'!V5-'Hampshire Daily'!V4&lt;0),"0",('Hampshire Daily'!V5-'Hampshire Daily'!V4))</f>
        <v>1</v>
      </c>
      <c r="V2" s="4">
        <f>IF(('Hampshire Daily'!W5-'Hampshire Daily'!W4&lt;0),"0",('Hampshire Daily'!W5-'Hampshire Daily'!W4))</f>
        <v>0</v>
      </c>
      <c r="W2" s="4">
        <f>IF(('Hampshire Daily'!X5-'Hampshire Daily'!X4&lt;0),"0",('Hampshire Daily'!X5-'Hampshire Daily'!X4))</f>
        <v>0.17100000000004911</v>
      </c>
      <c r="X2" s="4">
        <f>IF(('Hampshire Daily'!Y5-'Hampshire Daily'!Y4&lt;0),"0",('Hampshire Daily'!Y5-'Hampshire Daily'!Y4))</f>
        <v>1.0000000002037268E-3</v>
      </c>
      <c r="Y2" s="4">
        <f>'Hampshire Daily'!B5</f>
        <v>69</v>
      </c>
      <c r="Z2" s="4">
        <f>'Hampshire Daily'!C5</f>
        <v>177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Daily'!F6-'Hampshire Daily'!F5&lt;0),"0",('Hampshire Daily'!F6-'Hampshire Daily'!F5))</f>
        <v>2830</v>
      </c>
      <c r="F3" s="4">
        <f>IF(('Hampshire Daily'!G6-'Hampshire Daily'!G5&lt;0),"0",('Hampshire Daily'!G6-'Hampshire Daily'!G5))</f>
        <v>2826</v>
      </c>
      <c r="G3" s="4">
        <f>IF(('Hampshire Daily'!H6-'Hampshire Daily'!H5&lt;0),"0",('Hampshire Daily'!H6-'Hampshire Daily'!H5))</f>
        <v>0</v>
      </c>
      <c r="H3" s="4">
        <f>IF(('Hampshire Daily'!I6-'Hampshire Daily'!I5&lt;0),"0",('Hampshire Daily'!I6-'Hampshire Daily'!I5))</f>
        <v>1939</v>
      </c>
      <c r="I3" s="4">
        <f>IF(('Hampshire Daily'!J6-'Hampshire Daily'!J5&lt;0),"0",('Hampshire Daily'!J6-'Hampshire Daily'!J5))</f>
        <v>8</v>
      </c>
      <c r="J3" s="4">
        <f>IF(('Hampshire Daily'!K6-'Hampshire Daily'!K5&lt;0),"0",('Hampshire Daily'!K6-'Hampshire Daily'!K5))</f>
        <v>2595</v>
      </c>
      <c r="K3" s="4">
        <f>IF(('Hampshire Daily'!L6-'Hampshire Daily'!L5&lt;0),"0",('Hampshire Daily'!L6-'Hampshire Daily'!L5))</f>
        <v>1256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2424</v>
      </c>
      <c r="N3" s="4">
        <f>IF(('Hampshire Daily'!O6-'Hampshire Daily'!O5&lt;0),"0",('Hampshire Daily'!O6-'Hampshire Daily'!O5))</f>
        <v>78</v>
      </c>
      <c r="O3" s="4">
        <f>IF(('Hampshire Daily'!P6-'Hampshire Daily'!P5&lt;0),"0",('Hampshire Daily'!P6-'Hampshire Daily'!P5))</f>
        <v>774</v>
      </c>
      <c r="P3" s="4">
        <f>IF(('Hampshire Daily'!Q6-'Hampshire Daily'!Q5&lt;0),"0",('Hampshire Daily'!Q6-'Hampshire Daily'!Q5))</f>
        <v>122</v>
      </c>
      <c r="Q3" s="4">
        <f>IF(('Hampshire Daily'!R6-'Hampshire Daily'!R5&lt;0),"0",('Hampshire Daily'!R6-'Hampshire Daily'!R5))</f>
        <v>0</v>
      </c>
      <c r="R3" s="4">
        <f>IF(('Hampshire Daily'!S6-'Hampshire Daily'!S5&lt;0),"0",('Hampshire Daily'!S6-'Hampshire Daily'!S5))</f>
        <v>37</v>
      </c>
      <c r="S3" s="4">
        <f>IF(('Hampshire Daily'!T6-'Hampshire Daily'!T5&lt;0),"0",('Hampshire Daily'!T6-'Hampshire Daily'!T5))</f>
        <v>50</v>
      </c>
      <c r="T3" s="4">
        <f>IF(('Hampshire Daily'!U6-'Hampshire Daily'!U5&lt;0),"0",('Hampshire Daily'!U6-'Hampshire Daily'!U5))</f>
        <v>12</v>
      </c>
      <c r="U3" s="4">
        <f>IF(('Hampshire Daily'!V6-'Hampshire Daily'!V5&lt;0),"0",('Hampshire Daily'!V6-'Hampshire Daily'!V5))</f>
        <v>1</v>
      </c>
      <c r="V3" s="4">
        <f>IF(('Hampshire Daily'!W6-'Hampshire Daily'!W5&lt;0),"0",('Hampshire Daily'!W6-'Hampshire Daily'!W5))</f>
        <v>0</v>
      </c>
      <c r="W3" s="4">
        <f>IF(('Hampshire Daily'!X6-'Hampshire Daily'!X5&lt;0),"0",('Hampshire Daily'!X6-'Hampshire Daily'!X5))</f>
        <v>0.1129999999999427</v>
      </c>
      <c r="X3" s="4">
        <f>IF(('Hampshire Daily'!Y6-'Hampshire Daily'!Y5&lt;0),"0",('Hampshire Daily'!Y6-'Hampshire Daily'!Y5))</f>
        <v>9.9999999974897946E-4</v>
      </c>
      <c r="Y3" s="4">
        <f>'Hampshire Daily'!B6</f>
        <v>42</v>
      </c>
      <c r="Z3" s="4">
        <f>'Hampshire Daily'!C6</f>
        <v>151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Daily'!F7-'Hampshire Daily'!F6&lt;0),"0",('Hampshire Daily'!F7-'Hampshire Daily'!F6))</f>
        <v>3021</v>
      </c>
      <c r="F4" s="4">
        <f>IF(('Hampshire Daily'!G7-'Hampshire Daily'!G6&lt;0),"0",('Hampshire Daily'!G7-'Hampshire Daily'!G6))</f>
        <v>3018</v>
      </c>
      <c r="G4" s="4">
        <f>IF(('Hampshire Daily'!H7-'Hampshire Daily'!H6&lt;0),"0",('Hampshire Daily'!H7-'Hampshire Daily'!H6))</f>
        <v>0</v>
      </c>
      <c r="H4" s="4">
        <f>IF(('Hampshire Daily'!I7-'Hampshire Daily'!I6&lt;0),"0",('Hampshire Daily'!I7-'Hampshire Daily'!I6))</f>
        <v>1939</v>
      </c>
      <c r="I4" s="4">
        <f>IF(('Hampshire Daily'!J7-'Hampshire Daily'!J6&lt;0),"0",('Hampshire Daily'!J7-'Hampshire Daily'!J6))</f>
        <v>8</v>
      </c>
      <c r="J4" s="4">
        <f>IF(('Hampshire Daily'!K7-'Hampshire Daily'!K6&lt;0),"0",('Hampshire Daily'!K7-'Hampshire Daily'!K6))</f>
        <v>2595</v>
      </c>
      <c r="K4" s="4">
        <f>IF(('Hampshire Daily'!L7-'Hampshire Daily'!L6&lt;0),"0",('Hampshire Daily'!L7-'Hampshire Daily'!L6))</f>
        <v>1256</v>
      </c>
      <c r="L4" s="4">
        <f>IF(('Hampshire Daily'!M7-'Hampshire Daily'!M6&lt;0),"0",('Hampshire Daily'!M7-'Hampshire Daily'!M6))</f>
        <v>2</v>
      </c>
      <c r="M4" s="4">
        <f>IF(('Hampshire Daily'!N7-'Hampshire Daily'!N6&lt;0),"0",('Hampshire Daily'!N7-'Hampshire Daily'!N6))</f>
        <v>2447</v>
      </c>
      <c r="N4" s="4">
        <f>IF(('Hampshire Daily'!O7-'Hampshire Daily'!O6&lt;0),"0",('Hampshire Daily'!O7-'Hampshire Daily'!O6))</f>
        <v>97</v>
      </c>
      <c r="O4" s="4">
        <f>IF(('Hampshire Daily'!P7-'Hampshire Daily'!P6&lt;0),"0",('Hampshire Daily'!P7-'Hampshire Daily'!P6))</f>
        <v>756</v>
      </c>
      <c r="P4" s="4">
        <f>IF(('Hampshire Daily'!Q7-'Hampshire Daily'!Q6&lt;0),"0",('Hampshire Daily'!Q7-'Hampshire Daily'!Q6))</f>
        <v>105</v>
      </c>
      <c r="Q4" s="4">
        <f>IF(('Hampshire Daily'!R7-'Hampshire Daily'!R6&lt;0),"0",('Hampshire Daily'!R7-'Hampshire Daily'!R6))</f>
        <v>0</v>
      </c>
      <c r="R4" s="4">
        <f>IF(('Hampshire Daily'!S7-'Hampshire Daily'!S6&lt;0),"0",('Hampshire Daily'!S7-'Hampshire Daily'!S6))</f>
        <v>55</v>
      </c>
      <c r="S4" s="4">
        <f>IF(('Hampshire Daily'!T7-'Hampshire Daily'!T6&lt;0),"0",('Hampshire Daily'!T7-'Hampshire Daily'!T6))</f>
        <v>62</v>
      </c>
      <c r="T4" s="4">
        <f>IF(('Hampshire Daily'!U7-'Hampshire Daily'!U6&lt;0),"0",('Hampshire Daily'!U7-'Hampshire Daily'!U6))</f>
        <v>9</v>
      </c>
      <c r="U4" s="4">
        <f>IF(('Hampshire Daily'!V7-'Hampshire Daily'!V6&lt;0),"0",('Hampshire Daily'!V7-'Hampshire Daily'!V6))</f>
        <v>1</v>
      </c>
      <c r="V4" s="4">
        <f>IF(('Hampshire Daily'!W7-'Hampshire Daily'!W6&lt;0),"0",('Hampshire Daily'!W7-'Hampshire Daily'!W6))</f>
        <v>5.1999999999964075E-2</v>
      </c>
      <c r="W4" s="4">
        <f>IF(('Hampshire Daily'!X7-'Hampshire Daily'!X6&lt;0),"0",('Hampshire Daily'!X7-'Hampshire Daily'!X6))</f>
        <v>6.8000000000097316E-2</v>
      </c>
      <c r="X4" s="4">
        <f>IF(('Hampshire Daily'!Y7-'Hampshire Daily'!Y6&lt;0),"0",('Hampshire Daily'!Y7-'Hampshire Daily'!Y6))</f>
        <v>1.0000000002037268E-3</v>
      </c>
      <c r="Y4" s="4">
        <f>'Hampshire Daily'!B7</f>
        <v>49</v>
      </c>
      <c r="Z4" s="4">
        <f>'Hampshire Daily'!C7</f>
        <v>146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Daily'!F8-'Hampshire Daily'!F7&lt;0),"0",('Hampshire Daily'!F8-'Hampshire Daily'!F7))</f>
        <v>3038</v>
      </c>
      <c r="F5" s="4">
        <f>IF(('Hampshire Daily'!G8-'Hampshire Daily'!G7&lt;0),"0",('Hampshire Daily'!G8-'Hampshire Daily'!G7))</f>
        <v>3030</v>
      </c>
      <c r="G5" s="4">
        <f>IF(('Hampshire Daily'!H8-'Hampshire Daily'!H7&lt;0),"0",('Hampshire Daily'!H8-'Hampshire Daily'!H7))</f>
        <v>0</v>
      </c>
      <c r="H5" s="4">
        <f>IF(('Hampshire Daily'!I8-'Hampshire Daily'!I7&lt;0),"0",('Hampshire Daily'!I8-'Hampshire Daily'!I7))</f>
        <v>1939</v>
      </c>
      <c r="I5" s="4">
        <f>IF(('Hampshire Daily'!J8-'Hampshire Daily'!J7&lt;0),"0",('Hampshire Daily'!J8-'Hampshire Daily'!J7))</f>
        <v>8</v>
      </c>
      <c r="J5" s="4">
        <f>IF(('Hampshire Daily'!K8-'Hampshire Daily'!K7&lt;0),"0",('Hampshire Daily'!K8-'Hampshire Daily'!K7))</f>
        <v>2595</v>
      </c>
      <c r="K5" s="4">
        <f>IF(('Hampshire Daily'!L8-'Hampshire Daily'!L7&lt;0),"0",('Hampshire Daily'!L8-'Hampshire Daily'!L7))</f>
        <v>1256</v>
      </c>
      <c r="L5" s="4">
        <f>IF(('Hampshire Daily'!M8-'Hampshire Daily'!M7&lt;0),"0",('Hampshire Daily'!M8-'Hampshire Daily'!M7))</f>
        <v>0</v>
      </c>
      <c r="M5" s="4">
        <f>IF(('Hampshire Daily'!N8-'Hampshire Daily'!N7&lt;0),"0",('Hampshire Daily'!N8-'Hampshire Daily'!N7))</f>
        <v>2453</v>
      </c>
      <c r="N5" s="4">
        <f>IF(('Hampshire Daily'!O8-'Hampshire Daily'!O7&lt;0),"0",('Hampshire Daily'!O8-'Hampshire Daily'!O7))</f>
        <v>112</v>
      </c>
      <c r="O5" s="4">
        <f>IF(('Hampshire Daily'!P8-'Hampshire Daily'!P7&lt;0),"0",('Hampshire Daily'!P8-'Hampshire Daily'!P7))</f>
        <v>787</v>
      </c>
      <c r="P5" s="4">
        <f>IF(('Hampshire Daily'!Q8-'Hampshire Daily'!Q7&lt;0),"0",('Hampshire Daily'!Q8-'Hampshire Daily'!Q7))</f>
        <v>136</v>
      </c>
      <c r="Q5" s="4">
        <f>IF(('Hampshire Daily'!R8-'Hampshire Daily'!R7&lt;0),"0",('Hampshire Daily'!R8-'Hampshire Daily'!R7))</f>
        <v>0</v>
      </c>
      <c r="R5" s="4">
        <f>IF(('Hampshire Daily'!S8-'Hampshire Daily'!S7&lt;0),"0",('Hampshire Daily'!S8-'Hampshire Daily'!S7))</f>
        <v>58</v>
      </c>
      <c r="S5" s="4">
        <f>IF(('Hampshire Daily'!T8-'Hampshire Daily'!T7&lt;0),"0",('Hampshire Daily'!T8-'Hampshire Daily'!T7))</f>
        <v>66</v>
      </c>
      <c r="T5" s="4">
        <f>IF(('Hampshire Daily'!U8-'Hampshire Daily'!U7&lt;0),"0",('Hampshire Daily'!U8-'Hampshire Daily'!U7))</f>
        <v>12</v>
      </c>
      <c r="U5" s="4">
        <f>IF(('Hampshire Daily'!V8-'Hampshire Daily'!V7&lt;0),"0",('Hampshire Daily'!V8-'Hampshire Daily'!V7))</f>
        <v>12</v>
      </c>
      <c r="V5" s="4">
        <f>IF(('Hampshire Daily'!W8-'Hampshire Daily'!W7&lt;0),"0",('Hampshire Daily'!W8-'Hampshire Daily'!W7))</f>
        <v>4.8000000000001819E-2</v>
      </c>
      <c r="W5" s="4">
        <f>IF(('Hampshire Daily'!X8-'Hampshire Daily'!X7&lt;0),"0",('Hampshire Daily'!X8-'Hampshire Daily'!X7))</f>
        <v>8.6999999999989086E-2</v>
      </c>
      <c r="X5" s="4">
        <f>IF(('Hampshire Daily'!Y8-'Hampshire Daily'!Y7&lt;0),"0",('Hampshire Daily'!Y8-'Hampshire Daily'!Y7))</f>
        <v>1.9999999999527063E-3</v>
      </c>
      <c r="Y5" s="4">
        <f>'Hampshire Daily'!B8</f>
        <v>83</v>
      </c>
      <c r="Z5" s="4">
        <f>'Hampshire Daily'!C8</f>
        <v>168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Daily'!F9-'Hampshire Daily'!F8&lt;0),"0",('Hampshire Daily'!F9-'Hampshire Daily'!F8))</f>
        <v>2962</v>
      </c>
      <c r="F6" s="4">
        <f>IF(('Hampshire Daily'!G9-'Hampshire Daily'!G8&lt;0),"0",('Hampshire Daily'!G9-'Hampshire Daily'!G8))</f>
        <v>2965</v>
      </c>
      <c r="G6" s="4">
        <f>IF(('Hampshire Daily'!H9-'Hampshire Daily'!H8&lt;0),"0",('Hampshire Daily'!H9-'Hampshire Daily'!H8))</f>
        <v>0</v>
      </c>
      <c r="H6" s="4">
        <f>IF(('Hampshire Daily'!I9-'Hampshire Daily'!I8&lt;0),"0",('Hampshire Daily'!I9-'Hampshire Daily'!I8))</f>
        <v>1939</v>
      </c>
      <c r="I6" s="4">
        <f>IF(('Hampshire Daily'!J9-'Hampshire Daily'!J8&lt;0),"0",('Hampshire Daily'!J9-'Hampshire Daily'!J8))</f>
        <v>8</v>
      </c>
      <c r="J6" s="4">
        <f>IF(('Hampshire Daily'!K9-'Hampshire Daily'!K8&lt;0),"0",('Hampshire Daily'!K9-'Hampshire Daily'!K8))</f>
        <v>2595</v>
      </c>
      <c r="K6" s="4">
        <f>IF(('Hampshire Daily'!L9-'Hampshire Daily'!L8&lt;0),"0",('Hampshire Daily'!L9-'Hampshire Daily'!L8))</f>
        <v>1092</v>
      </c>
      <c r="L6" s="4">
        <f>IF(('Hampshire Daily'!M9-'Hampshire Daily'!M8&lt;0),"0",('Hampshire Daily'!M9-'Hampshire Daily'!M8))</f>
        <v>1</v>
      </c>
      <c r="M6" s="4">
        <f>IF(('Hampshire Daily'!N9-'Hampshire Daily'!N8&lt;0),"0",('Hampshire Daily'!N9-'Hampshire Daily'!N8))</f>
        <v>2508</v>
      </c>
      <c r="N6" s="4">
        <f>IF(('Hampshire Daily'!O9-'Hampshire Daily'!O8&lt;0),"0",('Hampshire Daily'!O9-'Hampshire Daily'!O8))</f>
        <v>96</v>
      </c>
      <c r="O6" s="4">
        <f>IF(('Hampshire Daily'!P9-'Hampshire Daily'!P8&lt;0),"0",('Hampshire Daily'!P9-'Hampshire Daily'!P8))</f>
        <v>807</v>
      </c>
      <c r="P6" s="4">
        <f>IF(('Hampshire Daily'!Q9-'Hampshire Daily'!Q8&lt;0),"0",('Hampshire Daily'!Q9-'Hampshire Daily'!Q8))</f>
        <v>173</v>
      </c>
      <c r="Q6" s="4">
        <f>IF(('Hampshire Daily'!R9-'Hampshire Daily'!R8&lt;0),"0",('Hampshire Daily'!R9-'Hampshire Daily'!R8))</f>
        <v>0</v>
      </c>
      <c r="R6" s="4">
        <f>IF(('Hampshire Daily'!S9-'Hampshire Daily'!S8&lt;0),"0",('Hampshire Daily'!S9-'Hampshire Daily'!S8))</f>
        <v>60</v>
      </c>
      <c r="S6" s="4">
        <f>IF(('Hampshire Daily'!T9-'Hampshire Daily'!T8&lt;0),"0",('Hampshire Daily'!T9-'Hampshire Daily'!T8))</f>
        <v>65</v>
      </c>
      <c r="T6" s="4">
        <f>IF(('Hampshire Daily'!U9-'Hampshire Daily'!U8&lt;0),"0",('Hampshire Daily'!U9-'Hampshire Daily'!U8))</f>
        <v>10</v>
      </c>
      <c r="U6" s="4">
        <f>IF(('Hampshire Daily'!V9-'Hampshire Daily'!V8&lt;0),"0",('Hampshire Daily'!V9-'Hampshire Daily'!V8))</f>
        <v>0</v>
      </c>
      <c r="V6" s="4">
        <f>IF(('Hampshire Daily'!W9-'Hampshire Daily'!W8&lt;0),"0",('Hampshire Daily'!W9-'Hampshire Daily'!W8))</f>
        <v>0</v>
      </c>
      <c r="W6" s="4">
        <f>IF(('Hampshire Daily'!X9-'Hampshire Daily'!X8&lt;0),"0",('Hampshire Daily'!X9-'Hampshire Daily'!X8))</f>
        <v>7.5999999999908141E-2</v>
      </c>
      <c r="X6" s="4">
        <f>IF(('Hampshire Daily'!Y9-'Hampshire Daily'!Y8&lt;0),"0",('Hampshire Daily'!Y9-'Hampshire Daily'!Y8))</f>
        <v>1.0000000002037268E-3</v>
      </c>
      <c r="Y6" s="4">
        <f>'Hampshire Daily'!B9</f>
        <v>7</v>
      </c>
      <c r="Z6" s="4">
        <f>'Hampshire Daily'!C9</f>
        <v>147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Daily'!F10-'Hampshire Daily'!F9&lt;0),"0",('Hampshire Daily'!F10-'Hampshire Daily'!F9))</f>
        <v>2803</v>
      </c>
      <c r="F7" s="4">
        <f>IF(('Hampshire Daily'!G10-'Hampshire Daily'!G9&lt;0),"0",('Hampshire Daily'!G10-'Hampshire Daily'!G9))</f>
        <v>2799</v>
      </c>
      <c r="G7" s="4">
        <f>IF(('Hampshire Daily'!H10-'Hampshire Daily'!H9&lt;0),"0",('Hampshire Daily'!H10-'Hampshire Daily'!H9))</f>
        <v>4</v>
      </c>
      <c r="H7" s="4">
        <f>IF(('Hampshire Daily'!I10-'Hampshire Daily'!I9&lt;0),"0",('Hampshire Daily'!I10-'Hampshire Daily'!I9))</f>
        <v>1939</v>
      </c>
      <c r="I7" s="4">
        <f>IF(('Hampshire Daily'!J10-'Hampshire Daily'!J9&lt;0),"0",('Hampshire Daily'!J10-'Hampshire Daily'!J9))</f>
        <v>8</v>
      </c>
      <c r="J7" s="4">
        <f>IF(('Hampshire Daily'!K10-'Hampshire Daily'!K9&lt;0),"0",('Hampshire Daily'!K10-'Hampshire Daily'!K9))</f>
        <v>2595</v>
      </c>
      <c r="K7" s="4">
        <f>IF(('Hampshire Daily'!L10-'Hampshire Daily'!L9&lt;0),"0",('Hampshire Daily'!L10-'Hampshire Daily'!L9))</f>
        <v>1195</v>
      </c>
      <c r="L7" s="4">
        <f>IF(('Hampshire Daily'!M10-'Hampshire Daily'!M9&lt;0),"0",('Hampshire Daily'!M10-'Hampshire Daily'!M9))</f>
        <v>12</v>
      </c>
      <c r="M7" s="4">
        <f>IF(('Hampshire Daily'!N10-'Hampshire Daily'!N9&lt;0),"0",('Hampshire Daily'!N10-'Hampshire Daily'!N9))</f>
        <v>2465</v>
      </c>
      <c r="N7" s="4">
        <f>IF(('Hampshire Daily'!O10-'Hampshire Daily'!O9&lt;0),"0",('Hampshire Daily'!O10-'Hampshire Daily'!O9))</f>
        <v>87</v>
      </c>
      <c r="O7" s="4">
        <f>IF(('Hampshire Daily'!P10-'Hampshire Daily'!P9&lt;0),"0",('Hampshire Daily'!P10-'Hampshire Daily'!P9))</f>
        <v>599</v>
      </c>
      <c r="P7" s="4">
        <f>IF(('Hampshire Daily'!Q10-'Hampshire Daily'!Q9&lt;0),"0",('Hampshire Daily'!Q10-'Hampshire Daily'!Q9))</f>
        <v>168</v>
      </c>
      <c r="Q7" s="4">
        <f>IF(('Hampshire Daily'!R10-'Hampshire Daily'!R9&lt;0),"0",('Hampshire Daily'!R10-'Hampshire Daily'!R9))</f>
        <v>1</v>
      </c>
      <c r="R7" s="4">
        <f>IF(('Hampshire Daily'!S10-'Hampshire Daily'!S9&lt;0),"0",('Hampshire Daily'!S10-'Hampshire Daily'!S9))</f>
        <v>58</v>
      </c>
      <c r="S7" s="4">
        <f>IF(('Hampshire Daily'!T10-'Hampshire Daily'!T9&lt;0),"0",('Hampshire Daily'!T10-'Hampshire Daily'!T9))</f>
        <v>65</v>
      </c>
      <c r="T7" s="4">
        <f>IF(('Hampshire Daily'!U10-'Hampshire Daily'!U9&lt;0),"0",('Hampshire Daily'!U10-'Hampshire Daily'!U9))</f>
        <v>10</v>
      </c>
      <c r="U7" s="4">
        <f>IF(('Hampshire Daily'!V10-'Hampshire Daily'!V9&lt;0),"0",('Hampshire Daily'!V10-'Hampshire Daily'!V9))</f>
        <v>2</v>
      </c>
      <c r="V7" s="4">
        <f>IF(('Hampshire Daily'!W10-'Hampshire Daily'!W9&lt;0),"0",('Hampshire Daily'!W10-'Hampshire Daily'!W9))</f>
        <v>3.5000000000025011E-2</v>
      </c>
      <c r="W7" s="4">
        <f>IF(('Hampshire Daily'!X10-'Hampshire Daily'!X9&lt;0),"0",('Hampshire Daily'!X10-'Hampshire Daily'!X9))</f>
        <v>0.10099999999999909</v>
      </c>
      <c r="X7" s="4">
        <f>IF(('Hampshire Daily'!Y10-'Hampshire Daily'!Y9&lt;0),"0",('Hampshire Daily'!Y10-'Hampshire Daily'!Y9))</f>
        <v>9.9999999974897946E-4</v>
      </c>
      <c r="Y7" s="4">
        <f>'Hampshire Daily'!B10</f>
        <v>13</v>
      </c>
      <c r="Z7" s="4">
        <f>'Hampshire Daily'!C10</f>
        <v>36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Daily'!F11-'Hampshire Daily'!F10&lt;0),"0",('Hampshire Daily'!F11-'Hampshire Daily'!F10))</f>
        <v>4422</v>
      </c>
      <c r="F8" s="4">
        <f>IF(('Hampshire Daily'!G11-'Hampshire Daily'!G10&lt;0),"0",('Hampshire Daily'!G11-'Hampshire Daily'!G10))</f>
        <v>4419</v>
      </c>
      <c r="G8" s="4">
        <f>IF(('Hampshire Daily'!H11-'Hampshire Daily'!H10&lt;0),"0",('Hampshire Daily'!H11-'Hampshire Daily'!H10))</f>
        <v>586</v>
      </c>
      <c r="H8" s="4">
        <f>IF(('Hampshire Daily'!I11-'Hampshire Daily'!I10&lt;0),"0",('Hampshire Daily'!I11-'Hampshire Daily'!I10))</f>
        <v>1939</v>
      </c>
      <c r="I8" s="4">
        <f>IF(('Hampshire Daily'!J11-'Hampshire Daily'!J10&lt;0),"0",('Hampshire Daily'!J11-'Hampshire Daily'!J10))</f>
        <v>8</v>
      </c>
      <c r="J8" s="4">
        <f>IF(('Hampshire Daily'!K11-'Hampshire Daily'!K10&lt;0),"0",('Hampshire Daily'!K11-'Hampshire Daily'!K10))</f>
        <v>2595</v>
      </c>
      <c r="K8" s="4">
        <f>IF(('Hampshire Daily'!L11-'Hampshire Daily'!L10&lt;0),"0",('Hampshire Daily'!L11-'Hampshire Daily'!L10))</f>
        <v>1060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1778</v>
      </c>
      <c r="N8" s="4">
        <f>IF(('Hampshire Daily'!O11-'Hampshire Daily'!O10&lt;0),"0",('Hampshire Daily'!O11-'Hampshire Daily'!O10))</f>
        <v>73</v>
      </c>
      <c r="O8" s="4">
        <f>IF(('Hampshire Daily'!P11-'Hampshire Daily'!P10&lt;0),"0",('Hampshire Daily'!P11-'Hampshire Daily'!P10))</f>
        <v>4</v>
      </c>
      <c r="P8" s="4">
        <f>IF(('Hampshire Daily'!Q11-'Hampshire Daily'!Q10&lt;0),"0",('Hampshire Daily'!Q11-'Hampshire Daily'!Q10))</f>
        <v>267</v>
      </c>
      <c r="Q8" s="4">
        <f>IF(('Hampshire Daily'!R11-'Hampshire Daily'!R10&lt;0),"0",('Hampshire Daily'!R11-'Hampshire Daily'!R10))</f>
        <v>4</v>
      </c>
      <c r="R8" s="4">
        <f>IF(('Hampshire Daily'!S11-'Hampshire Daily'!S10&lt;0),"0",('Hampshire Daily'!S11-'Hampshire Daily'!S10))</f>
        <v>36</v>
      </c>
      <c r="S8" s="4">
        <f>IF(('Hampshire Daily'!T11-'Hampshire Daily'!T10&lt;0),"0",('Hampshire Daily'!T11-'Hampshire Daily'!T10))</f>
        <v>46</v>
      </c>
      <c r="T8" s="4">
        <f>IF(('Hampshire Daily'!U11-'Hampshire Daily'!U10&lt;0),"0",('Hampshire Daily'!U11-'Hampshire Daily'!U10))</f>
        <v>8</v>
      </c>
      <c r="U8" s="4">
        <f>IF(('Hampshire Daily'!V11-'Hampshire Daily'!V10&lt;0),"0",('Hampshire Daily'!V11-'Hampshire Daily'!V10))</f>
        <v>1</v>
      </c>
      <c r="V8" s="4">
        <f>IF(('Hampshire Daily'!W11-'Hampshire Daily'!W10&lt;0),"0",('Hampshire Daily'!W11-'Hampshire Daily'!W10))</f>
        <v>0</v>
      </c>
      <c r="W8" s="4">
        <f>IF(('Hampshire Daily'!X11-'Hampshire Daily'!X10&lt;0),"0",('Hampshire Daily'!X11-'Hampshire Daily'!X10))</f>
        <v>0.15200000000004366</v>
      </c>
      <c r="X8" s="4">
        <f>IF(('Hampshire Daily'!Y11-'Hampshire Daily'!Y10&lt;0),"0",('Hampshire Daily'!Y11-'Hampshire Daily'!Y10))</f>
        <v>1.0000000002037268E-3</v>
      </c>
      <c r="Y8" s="4">
        <f>'Hampshire Daily'!B11</f>
        <v>52</v>
      </c>
      <c r="Z8" s="4">
        <f>'Hampshire Daily'!C11</f>
        <v>91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Daily'!F12-'Hampshire Daily'!F11&lt;0),"0",('Hampshire Daily'!F12-'Hampshire Daily'!F11))</f>
        <v>5060</v>
      </c>
      <c r="F9" s="4">
        <f>IF(('Hampshire Daily'!G12-'Hampshire Daily'!G11&lt;0),"0",('Hampshire Daily'!G12-'Hampshire Daily'!G11))</f>
        <v>5054</v>
      </c>
      <c r="G9" s="4">
        <f>IF(('Hampshire Daily'!H12-'Hampshire Daily'!H11&lt;0),"0",('Hampshire Daily'!H12-'Hampshire Daily'!H11))</f>
        <v>728</v>
      </c>
      <c r="H9" s="4">
        <f>IF(('Hampshire Daily'!I12-'Hampshire Daily'!I11&lt;0),"0",('Hampshire Daily'!I12-'Hampshire Daily'!I11))</f>
        <v>1939</v>
      </c>
      <c r="I9" s="4">
        <f>IF(('Hampshire Daily'!J12-'Hampshire Daily'!J11&lt;0),"0",('Hampshire Daily'!J12-'Hampshire Daily'!J11))</f>
        <v>8</v>
      </c>
      <c r="J9" s="4">
        <f>IF(('Hampshire Daily'!K12-'Hampshire Daily'!K11&lt;0),"0",('Hampshire Daily'!K12-'Hampshire Daily'!K11))</f>
        <v>2595</v>
      </c>
      <c r="K9" s="4">
        <f>IF(('Hampshire Daily'!L12-'Hampshire Daily'!L11&lt;0),"0",('Hampshire Daily'!L12-'Hampshire Daily'!L11))</f>
        <v>1204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1547</v>
      </c>
      <c r="N9" s="4">
        <f>IF(('Hampshire Daily'!O12-'Hampshire Daily'!O11&lt;0),"0",('Hampshire Daily'!O12-'Hampshire Daily'!O11))</f>
        <v>67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411</v>
      </c>
      <c r="Q9" s="4">
        <f>IF(('Hampshire Daily'!R12-'Hampshire Daily'!R11&lt;0),"0",('Hampshire Daily'!R12-'Hampshire Daily'!R11))</f>
        <v>5</v>
      </c>
      <c r="R9" s="4">
        <f>IF(('Hampshire Daily'!S12-'Hampshire Daily'!S11&lt;0),"0",('Hampshire Daily'!S12-'Hampshire Daily'!S11))</f>
        <v>39</v>
      </c>
      <c r="S9" s="4">
        <f>IF(('Hampshire Daily'!T12-'Hampshire Daily'!T11&lt;0),"0",('Hampshire Daily'!T12-'Hampshire Daily'!T11))</f>
        <v>44</v>
      </c>
      <c r="T9" s="4">
        <f>IF(('Hampshire Daily'!U12-'Hampshire Daily'!U11&lt;0),"0",('Hampshire Daily'!U12-'Hampshire Daily'!U11))</f>
        <v>9</v>
      </c>
      <c r="U9" s="4">
        <f>IF(('Hampshire Daily'!V12-'Hampshire Daily'!V11&lt;0),"0",('Hampshire Daily'!V12-'Hampshire Daily'!V11))</f>
        <v>1</v>
      </c>
      <c r="V9" s="4">
        <f>IF(('Hampshire Daily'!W12-'Hampshire Daily'!W11&lt;0),"0",('Hampshire Daily'!W12-'Hampshire Daily'!W11))</f>
        <v>6.2000000000011823E-2</v>
      </c>
      <c r="W9" s="4">
        <f>IF(('Hampshire Daily'!X12-'Hampshire Daily'!X11&lt;0),"0",('Hampshire Daily'!X12-'Hampshire Daily'!X11))</f>
        <v>9.9000000000046384E-2</v>
      </c>
      <c r="X9" s="4">
        <f>IF(('Hampshire Daily'!Y12-'Hampshire Daily'!Y11&lt;0),"0",('Hampshire Daily'!Y12-'Hampshire Daily'!Y11))</f>
        <v>1.9999999999527063E-3</v>
      </c>
      <c r="Y9" s="4">
        <f>'Hampshire Daily'!B12</f>
        <v>37</v>
      </c>
      <c r="Z9" s="4">
        <f>'Hampshire Daily'!C12</f>
        <v>135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Daily'!F13-'Hampshire Daily'!F12&lt;0),"0",('Hampshire Daily'!F13-'Hampshire Daily'!F12))</f>
        <v>5116</v>
      </c>
      <c r="F10" s="4">
        <f>IF(('Hampshire Daily'!G13-'Hampshire Daily'!G12&lt;0),"0",('Hampshire Daily'!G13-'Hampshire Daily'!G12))</f>
        <v>5111</v>
      </c>
      <c r="G10" s="4">
        <f>IF(('Hampshire Daily'!H13-'Hampshire Daily'!H12&lt;0),"0",('Hampshire Daily'!H13-'Hampshire Daily'!H12))</f>
        <v>743</v>
      </c>
      <c r="H10" s="4">
        <f>IF(('Hampshire Daily'!I13-'Hampshire Daily'!I12&lt;0),"0",('Hampshire Daily'!I13-'Hampshire Daily'!I12))</f>
        <v>1939</v>
      </c>
      <c r="I10" s="4">
        <f>IF(('Hampshire Daily'!J13-'Hampshire Daily'!J12&lt;0),"0",('Hampshire Daily'!J13-'Hampshire Daily'!J12))</f>
        <v>8</v>
      </c>
      <c r="J10" s="4">
        <f>IF(('Hampshire Daily'!K13-'Hampshire Daily'!K12&lt;0),"0",('Hampshire Daily'!K13-'Hampshire Daily'!K12))</f>
        <v>2595</v>
      </c>
      <c r="K10" s="4">
        <f>IF(('Hampshire Daily'!L13-'Hampshire Daily'!L12&lt;0),"0",('Hampshire Daily'!L13-'Hampshire Daily'!L12))</f>
        <v>1256</v>
      </c>
      <c r="L10" s="4">
        <f>IF(('Hampshire Daily'!M13-'Hampshire Daily'!M12&lt;0),"0",('Hampshire Daily'!M13-'Hampshire Daily'!M12))</f>
        <v>1</v>
      </c>
      <c r="M10" s="4">
        <f>IF(('Hampshire Daily'!N13-'Hampshire Daily'!N12&lt;0),"0",('Hampshire Daily'!N13-'Hampshire Daily'!N12))</f>
        <v>1662</v>
      </c>
      <c r="N10" s="4">
        <f>IF(('Hampshire Daily'!O13-'Hampshire Daily'!O12&lt;0),"0",('Hampshire Daily'!O13-'Hampshire Daily'!O12))</f>
        <v>84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410</v>
      </c>
      <c r="Q10" s="4">
        <f>IF(('Hampshire Daily'!R13-'Hampshire Daily'!R12&lt;0),"0",('Hampshire Daily'!R13-'Hampshire Daily'!R12))</f>
        <v>4</v>
      </c>
      <c r="R10" s="4">
        <f>IF(('Hampshire Daily'!S13-'Hampshire Daily'!S12&lt;0),"0",('Hampshire Daily'!S13-'Hampshire Daily'!S12))</f>
        <v>46</v>
      </c>
      <c r="S10" s="4">
        <f>IF(('Hampshire Daily'!T13-'Hampshire Daily'!T12&lt;0),"0",('Hampshire Daily'!T13-'Hampshire Daily'!T12))</f>
        <v>52</v>
      </c>
      <c r="T10" s="4">
        <f>IF(('Hampshire Daily'!U13-'Hampshire Daily'!U12&lt;0),"0",('Hampshire Daily'!U13-'Hampshire Daily'!U12))</f>
        <v>9</v>
      </c>
      <c r="U10" s="4">
        <f>IF(('Hampshire Daily'!V13-'Hampshire Daily'!V12&lt;0),"0",('Hampshire Daily'!V13-'Hampshire Daily'!V12))</f>
        <v>1</v>
      </c>
      <c r="V10" s="4">
        <f>IF(('Hampshire Daily'!W13-'Hampshire Daily'!W12&lt;0),"0",('Hampshire Daily'!W13-'Hampshire Daily'!W12))</f>
        <v>0</v>
      </c>
      <c r="W10" s="4">
        <f>IF(('Hampshire Daily'!X13-'Hampshire Daily'!X12&lt;0),"0",('Hampshire Daily'!X13-'Hampshire Daily'!X12))</f>
        <v>3.8999999999987267E-2</v>
      </c>
      <c r="X10" s="4">
        <f>IF(('Hampshire Daily'!Y13-'Hampshire Daily'!Y12&lt;0),"0",('Hampshire Daily'!Y13-'Hampshire Daily'!Y12))</f>
        <v>1.4000000000123691E-2</v>
      </c>
      <c r="Y10" s="4">
        <f>'Hampshire Daily'!B13</f>
        <v>49</v>
      </c>
      <c r="Z10" s="4">
        <f>'Hampshire Daily'!C13</f>
        <v>219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Daily'!F14-'Hampshire Daily'!F13&lt;0),"0",('Hampshire Daily'!F14-'Hampshire Daily'!F13))</f>
        <v>6853</v>
      </c>
      <c r="F11" s="4">
        <f>IF(('Hampshire Daily'!G14-'Hampshire Daily'!G13&lt;0),"0",('Hampshire Daily'!G14-'Hampshire Daily'!G13))</f>
        <v>6846</v>
      </c>
      <c r="G11" s="4">
        <f>IF(('Hampshire Daily'!H14-'Hampshire Daily'!H13&lt;0),"0",('Hampshire Daily'!H14-'Hampshire Daily'!H13))</f>
        <v>759</v>
      </c>
      <c r="H11" s="4">
        <f>IF(('Hampshire Daily'!I14-'Hampshire Daily'!I13&lt;0),"0",('Hampshire Daily'!I14-'Hampshire Daily'!I13))</f>
        <v>1939</v>
      </c>
      <c r="I11" s="4">
        <f>IF(('Hampshire Daily'!J14-'Hampshire Daily'!J13&lt;0),"0",('Hampshire Daily'!J14-'Hampshire Daily'!J13))</f>
        <v>8</v>
      </c>
      <c r="J11" s="4">
        <f>IF(('Hampshire Daily'!K14-'Hampshire Daily'!K13&lt;0),"0",('Hampshire Daily'!K14-'Hampshire Daily'!K13))</f>
        <v>2595</v>
      </c>
      <c r="K11" s="4">
        <f>IF(('Hampshire Daily'!L14-'Hampshire Daily'!L13&lt;0),"0",('Hampshire Daily'!L14-'Hampshire Daily'!L13))</f>
        <v>1256</v>
      </c>
      <c r="L11" s="4">
        <f>IF(('Hampshire Daily'!M14-'Hampshire Daily'!M13&lt;0),"0",('Hampshire Daily'!M14-'Hampshire Daily'!M13))</f>
        <v>0</v>
      </c>
      <c r="M11" s="4">
        <f>IF(('Hampshire Daily'!N14-'Hampshire Daily'!N13&lt;0),"0",('Hampshire Daily'!N14-'Hampshire Daily'!N13))</f>
        <v>2201</v>
      </c>
      <c r="N11" s="4">
        <f>IF(('Hampshire Daily'!O14-'Hampshire Daily'!O13&lt;0),"0",('Hampshire Daily'!O14-'Hampshire Daily'!O13))</f>
        <v>124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250</v>
      </c>
      <c r="Q11" s="4">
        <f>IF(('Hampshire Daily'!R14-'Hampshire Daily'!R13&lt;0),"0",('Hampshire Daily'!R14-'Hampshire Daily'!R13))</f>
        <v>5</v>
      </c>
      <c r="R11" s="4">
        <f>IF(('Hampshire Daily'!S14-'Hampshire Daily'!S13&lt;0),"0",('Hampshire Daily'!S14-'Hampshire Daily'!S13))</f>
        <v>58</v>
      </c>
      <c r="S11" s="4">
        <f>IF(('Hampshire Daily'!T14-'Hampshire Daily'!T13&lt;0),"0",('Hampshire Daily'!T14-'Hampshire Daily'!T13))</f>
        <v>65</v>
      </c>
      <c r="T11" s="4">
        <f>IF(('Hampshire Daily'!U14-'Hampshire Daily'!U13&lt;0),"0",('Hampshire Daily'!U14-'Hampshire Daily'!U13))</f>
        <v>9</v>
      </c>
      <c r="U11" s="4">
        <f>IF(('Hampshire Daily'!V14-'Hampshire Daily'!V13&lt;0),"0",('Hampshire Daily'!V14-'Hampshire Daily'!V13))</f>
        <v>1</v>
      </c>
      <c r="V11" s="4">
        <f>IF(('Hampshire Daily'!W14-'Hampshire Daily'!W13&lt;0),"0",('Hampshire Daily'!W14-'Hampshire Daily'!W13))</f>
        <v>4.8999999999978172E-2</v>
      </c>
      <c r="W11" s="4">
        <f>IF(('Hampshire Daily'!X14-'Hampshire Daily'!X13&lt;0),"0",('Hampshire Daily'!X14-'Hampshire Daily'!X13))</f>
        <v>0.28199999999992542</v>
      </c>
      <c r="X11" s="4" t="str">
        <f>IF(('Hampshire Daily'!Y14-'Hampshire Daily'!Y13&lt;0),"0",('Hampshire Daily'!Y14-'Hampshire Daily'!Y13))</f>
        <v>0</v>
      </c>
      <c r="Y11" s="4">
        <f>'Hampshire Daily'!B14</f>
        <v>57</v>
      </c>
      <c r="Z11" s="4">
        <f>'Hampshire Daily'!C14</f>
        <v>171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Daily'!F15-'Hampshire Daily'!F14&lt;0),"0",('Hampshire Daily'!F15-'Hampshire Daily'!F14))</f>
        <v>3823</v>
      </c>
      <c r="F12" s="4">
        <f>IF(('Hampshire Daily'!G15-'Hampshire Daily'!G14&lt;0),"0",('Hampshire Daily'!G15-'Hampshire Daily'!G14))</f>
        <v>3819</v>
      </c>
      <c r="G12" s="4">
        <f>IF(('Hampshire Daily'!H15-'Hampshire Daily'!H14&lt;0),"0",('Hampshire Daily'!H15-'Hampshire Daily'!H14))</f>
        <v>749</v>
      </c>
      <c r="H12" s="4">
        <f>IF(('Hampshire Daily'!I15-'Hampshire Daily'!I14&lt;0),"0",('Hampshire Daily'!I15-'Hampshire Daily'!I14))</f>
        <v>1939</v>
      </c>
      <c r="I12" s="4">
        <f>IF(('Hampshire Daily'!J15-'Hampshire Daily'!J14&lt;0),"0",('Hampshire Daily'!J15-'Hampshire Daily'!J14))</f>
        <v>8</v>
      </c>
      <c r="J12" s="4">
        <f>IF(('Hampshire Daily'!K15-'Hampshire Daily'!K14&lt;0),"0",('Hampshire Daily'!K15-'Hampshire Daily'!K14))</f>
        <v>2595</v>
      </c>
      <c r="K12" s="4">
        <f>IF(('Hampshire Daily'!L15-'Hampshire Daily'!L14&lt;0),"0",('Hampshire Daily'!L15-'Hampshire Daily'!L14))</f>
        <v>1256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1328</v>
      </c>
      <c r="N12" s="4">
        <f>IF(('Hampshire Daily'!O15-'Hampshire Daily'!O14&lt;0),"0",('Hampshire Daily'!O15-'Hampshire Daily'!O14))</f>
        <v>124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147</v>
      </c>
      <c r="Q12" s="4">
        <f>IF(('Hampshire Daily'!R15-'Hampshire Daily'!R14&lt;0),"0",('Hampshire Daily'!R15-'Hampshire Daily'!R14))</f>
        <v>3</v>
      </c>
      <c r="R12" s="4">
        <f>IF(('Hampshire Daily'!S15-'Hampshire Daily'!S14&lt;0),"0",('Hampshire Daily'!S15-'Hampshire Daily'!S14))</f>
        <v>76</v>
      </c>
      <c r="S12" s="4">
        <f>IF(('Hampshire Daily'!T15-'Hampshire Daily'!T14&lt;0),"0",('Hampshire Daily'!T15-'Hampshire Daily'!T14))</f>
        <v>84</v>
      </c>
      <c r="T12" s="4">
        <f>IF(('Hampshire Daily'!U15-'Hampshire Daily'!U14&lt;0),"0",('Hampshire Daily'!U15-'Hampshire Daily'!U14))</f>
        <v>12</v>
      </c>
      <c r="U12" s="4">
        <f>IF(('Hampshire Daily'!V15-'Hampshire Daily'!V14&lt;0),"0",('Hampshire Daily'!V15-'Hampshire Daily'!V14))</f>
        <v>3</v>
      </c>
      <c r="V12" s="4">
        <f>IF(('Hampshire Daily'!W15-'Hampshire Daily'!W14&lt;0),"0",('Hampshire Daily'!W15-'Hampshire Daily'!W14))</f>
        <v>0</v>
      </c>
      <c r="W12" s="4">
        <f>IF(('Hampshire Daily'!X15-'Hampshire Daily'!X14&lt;0),"0",('Hampshire Daily'!X15-'Hampshire Daily'!X14))</f>
        <v>0.1590000000001055</v>
      </c>
      <c r="X12" s="4">
        <f>IF(('Hampshire Daily'!Y15-'Hampshire Daily'!Y14&lt;0),"0",('Hampshire Daily'!Y15-'Hampshire Daily'!Y14))</f>
        <v>1.0000000002037268E-3</v>
      </c>
      <c r="Y12" s="4">
        <f>'Hampshire Daily'!B15</f>
        <v>44</v>
      </c>
      <c r="Z12" s="4">
        <f>'Hampshire Daily'!C15</f>
        <v>128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Daily'!F16-'Hampshire Daily'!F15&lt;0),"0",('Hampshire Daily'!F16-'Hampshire Daily'!F15))</f>
        <v>5560</v>
      </c>
      <c r="F13" s="4">
        <f>IF(('Hampshire Daily'!G16-'Hampshire Daily'!G15&lt;0),"0",('Hampshire Daily'!G16-'Hampshire Daily'!G15))</f>
        <v>5554</v>
      </c>
      <c r="G13" s="4">
        <f>IF(('Hampshire Daily'!H16-'Hampshire Daily'!H15&lt;0),"0",('Hampshire Daily'!H16-'Hampshire Daily'!H15))</f>
        <v>785</v>
      </c>
      <c r="H13" s="4">
        <f>IF(('Hampshire Daily'!I16-'Hampshire Daily'!I15&lt;0),"0",('Hampshire Daily'!I16-'Hampshire Daily'!I15))</f>
        <v>1939</v>
      </c>
      <c r="I13" s="4">
        <f>IF(('Hampshire Daily'!J16-'Hampshire Daily'!J15&lt;0),"0",('Hampshire Daily'!J16-'Hampshire Daily'!J15))</f>
        <v>8</v>
      </c>
      <c r="J13" s="4">
        <f>IF(('Hampshire Daily'!K16-'Hampshire Daily'!K15&lt;0),"0",('Hampshire Daily'!K16-'Hampshire Daily'!K15))</f>
        <v>2595</v>
      </c>
      <c r="K13" s="4">
        <f>IF(('Hampshire Daily'!L16-'Hampshire Daily'!L15&lt;0),"0",('Hampshire Daily'!L16-'Hampshire Daily'!L15))</f>
        <v>1256</v>
      </c>
      <c r="L13" s="4">
        <f>IF(('Hampshire Daily'!M16-'Hampshire Daily'!M15&lt;0),"0",('Hampshire Daily'!M16-'Hampshire Daily'!M15))</f>
        <v>154</v>
      </c>
      <c r="M13" s="4">
        <f>IF(('Hampshire Daily'!N16-'Hampshire Daily'!N15&lt;0),"0",('Hampshire Daily'!N16-'Hampshire Daily'!N15))</f>
        <v>1817</v>
      </c>
      <c r="N13" s="4">
        <f>IF(('Hampshire Daily'!O16-'Hampshire Daily'!O15&lt;0),"0",('Hampshire Daily'!O16-'Hampshire Daily'!O15))</f>
        <v>113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101</v>
      </c>
      <c r="Q13" s="4">
        <f>IF(('Hampshire Daily'!R16-'Hampshire Daily'!R15&lt;0),"0",('Hampshire Daily'!R16-'Hampshire Daily'!R15))</f>
        <v>4</v>
      </c>
      <c r="R13" s="4">
        <f>IF(('Hampshire Daily'!S16-'Hampshire Daily'!S15&lt;0),"0",('Hampshire Daily'!S16-'Hampshire Daily'!S15))</f>
        <v>61</v>
      </c>
      <c r="S13" s="4">
        <f>IF(('Hampshire Daily'!T16-'Hampshire Daily'!T15&lt;0),"0",('Hampshire Daily'!T16-'Hampshire Daily'!T15))</f>
        <v>65</v>
      </c>
      <c r="T13" s="4">
        <f>IF(('Hampshire Daily'!U16-'Hampshire Daily'!U15&lt;0),"0",('Hampshire Daily'!U16-'Hampshire Daily'!U15))</f>
        <v>9</v>
      </c>
      <c r="U13" s="4">
        <f>IF(('Hampshire Daily'!V16-'Hampshire Daily'!V15&lt;0),"0",('Hampshire Daily'!V16-'Hampshire Daily'!V15))</f>
        <v>1</v>
      </c>
      <c r="V13" s="4">
        <f>IF(('Hampshire Daily'!W16-'Hampshire Daily'!W15&lt;0),"0",('Hampshire Daily'!W16-'Hampshire Daily'!W15))</f>
        <v>4.7000000000025466E-2</v>
      </c>
      <c r="W13" s="4">
        <f>IF(('Hampshire Daily'!X16-'Hampshire Daily'!X15&lt;0),"0",('Hampshire Daily'!X16-'Hampshire Daily'!X15))</f>
        <v>0.16499999999996362</v>
      </c>
      <c r="X13" s="4">
        <f>IF(('Hampshire Daily'!Y16-'Hampshire Daily'!Y15&lt;0),"0",('Hampshire Daily'!Y16-'Hampshire Daily'!Y15))</f>
        <v>3.9999999999054126E-3</v>
      </c>
      <c r="Y13" s="4">
        <f>'Hampshire Daily'!B16</f>
        <v>35</v>
      </c>
      <c r="Z13" s="4">
        <f>'Hampshire Daily'!C16</f>
        <v>60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Daily'!F17-'Hampshire Daily'!F16&lt;0),"0",('Hampshire Daily'!F17-'Hampshire Daily'!F16))</f>
        <v>2626</v>
      </c>
      <c r="F14" s="4">
        <f>IF(('Hampshire Daily'!G17-'Hampshire Daily'!G16&lt;0),"0",('Hampshire Daily'!G17-'Hampshire Daily'!G16))</f>
        <v>2626</v>
      </c>
      <c r="G14" s="4">
        <f>IF(('Hampshire Daily'!H17-'Hampshire Daily'!H16&lt;0),"0",('Hampshire Daily'!H17-'Hampshire Daily'!H16))</f>
        <v>232</v>
      </c>
      <c r="H14" s="4">
        <f>IF(('Hampshire Daily'!I17-'Hampshire Daily'!I16&lt;0),"0",('Hampshire Daily'!I17-'Hampshire Daily'!I16))</f>
        <v>1939</v>
      </c>
      <c r="I14" s="4">
        <f>IF(('Hampshire Daily'!J17-'Hampshire Daily'!J16&lt;0),"0",('Hampshire Daily'!J17-'Hampshire Daily'!J16))</f>
        <v>8</v>
      </c>
      <c r="J14" s="4">
        <f>IF(('Hampshire Daily'!K17-'Hampshire Daily'!K16&lt;0),"0",('Hampshire Daily'!K17-'Hampshire Daily'!K16))</f>
        <v>2595</v>
      </c>
      <c r="K14" s="4">
        <f>IF(('Hampshire Daily'!L17-'Hampshire Daily'!L16&lt;0),"0",('Hampshire Daily'!L17-'Hampshire Daily'!L16))</f>
        <v>1207</v>
      </c>
      <c r="L14" s="4">
        <f>IF(('Hampshire Daily'!M17-'Hampshire Daily'!M16&lt;0),"0",('Hampshire Daily'!M17-'Hampshire Daily'!M16))</f>
        <v>708</v>
      </c>
      <c r="M14" s="4">
        <f>IF(('Hampshire Daily'!N17-'Hampshire Daily'!N16&lt;0),"0",('Hampshire Daily'!N17-'Hampshire Daily'!N16))</f>
        <v>1671</v>
      </c>
      <c r="N14" s="4">
        <f>IF(('Hampshire Daily'!O17-'Hampshire Daily'!O16&lt;0),"0",('Hampshire Daily'!O17-'Hampshire Daily'!O16))</f>
        <v>72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181</v>
      </c>
      <c r="Q14" s="4">
        <f>IF(('Hampshire Daily'!R17-'Hampshire Daily'!R16&lt;0),"0",('Hampshire Daily'!R17-'Hampshire Daily'!R16))</f>
        <v>4</v>
      </c>
      <c r="R14" s="4">
        <f>IF(('Hampshire Daily'!S17-'Hampshire Daily'!S16&lt;0),"0",('Hampshire Daily'!S17-'Hampshire Daily'!S16))</f>
        <v>30</v>
      </c>
      <c r="S14" s="4">
        <f>IF(('Hampshire Daily'!T17-'Hampshire Daily'!T16&lt;0),"0",('Hampshire Daily'!T17-'Hampshire Daily'!T16))</f>
        <v>47</v>
      </c>
      <c r="T14" s="4">
        <f>IF(('Hampshire Daily'!U17-'Hampshire Daily'!U16&lt;0),"0",('Hampshire Daily'!U17-'Hampshire Daily'!U16))</f>
        <v>10</v>
      </c>
      <c r="U14" s="4">
        <f>IF(('Hampshire Daily'!V17-'Hampshire Daily'!V16&lt;0),"0",('Hampshire Daily'!V17-'Hampshire Daily'!V16))</f>
        <v>1</v>
      </c>
      <c r="V14" s="4">
        <f>IF(('Hampshire Daily'!W17-'Hampshire Daily'!W16&lt;0),"0",('Hampshire Daily'!W17-'Hampshire Daily'!W16))</f>
        <v>0</v>
      </c>
      <c r="W14" s="4">
        <f>IF(('Hampshire Daily'!X17-'Hampshire Daily'!X16&lt;0),"0",('Hampshire Daily'!X17-'Hampshire Daily'!X16))</f>
        <v>0.10900000000003729</v>
      </c>
      <c r="X14" s="4">
        <f>IF(('Hampshire Daily'!Y17-'Hampshire Daily'!Y16&lt;0),"0",('Hampshire Daily'!Y17-'Hampshire Daily'!Y16))</f>
        <v>9.9999999974897946E-4</v>
      </c>
      <c r="Y14" s="4">
        <f>'Hampshire Daily'!B17</f>
        <v>102</v>
      </c>
      <c r="Z14" s="4">
        <f>'Hampshire Daily'!C17</f>
        <v>130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Daily'!F18-'Hampshire Daily'!F17&lt;0),"0",('Hampshire Daily'!F18-'Hampshire Daily'!F17))</f>
        <v>2632</v>
      </c>
      <c r="F15" s="4">
        <f>IF(('Hampshire Daily'!G18-'Hampshire Daily'!G17&lt;0),"0",('Hampshire Daily'!G18-'Hampshire Daily'!G17))</f>
        <v>2626</v>
      </c>
      <c r="G15" s="4">
        <f>IF(('Hampshire Daily'!H18-'Hampshire Daily'!H17&lt;0),"0",('Hampshire Daily'!H18-'Hampshire Daily'!H17))</f>
        <v>329</v>
      </c>
      <c r="H15" s="4">
        <f>IF(('Hampshire Daily'!I18-'Hampshire Daily'!I17&lt;0),"0",('Hampshire Daily'!I18-'Hampshire Daily'!I17))</f>
        <v>1939</v>
      </c>
      <c r="I15" s="4">
        <f>IF(('Hampshire Daily'!J18-'Hampshire Daily'!J17&lt;0),"0",('Hampshire Daily'!J18-'Hampshire Daily'!J17))</f>
        <v>8</v>
      </c>
      <c r="J15" s="4">
        <f>IF(('Hampshire Daily'!K18-'Hampshire Daily'!K17&lt;0),"0",('Hampshire Daily'!K18-'Hampshire Daily'!K17))</f>
        <v>2595</v>
      </c>
      <c r="K15" s="4">
        <f>IF(('Hampshire Daily'!L18-'Hampshire Daily'!L17&lt;0),"0",('Hampshire Daily'!L18-'Hampshire Daily'!L17))</f>
        <v>1256</v>
      </c>
      <c r="L15" s="4">
        <f>IF(('Hampshire Daily'!M18-'Hampshire Daily'!M17&lt;0),"0",('Hampshire Daily'!M18-'Hampshire Daily'!M17))</f>
        <v>670</v>
      </c>
      <c r="M15" s="4">
        <f>IF(('Hampshire Daily'!N18-'Hampshire Daily'!N17&lt;0),"0",('Hampshire Daily'!N18-'Hampshire Daily'!N17))</f>
        <v>1568</v>
      </c>
      <c r="N15" s="4">
        <f>IF(('Hampshire Daily'!O18-'Hampshire Daily'!O17&lt;0),"0",('Hampshire Daily'!O18-'Hampshire Daily'!O17))</f>
        <v>0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221</v>
      </c>
      <c r="Q15" s="4">
        <f>IF(('Hampshire Daily'!R18-'Hampshire Daily'!R17&lt;0),"0",('Hampshire Daily'!R18-'Hampshire Daily'!R17))</f>
        <v>4</v>
      </c>
      <c r="R15" s="4">
        <f>IF(('Hampshire Daily'!S18-'Hampshire Daily'!S17&lt;0),"0",('Hampshire Daily'!S18-'Hampshire Daily'!S17))</f>
        <v>50</v>
      </c>
      <c r="S15" s="4">
        <f>IF(('Hampshire Daily'!T18-'Hampshire Daily'!T17&lt;0),"0",('Hampshire Daily'!T18-'Hampshire Daily'!T17))</f>
        <v>56</v>
      </c>
      <c r="T15" s="4">
        <f>IF(('Hampshire Daily'!U18-'Hampshire Daily'!U17&lt;0),"0",('Hampshire Daily'!U18-'Hampshire Daily'!U17))</f>
        <v>10</v>
      </c>
      <c r="U15" s="4">
        <f>IF(('Hampshire Daily'!V18-'Hampshire Daily'!V17&lt;0),"0",('Hampshire Daily'!V18-'Hampshire Daily'!V17))</f>
        <v>1</v>
      </c>
      <c r="V15" s="4">
        <f>IF(('Hampshire Daily'!W18-'Hampshire Daily'!W17&lt;0),"0",('Hampshire Daily'!W18-'Hampshire Daily'!W17))</f>
        <v>0</v>
      </c>
      <c r="W15" s="4">
        <f>IF(('Hampshire Daily'!X18-'Hampshire Daily'!X17&lt;0),"0",('Hampshire Daily'!X18-'Hampshire Daily'!X17))</f>
        <v>0</v>
      </c>
      <c r="X15" s="4">
        <f>IF(('Hampshire Daily'!Y18-'Hampshire Daily'!Y17&lt;0),"0",('Hampshire Daily'!Y18-'Hampshire Daily'!Y17))</f>
        <v>0</v>
      </c>
      <c r="Y15" s="4">
        <f>'Hampshire Daily'!B18</f>
        <v>73</v>
      </c>
      <c r="Z15" s="4">
        <f>'Hampshire Daily'!C18</f>
        <v>116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Daily'!F19-'Hampshire Daily'!F18&lt;0),"0",('Hampshire Daily'!F19-'Hampshire Daily'!F18))</f>
        <v>3465</v>
      </c>
      <c r="F16" s="4">
        <f>IF(('Hampshire Daily'!G19-'Hampshire Daily'!G18&lt;0),"0",('Hampshire Daily'!G19-'Hampshire Daily'!G18))</f>
        <v>3462</v>
      </c>
      <c r="G16" s="4">
        <f>IF(('Hampshire Daily'!H19-'Hampshire Daily'!H18&lt;0),"0",('Hampshire Daily'!H19-'Hampshire Daily'!H18))</f>
        <v>330</v>
      </c>
      <c r="H16" s="4">
        <f>IF(('Hampshire Daily'!I19-'Hampshire Daily'!I18&lt;0),"0",('Hampshire Daily'!I19-'Hampshire Daily'!I18))</f>
        <v>1939</v>
      </c>
      <c r="I16" s="4">
        <f>IF(('Hampshire Daily'!J19-'Hampshire Daily'!J18&lt;0),"0",('Hampshire Daily'!J19-'Hampshire Daily'!J18))</f>
        <v>8</v>
      </c>
      <c r="J16" s="4">
        <f>IF(('Hampshire Daily'!K19-'Hampshire Daily'!K18&lt;0),"0",('Hampshire Daily'!K19-'Hampshire Daily'!K18))</f>
        <v>2595</v>
      </c>
      <c r="K16" s="4">
        <f>IF(('Hampshire Daily'!L19-'Hampshire Daily'!L18&lt;0),"0",('Hampshire Daily'!L19-'Hampshire Daily'!L18))</f>
        <v>1256</v>
      </c>
      <c r="L16" s="4">
        <f>IF(('Hampshire Daily'!M19-'Hampshire Daily'!M18&lt;0),"0",('Hampshire Daily'!M19-'Hampshire Daily'!M18))</f>
        <v>711</v>
      </c>
      <c r="M16" s="4">
        <f>IF(('Hampshire Daily'!N19-'Hampshire Daily'!N18&lt;0),"0",('Hampshire Daily'!N19-'Hampshire Daily'!N18))</f>
        <v>1423</v>
      </c>
      <c r="N16" s="4">
        <f>IF(('Hampshire Daily'!O19-'Hampshire Daily'!O18&lt;0),"0",('Hampshire Daily'!O19-'Hampshire Daily'!O18))</f>
        <v>161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138</v>
      </c>
      <c r="Q16" s="4">
        <f>IF(('Hampshire Daily'!R19-'Hampshire Daily'!R18&lt;0),"0",('Hampshire Daily'!R19-'Hampshire Daily'!R18))</f>
        <v>5</v>
      </c>
      <c r="R16" s="4">
        <f>IF(('Hampshire Daily'!S19-'Hampshire Daily'!S18&lt;0),"0",('Hampshire Daily'!S19-'Hampshire Daily'!S18))</f>
        <v>46</v>
      </c>
      <c r="S16" s="4">
        <f>IF(('Hampshire Daily'!T19-'Hampshire Daily'!T18&lt;0),"0",('Hampshire Daily'!T19-'Hampshire Daily'!T18))</f>
        <v>59</v>
      </c>
      <c r="T16" s="4">
        <f>IF(('Hampshire Daily'!U19-'Hampshire Daily'!U18&lt;0),"0",('Hampshire Daily'!U19-'Hampshire Daily'!U18))</f>
        <v>10</v>
      </c>
      <c r="U16" s="4">
        <f>IF(('Hampshire Daily'!V19-'Hampshire Daily'!V18&lt;0),"0",('Hampshire Daily'!V19-'Hampshire Daily'!V18))</f>
        <v>2</v>
      </c>
      <c r="V16" s="4">
        <f>IF(('Hampshire Daily'!W19-'Hampshire Daily'!W18&lt;0),"0",('Hampshire Daily'!W19-'Hampshire Daily'!W18))</f>
        <v>0</v>
      </c>
      <c r="W16" s="4">
        <f>IF(('Hampshire Daily'!X19-'Hampshire Daily'!X18&lt;0),"0",('Hampshire Daily'!X19-'Hampshire Daily'!X18))</f>
        <v>0.625</v>
      </c>
      <c r="X16" s="4">
        <f>IF(('Hampshire Daily'!Y19-'Hampshire Daily'!Y18&lt;0),"0",('Hampshire Daily'!Y19-'Hampshire Daily'!Y18))</f>
        <v>1.9999999999527063E-3</v>
      </c>
      <c r="Y16" s="4">
        <f>'Hampshire Daily'!B19</f>
        <v>123</v>
      </c>
      <c r="Z16" s="4">
        <f>'Hampshire Daily'!C19</f>
        <v>259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Daily'!F20-'Hampshire Daily'!F19&lt;0),"0",('Hampshire Daily'!F20-'Hampshire Daily'!F19))</f>
        <v>2141</v>
      </c>
      <c r="F17" s="4">
        <f>IF(('Hampshire Daily'!G20-'Hampshire Daily'!G19&lt;0),"0",('Hampshire Daily'!G20-'Hampshire Daily'!G19))</f>
        <v>2139</v>
      </c>
      <c r="G17" s="4">
        <f>IF(('Hampshire Daily'!H20-'Hampshire Daily'!H19&lt;0),"0",('Hampshire Daily'!H20-'Hampshire Daily'!H19))</f>
        <v>70</v>
      </c>
      <c r="H17" s="4">
        <f>IF(('Hampshire Daily'!I20-'Hampshire Daily'!I19&lt;0),"0",('Hampshire Daily'!I20-'Hampshire Daily'!I19))</f>
        <v>1939</v>
      </c>
      <c r="I17" s="4">
        <f>IF(('Hampshire Daily'!J20-'Hampshire Daily'!J19&lt;0),"0",('Hampshire Daily'!J20-'Hampshire Daily'!J19))</f>
        <v>8</v>
      </c>
      <c r="J17" s="4">
        <f>IF(('Hampshire Daily'!K20-'Hampshire Daily'!K19&lt;0),"0",('Hampshire Daily'!K20-'Hampshire Daily'!K19))</f>
        <v>2595</v>
      </c>
      <c r="K17" s="4">
        <f>IF(('Hampshire Daily'!L20-'Hampshire Daily'!L19&lt;0),"0",('Hampshire Daily'!L20-'Hampshire Daily'!L19))</f>
        <v>959</v>
      </c>
      <c r="L17" s="4">
        <f>IF(('Hampshire Daily'!M20-'Hampshire Daily'!M19&lt;0),"0",('Hampshire Daily'!M20-'Hampshire Daily'!M19))</f>
        <v>722</v>
      </c>
      <c r="M17" s="4">
        <f>IF(('Hampshire Daily'!N20-'Hampshire Daily'!N19&lt;0),"0",('Hampshire Daily'!N20-'Hampshire Daily'!N19))</f>
        <v>1867</v>
      </c>
      <c r="N17" s="4">
        <f>IF(('Hampshire Daily'!O20-'Hampshire Daily'!O19&lt;0),"0",('Hampshire Daily'!O20-'Hampshire Daily'!O19))</f>
        <v>96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228</v>
      </c>
      <c r="Q17" s="4">
        <f>IF(('Hampshire Daily'!R20-'Hampshire Daily'!R19&lt;0),"0",('Hampshire Daily'!R20-'Hampshire Daily'!R19))</f>
        <v>4</v>
      </c>
      <c r="R17" s="4">
        <f>IF(('Hampshire Daily'!S20-'Hampshire Daily'!S19&lt;0),"0",('Hampshire Daily'!S20-'Hampshire Daily'!S19))</f>
        <v>62</v>
      </c>
      <c r="S17" s="4">
        <f>IF(('Hampshire Daily'!T20-'Hampshire Daily'!T19&lt;0),"0",('Hampshire Daily'!T20-'Hampshire Daily'!T19))</f>
        <v>70</v>
      </c>
      <c r="T17" s="4">
        <f>IF(('Hampshire Daily'!U20-'Hampshire Daily'!U19&lt;0),"0",('Hampshire Daily'!U20-'Hampshire Daily'!U19))</f>
        <v>11</v>
      </c>
      <c r="U17" s="4">
        <f>IF(('Hampshire Daily'!V20-'Hampshire Daily'!V19&lt;0),"0",('Hampshire Daily'!V20-'Hampshire Daily'!V19))</f>
        <v>1</v>
      </c>
      <c r="V17" s="4">
        <f>IF(('Hampshire Daily'!W20-'Hampshire Daily'!W19&lt;0),"0",('Hampshire Daily'!W20-'Hampshire Daily'!W19))</f>
        <v>0</v>
      </c>
      <c r="W17" s="4">
        <f>IF(('Hampshire Daily'!X20-'Hampshire Daily'!X19&lt;0),"0",('Hampshire Daily'!X20-'Hampshire Daily'!X19))</f>
        <v>0.1089999999999236</v>
      </c>
      <c r="X17" s="4">
        <f>IF(('Hampshire Daily'!Y20-'Hampshire Daily'!Y19&lt;0),"0",('Hampshire Daily'!Y20-'Hampshire Daily'!Y19))</f>
        <v>1.0000000002037268E-3</v>
      </c>
      <c r="Y17" s="4">
        <f>'Hampshire Daily'!B20</f>
        <v>56</v>
      </c>
      <c r="Z17" s="4">
        <f>'Hampshire Daily'!C20</f>
        <v>232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Daily'!F21-'Hampshire Daily'!F20&lt;0),"0",('Hampshire Daily'!F21-'Hampshire Daily'!F20))</f>
        <v>4265</v>
      </c>
      <c r="F18" s="4">
        <f>IF(('Hampshire Daily'!G21-'Hampshire Daily'!G20&lt;0),"0",('Hampshire Daily'!G21-'Hampshire Daily'!G20))</f>
        <v>4261</v>
      </c>
      <c r="G18" s="4">
        <f>IF(('Hampshire Daily'!H21-'Hampshire Daily'!H20&lt;0),"0",('Hampshire Daily'!H21-'Hampshire Daily'!H20))</f>
        <v>528</v>
      </c>
      <c r="H18" s="4">
        <f>IF(('Hampshire Daily'!I21-'Hampshire Daily'!I20&lt;0),"0",('Hampshire Daily'!I21-'Hampshire Daily'!I20))</f>
        <v>1939</v>
      </c>
      <c r="I18" s="4">
        <f>IF(('Hampshire Daily'!J21-'Hampshire Daily'!J20&lt;0),"0",('Hampshire Daily'!J21-'Hampshire Daily'!J20))</f>
        <v>8</v>
      </c>
      <c r="J18" s="4">
        <f>IF(('Hampshire Daily'!K21-'Hampshire Daily'!K20&lt;0),"0",('Hampshire Daily'!K21-'Hampshire Daily'!K20))</f>
        <v>2595</v>
      </c>
      <c r="K18" s="4">
        <f>IF(('Hampshire Daily'!L21-'Hampshire Daily'!L20&lt;0),"0",('Hampshire Daily'!L21-'Hampshire Daily'!L20))</f>
        <v>1329</v>
      </c>
      <c r="L18" s="4">
        <f>IF(('Hampshire Daily'!M21-'Hampshire Daily'!M20&lt;0),"0",('Hampshire Daily'!M21-'Hampshire Daily'!M20))</f>
        <v>715</v>
      </c>
      <c r="M18" s="4">
        <f>IF(('Hampshire Daily'!N21-'Hampshire Daily'!N20&lt;0),"0",('Hampshire Daily'!N21-'Hampshire Daily'!N20))</f>
        <v>1464</v>
      </c>
      <c r="N18" s="4">
        <f>IF(('Hampshire Daily'!O21-'Hampshire Daily'!O20&lt;0),"0",('Hampshire Daily'!O21-'Hampshire Daily'!O20))</f>
        <v>105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278</v>
      </c>
      <c r="Q18" s="4">
        <f>IF(('Hampshire Daily'!R21-'Hampshire Daily'!R20&lt;0),"0",('Hampshire Daily'!R21-'Hampshire Daily'!R20))</f>
        <v>4</v>
      </c>
      <c r="R18" s="4">
        <f>IF(('Hampshire Daily'!S21-'Hampshire Daily'!S20&lt;0),"0",('Hampshire Daily'!S21-'Hampshire Daily'!S20))</f>
        <v>69</v>
      </c>
      <c r="S18" s="4">
        <f>IF(('Hampshire Daily'!T21-'Hampshire Daily'!T20&lt;0),"0",('Hampshire Daily'!T21-'Hampshire Daily'!T20))</f>
        <v>76</v>
      </c>
      <c r="T18" s="4">
        <f>IF(('Hampshire Daily'!U21-'Hampshire Daily'!U20&lt;0),"0",('Hampshire Daily'!U21-'Hampshire Daily'!U20))</f>
        <v>11</v>
      </c>
      <c r="U18" s="4">
        <f>IF(('Hampshire Daily'!V21-'Hampshire Daily'!V20&lt;0),"0",('Hampshire Daily'!V21-'Hampshire Daily'!V20))</f>
        <v>1</v>
      </c>
      <c r="V18" s="4">
        <f>IF(('Hampshire Daily'!W21-'Hampshire Daily'!W20&lt;0),"0",('Hampshire Daily'!W21-'Hampshire Daily'!W20))</f>
        <v>0</v>
      </c>
      <c r="W18" s="4">
        <f>IF(('Hampshire Daily'!X21-'Hampshire Daily'!X20&lt;0),"0",('Hampshire Daily'!X21-'Hampshire Daily'!X20))</f>
        <v>0.24000000000000909</v>
      </c>
      <c r="X18" s="4">
        <f>IF(('Hampshire Daily'!Y21-'Hampshire Daily'!Y20&lt;0),"0",('Hampshire Daily'!Y21-'Hampshire Daily'!Y20))</f>
        <v>3.0000000001564331E-3</v>
      </c>
      <c r="Y18" s="4">
        <f>'Hampshire Daily'!B21</f>
        <v>19</v>
      </c>
      <c r="Z18" s="4">
        <f>'Hampshire Daily'!C21</f>
        <v>100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Daily'!F22-'Hampshire Daily'!F21&lt;0),"0",('Hampshire Daily'!F22-'Hampshire Daily'!F21))</f>
        <v>4447</v>
      </c>
      <c r="F19" s="4">
        <f>IF(('Hampshire Daily'!G22-'Hampshire Daily'!G21&lt;0),"0",('Hampshire Daily'!G22-'Hampshire Daily'!G21))</f>
        <v>4441</v>
      </c>
      <c r="G19" s="4">
        <f>IF(('Hampshire Daily'!H22-'Hampshire Daily'!H21&lt;0),"0",('Hampshire Daily'!H22-'Hampshire Daily'!H21))</f>
        <v>614</v>
      </c>
      <c r="H19" s="4">
        <f>IF(('Hampshire Daily'!I22-'Hampshire Daily'!I21&lt;0),"0",('Hampshire Daily'!I22-'Hampshire Daily'!I21))</f>
        <v>1939</v>
      </c>
      <c r="I19" s="4">
        <f>IF(('Hampshire Daily'!J22-'Hampshire Daily'!J21&lt;0),"0",('Hampshire Daily'!J22-'Hampshire Daily'!J21))</f>
        <v>8</v>
      </c>
      <c r="J19" s="4">
        <f>IF(('Hampshire Daily'!K22-'Hampshire Daily'!K21&lt;0),"0",('Hampshire Daily'!K22-'Hampshire Daily'!K21))</f>
        <v>2595</v>
      </c>
      <c r="K19" s="4">
        <f>IF(('Hampshire Daily'!L22-'Hampshire Daily'!L21&lt;0),"0",('Hampshire Daily'!L22-'Hampshire Daily'!L21))</f>
        <v>1256</v>
      </c>
      <c r="L19" s="4">
        <f>IF(('Hampshire Daily'!M22-'Hampshire Daily'!M21&lt;0),"0",('Hampshire Daily'!M22-'Hampshire Daily'!M21))</f>
        <v>704</v>
      </c>
      <c r="M19" s="4">
        <f>IF(('Hampshire Daily'!N22-'Hampshire Daily'!N21&lt;0),"0",('Hampshire Daily'!N22-'Hampshire Daily'!N21))</f>
        <v>1452</v>
      </c>
      <c r="N19" s="4">
        <f>IF(('Hampshire Daily'!O22-'Hampshire Daily'!O21&lt;0),"0",('Hampshire Daily'!O22-'Hampshire Daily'!O21))</f>
        <v>92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227</v>
      </c>
      <c r="Q19" s="4">
        <f>IF(('Hampshire Daily'!R22-'Hampshire Daily'!R21&lt;0),"0",('Hampshire Daily'!R22-'Hampshire Daily'!R21))</f>
        <v>4</v>
      </c>
      <c r="R19" s="4">
        <f>IF(('Hampshire Daily'!S22-'Hampshire Daily'!S21&lt;0),"0",('Hampshire Daily'!S22-'Hampshire Daily'!S21))</f>
        <v>48</v>
      </c>
      <c r="S19" s="4">
        <f>IF(('Hampshire Daily'!T22-'Hampshire Daily'!T21&lt;0),"0",('Hampshire Daily'!T22-'Hampshire Daily'!T21))</f>
        <v>58</v>
      </c>
      <c r="T19" s="4">
        <f>IF(('Hampshire Daily'!U22-'Hampshire Daily'!U21&lt;0),"0",('Hampshire Daily'!U22-'Hampshire Daily'!U21))</f>
        <v>7</v>
      </c>
      <c r="U19" s="4">
        <f>IF(('Hampshire Daily'!V22-'Hampshire Daily'!V21&lt;0),"0",('Hampshire Daily'!V22-'Hampshire Daily'!V21))</f>
        <v>4</v>
      </c>
      <c r="V19" s="4">
        <f>IF(('Hampshire Daily'!W22-'Hampshire Daily'!W21&lt;0),"0",('Hampshire Daily'!W22-'Hampshire Daily'!W21))</f>
        <v>0</v>
      </c>
      <c r="W19" s="4">
        <f>IF(('Hampshire Daily'!X22-'Hampshire Daily'!X21&lt;0),"0",('Hampshire Daily'!X22-'Hampshire Daily'!X21))</f>
        <v>0.19700000000000273</v>
      </c>
      <c r="X19" s="4">
        <f>IF(('Hampshire Daily'!Y22-'Hampshire Daily'!Y21&lt;0),"0",('Hampshire Daily'!Y22-'Hampshire Daily'!Y21))</f>
        <v>0</v>
      </c>
      <c r="Y19" s="4">
        <f>'Hampshire Daily'!B22</f>
        <v>121</v>
      </c>
      <c r="Z19" s="4">
        <f>'Hampshire Daily'!C22</f>
        <v>180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Daily'!F23-'Hampshire Daily'!F22&lt;0),"0",('Hampshire Daily'!F23-'Hampshire Daily'!F22))</f>
        <v>3723</v>
      </c>
      <c r="F20" s="4">
        <f>IF(('Hampshire Daily'!G23-'Hampshire Daily'!G22&lt;0),"0",('Hampshire Daily'!G23-'Hampshire Daily'!G22))</f>
        <v>3721</v>
      </c>
      <c r="G20" s="4">
        <f>IF(('Hampshire Daily'!H23-'Hampshire Daily'!H22&lt;0),"0",('Hampshire Daily'!H23-'Hampshire Daily'!H22))</f>
        <v>445</v>
      </c>
      <c r="H20" s="4">
        <f>IF(('Hampshire Daily'!I23-'Hampshire Daily'!I22&lt;0),"0",('Hampshire Daily'!I23-'Hampshire Daily'!I22))</f>
        <v>1939</v>
      </c>
      <c r="I20" s="4">
        <f>IF(('Hampshire Daily'!J23-'Hampshire Daily'!J22&lt;0),"0",('Hampshire Daily'!J23-'Hampshire Daily'!J22))</f>
        <v>8</v>
      </c>
      <c r="J20" s="4">
        <f>IF(('Hampshire Daily'!K23-'Hampshire Daily'!K22&lt;0),"0",('Hampshire Daily'!K23-'Hampshire Daily'!K22))</f>
        <v>2595</v>
      </c>
      <c r="K20" s="4">
        <f>IF(('Hampshire Daily'!L23-'Hampshire Daily'!L22&lt;0),"0",('Hampshire Daily'!L23-'Hampshire Daily'!L22))</f>
        <v>1145</v>
      </c>
      <c r="L20" s="4">
        <f>IF(('Hampshire Daily'!M23-'Hampshire Daily'!M22&lt;0),"0",('Hampshire Daily'!M23-'Hampshire Daily'!M22))</f>
        <v>277</v>
      </c>
      <c r="M20" s="4">
        <f>IF(('Hampshire Daily'!N23-'Hampshire Daily'!N22&lt;0),"0",('Hampshire Daily'!N23-'Hampshire Daily'!N22))</f>
        <v>1720</v>
      </c>
      <c r="N20" s="4">
        <f>IF(('Hampshire Daily'!O23-'Hampshire Daily'!O22&lt;0),"0",('Hampshire Daily'!O23-'Hampshire Daily'!O22))</f>
        <v>93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482</v>
      </c>
      <c r="Q20" s="4">
        <f>IF(('Hampshire Daily'!R23-'Hampshire Daily'!R22&lt;0),"0",('Hampshire Daily'!R23-'Hampshire Daily'!R22))</f>
        <v>5</v>
      </c>
      <c r="R20" s="4">
        <f>IF(('Hampshire Daily'!S23-'Hampshire Daily'!S22&lt;0),"0",('Hampshire Daily'!S23-'Hampshire Daily'!S22))</f>
        <v>50</v>
      </c>
      <c r="S20" s="4">
        <f>IF(('Hampshire Daily'!T23-'Hampshire Daily'!T22&lt;0),"0",('Hampshire Daily'!T23-'Hampshire Daily'!T22))</f>
        <v>53</v>
      </c>
      <c r="T20" s="4">
        <f>IF(('Hampshire Daily'!U23-'Hampshire Daily'!U22&lt;0),"0",('Hampshire Daily'!U23-'Hampshire Daily'!U22))</f>
        <v>10</v>
      </c>
      <c r="U20" s="4">
        <f>IF(('Hampshire Daily'!V23-'Hampshire Daily'!V22&lt;0),"0",('Hampshire Daily'!V23-'Hampshire Daily'!V22))</f>
        <v>1</v>
      </c>
      <c r="V20" s="4">
        <f>IF(('Hampshire Daily'!W23-'Hampshire Daily'!W22&lt;0),"0",('Hampshire Daily'!W23-'Hampshire Daily'!W22))</f>
        <v>0</v>
      </c>
      <c r="W20" s="4">
        <f>IF(('Hampshire Daily'!X23-'Hampshire Daily'!X22&lt;0),"0",('Hampshire Daily'!X23-'Hampshire Daily'!X22))</f>
        <v>0.21500000000003183</v>
      </c>
      <c r="X20" s="4">
        <f>IF(('Hampshire Daily'!Y23-'Hampshire Daily'!Y22&lt;0),"0",('Hampshire Daily'!Y23-'Hampshire Daily'!Y22))</f>
        <v>1.9999999999527063E-3</v>
      </c>
      <c r="Y20" s="4">
        <f>'Hampshire Daily'!B23</f>
        <v>51</v>
      </c>
      <c r="Z20" s="4">
        <f>'Hampshire Daily'!C23</f>
        <v>121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Daily'!F24-'Hampshire Daily'!F23&lt;0),"0",('Hampshire Daily'!F24-'Hampshire Daily'!F23))</f>
        <v>3909</v>
      </c>
      <c r="F21" s="4">
        <f>IF(('Hampshire Daily'!G24-'Hampshire Daily'!G23&lt;0),"0",('Hampshire Daily'!G24-'Hampshire Daily'!G23))</f>
        <v>3905</v>
      </c>
      <c r="G21" s="4">
        <f>IF(('Hampshire Daily'!H24-'Hampshire Daily'!H23&lt;0),"0",('Hampshire Daily'!H24-'Hampshire Daily'!H23))</f>
        <v>509</v>
      </c>
      <c r="H21" s="4">
        <f>IF(('Hampshire Daily'!I24-'Hampshire Daily'!I23&lt;0),"0",('Hampshire Daily'!I24-'Hampshire Daily'!I23))</f>
        <v>1939</v>
      </c>
      <c r="I21" s="4">
        <f>IF(('Hampshire Daily'!J24-'Hampshire Daily'!J23&lt;0),"0",('Hampshire Daily'!J24-'Hampshire Daily'!J23))</f>
        <v>8</v>
      </c>
      <c r="J21" s="4">
        <f>IF(('Hampshire Daily'!K24-'Hampshire Daily'!K23&lt;0),"0",('Hampshire Daily'!K24-'Hampshire Daily'!K23))</f>
        <v>2595</v>
      </c>
      <c r="K21" s="4">
        <f>IF(('Hampshire Daily'!L24-'Hampshire Daily'!L23&lt;0),"0",('Hampshire Daily'!L24-'Hampshire Daily'!L23))</f>
        <v>1250</v>
      </c>
      <c r="L21" s="4">
        <f>IF(('Hampshire Daily'!M24-'Hampshire Daily'!M23&lt;0),"0",('Hampshire Daily'!M24-'Hampshire Daily'!M23))</f>
        <v>9</v>
      </c>
      <c r="M21" s="4">
        <f>IF(('Hampshire Daily'!N24-'Hampshire Daily'!N23&lt;0),"0",('Hampshire Daily'!N24-'Hampshire Daily'!N23))</f>
        <v>1758</v>
      </c>
      <c r="N21" s="4">
        <f>IF(('Hampshire Daily'!O24-'Hampshire Daily'!O23&lt;0),"0",('Hampshire Daily'!O24-'Hampshire Daily'!O23))</f>
        <v>81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587</v>
      </c>
      <c r="Q21" s="4">
        <f>IF(('Hampshire Daily'!R24-'Hampshire Daily'!R23&lt;0),"0",('Hampshire Daily'!R24-'Hampshire Daily'!R23))</f>
        <v>4</v>
      </c>
      <c r="R21" s="4">
        <f>IF(('Hampshire Daily'!S24-'Hampshire Daily'!S23&lt;0),"0",('Hampshire Daily'!S24-'Hampshire Daily'!S23))</f>
        <v>52</v>
      </c>
      <c r="S21" s="4">
        <f>IF(('Hampshire Daily'!T24-'Hampshire Daily'!T23&lt;0),"0",('Hampshire Daily'!T24-'Hampshire Daily'!T23))</f>
        <v>58</v>
      </c>
      <c r="T21" s="4">
        <f>IF(('Hampshire Daily'!U24-'Hampshire Daily'!U23&lt;0),"0",('Hampshire Daily'!U24-'Hampshire Daily'!U23))</f>
        <v>11</v>
      </c>
      <c r="U21" s="4">
        <f>IF(('Hampshire Daily'!V24-'Hampshire Daily'!V23&lt;0),"0",('Hampshire Daily'!V24-'Hampshire Daily'!V23))</f>
        <v>1</v>
      </c>
      <c r="V21" s="4">
        <f>IF(('Hampshire Daily'!W24-'Hampshire Daily'!W23&lt;0),"0",('Hampshire Daily'!W24-'Hampshire Daily'!W23))</f>
        <v>0</v>
      </c>
      <c r="W21" s="4">
        <f>IF(('Hampshire Daily'!X24-'Hampshire Daily'!X23&lt;0),"0",('Hampshire Daily'!X24-'Hampshire Daily'!X23))</f>
        <v>0.21799999999996089</v>
      </c>
      <c r="X21" s="4">
        <f>IF(('Hampshire Daily'!Y24-'Hampshire Daily'!Y23&lt;0),"0",('Hampshire Daily'!Y24-'Hampshire Daily'!Y23))</f>
        <v>0</v>
      </c>
      <c r="Y21" s="4">
        <f>'Hampshire Daily'!B24</f>
        <v>60</v>
      </c>
      <c r="Z21" s="4">
        <f>'Hampshire Daily'!C24</f>
        <v>195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Daily'!F25-'Hampshire Daily'!F24&lt;0),"0",('Hampshire Daily'!F25-'Hampshire Daily'!F24))</f>
        <v>4452</v>
      </c>
      <c r="F22" s="4">
        <f>IF(('Hampshire Daily'!G25-'Hampshire Daily'!G24&lt;0),"0",('Hampshire Daily'!G25-'Hampshire Daily'!G24))</f>
        <v>4446</v>
      </c>
      <c r="G22" s="4">
        <f>IF(('Hampshire Daily'!H25-'Hampshire Daily'!H24&lt;0),"0",('Hampshire Daily'!H25-'Hampshire Daily'!H24))</f>
        <v>616</v>
      </c>
      <c r="H22" s="4">
        <f>IF(('Hampshire Daily'!I25-'Hampshire Daily'!I24&lt;0),"0",('Hampshire Daily'!I25-'Hampshire Daily'!I24))</f>
        <v>1939</v>
      </c>
      <c r="I22" s="4">
        <f>IF(('Hampshire Daily'!J25-'Hampshire Daily'!J24&lt;0),"0",('Hampshire Daily'!J25-'Hampshire Daily'!J24))</f>
        <v>8</v>
      </c>
      <c r="J22" s="4">
        <f>IF(('Hampshire Daily'!K25-'Hampshire Daily'!K24&lt;0),"0",('Hampshire Daily'!K25-'Hampshire Daily'!K24))</f>
        <v>2595</v>
      </c>
      <c r="K22" s="4">
        <f>IF(('Hampshire Daily'!L25-'Hampshire Daily'!L24&lt;0),"0",('Hampshire Daily'!L25-'Hampshire Daily'!L24))</f>
        <v>1250</v>
      </c>
      <c r="L22" s="4">
        <f>IF(('Hampshire Daily'!M25-'Hampshire Daily'!M24&lt;0),"0",('Hampshire Daily'!M25-'Hampshire Daily'!M24))</f>
        <v>1</v>
      </c>
      <c r="M22" s="4">
        <f>IF(('Hampshire Daily'!N25-'Hampshire Daily'!N24&lt;0),"0",('Hampshire Daily'!N25-'Hampshire Daily'!N24))</f>
        <v>1894</v>
      </c>
      <c r="N22" s="4">
        <f>IF(('Hampshire Daily'!O25-'Hampshire Daily'!O24&lt;0),"0",('Hampshire Daily'!O25-'Hampshire Daily'!O24))</f>
        <v>84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300</v>
      </c>
      <c r="Q22" s="4">
        <f>IF(('Hampshire Daily'!R25-'Hampshire Daily'!R24&lt;0),"0",('Hampshire Daily'!R25-'Hampshire Daily'!R24))</f>
        <v>4</v>
      </c>
      <c r="R22" s="4">
        <f>IF(('Hampshire Daily'!S25-'Hampshire Daily'!S24&lt;0),"0",('Hampshire Daily'!S25-'Hampshire Daily'!S24))</f>
        <v>51</v>
      </c>
      <c r="S22" s="4">
        <f>IF(('Hampshire Daily'!T25-'Hampshire Daily'!T24&lt;0),"0",('Hampshire Daily'!T25-'Hampshire Daily'!T24))</f>
        <v>57</v>
      </c>
      <c r="T22" s="4">
        <f>IF(('Hampshire Daily'!U25-'Hampshire Daily'!U24&lt;0),"0",('Hampshire Daily'!U25-'Hampshire Daily'!U24))</f>
        <v>11</v>
      </c>
      <c r="U22" s="4">
        <f>IF(('Hampshire Daily'!V25-'Hampshire Daily'!V24&lt;0),"0",('Hampshire Daily'!V25-'Hampshire Daily'!V24))</f>
        <v>1</v>
      </c>
      <c r="V22" s="4">
        <f>IF(('Hampshire Daily'!W25-'Hampshire Daily'!W24&lt;0),"0",('Hampshire Daily'!W25-'Hampshire Daily'!W24))</f>
        <v>0</v>
      </c>
      <c r="W22" s="4">
        <f>IF(('Hampshire Daily'!X25-'Hampshire Daily'!X24&lt;0),"0",('Hampshire Daily'!X25-'Hampshire Daily'!X24))</f>
        <v>0.19000000000005457</v>
      </c>
      <c r="X22" s="4">
        <f>IF(('Hampshire Daily'!Y25-'Hampshire Daily'!Y24&lt;0),"0",('Hampshire Daily'!Y25-'Hampshire Daily'!Y24))</f>
        <v>0</v>
      </c>
      <c r="Y22" s="4">
        <f>'Hampshire Daily'!B25</f>
        <v>33</v>
      </c>
      <c r="Z22" s="4">
        <f>'Hampshire Daily'!C25</f>
        <v>203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Daily'!F26-'Hampshire Daily'!F25&lt;0),"0",('Hampshire Daily'!F26-'Hampshire Daily'!F25))</f>
        <v>1891</v>
      </c>
      <c r="F23" s="4">
        <f>IF(('Hampshire Daily'!G26-'Hampshire Daily'!G25&lt;0),"0",('Hampshire Daily'!G26-'Hampshire Daily'!G25))</f>
        <v>1889</v>
      </c>
      <c r="G23" s="4">
        <f>IF(('Hampshire Daily'!H26-'Hampshire Daily'!H25&lt;0),"0",('Hampshire Daily'!H26-'Hampshire Daily'!H25))</f>
        <v>62</v>
      </c>
      <c r="H23" s="4">
        <f>IF(('Hampshire Daily'!I26-'Hampshire Daily'!I25&lt;0),"0",('Hampshire Daily'!I26-'Hampshire Daily'!I25))</f>
        <v>1939</v>
      </c>
      <c r="I23" s="4">
        <f>IF(('Hampshire Daily'!J26-'Hampshire Daily'!J25&lt;0),"0",('Hampshire Daily'!J26-'Hampshire Daily'!J25))</f>
        <v>8</v>
      </c>
      <c r="J23" s="4">
        <f>IF(('Hampshire Daily'!K26-'Hampshire Daily'!K25&lt;0),"0",('Hampshire Daily'!K26-'Hampshire Daily'!K25))</f>
        <v>2595</v>
      </c>
      <c r="K23" s="4">
        <f>IF(('Hampshire Daily'!L26-'Hampshire Daily'!L25&lt;0),"0",('Hampshire Daily'!L26-'Hampshire Daily'!L25))</f>
        <v>1250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2527</v>
      </c>
      <c r="N23" s="4">
        <f>IF(('Hampshire Daily'!O26-'Hampshire Daily'!O25&lt;0),"0",('Hampshire Daily'!O26-'Hampshire Daily'!O25))</f>
        <v>88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69</v>
      </c>
      <c r="Q23" s="4">
        <f>IF(('Hampshire Daily'!R26-'Hampshire Daily'!R25&lt;0),"0",('Hampshire Daily'!R26-'Hampshire Daily'!R25))</f>
        <v>3</v>
      </c>
      <c r="R23" s="4">
        <f>IF(('Hampshire Daily'!S26-'Hampshire Daily'!S25&lt;0),"0",('Hampshire Daily'!S26-'Hampshire Daily'!S25))</f>
        <v>69</v>
      </c>
      <c r="S23" s="4">
        <f>IF(('Hampshire Daily'!T26-'Hampshire Daily'!T25&lt;0),"0",('Hampshire Daily'!T26-'Hampshire Daily'!T25))</f>
        <v>74</v>
      </c>
      <c r="T23" s="4">
        <f>IF(('Hampshire Daily'!U26-'Hampshire Daily'!U25&lt;0),"0",('Hampshire Daily'!U26-'Hampshire Daily'!U25))</f>
        <v>13</v>
      </c>
      <c r="U23" s="4">
        <f>IF(('Hampshire Daily'!V26-'Hampshire Daily'!V25&lt;0),"0",('Hampshire Daily'!V26-'Hampshire Daily'!V25))</f>
        <v>2</v>
      </c>
      <c r="V23" s="4">
        <f>IF(('Hampshire Daily'!W26-'Hampshire Daily'!W25&lt;0),"0",('Hampshire Daily'!W26-'Hampshire Daily'!W25))</f>
        <v>0</v>
      </c>
      <c r="W23" s="4">
        <f>IF(('Hampshire Daily'!X26-'Hampshire Daily'!X25&lt;0),"0",('Hampshire Daily'!X26-'Hampshire Daily'!X25))</f>
        <v>9.9999999999909051E-2</v>
      </c>
      <c r="X23" s="4">
        <f>IF(('Hampshire Daily'!Y26-'Hampshire Daily'!Y25&lt;0),"0",('Hampshire Daily'!Y26-'Hampshire Daily'!Y25))</f>
        <v>1.9999999999527063E-3</v>
      </c>
      <c r="Y23" s="4">
        <f>'Hampshire Daily'!B26</f>
        <v>52</v>
      </c>
      <c r="Z23" s="4">
        <f>'Hampshire Daily'!C26</f>
        <v>194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Daily'!F27-'Hampshire Daily'!F26&lt;0),"0",('Hampshire Daily'!F27-'Hampshire Daily'!F26))</f>
        <v>1723</v>
      </c>
      <c r="F24" s="4">
        <f>IF(('Hampshire Daily'!G27-'Hampshire Daily'!G26&lt;0),"0",('Hampshire Daily'!G27-'Hampshire Daily'!G26))</f>
        <v>1721</v>
      </c>
      <c r="G24" s="4">
        <f>IF(('Hampshire Daily'!H27-'Hampshire Daily'!H26&lt;0),"0",('Hampshire Daily'!H27-'Hampshire Daily'!H26))</f>
        <v>0</v>
      </c>
      <c r="H24" s="4">
        <f>IF(('Hampshire Daily'!I27-'Hampshire Daily'!I26&lt;0),"0",('Hampshire Daily'!I27-'Hampshire Daily'!I26))</f>
        <v>1939</v>
      </c>
      <c r="I24" s="4">
        <f>IF(('Hampshire Daily'!J27-'Hampshire Daily'!J26&lt;0),"0",('Hampshire Daily'!J27-'Hampshire Daily'!J26))</f>
        <v>8</v>
      </c>
      <c r="J24" s="4">
        <f>IF(('Hampshire Daily'!K27-'Hampshire Daily'!K26&lt;0),"0",('Hampshire Daily'!K27-'Hampshire Daily'!K26))</f>
        <v>2595</v>
      </c>
      <c r="K24" s="4">
        <f>IF(('Hampshire Daily'!L27-'Hampshire Daily'!L26&lt;0),"0",('Hampshire Daily'!L27-'Hampshire Daily'!L26))</f>
        <v>1250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2366</v>
      </c>
      <c r="N24" s="4">
        <f>IF(('Hampshire Daily'!O27-'Hampshire Daily'!O26&lt;0),"0",('Hampshire Daily'!O27-'Hampshire Daily'!O26))</f>
        <v>103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61</v>
      </c>
      <c r="Q24" s="4">
        <f>IF(('Hampshire Daily'!R27-'Hampshire Daily'!R26&lt;0),"0",('Hampshire Daily'!R27-'Hampshire Daily'!R26))</f>
        <v>4</v>
      </c>
      <c r="R24" s="4">
        <f>IF(('Hampshire Daily'!S27-'Hampshire Daily'!S26&lt;0),"0",('Hampshire Daily'!S27-'Hampshire Daily'!S26))</f>
        <v>59</v>
      </c>
      <c r="S24" s="4">
        <f>IF(('Hampshire Daily'!T27-'Hampshire Daily'!T26&lt;0),"0",('Hampshire Daily'!T27-'Hampshire Daily'!T26))</f>
        <v>66</v>
      </c>
      <c r="T24" s="4">
        <f>IF(('Hampshire Daily'!U27-'Hampshire Daily'!U26&lt;0),"0",('Hampshire Daily'!U27-'Hampshire Daily'!U26))</f>
        <v>10</v>
      </c>
      <c r="U24" s="4">
        <f>IF(('Hampshire Daily'!V27-'Hampshire Daily'!V26&lt;0),"0",('Hampshire Daily'!V27-'Hampshire Daily'!V26))</f>
        <v>1</v>
      </c>
      <c r="V24" s="4">
        <f>IF(('Hampshire Daily'!W27-'Hampshire Daily'!W26&lt;0),"0",('Hampshire Daily'!W27-'Hampshire Daily'!W26))</f>
        <v>0</v>
      </c>
      <c r="W24" s="4">
        <f>IF(('Hampshire Daily'!X27-'Hampshire Daily'!X26&lt;0),"0",('Hampshire Daily'!X27-'Hampshire Daily'!X26))</f>
        <v>5.0000000000068212E-2</v>
      </c>
      <c r="X24" s="4">
        <f>IF(('Hampshire Daily'!Y27-'Hampshire Daily'!Y26&lt;0),"0",('Hampshire Daily'!Y27-'Hampshire Daily'!Y26))</f>
        <v>3.9999999999054126E-3</v>
      </c>
      <c r="Y24" s="4">
        <f>'Hampshire Daily'!B27</f>
        <v>28</v>
      </c>
      <c r="Z24" s="4">
        <f>'Hampshire Daily'!C27</f>
        <v>220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Daily'!F28-'Hampshire Daily'!F27&lt;0),"0",('Hampshire Daily'!F28-'Hampshire Daily'!F27))</f>
        <v>1746</v>
      </c>
      <c r="F25" s="4">
        <f>IF(('Hampshire Daily'!G28-'Hampshire Daily'!G27&lt;0),"0",('Hampshire Daily'!G28-'Hampshire Daily'!G27))</f>
        <v>1745</v>
      </c>
      <c r="G25" s="4">
        <f>IF(('Hampshire Daily'!H28-'Hampshire Daily'!H27&lt;0),"0",('Hampshire Daily'!H28-'Hampshire Daily'!H27))</f>
        <v>0</v>
      </c>
      <c r="H25" s="4">
        <f>IF(('Hampshire Daily'!I28-'Hampshire Daily'!I27&lt;0),"0",('Hampshire Daily'!I28-'Hampshire Daily'!I27))</f>
        <v>1939</v>
      </c>
      <c r="I25" s="4">
        <f>IF(('Hampshire Daily'!J28-'Hampshire Daily'!J27&lt;0),"0",('Hampshire Daily'!J28-'Hampshire Daily'!J27))</f>
        <v>8</v>
      </c>
      <c r="J25" s="4">
        <f>IF(('Hampshire Daily'!K28-'Hampshire Daily'!K27&lt;0),"0",('Hampshire Daily'!K28-'Hampshire Daily'!K27))</f>
        <v>2595</v>
      </c>
      <c r="K25" s="4">
        <f>IF(('Hampshire Daily'!L28-'Hampshire Daily'!L27&lt;0),"0",('Hampshire Daily'!L28-'Hampshire Daily'!L27))</f>
        <v>1250</v>
      </c>
      <c r="L25" s="4">
        <f>IF(('Hampshire Daily'!M28-'Hampshire Daily'!M27&lt;0),"0",('Hampshire Daily'!M28-'Hampshire Daily'!M27))</f>
        <v>29</v>
      </c>
      <c r="M25" s="4">
        <f>IF(('Hampshire Daily'!N28-'Hampshire Daily'!N27&lt;0),"0",('Hampshire Daily'!N28-'Hampshire Daily'!N27))</f>
        <v>2279</v>
      </c>
      <c r="N25" s="4">
        <f>IF(('Hampshire Daily'!O28-'Hampshire Daily'!O27&lt;0),"0",('Hampshire Daily'!O28-'Hampshire Daily'!O27))</f>
        <v>87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77</v>
      </c>
      <c r="Q25" s="4">
        <f>IF(('Hampshire Daily'!R28-'Hampshire Daily'!R27&lt;0),"0",('Hampshire Daily'!R28-'Hampshire Daily'!R27))</f>
        <v>3</v>
      </c>
      <c r="R25" s="4">
        <f>IF(('Hampshire Daily'!S28-'Hampshire Daily'!S27&lt;0),"0",('Hampshire Daily'!S28-'Hampshire Daily'!S27))</f>
        <v>55</v>
      </c>
      <c r="S25" s="4">
        <f>IF(('Hampshire Daily'!T28-'Hampshire Daily'!T27&lt;0),"0",('Hampshire Daily'!T28-'Hampshire Daily'!T27))</f>
        <v>59</v>
      </c>
      <c r="T25" s="4">
        <f>IF(('Hampshire Daily'!U28-'Hampshire Daily'!U27&lt;0),"0",('Hampshire Daily'!U28-'Hampshire Daily'!U27))</f>
        <v>11</v>
      </c>
      <c r="U25" s="4">
        <f>IF(('Hampshire Daily'!V28-'Hampshire Daily'!V27&lt;0),"0",('Hampshire Daily'!V28-'Hampshire Daily'!V27))</f>
        <v>1</v>
      </c>
      <c r="V25" s="4">
        <f>IF(('Hampshire Daily'!W28-'Hampshire Daily'!W27&lt;0),"0",('Hampshire Daily'!W28-'Hampshire Daily'!W27))</f>
        <v>0</v>
      </c>
      <c r="W25" s="4">
        <f>IF(('Hampshire Daily'!X28-'Hampshire Daily'!X27&lt;0),"0",('Hampshire Daily'!X28-'Hampshire Daily'!X27))</f>
        <v>5.3999999999973625E-2</v>
      </c>
      <c r="X25" s="4">
        <f>IF(('Hampshire Daily'!Y28-'Hampshire Daily'!Y27&lt;0),"0",('Hampshire Daily'!Y28-'Hampshire Daily'!Y27))</f>
        <v>1.0000000002037268E-3</v>
      </c>
      <c r="Y25" s="4">
        <f>'Hampshire Daily'!B28</f>
        <v>36</v>
      </c>
      <c r="Z25" s="4">
        <f>'Hampshire Daily'!C28</f>
        <v>213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Daily'!F29-'Hampshire Daily'!F28&lt;0),"0",('Hampshire Daily'!F29-'Hampshire Daily'!F28))</f>
        <v>2221</v>
      </c>
      <c r="F26" s="4">
        <f>IF(('Hampshire Daily'!G29-'Hampshire Daily'!G28&lt;0),"0",('Hampshire Daily'!G29-'Hampshire Daily'!G28))</f>
        <v>2219</v>
      </c>
      <c r="G26" s="4">
        <f>IF(('Hampshire Daily'!H29-'Hampshire Daily'!H28&lt;0),"0",('Hampshire Daily'!H29-'Hampshire Daily'!H28))</f>
        <v>94</v>
      </c>
      <c r="H26" s="4">
        <f>IF(('Hampshire Daily'!I29-'Hampshire Daily'!I28&lt;0),"0",('Hampshire Daily'!I29-'Hampshire Daily'!I28))</f>
        <v>1939</v>
      </c>
      <c r="I26" s="4">
        <f>IF(('Hampshire Daily'!J29-'Hampshire Daily'!J28&lt;0),"0",('Hampshire Daily'!J29-'Hampshire Daily'!J28))</f>
        <v>8</v>
      </c>
      <c r="J26" s="4">
        <f>IF(('Hampshire Daily'!K29-'Hampshire Daily'!K28&lt;0),"0",('Hampshire Daily'!K29-'Hampshire Daily'!K28))</f>
        <v>2595</v>
      </c>
      <c r="K26" s="4">
        <f>IF(('Hampshire Daily'!L29-'Hampshire Daily'!L28&lt;0),"0",('Hampshire Daily'!L29-'Hampshire Daily'!L28))</f>
        <v>1250</v>
      </c>
      <c r="L26" s="4">
        <f>IF(('Hampshire Daily'!M29-'Hampshire Daily'!M28&lt;0),"0",('Hampshire Daily'!M29-'Hampshire Daily'!M28))</f>
        <v>1</v>
      </c>
      <c r="M26" s="4">
        <f>IF(('Hampshire Daily'!N29-'Hampshire Daily'!N28&lt;0),"0",('Hampshire Daily'!N29-'Hampshire Daily'!N28))</f>
        <v>2319</v>
      </c>
      <c r="N26" s="4">
        <f>IF(('Hampshire Daily'!O29-'Hampshire Daily'!O28&lt;0),"0",('Hampshire Daily'!O29-'Hampshire Daily'!O28))</f>
        <v>106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199</v>
      </c>
      <c r="Q26" s="4">
        <f>IF(('Hampshire Daily'!R29-'Hampshire Daily'!R28&lt;0),"0",('Hampshire Daily'!R29-'Hampshire Daily'!R28))</f>
        <v>5</v>
      </c>
      <c r="R26" s="4">
        <f>IF(('Hampshire Daily'!S29-'Hampshire Daily'!S28&lt;0),"0",('Hampshire Daily'!S29-'Hampshire Daily'!S28))</f>
        <v>63</v>
      </c>
      <c r="S26" s="4">
        <f>IF(('Hampshire Daily'!T29-'Hampshire Daily'!T28&lt;0),"0",('Hampshire Daily'!T29-'Hampshire Daily'!T28))</f>
        <v>70</v>
      </c>
      <c r="T26" s="4">
        <f>IF(('Hampshire Daily'!U29-'Hampshire Daily'!U28&lt;0),"0",('Hampshire Daily'!U29-'Hampshire Daily'!U28))</f>
        <v>12</v>
      </c>
      <c r="U26" s="4">
        <f>IF(('Hampshire Daily'!V29-'Hampshire Daily'!V28&lt;0),"0",('Hampshire Daily'!V29-'Hampshire Daily'!V28))</f>
        <v>9</v>
      </c>
      <c r="V26" s="4">
        <f>IF(('Hampshire Daily'!W29-'Hampshire Daily'!W28&lt;0),"0",('Hampshire Daily'!W29-'Hampshire Daily'!W28))</f>
        <v>0</v>
      </c>
      <c r="W26" s="4">
        <f>IF(('Hampshire Daily'!X29-'Hampshire Daily'!X28&lt;0),"0",('Hampshire Daily'!X29-'Hampshire Daily'!X28))</f>
        <v>0.16899999999998272</v>
      </c>
      <c r="X26" s="4">
        <f>IF(('Hampshire Daily'!Y29-'Hampshire Daily'!Y28&lt;0),"0",('Hampshire Daily'!Y29-'Hampshire Daily'!Y28))</f>
        <v>0</v>
      </c>
      <c r="Y26" s="4">
        <f>'Hampshire Daily'!B29</f>
        <v>47</v>
      </c>
      <c r="Z26" s="4">
        <f>'Hampshire Daily'!C29</f>
        <v>230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Daily'!F30-'Hampshire Daily'!F29&lt;0),"0",('Hampshire Daily'!F30-'Hampshire Daily'!F29))</f>
        <v>5117</v>
      </c>
      <c r="F27" s="4">
        <f>IF(('Hampshire Daily'!G30-'Hampshire Daily'!G29&lt;0),"0",('Hampshire Daily'!G30-'Hampshire Daily'!G29))</f>
        <v>5112</v>
      </c>
      <c r="G27" s="4">
        <f>IF(('Hampshire Daily'!H30-'Hampshire Daily'!H29&lt;0),"0",('Hampshire Daily'!H30-'Hampshire Daily'!H29))</f>
        <v>741</v>
      </c>
      <c r="H27" s="4">
        <f>IF(('Hampshire Daily'!I30-'Hampshire Daily'!I29&lt;0),"0",('Hampshire Daily'!I30-'Hampshire Daily'!I29))</f>
        <v>1939</v>
      </c>
      <c r="I27" s="4">
        <f>IF(('Hampshire Daily'!J30-'Hampshire Daily'!J29&lt;0),"0",('Hampshire Daily'!J30-'Hampshire Daily'!J29))</f>
        <v>8</v>
      </c>
      <c r="J27" s="4">
        <f>IF(('Hampshire Daily'!K30-'Hampshire Daily'!K29&lt;0),"0",('Hampshire Daily'!K30-'Hampshire Daily'!K29))</f>
        <v>2595</v>
      </c>
      <c r="K27" s="4">
        <f>IF(('Hampshire Daily'!L30-'Hampshire Daily'!L29&lt;0),"0",('Hampshire Daily'!L30-'Hampshire Daily'!L29))</f>
        <v>1250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1781</v>
      </c>
      <c r="N27" s="4">
        <f>IF(('Hampshire Daily'!O30-'Hampshire Daily'!O29&lt;0),"0",('Hampshire Daily'!O30-'Hampshire Daily'!O29))</f>
        <v>100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145</v>
      </c>
      <c r="Q27" s="4">
        <f>IF(('Hampshire Daily'!R30-'Hampshire Daily'!R29&lt;0),"0",('Hampshire Daily'!R30-'Hampshire Daily'!R29))</f>
        <v>4</v>
      </c>
      <c r="R27" s="4">
        <f>IF(('Hampshire Daily'!S30-'Hampshire Daily'!S29&lt;0),"0",('Hampshire Daily'!S30-'Hampshire Daily'!S29))</f>
        <v>64</v>
      </c>
      <c r="S27" s="4">
        <f>IF(('Hampshire Daily'!T30-'Hampshire Daily'!T29&lt;0),"0",('Hampshire Daily'!T30-'Hampshire Daily'!T29))</f>
        <v>70</v>
      </c>
      <c r="T27" s="4">
        <f>IF(('Hampshire Daily'!U30-'Hampshire Daily'!U29&lt;0),"0",('Hampshire Daily'!U30-'Hampshire Daily'!U29))</f>
        <v>10</v>
      </c>
      <c r="U27" s="4">
        <f>IF(('Hampshire Daily'!V30-'Hampshire Daily'!V29&lt;0),"0",('Hampshire Daily'!V30-'Hampshire Daily'!V29))</f>
        <v>1</v>
      </c>
      <c r="V27" s="4">
        <f>IF(('Hampshire Daily'!W30-'Hampshire Daily'!W29&lt;0),"0",('Hampshire Daily'!W30-'Hampshire Daily'!W29))</f>
        <v>0</v>
      </c>
      <c r="W27" s="4">
        <f>IF(('Hampshire Daily'!X30-'Hampshire Daily'!X29&lt;0),"0",('Hampshire Daily'!X30-'Hampshire Daily'!X29))</f>
        <v>0</v>
      </c>
      <c r="X27" s="4">
        <f>IF(('Hampshire Daily'!Y30-'Hampshire Daily'!Y29&lt;0),"0",('Hampshire Daily'!Y30-'Hampshire Daily'!Y29))</f>
        <v>9.9999999974897946E-4</v>
      </c>
      <c r="Y27" s="4">
        <f>'Hampshire Daily'!B30</f>
        <v>29</v>
      </c>
      <c r="Z27" s="4">
        <f>'Hampshire Daily'!C30</f>
        <v>219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Daily'!F31-'Hampshire Daily'!F30&lt;0),"0",('Hampshire Daily'!F31-'Hampshire Daily'!F30))</f>
        <v>5398</v>
      </c>
      <c r="F28" s="4">
        <f>IF(('Hampshire Daily'!G31-'Hampshire Daily'!G30&lt;0),"0",('Hampshire Daily'!G31-'Hampshire Daily'!G30))</f>
        <v>5392</v>
      </c>
      <c r="G28" s="4">
        <f>IF(('Hampshire Daily'!H31-'Hampshire Daily'!H30&lt;0),"0",('Hampshire Daily'!H31-'Hampshire Daily'!H30))</f>
        <v>795</v>
      </c>
      <c r="H28" s="4">
        <f>IF(('Hampshire Daily'!I31-'Hampshire Daily'!I30&lt;0),"0",('Hampshire Daily'!I31-'Hampshire Daily'!I30))</f>
        <v>1939</v>
      </c>
      <c r="I28" s="4">
        <f>IF(('Hampshire Daily'!J31-'Hampshire Daily'!J30&lt;0),"0",('Hampshire Daily'!J31-'Hampshire Daily'!J30))</f>
        <v>8</v>
      </c>
      <c r="J28" s="4">
        <f>IF(('Hampshire Daily'!K31-'Hampshire Daily'!K30&lt;0),"0",('Hampshire Daily'!K31-'Hampshire Daily'!K30))</f>
        <v>2595</v>
      </c>
      <c r="K28" s="4">
        <f>IF(('Hampshire Daily'!L31-'Hampshire Daily'!L30&lt;0),"0",('Hampshire Daily'!L31-'Hampshire Daily'!L30))</f>
        <v>1250</v>
      </c>
      <c r="L28" s="4">
        <f>IF(('Hampshire Daily'!M31-'Hampshire Daily'!M30&lt;0),"0",('Hampshire Daily'!M31-'Hampshire Daily'!M30))</f>
        <v>15</v>
      </c>
      <c r="M28" s="4">
        <f>IF(('Hampshire Daily'!N31-'Hampshire Daily'!N30&lt;0),"0",('Hampshire Daily'!N31-'Hampshire Daily'!N30))</f>
        <v>1727</v>
      </c>
      <c r="N28" s="4">
        <f>IF(('Hampshire Daily'!O31-'Hampshire Daily'!O30&lt;0),"0",('Hampshire Daily'!O31-'Hampshire Daily'!O30))</f>
        <v>109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259</v>
      </c>
      <c r="Q28" s="4">
        <f>IF(('Hampshire Daily'!R31-'Hampshire Daily'!R30&lt;0),"0",('Hampshire Daily'!R31-'Hampshire Daily'!R30))</f>
        <v>4</v>
      </c>
      <c r="R28" s="4">
        <f>IF(('Hampshire Daily'!S31-'Hampshire Daily'!S30&lt;0),"0",('Hampshire Daily'!S31-'Hampshire Daily'!S30))</f>
        <v>62</v>
      </c>
      <c r="S28" s="4">
        <f>IF(('Hampshire Daily'!T31-'Hampshire Daily'!T30&lt;0),"0",('Hampshire Daily'!T31-'Hampshire Daily'!T30))</f>
        <v>69</v>
      </c>
      <c r="T28" s="4">
        <f>IF(('Hampshire Daily'!U31-'Hampshire Daily'!U30&lt;0),"0",('Hampshire Daily'!U31-'Hampshire Daily'!U30))</f>
        <v>11</v>
      </c>
      <c r="U28" s="4">
        <f>IF(('Hampshire Daily'!V31-'Hampshire Daily'!V30&lt;0),"0",('Hampshire Daily'!V31-'Hampshire Daily'!V30))</f>
        <v>2</v>
      </c>
      <c r="V28" s="4">
        <f>IF(('Hampshire Daily'!W31-'Hampshire Daily'!W30&lt;0),"0",('Hampshire Daily'!W31-'Hampshire Daily'!W30))</f>
        <v>0</v>
      </c>
      <c r="W28" s="4">
        <f>IF(('Hampshire Daily'!X31-'Hampshire Daily'!X30&lt;0),"0",('Hampshire Daily'!X31-'Hampshire Daily'!X30))</f>
        <v>0.23700000000008004</v>
      </c>
      <c r="X28" s="4">
        <f>IF(('Hampshire Daily'!Y31-'Hampshire Daily'!Y30&lt;0),"0",('Hampshire Daily'!Y31-'Hampshire Daily'!Y30))</f>
        <v>0</v>
      </c>
      <c r="Y28" s="4">
        <f>'Hampshire Daily'!B31</f>
        <v>36</v>
      </c>
      <c r="Z28" s="4">
        <f>'Hampshire Daily'!C31</f>
        <v>253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Daily'!F32-'Hampshire Daily'!F31&lt;0),"0",('Hampshire Daily'!F32-'Hampshire Daily'!F31))</f>
        <v>4924</v>
      </c>
      <c r="F29" s="4">
        <f>IF(('Hampshire Daily'!G32-'Hampshire Daily'!G31&lt;0),"0",('Hampshire Daily'!G32-'Hampshire Daily'!G31))</f>
        <v>4919</v>
      </c>
      <c r="G29" s="4">
        <f>IF(('Hampshire Daily'!H32-'Hampshire Daily'!H31&lt;0),"0",('Hampshire Daily'!H32-'Hampshire Daily'!H31))</f>
        <v>672</v>
      </c>
      <c r="H29" s="4">
        <f>IF(('Hampshire Daily'!I32-'Hampshire Daily'!I31&lt;0),"0",('Hampshire Daily'!I32-'Hampshire Daily'!I31))</f>
        <v>1939</v>
      </c>
      <c r="I29" s="4">
        <f>IF(('Hampshire Daily'!J32-'Hampshire Daily'!J31&lt;0),"0",('Hampshire Daily'!J32-'Hampshire Daily'!J31))</f>
        <v>8</v>
      </c>
      <c r="J29" s="4">
        <f>IF(('Hampshire Daily'!K32-'Hampshire Daily'!K31&lt;0),"0",('Hampshire Daily'!K32-'Hampshire Daily'!K31))</f>
        <v>2595</v>
      </c>
      <c r="K29" s="4">
        <f>IF(('Hampshire Daily'!L32-'Hampshire Daily'!L31&lt;0),"0",('Hampshire Daily'!L32-'Hampshire Daily'!L31))</f>
        <v>1250</v>
      </c>
      <c r="L29" s="4">
        <f>IF(('Hampshire Daily'!M32-'Hampshire Daily'!M31&lt;0),"0",('Hampshire Daily'!M32-'Hampshire Daily'!M31))</f>
        <v>19</v>
      </c>
      <c r="M29" s="4">
        <f>IF(('Hampshire Daily'!N32-'Hampshire Daily'!N31&lt;0),"0",('Hampshire Daily'!N32-'Hampshire Daily'!N31))</f>
        <v>1644</v>
      </c>
      <c r="N29" s="4">
        <f>IF(('Hampshire Daily'!O32-'Hampshire Daily'!O31&lt;0),"0",('Hampshire Daily'!O32-'Hampshire Daily'!O31))</f>
        <v>95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243</v>
      </c>
      <c r="Q29" s="4">
        <f>IF(('Hampshire Daily'!R32-'Hampshire Daily'!R31&lt;0),"0",('Hampshire Daily'!R32-'Hampshire Daily'!R31))</f>
        <v>4</v>
      </c>
      <c r="R29" s="4">
        <f>IF(('Hampshire Daily'!S32-'Hampshire Daily'!S31&lt;0),"0",('Hampshire Daily'!S32-'Hampshire Daily'!S31))</f>
        <v>69</v>
      </c>
      <c r="S29" s="4">
        <f>IF(('Hampshire Daily'!T32-'Hampshire Daily'!T31&lt;0),"0",('Hampshire Daily'!T32-'Hampshire Daily'!T31))</f>
        <v>75</v>
      </c>
      <c r="T29" s="4">
        <f>IF(('Hampshire Daily'!U32-'Hampshire Daily'!U31&lt;0),"0",('Hampshire Daily'!U32-'Hampshire Daily'!U31))</f>
        <v>10</v>
      </c>
      <c r="U29" s="4">
        <f>IF(('Hampshire Daily'!V32-'Hampshire Daily'!V31&lt;0),"0",('Hampshire Daily'!V32-'Hampshire Daily'!V31))</f>
        <v>1</v>
      </c>
      <c r="V29" s="4">
        <f>IF(('Hampshire Daily'!W32-'Hampshire Daily'!W31&lt;0),"0",('Hampshire Daily'!W32-'Hampshire Daily'!W31))</f>
        <v>0</v>
      </c>
      <c r="W29" s="4">
        <f>IF(('Hampshire Daily'!X32-'Hampshire Daily'!X31&lt;0),"0",('Hampshire Daily'!X32-'Hampshire Daily'!X31))</f>
        <v>0.11899999999991451</v>
      </c>
      <c r="X29" s="4">
        <f>IF(('Hampshire Daily'!Y32-'Hampshire Daily'!Y31&lt;0),"0",('Hampshire Daily'!Y32-'Hampshire Daily'!Y31))</f>
        <v>0</v>
      </c>
      <c r="Y29" s="4">
        <f>'Hampshire Daily'!B32</f>
        <v>32</v>
      </c>
      <c r="Z29" s="4">
        <f>'Hampshire Daily'!C32</f>
        <v>221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Daily'!F33-'Hampshire Daily'!F32&lt;0),"0",('Hampshire Daily'!F33-'Hampshire Daily'!F32))</f>
        <v>2554</v>
      </c>
      <c r="F30" s="4">
        <f>IF(('Hampshire Daily'!G33-'Hampshire Daily'!G32&lt;0),"0",('Hampshire Daily'!G33-'Hampshire Daily'!G32))</f>
        <v>2550</v>
      </c>
      <c r="G30" s="4">
        <f>IF(('Hampshire Daily'!H33-'Hampshire Daily'!H32&lt;0),"0",('Hampshire Daily'!H33-'Hampshire Daily'!H32))</f>
        <v>196</v>
      </c>
      <c r="H30" s="4">
        <f>IF(('Hampshire Daily'!I33-'Hampshire Daily'!I32&lt;0),"0",('Hampshire Daily'!I33-'Hampshire Daily'!I32))</f>
        <v>1939</v>
      </c>
      <c r="I30" s="4">
        <f>IF(('Hampshire Daily'!J33-'Hampshire Daily'!J32&lt;0),"0",('Hampshire Daily'!J33-'Hampshire Daily'!J32))</f>
        <v>8</v>
      </c>
      <c r="J30" s="4">
        <f>IF(('Hampshire Daily'!K33-'Hampshire Daily'!K32&lt;0),"0",('Hampshire Daily'!K33-'Hampshire Daily'!K32))</f>
        <v>2595</v>
      </c>
      <c r="K30" s="4">
        <f>IF(('Hampshire Daily'!L33-'Hampshire Daily'!L32&lt;0),"0",('Hampshire Daily'!L33-'Hampshire Daily'!L32))</f>
        <v>1250</v>
      </c>
      <c r="L30" s="4">
        <f>IF(('Hampshire Daily'!M33-'Hampshire Daily'!M32&lt;0),"0",('Hampshire Daily'!M33-'Hampshire Daily'!M32))</f>
        <v>1</v>
      </c>
      <c r="M30" s="4">
        <f>IF(('Hampshire Daily'!N33-'Hampshire Daily'!N32&lt;0),"0",('Hampshire Daily'!N33-'Hampshire Daily'!N32))</f>
        <v>2225</v>
      </c>
      <c r="N30" s="4">
        <f>IF(('Hampshire Daily'!O33-'Hampshire Daily'!O32&lt;0),"0",('Hampshire Daily'!O33-'Hampshire Daily'!O32))</f>
        <v>98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182</v>
      </c>
      <c r="Q30" s="4">
        <f>IF(('Hampshire Daily'!R33-'Hampshire Daily'!R32&lt;0),"0",('Hampshire Daily'!R33-'Hampshire Daily'!R32))</f>
        <v>4</v>
      </c>
      <c r="R30" s="4">
        <f>IF(('Hampshire Daily'!S33-'Hampshire Daily'!S32&lt;0),"0",('Hampshire Daily'!S33-'Hampshire Daily'!S32))</f>
        <v>79</v>
      </c>
      <c r="S30" s="4">
        <f>IF(('Hampshire Daily'!T33-'Hampshire Daily'!T32&lt;0),"0",('Hampshire Daily'!T33-'Hampshire Daily'!T32))</f>
        <v>83</v>
      </c>
      <c r="T30" s="4">
        <f>IF(('Hampshire Daily'!U33-'Hampshire Daily'!U32&lt;0),"0",('Hampshire Daily'!U33-'Hampshire Daily'!U32))</f>
        <v>10</v>
      </c>
      <c r="U30" s="4">
        <f>IF(('Hampshire Daily'!V33-'Hampshire Daily'!V32&lt;0),"0",('Hampshire Daily'!V33-'Hampshire Daily'!V32))</f>
        <v>2</v>
      </c>
      <c r="V30" s="4">
        <f>IF(('Hampshire Daily'!W33-'Hampshire Daily'!W32&lt;0),"0",('Hampshire Daily'!W33-'Hampshire Daily'!W32))</f>
        <v>0</v>
      </c>
      <c r="W30" s="4">
        <f>IF(('Hampshire Daily'!X33-'Hampshire Daily'!X32&lt;0),"0",('Hampshire Daily'!X33-'Hampshire Daily'!X32))</f>
        <v>0.11300000000005639</v>
      </c>
      <c r="X30" s="4">
        <f>IF(('Hampshire Daily'!Y33-'Hampshire Daily'!Y32&lt;0),"0",('Hampshire Daily'!Y33-'Hampshire Daily'!Y32))</f>
        <v>0</v>
      </c>
      <c r="Y30" s="4">
        <f>'Hampshire Daily'!B33</f>
        <v>33</v>
      </c>
      <c r="Z30" s="4">
        <f>'Hampshire Daily'!C33</f>
        <v>209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Daily'!F34-'Hampshire Daily'!F33&lt;0),"0",('Hampshire Daily'!F34-'Hampshire Daily'!F33))</f>
        <v>1912</v>
      </c>
      <c r="F31" s="4">
        <f>IF(('Hampshire Daily'!G34-'Hampshire Daily'!G33&lt;0),"0",('Hampshire Daily'!G34-'Hampshire Daily'!G33))</f>
        <v>1911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1939</v>
      </c>
      <c r="I31" s="4">
        <f>IF(('Hampshire Daily'!J34-'Hampshire Daily'!J33&lt;0),"0",('Hampshire Daily'!J34-'Hampshire Daily'!J33))</f>
        <v>8</v>
      </c>
      <c r="J31" s="4">
        <f>IF(('Hampshire Daily'!K34-'Hampshire Daily'!K33&lt;0),"0",('Hampshire Daily'!K34-'Hampshire Daily'!K33))</f>
        <v>2595</v>
      </c>
      <c r="K31" s="4">
        <f>IF(('Hampshire Daily'!L34-'Hampshire Daily'!L33&lt;0),"0",('Hampshire Daily'!L34-'Hampshire Daily'!L33))</f>
        <v>1250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2441</v>
      </c>
      <c r="N31" s="4">
        <f>IF(('Hampshire Daily'!O34-'Hampshire Daily'!O33&lt;0),"0",('Hampshire Daily'!O34-'Hampshire Daily'!O33))</f>
        <v>124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138</v>
      </c>
      <c r="Q31" s="4">
        <f>IF(('Hampshire Daily'!R34-'Hampshire Daily'!R33&lt;0),"0",('Hampshire Daily'!R34-'Hampshire Daily'!R33))</f>
        <v>5</v>
      </c>
      <c r="R31" s="4">
        <f>IF(('Hampshire Daily'!S34-'Hampshire Daily'!S33&lt;0),"0",('Hampshire Daily'!S34-'Hampshire Daily'!S33))</f>
        <v>76</v>
      </c>
      <c r="S31" s="4">
        <f>IF(('Hampshire Daily'!T34-'Hampshire Daily'!T33&lt;0),"0",('Hampshire Daily'!T34-'Hampshire Daily'!T33))</f>
        <v>85</v>
      </c>
      <c r="T31" s="4">
        <f>IF(('Hampshire Daily'!U34-'Hampshire Daily'!U33&lt;0),"0",('Hampshire Daily'!U34-'Hampshire Daily'!U33))</f>
        <v>11</v>
      </c>
      <c r="U31" s="4">
        <f>IF(('Hampshire Daily'!V34-'Hampshire Daily'!V33&lt;0),"0",('Hampshire Daily'!V34-'Hampshire Daily'!V33))</f>
        <v>1</v>
      </c>
      <c r="V31" s="4">
        <f>IF(('Hampshire Daily'!W34-'Hampshire Daily'!W33&lt;0),"0",('Hampshire Daily'!W34-'Hampshire Daily'!W33))</f>
        <v>0</v>
      </c>
      <c r="W31" s="4">
        <f>IF(('Hampshire Daily'!X34-'Hampshire Daily'!X33&lt;0),"0",('Hampshire Daily'!X34-'Hampshire Daily'!X33))</f>
        <v>0.13699999999994361</v>
      </c>
      <c r="X31" s="4">
        <f>IF(('Hampshire Daily'!Y34-'Hampshire Daily'!Y33&lt;0),"0",('Hampshire Daily'!Y34-'Hampshire Daily'!Y33))</f>
        <v>1.0000000002037268E-3</v>
      </c>
      <c r="Y31" s="4">
        <f>'Hampshire Daily'!B34</f>
        <v>27</v>
      </c>
      <c r="Z31" s="4">
        <f>'Hampshire Daily'!C34</f>
        <v>226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2021</v>
      </c>
      <c r="E32" s="4">
        <f>IF(('Hampshire Daily'!F35-'Hampshire Daily'!F34&lt;0),"0",('Hampshire Daily'!F35-'Hampshire Daily'!F34))</f>
        <v>1867</v>
      </c>
      <c r="F32" s="4">
        <f>IF(('Hampshire Daily'!G35-'Hampshire Daily'!G34&lt;0),"0",('Hampshire Daily'!G35-'Hampshire Daily'!G34))</f>
        <v>1865</v>
      </c>
      <c r="G32" s="4">
        <f>IF(('Hampshire Daily'!H35-'Hampshire Daily'!H34&lt;0),"0",('Hampshire Daily'!H35-'Hampshire Daily'!H34))</f>
        <v>0</v>
      </c>
      <c r="H32" s="4">
        <f>IF(('Hampshire Daily'!I35-'Hampshire Daily'!I34&lt;0),"0",('Hampshire Daily'!I35-'Hampshire Daily'!I34))</f>
        <v>1943</v>
      </c>
      <c r="I32" s="4">
        <f>IF(('Hampshire Daily'!J35-'Hampshire Daily'!J34&lt;0),"0",('Hampshire Daily'!J35-'Hampshire Daily'!J34))</f>
        <v>11</v>
      </c>
      <c r="J32" s="4">
        <f>IF(('Hampshire Daily'!K35-'Hampshire Daily'!K34&lt;0),"0",('Hampshire Daily'!K35-'Hampshire Daily'!K34))</f>
        <v>2595</v>
      </c>
      <c r="K32" s="4">
        <f>IF(('Hampshire Daily'!L35-'Hampshire Daily'!L34&lt;0),"0",('Hampshire Daily'!L35-'Hampshire Daily'!L34))</f>
        <v>1258</v>
      </c>
      <c r="L32" s="4">
        <f>IF(('Hampshire Daily'!M35-'Hampshire Daily'!M34&lt;0),"0",('Hampshire Daily'!M35-'Hampshire Daily'!M34))</f>
        <v>1</v>
      </c>
      <c r="M32" s="4">
        <f>IF(('Hampshire Daily'!N35-'Hampshire Daily'!N34&lt;0),"0",('Hampshire Daily'!N35-'Hampshire Daily'!N34))</f>
        <v>2519</v>
      </c>
      <c r="N32" s="4">
        <f>IF(('Hampshire Daily'!O35-'Hampshire Daily'!O34&lt;0),"0",('Hampshire Daily'!O35-'Hampshire Daily'!O34))</f>
        <v>108</v>
      </c>
      <c r="O32" s="4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48</v>
      </c>
      <c r="Q32" s="4">
        <f>IF(('Hampshire Daily'!R35-'Hampshire Daily'!R34&lt;0),"0",('Hampshire Daily'!R35-'Hampshire Daily'!R34))</f>
        <v>3</v>
      </c>
      <c r="R32" s="4">
        <f>IF(('Hampshire Daily'!S35-'Hampshire Daily'!S34&lt;0),"0",('Hampshire Daily'!S35-'Hampshire Daily'!S34))</f>
        <v>76</v>
      </c>
      <c r="S32" s="4">
        <f>IF(('Hampshire Daily'!T35-'Hampshire Daily'!T34&lt;0),"0",('Hampshire Daily'!T35-'Hampshire Daily'!T34))</f>
        <v>78</v>
      </c>
      <c r="T32" s="4">
        <f>IF(('Hampshire Daily'!U35-'Hampshire Daily'!U34&lt;0),"0",('Hampshire Daily'!U35-'Hampshire Daily'!U34))</f>
        <v>12</v>
      </c>
      <c r="U32" s="4">
        <f>IF(('Hampshire Daily'!V35-'Hampshire Daily'!V34&lt;0),"0",('Hampshire Daily'!V35-'Hampshire Daily'!V34))</f>
        <v>1</v>
      </c>
      <c r="V32" s="4">
        <f>IF(('Hampshire Daily'!W35-'Hampshire Daily'!W34&lt;0),"0",('Hampshire Daily'!W35-'Hampshire Daily'!W34))</f>
        <v>0</v>
      </c>
      <c r="W32" s="4">
        <f>IF(('Hampshire Daily'!X35-'Hampshire Daily'!X34&lt;0),"0",('Hampshire Daily'!X35-'Hampshire Daily'!X34))</f>
        <v>0.13400000000001455</v>
      </c>
      <c r="X32" s="4">
        <f>IF(('Hampshire Daily'!Y35-'Hampshire Daily'!Y34&lt;0),"0",('Hampshire Daily'!Y35-'Hampshire Daily'!Y34))</f>
        <v>0</v>
      </c>
      <c r="Y32" s="4">
        <f>'Hampshire Daily'!B35</f>
        <v>21</v>
      </c>
      <c r="Z32" s="4">
        <f>'Hampshire Daily'!C35</f>
        <v>72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44"/>
  <sheetViews>
    <sheetView zoomScaleNormal="100" workbookViewId="0">
      <pane xSplit="1" topLeftCell="B1" activePane="topRight" state="frozen"/>
      <selection pane="topRight" activeCell="Q14" sqref="Q14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3"/>
      <c r="B1" s="21"/>
      <c r="C1" s="21"/>
      <c r="D1" s="36" t="s">
        <v>12</v>
      </c>
      <c r="E1" s="36"/>
      <c r="F1" s="36"/>
      <c r="G1" s="36"/>
      <c r="H1" s="36"/>
      <c r="I1" s="36"/>
      <c r="J1" s="36"/>
      <c r="K1" s="36"/>
      <c r="L1" s="36"/>
      <c r="M1" s="36"/>
      <c r="N1" s="42" t="s">
        <v>13</v>
      </c>
      <c r="O1" s="44" t="s">
        <v>14</v>
      </c>
      <c r="P1" s="23"/>
      <c r="Q1" s="23"/>
      <c r="R1" s="23"/>
      <c r="S1" s="44" t="s">
        <v>15</v>
      </c>
      <c r="T1" s="46"/>
      <c r="U1" s="44" t="s">
        <v>16</v>
      </c>
      <c r="V1" s="47" t="s">
        <v>17</v>
      </c>
      <c r="W1" s="44" t="s">
        <v>18</v>
      </c>
      <c r="X1" s="44" t="s">
        <v>19</v>
      </c>
      <c r="Y1" s="53" t="s">
        <v>20</v>
      </c>
      <c r="Z1" s="44" t="s">
        <v>54</v>
      </c>
      <c r="AA1" s="49" t="s">
        <v>55</v>
      </c>
      <c r="AB1" s="1">
        <v>42</v>
      </c>
      <c r="AC1" s="1">
        <v>41</v>
      </c>
    </row>
    <row r="2" spans="1:29" ht="15" customHeight="1" x14ac:dyDescent="0.25">
      <c r="A2" s="34"/>
      <c r="B2" s="39" t="s">
        <v>52</v>
      </c>
      <c r="C2" s="39" t="s">
        <v>53</v>
      </c>
      <c r="D2" s="37" t="s">
        <v>21</v>
      </c>
      <c r="E2" s="37" t="s">
        <v>22</v>
      </c>
      <c r="F2" s="37" t="s">
        <v>23</v>
      </c>
      <c r="G2" s="37" t="s">
        <v>24</v>
      </c>
      <c r="H2" s="37" t="s">
        <v>25</v>
      </c>
      <c r="I2" s="37" t="s">
        <v>26</v>
      </c>
      <c r="J2" s="37" t="s">
        <v>27</v>
      </c>
      <c r="K2" s="37" t="s">
        <v>28</v>
      </c>
      <c r="L2" s="37" t="s">
        <v>29</v>
      </c>
      <c r="M2" s="37" t="s">
        <v>30</v>
      </c>
      <c r="N2" s="43"/>
      <c r="O2" s="44"/>
      <c r="P2" s="23" t="s">
        <v>31</v>
      </c>
      <c r="Q2" s="23" t="s">
        <v>31</v>
      </c>
      <c r="R2" s="23" t="s">
        <v>31</v>
      </c>
      <c r="S2" s="44"/>
      <c r="T2" s="46"/>
      <c r="U2" s="44"/>
      <c r="V2" s="47"/>
      <c r="W2" s="44"/>
      <c r="X2" s="44"/>
      <c r="Y2" s="53"/>
      <c r="Z2" s="44"/>
      <c r="AA2" s="50"/>
      <c r="AB2" s="52" t="s">
        <v>57</v>
      </c>
      <c r="AC2" s="52" t="s">
        <v>58</v>
      </c>
    </row>
    <row r="3" spans="1:29" ht="27" customHeight="1" thickBot="1" x14ac:dyDescent="0.3">
      <c r="A3" s="35"/>
      <c r="B3" s="40"/>
      <c r="C3" s="40"/>
      <c r="D3" s="41"/>
      <c r="E3" s="41"/>
      <c r="F3" s="41"/>
      <c r="G3" s="41"/>
      <c r="H3" s="37"/>
      <c r="I3" s="37"/>
      <c r="J3" s="37"/>
      <c r="K3" s="37"/>
      <c r="L3" s="37"/>
      <c r="M3" s="38"/>
      <c r="N3" s="43"/>
      <c r="O3" s="45"/>
      <c r="P3" s="24">
        <v>2</v>
      </c>
      <c r="Q3" s="24">
        <v>3</v>
      </c>
      <c r="R3" s="24">
        <v>4</v>
      </c>
      <c r="S3" s="46"/>
      <c r="T3" s="46"/>
      <c r="U3" s="45"/>
      <c r="V3" s="48"/>
      <c r="W3" s="44"/>
      <c r="X3" s="44"/>
      <c r="Y3" s="53"/>
      <c r="Z3" s="44"/>
      <c r="AA3" s="51"/>
      <c r="AB3" s="52"/>
      <c r="AC3" s="52"/>
    </row>
    <row r="4" spans="1:29" s="18" customFormat="1" ht="19.899999999999999" customHeight="1" x14ac:dyDescent="0.25">
      <c r="A4" s="20">
        <v>44469</v>
      </c>
      <c r="B4" s="32">
        <v>30</v>
      </c>
      <c r="C4" s="27">
        <v>65</v>
      </c>
      <c r="D4" s="25">
        <v>800070</v>
      </c>
      <c r="E4" s="25">
        <v>801297</v>
      </c>
      <c r="F4" s="25">
        <v>788847</v>
      </c>
      <c r="G4" s="25">
        <v>788053</v>
      </c>
      <c r="H4" s="25">
        <v>253159</v>
      </c>
      <c r="I4" s="25">
        <v>7314275</v>
      </c>
      <c r="J4" s="25">
        <v>32544</v>
      </c>
      <c r="K4" s="25">
        <v>5338254</v>
      </c>
      <c r="L4" s="25">
        <v>820797</v>
      </c>
      <c r="M4" s="25">
        <v>2633596</v>
      </c>
      <c r="N4" s="25">
        <v>1252630</v>
      </c>
      <c r="O4" s="25">
        <v>372974</v>
      </c>
      <c r="P4" s="25">
        <v>1515278</v>
      </c>
      <c r="Q4" s="25">
        <v>675640</v>
      </c>
      <c r="R4" s="25">
        <v>1049</v>
      </c>
      <c r="S4" s="25">
        <v>341071</v>
      </c>
      <c r="T4" s="25">
        <v>43481</v>
      </c>
      <c r="U4" s="25">
        <v>51940</v>
      </c>
      <c r="V4" s="25">
        <v>30873</v>
      </c>
      <c r="W4" s="25">
        <v>490.03300000000002</v>
      </c>
      <c r="X4" s="25">
        <v>946.19399999999996</v>
      </c>
      <c r="Y4" s="25">
        <v>3889.3049999999998</v>
      </c>
      <c r="Z4" s="25">
        <v>4377</v>
      </c>
      <c r="AA4" s="25">
        <v>2239</v>
      </c>
      <c r="AB4" s="26">
        <v>2923</v>
      </c>
      <c r="AC4" s="26">
        <v>3569</v>
      </c>
    </row>
    <row r="5" spans="1:29" x14ac:dyDescent="0.25">
      <c r="A5" s="20">
        <v>44470</v>
      </c>
      <c r="B5" s="27">
        <v>69</v>
      </c>
      <c r="C5" s="27">
        <v>177</v>
      </c>
      <c r="D5" s="30">
        <v>802080</v>
      </c>
      <c r="E5" s="25">
        <v>803311</v>
      </c>
      <c r="F5" s="25">
        <v>791560</v>
      </c>
      <c r="G5" s="25">
        <v>790764</v>
      </c>
      <c r="H5" s="25">
        <v>253159</v>
      </c>
      <c r="I5" s="25">
        <v>7316214</v>
      </c>
      <c r="J5" s="25">
        <v>32552</v>
      </c>
      <c r="K5" s="25">
        <v>5340849</v>
      </c>
      <c r="L5" s="30">
        <v>821995</v>
      </c>
      <c r="M5" s="25">
        <v>2633596</v>
      </c>
      <c r="N5" s="25">
        <v>1254981</v>
      </c>
      <c r="O5" s="25">
        <v>373076</v>
      </c>
      <c r="P5" s="25">
        <v>1516060</v>
      </c>
      <c r="Q5" s="25">
        <v>675660</v>
      </c>
      <c r="R5" s="25">
        <v>1050</v>
      </c>
      <c r="S5" s="25">
        <v>341097</v>
      </c>
      <c r="T5" s="25">
        <v>43521</v>
      </c>
      <c r="U5" s="25">
        <v>51949</v>
      </c>
      <c r="V5" s="25">
        <v>30874</v>
      </c>
      <c r="W5" s="25">
        <v>490.03300000000002</v>
      </c>
      <c r="X5" s="25">
        <v>946.36500000000001</v>
      </c>
      <c r="Y5" s="25">
        <v>3889.306</v>
      </c>
      <c r="Z5" s="25">
        <v>4398</v>
      </c>
      <c r="AA5" s="25">
        <v>2250</v>
      </c>
      <c r="AB5" s="26">
        <v>2914</v>
      </c>
      <c r="AC5" s="26">
        <v>3578</v>
      </c>
    </row>
    <row r="6" spans="1:29" x14ac:dyDescent="0.25">
      <c r="A6" s="20">
        <v>44471</v>
      </c>
      <c r="B6" s="27">
        <v>42</v>
      </c>
      <c r="C6" s="27">
        <v>151</v>
      </c>
      <c r="D6" s="30">
        <v>804618</v>
      </c>
      <c r="E6" s="25">
        <v>805854</v>
      </c>
      <c r="F6" s="25">
        <v>794390</v>
      </c>
      <c r="G6" s="25">
        <v>793590</v>
      </c>
      <c r="H6" s="25">
        <v>253159</v>
      </c>
      <c r="I6" s="25">
        <v>7318153</v>
      </c>
      <c r="J6" s="25">
        <v>32560</v>
      </c>
      <c r="K6" s="25">
        <v>5343444</v>
      </c>
      <c r="L6" s="30">
        <v>823251</v>
      </c>
      <c r="M6" s="25">
        <v>2633596</v>
      </c>
      <c r="N6" s="25">
        <v>1257405</v>
      </c>
      <c r="O6" s="25">
        <v>373154</v>
      </c>
      <c r="P6" s="25">
        <v>1516834</v>
      </c>
      <c r="Q6" s="25">
        <v>675782</v>
      </c>
      <c r="R6" s="25">
        <v>1050</v>
      </c>
      <c r="S6" s="25">
        <v>341134</v>
      </c>
      <c r="T6" s="25">
        <v>43571</v>
      </c>
      <c r="U6" s="25">
        <v>51961</v>
      </c>
      <c r="V6" s="25">
        <v>30875</v>
      </c>
      <c r="W6" s="25">
        <v>490.03300000000002</v>
      </c>
      <c r="X6" s="25">
        <v>946.47799999999995</v>
      </c>
      <c r="Y6" s="25">
        <v>3889.3069999999998</v>
      </c>
      <c r="Z6" s="25">
        <v>4398</v>
      </c>
      <c r="AA6" s="25">
        <v>2257</v>
      </c>
      <c r="AB6" s="26">
        <v>2317</v>
      </c>
      <c r="AC6" s="26">
        <v>3601</v>
      </c>
    </row>
    <row r="7" spans="1:29" x14ac:dyDescent="0.25">
      <c r="A7" s="20">
        <v>44472</v>
      </c>
      <c r="B7" s="27">
        <v>49</v>
      </c>
      <c r="C7" s="27">
        <v>146</v>
      </c>
      <c r="D7" s="30">
        <v>806919</v>
      </c>
      <c r="E7" s="25">
        <v>808159</v>
      </c>
      <c r="F7" s="25">
        <v>797411</v>
      </c>
      <c r="G7" s="25">
        <v>796608</v>
      </c>
      <c r="H7" s="25">
        <v>253159</v>
      </c>
      <c r="I7" s="25">
        <v>7320092</v>
      </c>
      <c r="J7" s="25">
        <v>32568</v>
      </c>
      <c r="K7" s="25">
        <v>5346039</v>
      </c>
      <c r="L7" s="30">
        <v>824507</v>
      </c>
      <c r="M7" s="25">
        <v>2633598</v>
      </c>
      <c r="N7" s="25">
        <v>1259852</v>
      </c>
      <c r="O7" s="25">
        <v>373251</v>
      </c>
      <c r="P7" s="25">
        <v>1517590</v>
      </c>
      <c r="Q7" s="25">
        <v>675887</v>
      </c>
      <c r="R7" s="25">
        <v>1050</v>
      </c>
      <c r="S7" s="25">
        <v>341189</v>
      </c>
      <c r="T7" s="25">
        <v>43633</v>
      </c>
      <c r="U7" s="25">
        <v>51970</v>
      </c>
      <c r="V7" s="25">
        <v>30876</v>
      </c>
      <c r="W7" s="25">
        <v>490.08499999999998</v>
      </c>
      <c r="X7" s="25">
        <v>946.54600000000005</v>
      </c>
      <c r="Y7" s="25">
        <v>3889.308</v>
      </c>
      <c r="Z7" s="25">
        <v>4398</v>
      </c>
      <c r="AA7" s="25">
        <v>2271</v>
      </c>
      <c r="AB7" s="26">
        <v>2916</v>
      </c>
      <c r="AC7" s="26">
        <v>3600</v>
      </c>
    </row>
    <row r="8" spans="1:29" x14ac:dyDescent="0.25">
      <c r="A8" s="20">
        <v>44473</v>
      </c>
      <c r="B8" s="27">
        <v>83</v>
      </c>
      <c r="C8" s="27">
        <v>168</v>
      </c>
      <c r="D8" s="30">
        <v>809342</v>
      </c>
      <c r="E8" s="25">
        <v>810586</v>
      </c>
      <c r="F8" s="25">
        <v>800449</v>
      </c>
      <c r="G8" s="25">
        <v>799638</v>
      </c>
      <c r="H8" s="25">
        <v>253159</v>
      </c>
      <c r="I8" s="25">
        <v>7322031</v>
      </c>
      <c r="J8" s="25">
        <v>32576</v>
      </c>
      <c r="K8" s="25">
        <v>5348634</v>
      </c>
      <c r="L8" s="30">
        <v>825763</v>
      </c>
      <c r="M8" s="25">
        <v>2633598</v>
      </c>
      <c r="N8" s="25">
        <v>1262305</v>
      </c>
      <c r="O8" s="25">
        <v>373363</v>
      </c>
      <c r="P8" s="25">
        <v>1518377</v>
      </c>
      <c r="Q8" s="25">
        <v>676023</v>
      </c>
      <c r="R8" s="25">
        <v>1050</v>
      </c>
      <c r="S8" s="25">
        <v>341247</v>
      </c>
      <c r="T8" s="25">
        <v>43699</v>
      </c>
      <c r="U8" s="25">
        <v>51982</v>
      </c>
      <c r="V8" s="25">
        <v>30888</v>
      </c>
      <c r="W8" s="25">
        <v>490.13299999999998</v>
      </c>
      <c r="X8" s="25">
        <v>946.63300000000004</v>
      </c>
      <c r="Y8" s="25">
        <v>3889.31</v>
      </c>
      <c r="Z8" s="25">
        <v>4398</v>
      </c>
      <c r="AA8" s="25">
        <v>2291</v>
      </c>
      <c r="AB8" s="26">
        <v>2927</v>
      </c>
      <c r="AC8" s="26">
        <v>3601</v>
      </c>
    </row>
    <row r="9" spans="1:29" x14ac:dyDescent="0.25">
      <c r="A9" s="20">
        <v>44474</v>
      </c>
      <c r="B9" s="27">
        <v>7</v>
      </c>
      <c r="C9" s="27">
        <v>147</v>
      </c>
      <c r="D9" s="30">
        <v>811781</v>
      </c>
      <c r="E9" s="25">
        <v>813030</v>
      </c>
      <c r="F9" s="25">
        <v>803411</v>
      </c>
      <c r="G9" s="25">
        <v>802603</v>
      </c>
      <c r="H9" s="25">
        <v>253159</v>
      </c>
      <c r="I9" s="25">
        <v>7323970</v>
      </c>
      <c r="J9" s="25">
        <v>32584</v>
      </c>
      <c r="K9" s="25">
        <v>5351229</v>
      </c>
      <c r="L9" s="30">
        <v>826855</v>
      </c>
      <c r="M9" s="25">
        <v>2633599</v>
      </c>
      <c r="N9" s="25">
        <v>1264813</v>
      </c>
      <c r="O9" s="25">
        <v>373459</v>
      </c>
      <c r="P9" s="25">
        <v>1519184</v>
      </c>
      <c r="Q9" s="25">
        <v>676196</v>
      </c>
      <c r="R9" s="25">
        <v>1050</v>
      </c>
      <c r="S9" s="25">
        <v>341307</v>
      </c>
      <c r="T9" s="25">
        <v>43764</v>
      </c>
      <c r="U9" s="25">
        <v>51992</v>
      </c>
      <c r="V9" s="25">
        <v>30888</v>
      </c>
      <c r="W9" s="25">
        <v>490.13299999999998</v>
      </c>
      <c r="X9" s="25">
        <v>946.70899999999995</v>
      </c>
      <c r="Y9" s="25">
        <v>3889.3110000000001</v>
      </c>
      <c r="Z9" s="25">
        <v>4398</v>
      </c>
      <c r="AA9" s="25">
        <v>2297</v>
      </c>
      <c r="AB9" s="26">
        <v>2862</v>
      </c>
      <c r="AC9" s="26">
        <v>3576</v>
      </c>
    </row>
    <row r="10" spans="1:29" x14ac:dyDescent="0.25">
      <c r="A10" s="20">
        <v>44475</v>
      </c>
      <c r="B10" s="27">
        <v>13</v>
      </c>
      <c r="C10" s="27">
        <v>36</v>
      </c>
      <c r="D10" s="30">
        <v>814368</v>
      </c>
      <c r="E10" s="25">
        <v>815622</v>
      </c>
      <c r="F10" s="25">
        <v>806214</v>
      </c>
      <c r="G10" s="25">
        <v>805402</v>
      </c>
      <c r="H10" s="25">
        <v>253163</v>
      </c>
      <c r="I10" s="25">
        <v>7325909</v>
      </c>
      <c r="J10" s="25">
        <v>32592</v>
      </c>
      <c r="K10" s="25">
        <v>5353824</v>
      </c>
      <c r="L10" s="30">
        <v>828050</v>
      </c>
      <c r="M10" s="25">
        <v>2633611</v>
      </c>
      <c r="N10" s="25">
        <v>1267278</v>
      </c>
      <c r="O10" s="25">
        <v>373546</v>
      </c>
      <c r="P10" s="25">
        <v>1519783</v>
      </c>
      <c r="Q10" s="25">
        <v>676364</v>
      </c>
      <c r="R10" s="25">
        <v>1051</v>
      </c>
      <c r="S10" s="25">
        <v>341365</v>
      </c>
      <c r="T10" s="25">
        <v>43829</v>
      </c>
      <c r="U10" s="25">
        <v>52002</v>
      </c>
      <c r="V10" s="25">
        <v>30890</v>
      </c>
      <c r="W10" s="25">
        <v>490.16800000000001</v>
      </c>
      <c r="X10" s="25">
        <v>946.81</v>
      </c>
      <c r="Y10" s="25">
        <v>3889.3119999999999</v>
      </c>
      <c r="Z10" s="25">
        <v>4398</v>
      </c>
      <c r="AA10" s="25">
        <v>2302</v>
      </c>
      <c r="AB10" s="26">
        <v>2919</v>
      </c>
      <c r="AC10" s="26">
        <v>1982</v>
      </c>
    </row>
    <row r="11" spans="1:29" x14ac:dyDescent="0.25">
      <c r="A11" s="20">
        <v>44476</v>
      </c>
      <c r="B11" s="27">
        <v>52</v>
      </c>
      <c r="C11" s="27">
        <v>91</v>
      </c>
      <c r="D11" s="30">
        <v>818130</v>
      </c>
      <c r="E11" s="25">
        <v>819390</v>
      </c>
      <c r="F11" s="25">
        <v>810636</v>
      </c>
      <c r="G11" s="25">
        <v>809821</v>
      </c>
      <c r="H11" s="25">
        <v>253749</v>
      </c>
      <c r="I11" s="25">
        <v>7327848</v>
      </c>
      <c r="J11" s="25">
        <v>32600</v>
      </c>
      <c r="K11" s="25">
        <v>5356419</v>
      </c>
      <c r="L11" s="30">
        <v>829110</v>
      </c>
      <c r="M11" s="25">
        <v>2633611</v>
      </c>
      <c r="N11" s="25">
        <v>1269056</v>
      </c>
      <c r="O11" s="25">
        <v>373619</v>
      </c>
      <c r="P11" s="25">
        <v>1519787</v>
      </c>
      <c r="Q11" s="25">
        <v>676631</v>
      </c>
      <c r="R11" s="25">
        <v>1055</v>
      </c>
      <c r="S11" s="25">
        <v>341401</v>
      </c>
      <c r="T11" s="25">
        <v>43875</v>
      </c>
      <c r="U11" s="25">
        <v>52010</v>
      </c>
      <c r="V11" s="25">
        <v>30891</v>
      </c>
      <c r="W11" s="25">
        <v>490.16800000000001</v>
      </c>
      <c r="X11" s="25">
        <v>946.96199999999999</v>
      </c>
      <c r="Y11" s="25">
        <v>3889.3130000000001</v>
      </c>
      <c r="Z11" s="25">
        <v>4398</v>
      </c>
      <c r="AA11" s="25">
        <v>2307</v>
      </c>
      <c r="AB11" s="26">
        <v>2928</v>
      </c>
      <c r="AC11" s="26">
        <v>0</v>
      </c>
    </row>
    <row r="12" spans="1:29" x14ac:dyDescent="0.25">
      <c r="A12" s="20">
        <v>44477</v>
      </c>
      <c r="B12" s="27">
        <v>37</v>
      </c>
      <c r="C12" s="27">
        <v>135</v>
      </c>
      <c r="D12" s="30">
        <v>821984</v>
      </c>
      <c r="E12" s="25">
        <v>823250</v>
      </c>
      <c r="F12" s="25">
        <v>815696</v>
      </c>
      <c r="G12" s="25">
        <v>814875</v>
      </c>
      <c r="H12" s="25">
        <v>254477</v>
      </c>
      <c r="I12" s="25">
        <v>7329787</v>
      </c>
      <c r="J12" s="25">
        <v>32608</v>
      </c>
      <c r="K12" s="25">
        <v>5359014</v>
      </c>
      <c r="L12" s="30">
        <v>830314</v>
      </c>
      <c r="M12" s="25">
        <v>2633611</v>
      </c>
      <c r="N12" s="25">
        <v>1270603</v>
      </c>
      <c r="O12" s="25">
        <v>373686</v>
      </c>
      <c r="P12" s="25">
        <v>1519787</v>
      </c>
      <c r="Q12" s="25">
        <v>677042</v>
      </c>
      <c r="R12" s="25">
        <v>1060</v>
      </c>
      <c r="S12" s="25">
        <v>341440</v>
      </c>
      <c r="T12" s="25">
        <v>43919</v>
      </c>
      <c r="U12" s="25">
        <v>52019</v>
      </c>
      <c r="V12" s="25">
        <v>30892</v>
      </c>
      <c r="W12" s="25">
        <v>490.23</v>
      </c>
      <c r="X12" s="25">
        <v>947.06100000000004</v>
      </c>
      <c r="Y12" s="25">
        <v>3889.3150000000001</v>
      </c>
      <c r="Z12" s="25">
        <v>4398</v>
      </c>
      <c r="AA12" s="25">
        <v>2311</v>
      </c>
      <c r="AB12" s="26">
        <v>2929</v>
      </c>
      <c r="AC12" s="26">
        <v>0</v>
      </c>
    </row>
    <row r="13" spans="1:29" x14ac:dyDescent="0.25">
      <c r="A13" s="20">
        <v>44478</v>
      </c>
      <c r="B13" s="27">
        <v>49</v>
      </c>
      <c r="C13" s="27">
        <v>219</v>
      </c>
      <c r="D13" s="30">
        <v>825966</v>
      </c>
      <c r="E13" s="25">
        <v>827239</v>
      </c>
      <c r="F13" s="25">
        <v>820812</v>
      </c>
      <c r="G13" s="25">
        <v>819986</v>
      </c>
      <c r="H13" s="25">
        <v>255220</v>
      </c>
      <c r="I13" s="25">
        <v>7331726</v>
      </c>
      <c r="J13" s="25">
        <v>32616</v>
      </c>
      <c r="K13" s="25">
        <v>5361609</v>
      </c>
      <c r="L13" s="30">
        <v>831570</v>
      </c>
      <c r="M13" s="25">
        <v>2633612</v>
      </c>
      <c r="N13" s="25">
        <v>1272265</v>
      </c>
      <c r="O13" s="25">
        <v>373770</v>
      </c>
      <c r="P13" s="25">
        <v>1519787</v>
      </c>
      <c r="Q13" s="25">
        <v>677452</v>
      </c>
      <c r="R13" s="25">
        <v>1064</v>
      </c>
      <c r="S13" s="25">
        <v>341486</v>
      </c>
      <c r="T13" s="25">
        <v>43971</v>
      </c>
      <c r="U13" s="25">
        <v>52028</v>
      </c>
      <c r="V13" s="25">
        <v>30893</v>
      </c>
      <c r="W13" s="25">
        <v>490.23</v>
      </c>
      <c r="X13" s="25">
        <v>947.1</v>
      </c>
      <c r="Y13" s="25">
        <v>3889.3290000000002</v>
      </c>
      <c r="Z13" s="25">
        <v>4398</v>
      </c>
      <c r="AA13" s="25">
        <v>2320</v>
      </c>
      <c r="AB13" s="26">
        <v>2928</v>
      </c>
      <c r="AC13" s="26">
        <v>0</v>
      </c>
    </row>
    <row r="14" spans="1:29" x14ac:dyDescent="0.25">
      <c r="A14" s="20">
        <v>44479</v>
      </c>
      <c r="B14" s="27">
        <v>57</v>
      </c>
      <c r="C14" s="27">
        <v>171</v>
      </c>
      <c r="D14" s="30">
        <v>830485</v>
      </c>
      <c r="E14" s="25">
        <v>831766</v>
      </c>
      <c r="F14" s="25">
        <v>827665</v>
      </c>
      <c r="G14" s="25">
        <v>826832</v>
      </c>
      <c r="H14" s="25">
        <v>255979</v>
      </c>
      <c r="I14" s="25">
        <v>7333665</v>
      </c>
      <c r="J14" s="25">
        <v>32624</v>
      </c>
      <c r="K14" s="25">
        <v>5364204</v>
      </c>
      <c r="L14" s="30">
        <v>832826</v>
      </c>
      <c r="M14" s="25">
        <v>2633612</v>
      </c>
      <c r="N14" s="25">
        <v>1274466</v>
      </c>
      <c r="O14" s="25">
        <v>373894</v>
      </c>
      <c r="P14" s="25">
        <v>1519787</v>
      </c>
      <c r="Q14" s="25">
        <v>677702</v>
      </c>
      <c r="R14" s="25">
        <v>1069</v>
      </c>
      <c r="S14" s="25">
        <v>341544</v>
      </c>
      <c r="T14" s="25">
        <v>44036</v>
      </c>
      <c r="U14" s="25">
        <v>52037</v>
      </c>
      <c r="V14" s="25">
        <v>30894</v>
      </c>
      <c r="W14" s="25">
        <v>490.279</v>
      </c>
      <c r="X14" s="25">
        <v>947.38199999999995</v>
      </c>
      <c r="Y14" s="25">
        <v>3889.317</v>
      </c>
      <c r="Z14" s="25">
        <v>4398</v>
      </c>
      <c r="AA14" s="25">
        <v>2341</v>
      </c>
      <c r="AB14" s="26">
        <v>2928</v>
      </c>
      <c r="AC14" s="26">
        <v>0</v>
      </c>
    </row>
    <row r="15" spans="1:29" x14ac:dyDescent="0.25">
      <c r="A15" s="20">
        <v>44480</v>
      </c>
      <c r="B15" s="27">
        <v>44</v>
      </c>
      <c r="C15" s="27">
        <v>128</v>
      </c>
      <c r="D15" s="30">
        <v>833203</v>
      </c>
      <c r="E15" s="25">
        <v>834489</v>
      </c>
      <c r="F15" s="25">
        <v>831488</v>
      </c>
      <c r="G15" s="25">
        <v>830651</v>
      </c>
      <c r="H15" s="25">
        <v>256728</v>
      </c>
      <c r="I15" s="25">
        <v>7335604</v>
      </c>
      <c r="J15" s="25">
        <v>32632</v>
      </c>
      <c r="K15" s="25">
        <v>5366799</v>
      </c>
      <c r="L15" s="30">
        <v>834082</v>
      </c>
      <c r="M15" s="25">
        <v>2633612</v>
      </c>
      <c r="N15" s="25">
        <v>1275794</v>
      </c>
      <c r="O15" s="25">
        <v>374018</v>
      </c>
      <c r="P15" s="25">
        <v>1519787</v>
      </c>
      <c r="Q15" s="25">
        <v>677849</v>
      </c>
      <c r="R15" s="25">
        <v>1072</v>
      </c>
      <c r="S15" s="25">
        <v>341620</v>
      </c>
      <c r="T15" s="25">
        <v>44120</v>
      </c>
      <c r="U15" s="25">
        <v>52049</v>
      </c>
      <c r="V15" s="25">
        <v>30897</v>
      </c>
      <c r="W15" s="25">
        <v>490.279</v>
      </c>
      <c r="X15" s="25">
        <v>947.54100000000005</v>
      </c>
      <c r="Y15" s="25">
        <v>3889.3180000000002</v>
      </c>
      <c r="Z15" s="25">
        <v>4398</v>
      </c>
      <c r="AA15" s="25">
        <v>2366</v>
      </c>
      <c r="AB15" s="26">
        <v>2928</v>
      </c>
      <c r="AC15" s="26">
        <v>0</v>
      </c>
    </row>
    <row r="16" spans="1:29" x14ac:dyDescent="0.25">
      <c r="A16" s="20">
        <v>44481</v>
      </c>
      <c r="B16" s="27">
        <v>35</v>
      </c>
      <c r="C16" s="27">
        <v>60</v>
      </c>
      <c r="D16" s="30">
        <v>837873</v>
      </c>
      <c r="E16" s="25">
        <v>839167</v>
      </c>
      <c r="F16" s="25">
        <v>837048</v>
      </c>
      <c r="G16" s="25">
        <v>836205</v>
      </c>
      <c r="H16" s="25">
        <v>257513</v>
      </c>
      <c r="I16" s="25">
        <v>7337543</v>
      </c>
      <c r="J16" s="25">
        <v>32640</v>
      </c>
      <c r="K16" s="25">
        <v>5369394</v>
      </c>
      <c r="L16" s="30">
        <v>835338</v>
      </c>
      <c r="M16" s="25">
        <v>2633766</v>
      </c>
      <c r="N16" s="25">
        <v>1277611</v>
      </c>
      <c r="O16" s="25">
        <v>374131</v>
      </c>
      <c r="P16" s="25">
        <v>1519787</v>
      </c>
      <c r="Q16" s="25">
        <v>677950</v>
      </c>
      <c r="R16" s="25">
        <v>1076</v>
      </c>
      <c r="S16" s="25">
        <v>341681</v>
      </c>
      <c r="T16" s="25">
        <v>44185</v>
      </c>
      <c r="U16" s="25">
        <v>52058</v>
      </c>
      <c r="V16" s="25">
        <v>30898</v>
      </c>
      <c r="W16" s="25">
        <v>490.32600000000002</v>
      </c>
      <c r="X16" s="25">
        <v>947.70600000000002</v>
      </c>
      <c r="Y16" s="25">
        <v>3889.3220000000001</v>
      </c>
      <c r="Z16" s="25">
        <v>4398</v>
      </c>
      <c r="AA16" s="25">
        <v>2389</v>
      </c>
      <c r="AB16" s="26">
        <v>273</v>
      </c>
      <c r="AC16" s="26">
        <v>1275</v>
      </c>
    </row>
    <row r="17" spans="1:29" x14ac:dyDescent="0.25">
      <c r="A17" s="20">
        <v>44482</v>
      </c>
      <c r="B17" s="27">
        <v>102</v>
      </c>
      <c r="C17" s="27">
        <v>130</v>
      </c>
      <c r="D17" s="30">
        <v>839486</v>
      </c>
      <c r="E17" s="25">
        <f>E16+1613</f>
        <v>840780</v>
      </c>
      <c r="F17" s="25">
        <f>F16+2626</f>
        <v>839674</v>
      </c>
      <c r="G17" s="25">
        <f>G16+2626</f>
        <v>838831</v>
      </c>
      <c r="H17" s="25">
        <v>257745</v>
      </c>
      <c r="I17" s="25">
        <v>7339482</v>
      </c>
      <c r="J17" s="25">
        <v>32648</v>
      </c>
      <c r="K17" s="25">
        <v>5371989</v>
      </c>
      <c r="L17" s="30">
        <v>836545</v>
      </c>
      <c r="M17" s="25">
        <v>2634474</v>
      </c>
      <c r="N17" s="25">
        <v>1279282</v>
      </c>
      <c r="O17" s="25">
        <v>374203</v>
      </c>
      <c r="P17" s="25">
        <v>1519787</v>
      </c>
      <c r="Q17" s="25">
        <v>678131</v>
      </c>
      <c r="R17" s="25">
        <v>1080</v>
      </c>
      <c r="S17" s="25">
        <v>341711</v>
      </c>
      <c r="T17" s="25">
        <v>44232</v>
      </c>
      <c r="U17" s="25">
        <v>52068</v>
      </c>
      <c r="V17" s="25">
        <v>30899</v>
      </c>
      <c r="W17" s="25">
        <v>490.32600000000002</v>
      </c>
      <c r="X17" s="25">
        <v>947.81500000000005</v>
      </c>
      <c r="Y17" s="25">
        <v>3889.3229999999999</v>
      </c>
      <c r="Z17" s="25">
        <v>4398</v>
      </c>
      <c r="AA17" s="25">
        <v>2392</v>
      </c>
      <c r="AB17" s="26">
        <v>0</v>
      </c>
      <c r="AC17" s="26">
        <v>3084</v>
      </c>
    </row>
    <row r="18" spans="1:29" x14ac:dyDescent="0.25">
      <c r="A18" s="20">
        <v>44483</v>
      </c>
      <c r="B18" s="27">
        <v>73</v>
      </c>
      <c r="C18" s="27">
        <v>116</v>
      </c>
      <c r="D18" s="30">
        <v>850629</v>
      </c>
      <c r="E18" s="25">
        <v>851946</v>
      </c>
      <c r="F18" s="25">
        <v>842306</v>
      </c>
      <c r="G18" s="25">
        <v>841457</v>
      </c>
      <c r="H18" s="25">
        <v>258074</v>
      </c>
      <c r="I18" s="25">
        <v>7341421</v>
      </c>
      <c r="J18" s="25">
        <v>32656</v>
      </c>
      <c r="K18" s="25">
        <v>5374584</v>
      </c>
      <c r="L18" s="30">
        <v>837801</v>
      </c>
      <c r="M18" s="25">
        <v>2635144</v>
      </c>
      <c r="N18" s="25">
        <v>1280850</v>
      </c>
      <c r="O18" s="25">
        <v>374203</v>
      </c>
      <c r="P18" s="25">
        <v>1519787</v>
      </c>
      <c r="Q18" s="25">
        <v>678352</v>
      </c>
      <c r="R18" s="25">
        <v>1084</v>
      </c>
      <c r="S18" s="25">
        <v>341761</v>
      </c>
      <c r="T18" s="25">
        <v>44288</v>
      </c>
      <c r="U18" s="25">
        <v>52078</v>
      </c>
      <c r="V18" s="25">
        <v>30900</v>
      </c>
      <c r="W18" s="25">
        <v>490.32600000000002</v>
      </c>
      <c r="X18" s="25">
        <v>947.81500000000005</v>
      </c>
      <c r="Y18" s="25">
        <v>3889.3229999999999</v>
      </c>
      <c r="Z18" s="25">
        <v>4398</v>
      </c>
      <c r="AA18" s="25">
        <v>2396</v>
      </c>
      <c r="AB18" s="26">
        <v>0</v>
      </c>
      <c r="AC18" s="26">
        <v>1989</v>
      </c>
    </row>
    <row r="19" spans="1:29" x14ac:dyDescent="0.25">
      <c r="A19" s="20">
        <v>44484</v>
      </c>
      <c r="B19" s="27">
        <v>123</v>
      </c>
      <c r="C19" s="27">
        <v>259</v>
      </c>
      <c r="D19" s="30">
        <v>857048</v>
      </c>
      <c r="E19" s="25">
        <v>858377</v>
      </c>
      <c r="F19" s="25">
        <v>845771</v>
      </c>
      <c r="G19" s="25">
        <v>844919</v>
      </c>
      <c r="H19" s="25">
        <v>258404</v>
      </c>
      <c r="I19" s="25">
        <v>7343360</v>
      </c>
      <c r="J19" s="25">
        <v>32664</v>
      </c>
      <c r="K19" s="25">
        <v>5377179</v>
      </c>
      <c r="L19" s="30">
        <v>839057</v>
      </c>
      <c r="M19" s="25">
        <v>2635855</v>
      </c>
      <c r="N19" s="25">
        <v>1282273</v>
      </c>
      <c r="O19" s="25">
        <v>374364</v>
      </c>
      <c r="P19" s="25">
        <v>1519787</v>
      </c>
      <c r="Q19" s="25">
        <v>678490</v>
      </c>
      <c r="R19" s="25">
        <v>1089</v>
      </c>
      <c r="S19" s="25">
        <v>341807</v>
      </c>
      <c r="T19" s="25">
        <v>44347</v>
      </c>
      <c r="U19" s="25">
        <v>52088</v>
      </c>
      <c r="V19" s="25">
        <v>30902</v>
      </c>
      <c r="W19" s="25">
        <v>490.32600000000002</v>
      </c>
      <c r="X19" s="25">
        <v>948.44</v>
      </c>
      <c r="Y19" s="25">
        <v>3889.3249999999998</v>
      </c>
      <c r="Z19" s="25">
        <v>4398</v>
      </c>
      <c r="AA19" s="25">
        <v>2402</v>
      </c>
      <c r="AB19" s="26">
        <v>0</v>
      </c>
      <c r="AC19" s="26">
        <v>1990</v>
      </c>
    </row>
    <row r="20" spans="1:29" x14ac:dyDescent="0.25">
      <c r="A20" s="20">
        <v>44485</v>
      </c>
      <c r="B20" s="27">
        <v>56</v>
      </c>
      <c r="C20" s="27">
        <v>232</v>
      </c>
      <c r="D20" s="30">
        <v>864065</v>
      </c>
      <c r="E20" s="25">
        <v>865404</v>
      </c>
      <c r="F20" s="25">
        <v>847912</v>
      </c>
      <c r="G20" s="25">
        <v>847058</v>
      </c>
      <c r="H20" s="25">
        <v>258474</v>
      </c>
      <c r="I20" s="25">
        <v>7345299</v>
      </c>
      <c r="J20" s="25">
        <v>32672</v>
      </c>
      <c r="K20" s="25">
        <v>5379774</v>
      </c>
      <c r="L20" s="30">
        <v>840016</v>
      </c>
      <c r="M20" s="25">
        <v>2636577</v>
      </c>
      <c r="N20" s="25">
        <v>1284140</v>
      </c>
      <c r="O20" s="25">
        <v>374460</v>
      </c>
      <c r="P20" s="25">
        <v>1519787</v>
      </c>
      <c r="Q20" s="25">
        <v>678718</v>
      </c>
      <c r="R20" s="25">
        <v>1093</v>
      </c>
      <c r="S20" s="25">
        <v>341869</v>
      </c>
      <c r="T20" s="25">
        <v>44417</v>
      </c>
      <c r="U20" s="25">
        <v>52099</v>
      </c>
      <c r="V20" s="25">
        <v>30903</v>
      </c>
      <c r="W20" s="25">
        <v>490.32600000000002</v>
      </c>
      <c r="X20" s="25">
        <v>948.54899999999998</v>
      </c>
      <c r="Y20" s="25">
        <v>3889.326</v>
      </c>
      <c r="Z20" s="25">
        <v>4398</v>
      </c>
      <c r="AA20" s="25">
        <v>2405</v>
      </c>
      <c r="AB20" s="26">
        <v>0</v>
      </c>
      <c r="AC20" s="26">
        <v>2224</v>
      </c>
    </row>
    <row r="21" spans="1:29" x14ac:dyDescent="0.25">
      <c r="A21" s="20">
        <v>44486</v>
      </c>
      <c r="B21" s="27">
        <v>19</v>
      </c>
      <c r="C21" s="27">
        <v>100</v>
      </c>
      <c r="D21" s="30">
        <v>871046</v>
      </c>
      <c r="E21" s="25">
        <v>872397</v>
      </c>
      <c r="F21" s="25">
        <v>852177</v>
      </c>
      <c r="G21" s="25">
        <v>851319</v>
      </c>
      <c r="H21" s="25">
        <v>259002</v>
      </c>
      <c r="I21" s="25">
        <v>7347238</v>
      </c>
      <c r="J21" s="25">
        <v>32680</v>
      </c>
      <c r="K21" s="25">
        <v>5382369</v>
      </c>
      <c r="L21" s="30">
        <v>841345</v>
      </c>
      <c r="M21" s="25">
        <v>2637292</v>
      </c>
      <c r="N21" s="25">
        <v>1285604</v>
      </c>
      <c r="O21" s="25">
        <v>374565</v>
      </c>
      <c r="P21" s="25">
        <v>1519787</v>
      </c>
      <c r="Q21" s="25">
        <v>678996</v>
      </c>
      <c r="R21" s="25">
        <v>1097</v>
      </c>
      <c r="S21" s="25">
        <v>341938</v>
      </c>
      <c r="T21" s="25">
        <v>44493</v>
      </c>
      <c r="U21" s="25">
        <v>52110</v>
      </c>
      <c r="V21" s="25">
        <v>30904</v>
      </c>
      <c r="W21" s="25">
        <v>490.32600000000002</v>
      </c>
      <c r="X21" s="25">
        <v>948.78899999999999</v>
      </c>
      <c r="Y21" s="25">
        <v>3889.3290000000002</v>
      </c>
      <c r="Z21" s="25">
        <v>4398</v>
      </c>
      <c r="AA21" s="25">
        <v>2410</v>
      </c>
      <c r="AB21" s="26">
        <v>0</v>
      </c>
      <c r="AC21" s="26">
        <v>586</v>
      </c>
    </row>
    <row r="22" spans="1:29" x14ac:dyDescent="0.25">
      <c r="A22" s="20">
        <v>44487</v>
      </c>
      <c r="B22" s="27">
        <v>121</v>
      </c>
      <c r="C22" s="27">
        <v>180</v>
      </c>
      <c r="D22" s="30">
        <v>877623</v>
      </c>
      <c r="E22" s="25">
        <v>878985</v>
      </c>
      <c r="F22" s="25">
        <v>856624</v>
      </c>
      <c r="G22" s="25">
        <v>855760</v>
      </c>
      <c r="H22" s="25">
        <v>259616</v>
      </c>
      <c r="I22" s="25">
        <v>7349177</v>
      </c>
      <c r="J22" s="25">
        <v>32688</v>
      </c>
      <c r="K22" s="25">
        <v>5384964</v>
      </c>
      <c r="L22" s="30">
        <v>842601</v>
      </c>
      <c r="M22" s="25">
        <v>2637996</v>
      </c>
      <c r="N22" s="25">
        <v>1287056</v>
      </c>
      <c r="O22" s="25">
        <v>374657</v>
      </c>
      <c r="P22" s="25">
        <v>1519787</v>
      </c>
      <c r="Q22" s="25">
        <v>679223</v>
      </c>
      <c r="R22" s="25">
        <v>1101</v>
      </c>
      <c r="S22" s="25">
        <v>341986</v>
      </c>
      <c r="T22" s="25">
        <v>44551</v>
      </c>
      <c r="U22" s="25">
        <v>52117</v>
      </c>
      <c r="V22" s="25">
        <v>30908</v>
      </c>
      <c r="W22" s="25">
        <v>490.32600000000002</v>
      </c>
      <c r="X22" s="25">
        <v>948.98599999999999</v>
      </c>
      <c r="Y22" s="25">
        <v>3889.3290000000002</v>
      </c>
      <c r="Z22" s="25">
        <v>4398</v>
      </c>
      <c r="AA22" s="25">
        <v>2418</v>
      </c>
      <c r="AB22" s="26">
        <v>961</v>
      </c>
      <c r="AC22" s="26">
        <v>1350</v>
      </c>
    </row>
    <row r="23" spans="1:29" x14ac:dyDescent="0.25">
      <c r="A23" s="20">
        <v>44488</v>
      </c>
      <c r="B23" s="27">
        <v>51</v>
      </c>
      <c r="C23" s="27">
        <v>121</v>
      </c>
      <c r="D23" s="30">
        <v>882619</v>
      </c>
      <c r="E23" s="25">
        <v>883990</v>
      </c>
      <c r="F23" s="25">
        <v>860347</v>
      </c>
      <c r="G23" s="25">
        <v>859481</v>
      </c>
      <c r="H23" s="25">
        <v>260061</v>
      </c>
      <c r="I23" s="25">
        <v>7351116</v>
      </c>
      <c r="J23" s="25">
        <v>32696</v>
      </c>
      <c r="K23" s="25">
        <v>5387559</v>
      </c>
      <c r="L23" s="30">
        <v>843746</v>
      </c>
      <c r="M23" s="25">
        <v>2638273</v>
      </c>
      <c r="N23" s="25">
        <v>1288776</v>
      </c>
      <c r="O23" s="25">
        <v>374750</v>
      </c>
      <c r="P23" s="25">
        <v>1519787</v>
      </c>
      <c r="Q23" s="25">
        <v>679705</v>
      </c>
      <c r="R23" s="25">
        <v>1106</v>
      </c>
      <c r="S23" s="25">
        <v>342036</v>
      </c>
      <c r="T23" s="25">
        <v>44604</v>
      </c>
      <c r="U23" s="25">
        <v>52127</v>
      </c>
      <c r="V23" s="25">
        <v>30909</v>
      </c>
      <c r="W23" s="25">
        <v>490.32600000000002</v>
      </c>
      <c r="X23" s="25">
        <v>949.20100000000002</v>
      </c>
      <c r="Y23" s="25">
        <v>3889.3310000000001</v>
      </c>
      <c r="Z23" s="25">
        <v>4398</v>
      </c>
      <c r="AA23" s="25">
        <v>2421</v>
      </c>
      <c r="AB23" s="26">
        <v>2897</v>
      </c>
      <c r="AC23" s="26">
        <v>1081</v>
      </c>
    </row>
    <row r="24" spans="1:29" x14ac:dyDescent="0.25">
      <c r="A24" s="20">
        <v>44489</v>
      </c>
      <c r="B24" s="27">
        <v>60</v>
      </c>
      <c r="C24" s="27">
        <v>195</v>
      </c>
      <c r="D24" s="30">
        <v>886918</v>
      </c>
      <c r="E24" s="25">
        <v>888955</v>
      </c>
      <c r="F24" s="25">
        <v>864256</v>
      </c>
      <c r="G24" s="25">
        <v>863386</v>
      </c>
      <c r="H24" s="25">
        <v>260570</v>
      </c>
      <c r="I24" s="25">
        <v>7353055</v>
      </c>
      <c r="J24" s="25">
        <v>32704</v>
      </c>
      <c r="K24" s="25">
        <v>5390154</v>
      </c>
      <c r="L24" s="25">
        <v>844996</v>
      </c>
      <c r="M24" s="25">
        <v>2638282</v>
      </c>
      <c r="N24" s="25">
        <v>1290534</v>
      </c>
      <c r="O24" s="25">
        <v>374831</v>
      </c>
      <c r="P24" s="25">
        <v>1519787</v>
      </c>
      <c r="Q24" s="25">
        <v>680292</v>
      </c>
      <c r="R24" s="25">
        <v>1110</v>
      </c>
      <c r="S24" s="25">
        <v>342088</v>
      </c>
      <c r="T24" s="25">
        <v>44662</v>
      </c>
      <c r="U24" s="25">
        <v>52138</v>
      </c>
      <c r="V24" s="25">
        <v>30910</v>
      </c>
      <c r="W24" s="25">
        <v>490.32600000000002</v>
      </c>
      <c r="X24" s="25">
        <v>949.41899999999998</v>
      </c>
      <c r="Y24" s="25">
        <v>3889.3310000000001</v>
      </c>
      <c r="Z24" s="25">
        <v>4398</v>
      </c>
      <c r="AA24" s="25">
        <v>2426</v>
      </c>
      <c r="AB24" s="26">
        <v>2928</v>
      </c>
      <c r="AC24" s="26">
        <v>521</v>
      </c>
    </row>
    <row r="25" spans="1:29" x14ac:dyDescent="0.25">
      <c r="A25" s="20">
        <v>44490</v>
      </c>
      <c r="B25" s="27">
        <v>33</v>
      </c>
      <c r="C25" s="27">
        <v>203</v>
      </c>
      <c r="D25" s="30">
        <v>890826</v>
      </c>
      <c r="E25" s="25">
        <v>892210</v>
      </c>
      <c r="F25" s="25">
        <v>868708</v>
      </c>
      <c r="G25" s="25">
        <v>867832</v>
      </c>
      <c r="H25" s="25">
        <v>261186</v>
      </c>
      <c r="I25" s="25">
        <v>7354994</v>
      </c>
      <c r="J25" s="25">
        <v>32712</v>
      </c>
      <c r="K25" s="25">
        <v>5392749</v>
      </c>
      <c r="L25" s="25">
        <v>846246</v>
      </c>
      <c r="M25" s="25">
        <v>2638283</v>
      </c>
      <c r="N25" s="25">
        <v>1292428</v>
      </c>
      <c r="O25" s="25">
        <v>374915</v>
      </c>
      <c r="P25" s="25">
        <v>1519787</v>
      </c>
      <c r="Q25" s="25">
        <v>680592</v>
      </c>
      <c r="R25" s="25">
        <v>1114</v>
      </c>
      <c r="S25" s="25">
        <v>342139</v>
      </c>
      <c r="T25" s="25">
        <v>44719</v>
      </c>
      <c r="U25" s="25">
        <v>52149</v>
      </c>
      <c r="V25" s="25">
        <v>30911</v>
      </c>
      <c r="W25" s="25">
        <v>490.32600000000002</v>
      </c>
      <c r="X25" s="25">
        <v>949.60900000000004</v>
      </c>
      <c r="Y25" s="25">
        <v>3889.3310000000001</v>
      </c>
      <c r="Z25" s="25">
        <v>4398</v>
      </c>
      <c r="AA25" s="25">
        <v>2432</v>
      </c>
      <c r="AB25" s="26">
        <v>2928</v>
      </c>
      <c r="AC25" s="26">
        <v>1102</v>
      </c>
    </row>
    <row r="26" spans="1:29" x14ac:dyDescent="0.25">
      <c r="A26" s="20">
        <v>44491</v>
      </c>
      <c r="B26" s="27">
        <v>52</v>
      </c>
      <c r="C26" s="27">
        <v>194</v>
      </c>
      <c r="D26" s="30">
        <v>894004</v>
      </c>
      <c r="E26" s="25">
        <v>895394</v>
      </c>
      <c r="F26" s="25">
        <v>870599</v>
      </c>
      <c r="G26" s="25">
        <v>869721</v>
      </c>
      <c r="H26" s="25">
        <v>261248</v>
      </c>
      <c r="I26" s="25">
        <v>7356933</v>
      </c>
      <c r="J26" s="25">
        <v>32720</v>
      </c>
      <c r="K26" s="25">
        <v>5395344</v>
      </c>
      <c r="L26" s="25">
        <v>847496</v>
      </c>
      <c r="M26" s="25">
        <v>2638283</v>
      </c>
      <c r="N26" s="25">
        <v>1294955</v>
      </c>
      <c r="O26" s="25">
        <v>375003</v>
      </c>
      <c r="P26" s="25">
        <v>1519787</v>
      </c>
      <c r="Q26" s="25">
        <v>680661</v>
      </c>
      <c r="R26" s="25">
        <v>1117</v>
      </c>
      <c r="S26" s="25">
        <v>342208</v>
      </c>
      <c r="T26" s="25">
        <v>44793</v>
      </c>
      <c r="U26" s="25">
        <v>52162</v>
      </c>
      <c r="V26" s="25">
        <v>30913</v>
      </c>
      <c r="W26" s="25">
        <v>490.32600000000002</v>
      </c>
      <c r="X26" s="25">
        <v>949.70899999999995</v>
      </c>
      <c r="Y26" s="25">
        <v>3889.3330000000001</v>
      </c>
      <c r="Z26" s="25">
        <v>4398</v>
      </c>
      <c r="AA26" s="25">
        <v>2438</v>
      </c>
      <c r="AB26" s="26">
        <v>2913</v>
      </c>
      <c r="AC26" s="26">
        <v>1844</v>
      </c>
    </row>
    <row r="27" spans="1:29" x14ac:dyDescent="0.25">
      <c r="A27" s="20">
        <v>44492</v>
      </c>
      <c r="B27" s="27">
        <v>28</v>
      </c>
      <c r="C27" s="27">
        <v>220</v>
      </c>
      <c r="D27" s="30">
        <v>897402</v>
      </c>
      <c r="E27" s="25">
        <v>898798</v>
      </c>
      <c r="F27" s="25">
        <v>872322</v>
      </c>
      <c r="G27" s="25">
        <v>871442</v>
      </c>
      <c r="H27" s="25">
        <v>261248</v>
      </c>
      <c r="I27" s="25">
        <v>7358872</v>
      </c>
      <c r="J27" s="25">
        <v>32728</v>
      </c>
      <c r="K27" s="25">
        <v>5397939</v>
      </c>
      <c r="L27" s="25">
        <v>848746</v>
      </c>
      <c r="M27" s="25">
        <v>2638283</v>
      </c>
      <c r="N27" s="25">
        <v>1297321</v>
      </c>
      <c r="O27" s="25">
        <v>375106</v>
      </c>
      <c r="P27" s="25">
        <v>1519787</v>
      </c>
      <c r="Q27" s="25">
        <v>680722</v>
      </c>
      <c r="R27" s="25">
        <v>1121</v>
      </c>
      <c r="S27" s="25">
        <v>342267</v>
      </c>
      <c r="T27" s="25">
        <v>44859</v>
      </c>
      <c r="U27" s="25">
        <v>52172</v>
      </c>
      <c r="V27" s="25">
        <v>30914</v>
      </c>
      <c r="W27" s="25">
        <v>490.32600000000002</v>
      </c>
      <c r="X27" s="25">
        <v>949.75900000000001</v>
      </c>
      <c r="Y27" s="25">
        <v>3889.337</v>
      </c>
      <c r="Z27" s="25">
        <v>4398</v>
      </c>
      <c r="AA27" s="25">
        <v>2444</v>
      </c>
      <c r="AB27" s="26">
        <v>2929</v>
      </c>
      <c r="AC27" s="26">
        <v>1844</v>
      </c>
    </row>
    <row r="28" spans="1:29" x14ac:dyDescent="0.25">
      <c r="A28" s="20">
        <v>44493</v>
      </c>
      <c r="B28" s="27">
        <v>36</v>
      </c>
      <c r="C28" s="27">
        <v>213</v>
      </c>
      <c r="D28" s="30">
        <v>900777</v>
      </c>
      <c r="E28" s="25">
        <v>902178</v>
      </c>
      <c r="F28" s="25">
        <v>874068</v>
      </c>
      <c r="G28" s="25">
        <v>873187</v>
      </c>
      <c r="H28" s="25">
        <v>261248</v>
      </c>
      <c r="I28" s="25">
        <v>7360811</v>
      </c>
      <c r="J28" s="25">
        <v>32736</v>
      </c>
      <c r="K28" s="25">
        <v>5400534</v>
      </c>
      <c r="L28" s="25">
        <v>849996</v>
      </c>
      <c r="M28" s="25">
        <v>2638312</v>
      </c>
      <c r="N28" s="25">
        <v>1299600</v>
      </c>
      <c r="O28" s="25">
        <v>375193</v>
      </c>
      <c r="P28" s="25">
        <v>1519787</v>
      </c>
      <c r="Q28" s="25">
        <v>680799</v>
      </c>
      <c r="R28" s="25">
        <v>1124</v>
      </c>
      <c r="S28" s="25">
        <v>342322</v>
      </c>
      <c r="T28" s="25">
        <v>44918</v>
      </c>
      <c r="U28" s="25">
        <v>52183</v>
      </c>
      <c r="V28" s="25">
        <v>30915</v>
      </c>
      <c r="W28" s="25">
        <v>490.32600000000002</v>
      </c>
      <c r="X28" s="25">
        <v>949.81299999999999</v>
      </c>
      <c r="Y28" s="25">
        <v>3889.3380000000002</v>
      </c>
      <c r="Z28" s="25">
        <v>4398</v>
      </c>
      <c r="AA28" s="25">
        <v>2449</v>
      </c>
      <c r="AB28" s="26">
        <v>2832</v>
      </c>
      <c r="AC28" s="26">
        <v>0</v>
      </c>
    </row>
    <row r="29" spans="1:29" x14ac:dyDescent="0.25">
      <c r="A29" s="20">
        <v>44494</v>
      </c>
      <c r="B29" s="27">
        <v>47</v>
      </c>
      <c r="C29" s="27">
        <v>230</v>
      </c>
      <c r="D29" s="30">
        <v>904410</v>
      </c>
      <c r="E29" s="25">
        <v>905818</v>
      </c>
      <c r="F29" s="25">
        <v>876289</v>
      </c>
      <c r="G29" s="25">
        <v>875406</v>
      </c>
      <c r="H29" s="25">
        <v>261342</v>
      </c>
      <c r="I29" s="25">
        <v>7362750</v>
      </c>
      <c r="J29" s="25">
        <v>32744</v>
      </c>
      <c r="K29" s="25">
        <v>5403129</v>
      </c>
      <c r="L29" s="25">
        <v>851246</v>
      </c>
      <c r="M29" s="25">
        <v>2638313</v>
      </c>
      <c r="N29" s="25">
        <v>1301919</v>
      </c>
      <c r="O29" s="31">
        <v>375299</v>
      </c>
      <c r="P29" s="25">
        <v>1519787</v>
      </c>
      <c r="Q29" s="31">
        <v>680998</v>
      </c>
      <c r="R29" s="31">
        <v>1129</v>
      </c>
      <c r="S29" s="31">
        <v>342385</v>
      </c>
      <c r="T29" s="31">
        <v>44988</v>
      </c>
      <c r="U29" s="25">
        <v>52195</v>
      </c>
      <c r="V29" s="25">
        <v>30924</v>
      </c>
      <c r="W29" s="25">
        <v>490.32600000000002</v>
      </c>
      <c r="X29" s="25">
        <v>949.98199999999997</v>
      </c>
      <c r="Y29" s="25">
        <v>3889.3380000000002</v>
      </c>
      <c r="Z29" s="25">
        <v>4398</v>
      </c>
      <c r="AA29" s="25">
        <v>2454</v>
      </c>
      <c r="AB29" s="26">
        <v>2928</v>
      </c>
      <c r="AC29" s="26">
        <v>0</v>
      </c>
    </row>
    <row r="30" spans="1:29" x14ac:dyDescent="0.25">
      <c r="A30" s="20">
        <v>44495</v>
      </c>
      <c r="B30" s="27">
        <v>29</v>
      </c>
      <c r="C30" s="27">
        <v>219</v>
      </c>
      <c r="D30" s="30">
        <v>907920</v>
      </c>
      <c r="E30" s="25">
        <v>909334</v>
      </c>
      <c r="F30" s="25">
        <v>881406</v>
      </c>
      <c r="G30" s="25">
        <v>880518</v>
      </c>
      <c r="H30" s="25">
        <v>262083</v>
      </c>
      <c r="I30" s="25">
        <v>7364689</v>
      </c>
      <c r="J30" s="25">
        <v>32752</v>
      </c>
      <c r="K30" s="25">
        <v>5405724</v>
      </c>
      <c r="L30" s="25">
        <v>852496</v>
      </c>
      <c r="M30" s="25">
        <v>2638314</v>
      </c>
      <c r="N30" s="29">
        <v>1303700</v>
      </c>
      <c r="O30" s="25">
        <v>375399</v>
      </c>
      <c r="P30" s="25">
        <v>1519787</v>
      </c>
      <c r="Q30" s="25">
        <v>681143</v>
      </c>
      <c r="R30" s="25">
        <v>1133</v>
      </c>
      <c r="S30" s="25">
        <v>342449</v>
      </c>
      <c r="T30" s="25">
        <v>45058</v>
      </c>
      <c r="U30" s="30">
        <v>52205</v>
      </c>
      <c r="V30" s="25">
        <v>30925</v>
      </c>
      <c r="W30" s="25">
        <v>490.32600000000002</v>
      </c>
      <c r="X30" s="25">
        <v>949.98199999999997</v>
      </c>
      <c r="Y30" s="25">
        <v>3889.3389999999999</v>
      </c>
      <c r="Z30" s="25">
        <v>4398</v>
      </c>
      <c r="AA30" s="25">
        <v>2458</v>
      </c>
      <c r="AB30" s="26">
        <v>2893</v>
      </c>
      <c r="AC30" s="26">
        <v>0</v>
      </c>
    </row>
    <row r="31" spans="1:29" x14ac:dyDescent="0.25">
      <c r="A31" s="20">
        <v>44496</v>
      </c>
      <c r="B31" s="27">
        <v>36</v>
      </c>
      <c r="C31" s="27">
        <v>253</v>
      </c>
      <c r="D31" s="30">
        <v>911904</v>
      </c>
      <c r="E31" s="25">
        <v>913329</v>
      </c>
      <c r="F31" s="25">
        <v>886804</v>
      </c>
      <c r="G31" s="25">
        <v>885910</v>
      </c>
      <c r="H31" s="25">
        <v>262878</v>
      </c>
      <c r="I31" s="25">
        <v>7366628</v>
      </c>
      <c r="J31" s="25">
        <v>32760</v>
      </c>
      <c r="K31" s="25">
        <v>5408319</v>
      </c>
      <c r="L31" s="25">
        <v>853746</v>
      </c>
      <c r="M31" s="25">
        <v>2638329</v>
      </c>
      <c r="N31" s="29">
        <v>1305427</v>
      </c>
      <c r="O31" s="25">
        <v>375508</v>
      </c>
      <c r="P31" s="25">
        <v>1519787</v>
      </c>
      <c r="Q31" s="25">
        <v>681402</v>
      </c>
      <c r="R31" s="25">
        <v>1137</v>
      </c>
      <c r="S31" s="25">
        <v>342511</v>
      </c>
      <c r="T31" s="25">
        <v>45127</v>
      </c>
      <c r="U31" s="30">
        <v>52216</v>
      </c>
      <c r="V31" s="25">
        <v>30927</v>
      </c>
      <c r="W31" s="25">
        <v>490.32600000000002</v>
      </c>
      <c r="X31" s="25">
        <v>950.21900000000005</v>
      </c>
      <c r="Y31" s="25">
        <v>3889.3389999999999</v>
      </c>
      <c r="Z31" s="25">
        <v>4398</v>
      </c>
      <c r="AA31" s="25">
        <v>2463</v>
      </c>
      <c r="AB31" s="26">
        <v>1933</v>
      </c>
      <c r="AC31" s="26">
        <v>0</v>
      </c>
    </row>
    <row r="32" spans="1:29" x14ac:dyDescent="0.25">
      <c r="A32" s="20">
        <v>44497</v>
      </c>
      <c r="B32" s="27">
        <v>32</v>
      </c>
      <c r="C32" s="27">
        <v>221</v>
      </c>
      <c r="D32" s="30">
        <v>915883</v>
      </c>
      <c r="E32" s="25">
        <v>917309</v>
      </c>
      <c r="F32" s="25">
        <v>891728</v>
      </c>
      <c r="G32" s="25">
        <v>890829</v>
      </c>
      <c r="H32" s="25">
        <v>263550</v>
      </c>
      <c r="I32" s="25">
        <v>7368567</v>
      </c>
      <c r="J32" s="25">
        <v>32768</v>
      </c>
      <c r="K32" s="25">
        <v>5410914</v>
      </c>
      <c r="L32" s="25">
        <v>854996</v>
      </c>
      <c r="M32" s="25">
        <v>2638348</v>
      </c>
      <c r="N32" s="29">
        <v>1307071</v>
      </c>
      <c r="O32" s="25">
        <v>375603</v>
      </c>
      <c r="P32" s="25">
        <v>1519787</v>
      </c>
      <c r="Q32" s="25">
        <v>681645</v>
      </c>
      <c r="R32" s="25">
        <v>1141</v>
      </c>
      <c r="S32" s="25">
        <v>342580</v>
      </c>
      <c r="T32" s="25">
        <v>45202</v>
      </c>
      <c r="U32" s="30">
        <v>52226</v>
      </c>
      <c r="V32" s="25">
        <v>30928</v>
      </c>
      <c r="W32" s="25">
        <v>490.32600000000002</v>
      </c>
      <c r="X32" s="25">
        <v>950.33799999999997</v>
      </c>
      <c r="Y32" s="25">
        <v>3889.3389999999999</v>
      </c>
      <c r="Z32" s="25">
        <v>4398</v>
      </c>
      <c r="AA32" s="25">
        <v>2468</v>
      </c>
      <c r="AB32" s="26">
        <v>0</v>
      </c>
      <c r="AC32" s="26">
        <v>1429</v>
      </c>
    </row>
    <row r="33" spans="1:29" x14ac:dyDescent="0.25">
      <c r="A33" s="20">
        <v>44498</v>
      </c>
      <c r="B33" s="27">
        <v>33</v>
      </c>
      <c r="C33" s="27">
        <v>209</v>
      </c>
      <c r="D33" s="30">
        <v>919451</v>
      </c>
      <c r="E33" s="25">
        <v>920883</v>
      </c>
      <c r="F33" s="25">
        <v>894282</v>
      </c>
      <c r="G33" s="25">
        <v>893379</v>
      </c>
      <c r="H33" s="25">
        <v>263746</v>
      </c>
      <c r="I33" s="25">
        <v>7370506</v>
      </c>
      <c r="J33" s="25">
        <v>32776</v>
      </c>
      <c r="K33" s="25">
        <v>5413509</v>
      </c>
      <c r="L33" s="25">
        <v>856246</v>
      </c>
      <c r="M33" s="25">
        <v>2638349</v>
      </c>
      <c r="N33" s="29">
        <v>1309296</v>
      </c>
      <c r="O33" s="25">
        <v>375701</v>
      </c>
      <c r="P33" s="25">
        <v>1519787</v>
      </c>
      <c r="Q33" s="25">
        <v>681827</v>
      </c>
      <c r="R33" s="25">
        <v>1145</v>
      </c>
      <c r="S33" s="25">
        <v>342659</v>
      </c>
      <c r="T33" s="25">
        <v>45285</v>
      </c>
      <c r="U33" s="30">
        <v>52236</v>
      </c>
      <c r="V33" s="25">
        <v>30930</v>
      </c>
      <c r="W33" s="25">
        <v>490.32600000000002</v>
      </c>
      <c r="X33" s="25">
        <v>950.45100000000002</v>
      </c>
      <c r="Y33" s="25">
        <v>3889.3389999999999</v>
      </c>
      <c r="Z33" s="25">
        <v>4398</v>
      </c>
      <c r="AA33" s="25">
        <v>2474</v>
      </c>
      <c r="AB33" s="26">
        <v>0</v>
      </c>
      <c r="AC33" s="26">
        <v>3403</v>
      </c>
    </row>
    <row r="34" spans="1:29" x14ac:dyDescent="0.25">
      <c r="A34" s="20">
        <v>44499</v>
      </c>
      <c r="B34" s="27">
        <v>27</v>
      </c>
      <c r="C34" s="27">
        <v>226</v>
      </c>
      <c r="D34" s="30">
        <v>923133</v>
      </c>
      <c r="E34" s="25">
        <v>924571</v>
      </c>
      <c r="F34" s="25">
        <v>896194</v>
      </c>
      <c r="G34" s="25">
        <v>895290</v>
      </c>
      <c r="H34" s="25">
        <v>263746</v>
      </c>
      <c r="I34" s="25">
        <v>7372445</v>
      </c>
      <c r="J34" s="25">
        <v>32784</v>
      </c>
      <c r="K34" s="25">
        <v>5416104</v>
      </c>
      <c r="L34" s="25">
        <v>857496</v>
      </c>
      <c r="M34" s="25">
        <v>2638349</v>
      </c>
      <c r="N34" s="25">
        <v>1311737</v>
      </c>
      <c r="O34" s="25">
        <v>375825</v>
      </c>
      <c r="P34" s="25">
        <v>1519787</v>
      </c>
      <c r="Q34" s="25">
        <v>681965</v>
      </c>
      <c r="R34" s="25">
        <v>1150</v>
      </c>
      <c r="S34" s="25">
        <v>342735</v>
      </c>
      <c r="T34" s="25">
        <v>45370</v>
      </c>
      <c r="U34" s="25">
        <v>52247</v>
      </c>
      <c r="V34" s="25">
        <v>30931</v>
      </c>
      <c r="W34" s="25">
        <v>490.32600000000002</v>
      </c>
      <c r="X34" s="25">
        <v>950.58799999999997</v>
      </c>
      <c r="Y34" s="25">
        <v>3889.34</v>
      </c>
      <c r="Z34" s="25">
        <v>4398</v>
      </c>
      <c r="AA34" s="25">
        <v>2479</v>
      </c>
      <c r="AB34" s="26">
        <v>0</v>
      </c>
      <c r="AC34" s="26">
        <v>3421</v>
      </c>
    </row>
    <row r="35" spans="1:29" x14ac:dyDescent="0.25">
      <c r="A35" s="20">
        <v>44500</v>
      </c>
      <c r="B35" s="27">
        <v>21</v>
      </c>
      <c r="C35" s="27">
        <v>72</v>
      </c>
      <c r="D35" s="30">
        <v>926429</v>
      </c>
      <c r="E35" s="25">
        <v>927873</v>
      </c>
      <c r="F35" s="25">
        <v>898061</v>
      </c>
      <c r="G35" s="25">
        <v>897155</v>
      </c>
      <c r="H35" s="25">
        <v>263746</v>
      </c>
      <c r="I35" s="25">
        <v>7374388</v>
      </c>
      <c r="J35" s="25">
        <v>32795</v>
      </c>
      <c r="K35" s="25">
        <v>5418699</v>
      </c>
      <c r="L35" s="25">
        <v>858754</v>
      </c>
      <c r="M35" s="25">
        <v>2638350</v>
      </c>
      <c r="N35" s="25">
        <v>1314256</v>
      </c>
      <c r="O35" s="25">
        <v>375933</v>
      </c>
      <c r="P35" s="25">
        <v>1519787</v>
      </c>
      <c r="Q35" s="25">
        <v>682013</v>
      </c>
      <c r="R35" s="25">
        <v>1153</v>
      </c>
      <c r="S35" s="25">
        <v>342811</v>
      </c>
      <c r="T35" s="25">
        <v>45448</v>
      </c>
      <c r="U35" s="25">
        <v>52259</v>
      </c>
      <c r="V35" s="25">
        <v>30932</v>
      </c>
      <c r="W35" s="25">
        <v>490.32600000000002</v>
      </c>
      <c r="X35" s="25">
        <v>950.72199999999998</v>
      </c>
      <c r="Y35" s="25">
        <v>3889.34</v>
      </c>
      <c r="Z35" s="25">
        <v>4398</v>
      </c>
      <c r="AA35" s="25">
        <v>2485</v>
      </c>
      <c r="AB35" s="26">
        <v>0</v>
      </c>
      <c r="AC35" s="26">
        <v>3509</v>
      </c>
    </row>
    <row r="36" spans="1:29" x14ac:dyDescent="0.25">
      <c r="B36" s="16"/>
      <c r="C36" s="16"/>
    </row>
    <row r="37" spans="1:29" x14ac:dyDescent="0.25">
      <c r="D37">
        <f>D17-D16</f>
        <v>1613</v>
      </c>
    </row>
    <row r="38" spans="1:29" x14ac:dyDescent="0.25">
      <c r="D38">
        <f t="shared" ref="D38:G38" si="0">D13-D12</f>
        <v>3982</v>
      </c>
      <c r="E38">
        <f t="shared" si="0"/>
        <v>3989</v>
      </c>
      <c r="F38">
        <f t="shared" si="0"/>
        <v>5116</v>
      </c>
      <c r="G38">
        <f t="shared" si="0"/>
        <v>5111</v>
      </c>
      <c r="H38">
        <f>SUM(G18-G16)/2</f>
        <v>2626</v>
      </c>
      <c r="I38">
        <f>SUM(H18-H16)/2</f>
        <v>280.5</v>
      </c>
    </row>
    <row r="39" spans="1:29" x14ac:dyDescent="0.25">
      <c r="D39">
        <f t="shared" ref="D39:E39" si="1">D14-D13</f>
        <v>4519</v>
      </c>
      <c r="E39">
        <f t="shared" si="1"/>
        <v>4527</v>
      </c>
      <c r="F39">
        <f t="shared" ref="F39:G39" si="2">F14-F13</f>
        <v>6853</v>
      </c>
      <c r="G39">
        <f t="shared" si="2"/>
        <v>6846</v>
      </c>
    </row>
    <row r="40" spans="1:29" x14ac:dyDescent="0.25">
      <c r="D40">
        <f t="shared" ref="D40:E40" si="3">D15-D14</f>
        <v>2718</v>
      </c>
      <c r="E40">
        <f t="shared" si="3"/>
        <v>2723</v>
      </c>
      <c r="F40">
        <f t="shared" ref="F40:G40" si="4">F15-F14</f>
        <v>3823</v>
      </c>
      <c r="G40">
        <f t="shared" si="4"/>
        <v>3819</v>
      </c>
    </row>
    <row r="41" spans="1:29" x14ac:dyDescent="0.25">
      <c r="D41">
        <f t="shared" ref="D41:E41" si="5">D16-D15</f>
        <v>4670</v>
      </c>
      <c r="E41">
        <f t="shared" si="5"/>
        <v>4678</v>
      </c>
      <c r="F41">
        <f t="shared" ref="F41:G44" si="6">F16-F15</f>
        <v>5560</v>
      </c>
      <c r="G41">
        <f t="shared" si="6"/>
        <v>5554</v>
      </c>
    </row>
    <row r="42" spans="1:29" x14ac:dyDescent="0.25">
      <c r="D42">
        <f t="shared" ref="D42:E42" si="7">D17-D16</f>
        <v>1613</v>
      </c>
      <c r="E42">
        <f t="shared" si="7"/>
        <v>1613</v>
      </c>
      <c r="F42">
        <f t="shared" si="6"/>
        <v>2626</v>
      </c>
      <c r="G42">
        <f t="shared" si="6"/>
        <v>2626</v>
      </c>
    </row>
    <row r="43" spans="1:29" x14ac:dyDescent="0.25">
      <c r="D43">
        <f t="shared" ref="D43:E43" si="8">D18-D17</f>
        <v>11143</v>
      </c>
      <c r="E43">
        <f t="shared" si="8"/>
        <v>11166</v>
      </c>
      <c r="F43">
        <f t="shared" si="6"/>
        <v>2632</v>
      </c>
      <c r="G43">
        <f t="shared" si="6"/>
        <v>2626</v>
      </c>
    </row>
    <row r="44" spans="1:29" x14ac:dyDescent="0.25">
      <c r="D44">
        <f t="shared" ref="D44:E44" si="9">D19-D18</f>
        <v>6419</v>
      </c>
      <c r="E44">
        <f t="shared" si="9"/>
        <v>6431</v>
      </c>
      <c r="F44">
        <f t="shared" si="6"/>
        <v>3465</v>
      </c>
      <c r="G44">
        <f t="shared" si="6"/>
        <v>3462</v>
      </c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2021-11-15T14:45:27Z</dcterms:modified>
</cp:coreProperties>
</file>