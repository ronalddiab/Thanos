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<sst xmlns="http://schemas.openxmlformats.org/spreadsheetml/2006/main" count="607" uniqueCount="77">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</sst>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09" workbookViewId="0">
      <selection activeCell="Q223" sqref="Q22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>
        <v>0.85</v>
      </c>
      <c r="G230" s="4" t="str">
        <f>'Gas Water'!M232</f>
        <v/>
      </c>
      <c r="H230" s="153">
        <v>1.9</v>
      </c>
      <c r="I230" s="2" t="str">
        <f>'Gas Water'!L232</f>
        <v/>
      </c>
      <c r="J230" s="153">
        <v>13.9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>
        <v>0.85</v>
      </c>
      <c r="G231" s="4" t="str">
        <f>'Gas Water'!M233</f>
        <v/>
      </c>
      <c r="H231" s="153">
        <v>1.9</v>
      </c>
      <c r="I231" s="2" t="str">
        <f>'Gas Water'!L233</f>
        <v/>
      </c>
      <c r="J231" s="153">
        <v>13.9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>
        <v>0.85</v>
      </c>
      <c r="G232" s="4" t="str">
        <f>'Gas Water'!M234</f>
        <v/>
      </c>
      <c r="H232" s="153">
        <v>1.9</v>
      </c>
      <c r="I232" s="2" t="str">
        <f>'Gas Water'!L234</f>
        <v/>
      </c>
      <c r="J232" s="153">
        <v>13.9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>
        <v>0.85</v>
      </c>
      <c r="G233" s="4" t="str">
        <f>'Gas Water'!M235</f>
        <v/>
      </c>
      <c r="H233" s="153">
        <v>1.9</v>
      </c>
      <c r="I233" s="2" t="str">
        <f>'Gas Water'!L235</f>
        <v/>
      </c>
      <c r="J233" s="153">
        <v>13.9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>
        <v>0.85</v>
      </c>
      <c r="G234" s="4" t="str">
        <f>'Gas Water'!M236</f>
        <v/>
      </c>
      <c r="H234" s="153">
        <v>1.9</v>
      </c>
      <c r="I234" s="2" t="str">
        <f>'Gas Water'!L236</f>
        <v/>
      </c>
      <c r="J234" s="153">
        <v>13.9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>
        <v>0.85</v>
      </c>
      <c r="G235" s="4" t="str">
        <f>'Gas Water'!M237</f>
        <v/>
      </c>
      <c r="H235" s="153">
        <v>1.9</v>
      </c>
      <c r="I235" s="2" t="str">
        <f>'Gas Water'!L237</f>
        <v/>
      </c>
      <c r="J235" s="153">
        <v>13.9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>
        <v>0.85</v>
      </c>
      <c r="G236" s="4" t="str">
        <f>'Gas Water'!M238</f>
        <v/>
      </c>
      <c r="H236" s="153">
        <v>1.9</v>
      </c>
      <c r="I236" s="2" t="str">
        <f>'Gas Water'!L238</f>
        <v/>
      </c>
      <c r="J236" s="153">
        <v>13.9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>
        <v>0.85</v>
      </c>
      <c r="G237" s="4" t="str">
        <f>'Gas Water'!M239</f>
        <v/>
      </c>
      <c r="H237" s="153">
        <v>1.9</v>
      </c>
      <c r="I237" s="2" t="str">
        <f>'Gas Water'!L239</f>
        <v/>
      </c>
      <c r="J237" s="153">
        <v>13.9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>
        <v>0.85</v>
      </c>
      <c r="G238" s="4" t="str">
        <f>'Gas Water'!M240</f>
        <v/>
      </c>
      <c r="H238" s="153">
        <v>1.9</v>
      </c>
      <c r="I238" s="2" t="str">
        <f>'Gas Water'!L240</f>
        <v/>
      </c>
      <c r="J238" s="153">
        <v>13.9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>
        <v>0.85</v>
      </c>
      <c r="G239" s="4" t="str">
        <f>'Gas Water'!M241</f>
        <v/>
      </c>
      <c r="H239" s="153">
        <v>1.9</v>
      </c>
      <c r="I239" s="2" t="str">
        <f>'Gas Water'!L241</f>
        <v/>
      </c>
      <c r="J239" s="153">
        <v>13.9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>
        <v>0.85</v>
      </c>
      <c r="G240" s="4" t="str">
        <f>'Gas Water'!M242</f>
        <v/>
      </c>
      <c r="H240" s="153">
        <v>1.9</v>
      </c>
      <c r="I240" s="2" t="str">
        <f>'Gas Water'!L242</f>
        <v/>
      </c>
      <c r="J240" s="153">
        <v>13.9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>
        <v>0.85</v>
      </c>
      <c r="G241" s="4" t="str">
        <f>'Gas Water'!M243</f>
        <v/>
      </c>
      <c r="H241" s="153">
        <v>1.9</v>
      </c>
      <c r="I241" s="2" t="str">
        <f>'Gas Water'!L243</f>
        <v/>
      </c>
      <c r="J241" s="153">
        <v>13.9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>
        <v>0.85</v>
      </c>
      <c r="G242" s="4" t="str">
        <f>'Gas Water'!M244</f>
        <v/>
      </c>
      <c r="H242" s="153">
        <v>1.9</v>
      </c>
      <c r="I242" s="2" t="str">
        <f>'Gas Water'!L244</f>
        <v/>
      </c>
      <c r="J242" s="153">
        <v>13.9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>
        <v>0.85</v>
      </c>
      <c r="G243" s="4" t="str">
        <f>'Gas Water'!M245</f>
        <v/>
      </c>
      <c r="H243" s="153">
        <v>1.9</v>
      </c>
      <c r="I243" s="2" t="str">
        <f>'Gas Water'!L245</f>
        <v/>
      </c>
      <c r="J243" s="153">
        <v>13.9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>
        <v>0.85</v>
      </c>
      <c r="G244" s="4" t="str">
        <f>'Gas Water'!M246</f>
        <v/>
      </c>
      <c r="H244" s="153">
        <v>1.9</v>
      </c>
      <c r="I244" s="2" t="str">
        <f>'Gas Water'!L246</f>
        <v/>
      </c>
      <c r="J244" s="153">
        <v>13.9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>
        <v>0.75</v>
      </c>
      <c r="G245" s="4" t="str">
        <f>'Gas Water'!M247</f>
        <v/>
      </c>
      <c r="H245" s="153">
        <v>1.85</v>
      </c>
      <c r="I245" s="2" t="str">
        <f>'Gas Water'!L247</f>
        <v/>
      </c>
      <c r="J245" s="153">
        <v>12.93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>
        <v>0.75</v>
      </c>
      <c r="G246" s="4" t="str">
        <f>'Gas Water'!M248</f>
        <v/>
      </c>
      <c r="H246" s="153">
        <v>1.85</v>
      </c>
      <c r="I246" s="2" t="str">
        <f>'Gas Water'!L248</f>
        <v/>
      </c>
      <c r="J246" s="153">
        <v>12.93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>
        <v>0.75</v>
      </c>
      <c r="G247" s="4" t="str">
        <f>'Gas Water'!M249</f>
        <v/>
      </c>
      <c r="H247" s="153">
        <v>1.85</v>
      </c>
      <c r="I247" s="2" t="str">
        <f>'Gas Water'!L249</f>
        <v/>
      </c>
      <c r="J247" s="153">
        <v>12.93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>
        <v>0.75</v>
      </c>
      <c r="G248" s="4" t="str">
        <f>'Gas Water'!M250</f>
        <v/>
      </c>
      <c r="H248" s="153">
        <v>1.85</v>
      </c>
      <c r="I248" s="2" t="str">
        <f>'Gas Water'!L250</f>
        <v/>
      </c>
      <c r="J248" s="153">
        <v>12.93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>
        <v>0.75</v>
      </c>
      <c r="G249" s="4" t="str">
        <f>'Gas Water'!M251</f>
        <v/>
      </c>
      <c r="H249" s="153">
        <v>1.85</v>
      </c>
      <c r="I249" s="2" t="str">
        <f>'Gas Water'!L251</f>
        <v/>
      </c>
      <c r="J249" s="153">
        <v>12.93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>
        <v>0.75</v>
      </c>
      <c r="G250" s="4" t="str">
        <f>'Gas Water'!M252</f>
        <v/>
      </c>
      <c r="H250" s="153">
        <v>1.85</v>
      </c>
      <c r="I250" s="2" t="str">
        <f>'Gas Water'!L252</f>
        <v/>
      </c>
      <c r="J250" s="153">
        <v>12.93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>
        <v>0.75</v>
      </c>
      <c r="G251" s="4" t="str">
        <f>'Gas Water'!M253</f>
        <v/>
      </c>
      <c r="H251" s="153">
        <v>1.85</v>
      </c>
      <c r="I251" s="2" t="str">
        <f>'Gas Water'!L253</f>
        <v/>
      </c>
      <c r="J251" s="153">
        <v>12.93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>
        <v>0.75</v>
      </c>
      <c r="G252" s="4" t="str">
        <f>'Gas Water'!M254</f>
        <v/>
      </c>
      <c r="H252" s="153">
        <v>1.85</v>
      </c>
      <c r="I252" s="2" t="str">
        <f>'Gas Water'!L254</f>
        <v/>
      </c>
      <c r="J252" s="153">
        <v>12.93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>
        <v>0.75</v>
      </c>
      <c r="G253" s="4" t="str">
        <f>'Gas Water'!M255</f>
        <v/>
      </c>
      <c r="H253" s="153">
        <v>1.85</v>
      </c>
      <c r="I253" s="2" t="str">
        <f>'Gas Water'!L255</f>
        <v/>
      </c>
      <c r="J253" s="153">
        <v>12.93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>
        <v>0.75</v>
      </c>
      <c r="G254" s="4" t="str">
        <f>'Gas Water'!M256</f>
        <v/>
      </c>
      <c r="H254" s="153">
        <v>1.85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>
        <v>0.75</v>
      </c>
      <c r="G255" s="4" t="str">
        <f>'Gas Water'!M257</f>
        <v/>
      </c>
      <c r="H255" s="153">
        <v>1.85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>
        <v>0.75</v>
      </c>
      <c r="G256" s="4" t="str">
        <f>'Gas Water'!M258</f>
        <v/>
      </c>
      <c r="H256" s="153">
        <v>1.85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O223" sqref="O22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4101</v>
      </c>
      <c r="O240" s="32">
        <f>SUM(M217:M247)</f>
        <v>20925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273.39999999999998</v>
      </c>
      <c r="O243" s="32">
        <f>AVERAGE(M217:M247)</f>
        <v>1395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452776</v>
      </c>
      <c r="J371" s="40">
        <f t="shared" si="30"/>
        <v>38198</v>
      </c>
      <c r="K371" s="40">
        <f t="shared" si="30"/>
        <v>35225</v>
      </c>
      <c r="L371" s="40">
        <f t="shared" si="30"/>
        <v>39399</v>
      </c>
      <c r="M371" s="40">
        <f t="shared" si="30"/>
        <v>526199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J229" sqref="J229:J23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0" si="23">IF(D160="","",+(E160-E159)*4140)</f>
        <v>24955.920000000082</v>
      </c>
      <c r="J160" s="59">
        <f t="shared" ref="J160:J230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ref="I230:J259" si="33">IF(D231="","",+(D231-D230)*4140)</f>
        <v/>
      </c>
      <c r="J231" s="59" t="str">
        <f t="shared" si="33"/>
        <v/>
      </c>
      <c r="K231" s="60" t="str">
        <f t="shared" si="28"/>
        <v/>
      </c>
      <c r="L231" s="59" t="str">
        <f t="shared" si="31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3"/>
        <v/>
      </c>
      <c r="J232" s="59" t="str">
        <f t="shared" si="33"/>
        <v/>
      </c>
      <c r="K232" s="60" t="str">
        <f t="shared" si="28"/>
        <v/>
      </c>
      <c r="L232" s="59" t="str">
        <f t="shared" si="31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3"/>
        <v/>
      </c>
      <c r="J233" s="59" t="str">
        <f t="shared" si="33"/>
        <v/>
      </c>
      <c r="K233" s="60" t="str">
        <f t="shared" si="28"/>
        <v/>
      </c>
      <c r="L233" s="59" t="str">
        <f t="shared" si="31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3"/>
        <v/>
      </c>
      <c r="J234" s="59" t="str">
        <f t="shared" si="33"/>
        <v/>
      </c>
      <c r="K234" s="60" t="str">
        <f t="shared" si="28"/>
        <v/>
      </c>
      <c r="L234" s="59" t="str">
        <f t="shared" si="31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3"/>
        <v/>
      </c>
      <c r="J235" s="59" t="str">
        <f t="shared" si="33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3"/>
        <v/>
      </c>
      <c r="J236" s="59" t="str">
        <f t="shared" si="33"/>
        <v/>
      </c>
      <c r="K236" s="60" t="str">
        <f t="shared" si="28"/>
        <v/>
      </c>
      <c r="L236" s="59" t="str">
        <f t="shared" si="31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3"/>
        <v/>
      </c>
      <c r="J237" s="59" t="str">
        <f t="shared" si="33"/>
        <v/>
      </c>
      <c r="K237" s="60" t="str">
        <f t="shared" si="28"/>
        <v/>
      </c>
      <c r="L237" s="59" t="str">
        <f t="shared" si="31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3.6936902041290652E-2</v>
      </c>
      <c r="Q237" s="70">
        <f>IF(L216="",0,+SUM(L216:L246)/SUM(I216:I246))</f>
        <v>3.6936902041290652E-2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3"/>
        <v/>
      </c>
      <c r="J238" s="59" t="str">
        <f t="shared" si="33"/>
        <v/>
      </c>
      <c r="K238" s="60" t="str">
        <f t="shared" si="28"/>
        <v/>
      </c>
      <c r="L238" s="59" t="str">
        <f t="shared" si="31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3"/>
        <v/>
      </c>
      <c r="J239" s="59" t="str">
        <f t="shared" si="33"/>
        <v/>
      </c>
      <c r="K239" s="60" t="str">
        <f t="shared" si="28"/>
        <v/>
      </c>
      <c r="L239" s="59" t="str">
        <f t="shared" si="31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3"/>
        <v/>
      </c>
      <c r="J240" s="59" t="str">
        <f t="shared" si="33"/>
        <v/>
      </c>
      <c r="K240" s="60" t="str">
        <f t="shared" si="28"/>
        <v/>
      </c>
      <c r="L240" s="59" t="str">
        <f t="shared" si="31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3"/>
        <v/>
      </c>
      <c r="J241" s="59" t="str">
        <f t="shared" si="33"/>
        <v/>
      </c>
      <c r="K241" s="60" t="str">
        <f t="shared" si="28"/>
        <v/>
      </c>
      <c r="L241" s="59" t="str">
        <f t="shared" si="31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3"/>
        <v/>
      </c>
      <c r="J242" s="59" t="str">
        <f t="shared" si="33"/>
        <v/>
      </c>
      <c r="K242" s="60" t="str">
        <f t="shared" si="28"/>
        <v/>
      </c>
      <c r="L242" s="59" t="str">
        <f t="shared" si="31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3"/>
        <v/>
      </c>
      <c r="J243" s="59" t="str">
        <f t="shared" si="33"/>
        <v/>
      </c>
      <c r="K243" s="60" t="str">
        <f t="shared" si="28"/>
        <v/>
      </c>
      <c r="L243" s="59" t="str">
        <f t="shared" si="31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3"/>
        <v/>
      </c>
      <c r="J244" s="59" t="str">
        <f t="shared" si="33"/>
        <v/>
      </c>
      <c r="K244" s="60" t="str">
        <f t="shared" si="28"/>
        <v/>
      </c>
      <c r="L244" s="59" t="str">
        <f t="shared" si="31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3"/>
        <v/>
      </c>
      <c r="J245" s="59" t="str">
        <f t="shared" si="33"/>
        <v/>
      </c>
      <c r="K245" s="60" t="str">
        <f t="shared" si="28"/>
        <v/>
      </c>
      <c r="L245" s="59" t="str">
        <f t="shared" si="31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3"/>
        <v/>
      </c>
      <c r="J246" s="90" t="str">
        <f t="shared" si="33"/>
        <v/>
      </c>
      <c r="K246" s="60" t="str">
        <f t="shared" si="28"/>
        <v/>
      </c>
      <c r="L246" s="90" t="str">
        <f t="shared" si="31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1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3"/>
        <v/>
      </c>
      <c r="J248" s="59" t="str">
        <f t="shared" si="33"/>
        <v/>
      </c>
      <c r="K248" s="60" t="str">
        <f t="shared" si="28"/>
        <v/>
      </c>
      <c r="L248" s="59" t="str">
        <f t="shared" si="31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3"/>
        <v/>
      </c>
      <c r="J249" s="59" t="str">
        <f t="shared" si="33"/>
        <v/>
      </c>
      <c r="K249" s="60" t="str">
        <f t="shared" si="28"/>
        <v/>
      </c>
      <c r="L249" s="59" t="str">
        <f t="shared" si="31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3"/>
        <v/>
      </c>
      <c r="J250" s="59" t="str">
        <f t="shared" si="33"/>
        <v/>
      </c>
      <c r="K250" s="60" t="str">
        <f t="shared" si="28"/>
        <v/>
      </c>
      <c r="L250" s="59" t="str">
        <f t="shared" si="31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3"/>
        <v/>
      </c>
      <c r="J251" s="59" t="str">
        <f t="shared" si="33"/>
        <v/>
      </c>
      <c r="K251" s="60" t="str">
        <f t="shared" si="28"/>
        <v/>
      </c>
      <c r="L251" s="59" t="str">
        <f t="shared" si="31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3"/>
        <v/>
      </c>
      <c r="J252" s="59" t="str">
        <f t="shared" si="33"/>
        <v/>
      </c>
      <c r="K252" s="60" t="str">
        <f t="shared" si="28"/>
        <v/>
      </c>
      <c r="L252" s="59" t="str">
        <f t="shared" si="31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3"/>
        <v/>
      </c>
      <c r="J253" s="59" t="str">
        <f t="shared" si="33"/>
        <v/>
      </c>
      <c r="K253" s="60" t="str">
        <f t="shared" si="28"/>
        <v/>
      </c>
      <c r="L253" s="59" t="str">
        <f t="shared" si="31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3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3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3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3"/>
        <v/>
      </c>
      <c r="J257" s="59" t="str">
        <f t="shared" si="33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3"/>
        <v/>
      </c>
      <c r="J258" s="59" t="str">
        <f t="shared" si="33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3"/>
        <v/>
      </c>
      <c r="J259" s="59" t="str">
        <f t="shared" si="33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5755456.4999999981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2021-08-17T06:15:32Z</dcterms:modified>
  <cp:category/>
  <cp:contentStatus/>
</cp:coreProperties>
</file>