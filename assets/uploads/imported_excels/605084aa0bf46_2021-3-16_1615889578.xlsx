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171739FD-FB37-427B-B636-455E9637403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G19" i="31" l="1"/>
  <c r="I19" i="31"/>
  <c r="L19" i="31"/>
  <c r="G18" i="31" l="1"/>
  <c r="I18" i="31"/>
  <c r="L18" i="31"/>
  <c r="G15" i="31" l="1"/>
  <c r="G16" i="31"/>
  <c r="G17" i="31"/>
  <c r="L15" i="31"/>
  <c r="L16" i="31"/>
  <c r="L17" i="31"/>
  <c r="I15" i="31"/>
  <c r="I16" i="31"/>
  <c r="I17" i="31"/>
  <c r="L13" i="31" l="1"/>
  <c r="L14" i="31"/>
  <c r="G14" i="31"/>
  <c r="I14" i="31"/>
  <c r="G13" i="31" l="1"/>
  <c r="I13" i="31"/>
  <c r="L12" i="31" l="1"/>
  <c r="I12" i="31"/>
  <c r="G12" i="31"/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<sst xmlns="http://schemas.openxmlformats.org/spreadsheetml/2006/main" count="64" uniqueCount="31">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</sst>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9" sqref="O29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2970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2970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24802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22000</v>
      </c>
      <c r="J9" s="10">
        <v>3.61E-2</v>
      </c>
      <c r="K9" s="1">
        <f>'March 2021'!I12</f>
        <v>253</v>
      </c>
      <c r="L9" s="10">
        <v>0.75</v>
      </c>
      <c r="M9" s="10">
        <f>'March 2021'!L12</f>
        <v>161</v>
      </c>
      <c r="N9" s="10">
        <v>0.56299999999999994</v>
      </c>
      <c r="O9" s="14">
        <f>'March 2021'!D12</f>
        <v>57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21834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25000</v>
      </c>
      <c r="J10" s="10">
        <v>3.61E-2</v>
      </c>
      <c r="K10" s="1">
        <f>'March 2021'!I13</f>
        <v>288</v>
      </c>
      <c r="L10" s="10">
        <v>0.75</v>
      </c>
      <c r="M10" s="10">
        <f>'March 2021'!L13</f>
        <v>43</v>
      </c>
      <c r="N10" s="10">
        <v>0.56299999999999994</v>
      </c>
      <c r="O10" s="14">
        <f>'March 2021'!D13</f>
        <v>120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21834</v>
      </c>
      <c r="F11" s="10">
        <v>2.9000000000000001E-2</v>
      </c>
      <c r="G11" s="1">
        <f>'March 2021'!J14</f>
        <v>2970</v>
      </c>
      <c r="H11" s="10">
        <v>0.112</v>
      </c>
      <c r="I11" s="1">
        <f>'March 2021'!G14*1000</f>
        <v>24000</v>
      </c>
      <c r="J11" s="10">
        <v>3.61E-2</v>
      </c>
      <c r="K11" s="1">
        <f>'March 2021'!I14</f>
        <v>233</v>
      </c>
      <c r="L11" s="10">
        <v>0.75</v>
      </c>
      <c r="M11" s="10">
        <f>'March 2021'!L14</f>
        <v>171</v>
      </c>
      <c r="N11" s="10">
        <v>0.56299999999999994</v>
      </c>
      <c r="O11" s="14">
        <f>'March 2021'!D14</f>
        <v>134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26654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25000</v>
      </c>
      <c r="J12" s="10">
        <v>3.61E-2</v>
      </c>
      <c r="K12" s="1">
        <f>'March 2021'!I15</f>
        <v>239</v>
      </c>
      <c r="L12" s="10">
        <v>0.75</v>
      </c>
      <c r="M12" s="10">
        <f>'March 2021'!L15</f>
        <v>52</v>
      </c>
      <c r="N12" s="10">
        <v>0.56299999999999994</v>
      </c>
      <c r="O12" s="14">
        <f>'March 2021'!D15</f>
        <v>131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27034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33000</v>
      </c>
      <c r="J13" s="10">
        <v>3.61E-2</v>
      </c>
      <c r="K13" s="1">
        <f>'March 2021'!I16</f>
        <v>324</v>
      </c>
      <c r="L13" s="10">
        <v>0.75</v>
      </c>
      <c r="M13" s="10">
        <f>'March 2021'!L16</f>
        <v>42</v>
      </c>
      <c r="N13" s="10">
        <v>0.56299999999999994</v>
      </c>
      <c r="O13" s="14">
        <f>'March 2021'!D16</f>
        <v>148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27023</v>
      </c>
      <c r="F14" s="10">
        <v>2.9000000000000001E-2</v>
      </c>
      <c r="G14" s="1">
        <f>'March 2021'!J17</f>
        <v>2970</v>
      </c>
      <c r="H14" s="10">
        <v>0.112</v>
      </c>
      <c r="I14" s="1">
        <f>'March 2021'!G17*1000</f>
        <v>27000</v>
      </c>
      <c r="J14" s="10">
        <v>3.61E-2</v>
      </c>
      <c r="K14" s="1">
        <f>'March 2021'!I17</f>
        <v>474</v>
      </c>
      <c r="L14" s="10">
        <v>0.75</v>
      </c>
      <c r="M14" s="10">
        <f>'March 2021'!L17</f>
        <v>24</v>
      </c>
      <c r="N14" s="10">
        <v>0.56299999999999994</v>
      </c>
      <c r="O14" s="14">
        <f>'March 2021'!D17</f>
        <v>155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28734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49000</v>
      </c>
      <c r="J15" s="10">
        <v>3.61E-2</v>
      </c>
      <c r="K15" s="1">
        <f>'March 2021'!I18</f>
        <v>977</v>
      </c>
      <c r="L15" s="10">
        <v>0.75</v>
      </c>
      <c r="M15" s="10">
        <f>'March 2021'!L18</f>
        <v>111</v>
      </c>
      <c r="N15" s="10">
        <v>0.56299999999999994</v>
      </c>
      <c r="O15" s="14">
        <f>'March 2021'!D18</f>
        <v>125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29743</v>
      </c>
      <c r="F16" s="10">
        <v>2.9000000000000001E-2</v>
      </c>
      <c r="G16" s="1">
        <f>'March 2021'!J20</f>
        <v>2970</v>
      </c>
      <c r="H16" s="10">
        <v>0.112</v>
      </c>
      <c r="I16" s="1">
        <f>'March 2021'!G20*1000</f>
        <v>0</v>
      </c>
      <c r="J16" s="10">
        <v>3.61E-2</v>
      </c>
      <c r="K16" s="1">
        <f>'March 2021'!I20</f>
        <v>0</v>
      </c>
      <c r="L16" s="10">
        <v>0.75</v>
      </c>
      <c r="M16" s="10">
        <f>'March 2021'!L19</f>
        <v>32</v>
      </c>
      <c r="N16" s="10">
        <v>0.56299999999999994</v>
      </c>
      <c r="O16" s="14">
        <f>'March 2021'!D19</f>
        <v>139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0</v>
      </c>
      <c r="F17" s="10">
        <v>2.9000000000000001E-2</v>
      </c>
      <c r="G17" s="1">
        <f>'March 2021'!J19</f>
        <v>0</v>
      </c>
      <c r="H17" s="10">
        <v>0.112</v>
      </c>
      <c r="I17" s="1">
        <f>'March 2021'!G19*1000</f>
        <v>24000</v>
      </c>
      <c r="J17" s="10">
        <v>3.61E-2</v>
      </c>
      <c r="K17" s="1">
        <f>'March 2021'!I19</f>
        <v>491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0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0</v>
      </c>
      <c r="F18" s="10">
        <v>2.9000000000000001E-2</v>
      </c>
      <c r="G18" s="1" t="e">
        <f>'March 2021'!#REF!</f>
        <v>#REF!</v>
      </c>
      <c r="H18" s="10">
        <v>0.112</v>
      </c>
      <c r="I18" s="1" t="e">
        <f>'March 2021'!#REF!*1000</f>
        <v>#REF!</v>
      </c>
      <c r="J18" s="10">
        <v>3.61E-2</v>
      </c>
      <c r="K18" s="1" t="e">
        <f>'March 2021'!#REF!</f>
        <v>#REF!</v>
      </c>
      <c r="L18" s="10">
        <v>0.75</v>
      </c>
      <c r="M18" s="10">
        <f>'March 2021'!L21</f>
        <v>0</v>
      </c>
      <c r="N18" s="10">
        <v>0.56299999999999994</v>
      </c>
      <c r="O18" s="14">
        <f>'March 2021'!D21</f>
        <v>0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0</v>
      </c>
      <c r="F19" s="10">
        <v>2.9000000000000001E-2</v>
      </c>
      <c r="G19" s="1">
        <f>'March 2021'!J22</f>
        <v>0</v>
      </c>
      <c r="H19" s="10">
        <v>0.112</v>
      </c>
      <c r="I19" s="1">
        <f>'March 2021'!G22*1000</f>
        <v>0</v>
      </c>
      <c r="J19" s="10">
        <v>3.61E-2</v>
      </c>
      <c r="K19" s="1">
        <f>'March 2021'!I22</f>
        <v>0</v>
      </c>
      <c r="L19" s="10">
        <v>0.75</v>
      </c>
      <c r="M19" s="10">
        <f>'March 2021'!L22</f>
        <v>0</v>
      </c>
      <c r="N19" s="10">
        <v>0.56299999999999994</v>
      </c>
      <c r="O19" s="14">
        <f>'March 2021'!D22</f>
        <v>0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0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2021'!G23*1000</f>
        <v>0</v>
      </c>
      <c r="J20" s="10">
        <v>3.61E-2</v>
      </c>
      <c r="K20" s="1">
        <f>'March 2021'!I23</f>
        <v>0</v>
      </c>
      <c r="L20" s="10">
        <v>0.75</v>
      </c>
      <c r="M20" s="10">
        <f>'March 2021'!L23</f>
        <v>0</v>
      </c>
      <c r="N20" s="10">
        <v>0.56299999999999994</v>
      </c>
      <c r="O20" s="14">
        <f>'March 2021'!D23</f>
        <v>0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0</v>
      </c>
      <c r="F21" s="10">
        <v>2.9000000000000001E-2</v>
      </c>
      <c r="G21" s="1">
        <f>'March 2021'!J24</f>
        <v>0</v>
      </c>
      <c r="H21" s="10">
        <v>0.112</v>
      </c>
      <c r="I21" s="1">
        <f>'March 2021'!G24*1000</f>
        <v>0</v>
      </c>
      <c r="J21" s="10">
        <v>3.61E-2</v>
      </c>
      <c r="K21" s="1">
        <f>'March 2021'!I24</f>
        <v>0</v>
      </c>
      <c r="L21" s="10">
        <v>0.75</v>
      </c>
      <c r="M21" s="10">
        <f>'March 2021'!L24</f>
        <v>0</v>
      </c>
      <c r="N21" s="10">
        <v>0.56299999999999994</v>
      </c>
      <c r="O21" s="14">
        <f>'March 2021'!D24</f>
        <v>0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2021'!J25</f>
        <v>0</v>
      </c>
      <c r="H22" s="10">
        <v>0.112</v>
      </c>
      <c r="I22" s="1">
        <f>'March 2021'!G25*1000</f>
        <v>0</v>
      </c>
      <c r="J22" s="10">
        <v>3.61E-2</v>
      </c>
      <c r="K22" s="1">
        <f>'March 2021'!I25</f>
        <v>0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2021'!J26</f>
        <v>0</v>
      </c>
      <c r="H23" s="10">
        <v>0.112</v>
      </c>
      <c r="I23" s="1">
        <f>'March 2021'!G26*1000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B20" sqref="A20:XFD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2" t="s">
        <v>23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4" ht="15" x14ac:dyDescent="0.2">
      <c r="B3" s="33" t="s">
        <v>16</v>
      </c>
      <c r="C3" s="35" t="s">
        <v>17</v>
      </c>
      <c r="D3" s="17"/>
      <c r="E3" s="37" t="s">
        <v>24</v>
      </c>
      <c r="F3" s="37" t="s">
        <v>18</v>
      </c>
      <c r="G3" s="37" t="s">
        <v>19</v>
      </c>
      <c r="H3" s="37" t="s">
        <v>20</v>
      </c>
      <c r="I3" s="37" t="s">
        <v>21</v>
      </c>
      <c r="J3" s="19"/>
      <c r="K3" s="37" t="s">
        <v>22</v>
      </c>
      <c r="L3" s="39" t="s">
        <v>21</v>
      </c>
    </row>
    <row r="4" spans="1:14" ht="15" x14ac:dyDescent="0.2">
      <c r="B4" s="34"/>
      <c r="C4" s="36"/>
      <c r="D4" s="18" t="s">
        <v>25</v>
      </c>
      <c r="E4" s="38"/>
      <c r="F4" s="38"/>
      <c r="G4" s="38"/>
      <c r="H4" s="38"/>
      <c r="I4" s="38"/>
      <c r="J4" s="20" t="s">
        <v>26</v>
      </c>
      <c r="K4" s="38"/>
      <c r="L4" s="40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8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2970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8" si="0">F9-F8</f>
        <v>25</v>
      </c>
      <c r="H8" s="7">
        <v>453585</v>
      </c>
      <c r="I8" s="3">
        <f t="shared" ref="I8:I18" si="1">H9-H8</f>
        <v>192</v>
      </c>
      <c r="J8" s="3">
        <v>0</v>
      </c>
      <c r="K8" s="4">
        <v>272992</v>
      </c>
      <c r="L8" s="9">
        <f t="shared" ref="L8:L18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2970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>
        <v>57</v>
      </c>
      <c r="E12" s="12">
        <v>24802</v>
      </c>
      <c r="F12" s="4">
        <v>185175</v>
      </c>
      <c r="G12" s="8">
        <f t="shared" si="0"/>
        <v>22</v>
      </c>
      <c r="H12" s="7">
        <v>454913</v>
      </c>
      <c r="I12" s="3">
        <f t="shared" si="1"/>
        <v>253</v>
      </c>
      <c r="J12" s="3">
        <v>0</v>
      </c>
      <c r="K12" s="4">
        <v>273302</v>
      </c>
      <c r="L12" s="9">
        <f t="shared" si="2"/>
        <v>161</v>
      </c>
      <c r="N12" s="1"/>
    </row>
    <row r="13" spans="1:14" x14ac:dyDescent="0.2">
      <c r="A13" t="s">
        <v>28</v>
      </c>
      <c r="B13" s="2">
        <v>9</v>
      </c>
      <c r="C13" s="11">
        <v>44264</v>
      </c>
      <c r="D13" s="7">
        <v>120</v>
      </c>
      <c r="E13" s="12">
        <v>21834</v>
      </c>
      <c r="F13" s="28">
        <v>185197</v>
      </c>
      <c r="G13" s="8">
        <f t="shared" si="0"/>
        <v>25</v>
      </c>
      <c r="H13" s="16">
        <v>455166</v>
      </c>
      <c r="I13" s="3">
        <f t="shared" si="1"/>
        <v>288</v>
      </c>
      <c r="J13" s="3">
        <v>0</v>
      </c>
      <c r="K13" s="28">
        <v>273463</v>
      </c>
      <c r="L13" s="9">
        <f t="shared" si="2"/>
        <v>43</v>
      </c>
      <c r="N13" s="1"/>
    </row>
    <row r="14" spans="1:14" x14ac:dyDescent="0.2">
      <c r="B14" s="2">
        <v>10</v>
      </c>
      <c r="C14" s="11">
        <v>44265</v>
      </c>
      <c r="D14" s="7">
        <v>134</v>
      </c>
      <c r="E14" s="12">
        <v>21834</v>
      </c>
      <c r="F14" s="28">
        <v>185222</v>
      </c>
      <c r="G14" s="8">
        <f t="shared" si="0"/>
        <v>24</v>
      </c>
      <c r="H14" s="31">
        <v>455454</v>
      </c>
      <c r="I14" s="3">
        <f t="shared" si="1"/>
        <v>233</v>
      </c>
      <c r="J14" s="3">
        <v>2970</v>
      </c>
      <c r="K14" s="28">
        <v>273506</v>
      </c>
      <c r="L14" s="9">
        <f t="shared" si="2"/>
        <v>171</v>
      </c>
      <c r="N14" s="1"/>
    </row>
    <row r="15" spans="1:14" x14ac:dyDescent="0.2">
      <c r="B15" s="2">
        <v>11</v>
      </c>
      <c r="C15" s="11">
        <v>44266</v>
      </c>
      <c r="D15" s="7">
        <v>131</v>
      </c>
      <c r="E15" s="12">
        <v>26654</v>
      </c>
      <c r="F15" s="28">
        <v>185246</v>
      </c>
      <c r="G15" s="8">
        <f t="shared" si="0"/>
        <v>25</v>
      </c>
      <c r="H15" s="31">
        <v>455687</v>
      </c>
      <c r="I15" s="3">
        <f t="shared" si="1"/>
        <v>239</v>
      </c>
      <c r="J15" s="3">
        <v>0</v>
      </c>
      <c r="K15" s="28">
        <v>273677</v>
      </c>
      <c r="L15" s="9">
        <f t="shared" si="2"/>
        <v>52</v>
      </c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>
        <v>148</v>
      </c>
      <c r="E16" s="12">
        <v>27034</v>
      </c>
      <c r="F16" s="4">
        <v>185271</v>
      </c>
      <c r="G16" s="8">
        <f t="shared" si="0"/>
        <v>33</v>
      </c>
      <c r="H16" s="7">
        <v>455926</v>
      </c>
      <c r="I16" s="3">
        <f t="shared" si="1"/>
        <v>324</v>
      </c>
      <c r="J16" s="3">
        <v>0</v>
      </c>
      <c r="K16" s="4">
        <v>273729</v>
      </c>
      <c r="L16" s="9">
        <f t="shared" si="2"/>
        <v>42</v>
      </c>
      <c r="N16" s="1"/>
    </row>
    <row r="17" spans="1:14" x14ac:dyDescent="0.2">
      <c r="B17" s="2">
        <v>13</v>
      </c>
      <c r="C17" s="11">
        <v>44268</v>
      </c>
      <c r="D17" s="7">
        <v>155</v>
      </c>
      <c r="E17" s="12">
        <v>27023</v>
      </c>
      <c r="F17" s="4">
        <v>185304</v>
      </c>
      <c r="G17" s="8">
        <f t="shared" si="0"/>
        <v>27</v>
      </c>
      <c r="H17" s="7">
        <v>456250</v>
      </c>
      <c r="I17" s="3">
        <f t="shared" si="1"/>
        <v>474</v>
      </c>
      <c r="J17" s="3">
        <v>2970</v>
      </c>
      <c r="K17" s="4">
        <v>273771</v>
      </c>
      <c r="L17" s="9">
        <f t="shared" si="2"/>
        <v>24</v>
      </c>
      <c r="N17" s="1"/>
    </row>
    <row r="18" spans="1:14" ht="13.5" customHeight="1" x14ac:dyDescent="0.2">
      <c r="B18" s="2">
        <v>14</v>
      </c>
      <c r="C18" s="11">
        <v>44269</v>
      </c>
      <c r="D18" s="7">
        <v>125</v>
      </c>
      <c r="E18" s="31">
        <v>28734</v>
      </c>
      <c r="F18" s="4">
        <v>185331</v>
      </c>
      <c r="G18" s="8">
        <f>F20-F18</f>
        <v>49</v>
      </c>
      <c r="H18" s="7">
        <v>456724</v>
      </c>
      <c r="I18" s="3">
        <f>H20-H18</f>
        <v>977</v>
      </c>
      <c r="J18" s="3">
        <v>0</v>
      </c>
      <c r="K18" s="4">
        <v>273795</v>
      </c>
      <c r="L18" s="9">
        <f>K20-K18</f>
        <v>111</v>
      </c>
      <c r="N18" s="1"/>
    </row>
    <row r="19" spans="1:14" x14ac:dyDescent="0.2">
      <c r="B19" s="2">
        <v>15</v>
      </c>
      <c r="C19" s="11">
        <v>44270</v>
      </c>
      <c r="D19" s="7">
        <v>139</v>
      </c>
      <c r="E19" s="31">
        <v>29743</v>
      </c>
      <c r="F19" s="28">
        <v>185356</v>
      </c>
      <c r="G19" s="8">
        <f>F20-F19</f>
        <v>24</v>
      </c>
      <c r="H19" s="31">
        <v>457210</v>
      </c>
      <c r="I19" s="3">
        <f>H20-H19</f>
        <v>491</v>
      </c>
      <c r="J19" s="3">
        <v>0</v>
      </c>
      <c r="K19" s="4">
        <v>273874</v>
      </c>
      <c r="L19" s="9">
        <f>K20-K19</f>
        <v>32</v>
      </c>
      <c r="N19" s="1"/>
    </row>
    <row r="20" spans="1:14" x14ac:dyDescent="0.2">
      <c r="A20" t="s">
        <v>28</v>
      </c>
      <c r="B20" s="2">
        <v>16</v>
      </c>
      <c r="C20" s="11">
        <v>44271</v>
      </c>
      <c r="D20" s="7"/>
      <c r="E20" s="31"/>
      <c r="F20" s="28">
        <v>185380</v>
      </c>
      <c r="G20" s="41"/>
      <c r="H20" s="42">
        <v>457701</v>
      </c>
      <c r="I20" s="25"/>
      <c r="J20" s="25">
        <v>2970</v>
      </c>
      <c r="K20" s="24">
        <v>273906</v>
      </c>
      <c r="L20" s="43"/>
      <c r="N20" s="1"/>
    </row>
    <row r="21" spans="1:14" x14ac:dyDescent="0.2">
      <c r="B21" s="2">
        <v>17</v>
      </c>
      <c r="C21" s="11">
        <v>44272</v>
      </c>
      <c r="D21" s="7"/>
      <c r="E21" s="7"/>
      <c r="F21" s="44"/>
      <c r="G21" s="44"/>
      <c r="H21" s="44"/>
      <c r="I21" s="44"/>
      <c r="J21" s="44"/>
      <c r="K21" s="44"/>
      <c r="L21" s="3"/>
      <c r="N21" s="1"/>
    </row>
    <row r="22" spans="1:14" x14ac:dyDescent="0.2">
      <c r="B22" s="2">
        <v>18</v>
      </c>
      <c r="C22" s="11">
        <v>44273</v>
      </c>
      <c r="D22" s="7"/>
      <c r="E22" s="7"/>
      <c r="F22" s="4"/>
      <c r="G22" s="8"/>
      <c r="H22" s="4"/>
      <c r="I22" s="3"/>
      <c r="J22" s="3"/>
      <c r="K22" s="29"/>
      <c r="L22" s="3"/>
      <c r="N22" s="1"/>
    </row>
    <row r="23" spans="1:14" x14ac:dyDescent="0.2">
      <c r="B23" s="2">
        <v>19</v>
      </c>
      <c r="C23" s="11">
        <v>44274</v>
      </c>
      <c r="D23" s="7"/>
      <c r="E23" s="31"/>
      <c r="F23" s="4"/>
      <c r="G23" s="8"/>
      <c r="H23" s="29"/>
      <c r="I23" s="3"/>
      <c r="J23" s="3"/>
      <c r="K23" s="29"/>
      <c r="L23" s="3"/>
      <c r="N23" s="1"/>
    </row>
    <row r="24" spans="1:14" ht="12" customHeight="1" x14ac:dyDescent="0.2">
      <c r="B24" s="2">
        <v>20</v>
      </c>
      <c r="C24" s="11">
        <v>44275</v>
      </c>
      <c r="D24" s="7"/>
      <c r="E24" s="31"/>
      <c r="F24" s="29"/>
      <c r="G24" s="8"/>
      <c r="H24" s="29"/>
      <c r="I24" s="3"/>
      <c r="J24" s="3"/>
      <c r="K24" s="4"/>
      <c r="L24" s="3"/>
      <c r="N24" s="1"/>
    </row>
    <row r="25" spans="1:14" x14ac:dyDescent="0.2">
      <c r="B25" s="2">
        <v>21</v>
      </c>
      <c r="C25" s="11">
        <v>44276</v>
      </c>
      <c r="D25" s="7"/>
      <c r="E25" s="7"/>
      <c r="F25" s="29"/>
      <c r="G25" s="8"/>
      <c r="H25" s="29"/>
      <c r="I25" s="3"/>
      <c r="J25" s="3"/>
      <c r="K25" s="4"/>
      <c r="L25" s="3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K26" s="4"/>
      <c r="L26" s="3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3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3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3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0"/>
      <c r="L30" s="3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3"/>
      <c r="N31" s="1"/>
    </row>
    <row r="32" spans="1:14" x14ac:dyDescent="0.2">
      <c r="B32" s="2">
        <v>28</v>
      </c>
      <c r="C32" s="11">
        <v>44283</v>
      </c>
      <c r="D32" s="7"/>
      <c r="E32" s="12"/>
      <c r="F32" s="4"/>
      <c r="G32" s="8"/>
      <c r="H32" s="7"/>
      <c r="I32" s="3"/>
      <c r="J32" s="3"/>
      <c r="K32" s="4"/>
      <c r="L32" s="3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7"/>
      <c r="I33" s="3"/>
      <c r="J33" s="3"/>
      <c r="K33" s="29"/>
      <c r="L33" s="3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29"/>
      <c r="L34" s="3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7"/>
      <c r="F35" s="21"/>
      <c r="G35" s="8"/>
      <c r="H35" s="21"/>
      <c r="I35" s="3"/>
      <c r="J35" s="3"/>
      <c r="K35" s="29"/>
      <c r="L35" s="3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2021-03-16T10:10:10Z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