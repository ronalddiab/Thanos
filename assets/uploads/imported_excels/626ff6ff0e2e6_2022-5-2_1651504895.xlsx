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bltfp1.blt.fshq.fs\departments$\Engineering\Meter Readings\Meter Readings\2022\"/>
    </mc:Choice>
  </mc:AlternateContent>
  <xr:revisionPtr revIDLastSave="0" documentId="13_ncr:1_{1B5E5660-0F91-488A-88B0-C19A5CE8BE8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AO36" i="1"/>
  <c r="AM36" i="1"/>
  <c r="AK36" i="1"/>
  <c r="AI36" i="1"/>
  <c r="AD36" i="1"/>
  <c r="AB36" i="1"/>
  <c r="Z39" i="1"/>
  <c r="Z38" i="1"/>
  <c r="Z36" i="1"/>
  <c r="X39" i="1"/>
  <c r="X38" i="1"/>
  <c r="X36" i="1"/>
  <c r="V39" i="1"/>
  <c r="V38" i="1"/>
  <c r="V36" i="1"/>
  <c r="O36" i="1"/>
  <c r="L36" i="1"/>
  <c r="J36" i="1"/>
  <c r="AE38" i="1"/>
  <c r="AO4" i="1"/>
  <c r="AM4" i="1"/>
  <c r="AK4" i="1"/>
  <c r="AI4" i="1"/>
  <c r="AG4" i="1"/>
  <c r="Z4" i="1"/>
  <c r="X4" i="1"/>
  <c r="V4" i="1"/>
  <c r="S4" i="1"/>
  <c r="O4" i="1"/>
  <c r="O5" i="1"/>
  <c r="Q4" i="1"/>
  <c r="L4" i="1"/>
  <c r="J4" i="1"/>
  <c r="G4" i="1"/>
  <c r="E4" i="1"/>
  <c r="C4" i="1"/>
  <c r="C5" i="1"/>
  <c r="C33" i="1" l="1"/>
  <c r="AA20" i="1"/>
  <c r="AB20" i="1" s="1"/>
  <c r="AB30" i="1"/>
  <c r="E24" i="1"/>
  <c r="BF22" i="1"/>
  <c r="C15" i="1"/>
  <c r="AA14" i="1"/>
  <c r="AB14" i="1" s="1"/>
  <c r="AB19" i="1"/>
  <c r="AB17" i="1"/>
  <c r="AB16" i="1"/>
  <c r="AB15" i="1"/>
  <c r="AM10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F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5" i="1"/>
  <c r="AB6" i="1"/>
  <c r="AB7" i="1"/>
  <c r="AB8" i="1"/>
  <c r="AB9" i="1"/>
  <c r="AB10" i="1"/>
  <c r="AB11" i="1"/>
  <c r="AB12" i="1"/>
  <c r="AB13" i="1"/>
  <c r="AB18" i="1"/>
  <c r="AB23" i="1"/>
  <c r="AB24" i="1"/>
  <c r="AB25" i="1"/>
  <c r="AB26" i="1"/>
  <c r="AB27" i="1"/>
  <c r="AB28" i="1"/>
  <c r="AB29" i="1"/>
  <c r="AB32" i="1"/>
  <c r="AB33" i="1"/>
  <c r="AB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5" i="1"/>
  <c r="AG36" i="1"/>
  <c r="AG38" i="1" s="1"/>
  <c r="AG39" i="1" s="1"/>
  <c r="AC38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8" i="1"/>
  <c r="AO39" i="1" s="1"/>
  <c r="AO5" i="1"/>
  <c r="AM6" i="1"/>
  <c r="AM7" i="1"/>
  <c r="AM8" i="1"/>
  <c r="AM9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8" i="1"/>
  <c r="AM39" i="1" s="1"/>
  <c r="AM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8" i="1"/>
  <c r="AK39" i="1" s="1"/>
  <c r="AK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8" i="1"/>
  <c r="AI39" i="1" s="1"/>
  <c r="AI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5" i="1"/>
  <c r="Q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BF36" i="1" l="1"/>
  <c r="BD36" i="1"/>
  <c r="AA21" i="1"/>
  <c r="AB22" i="1" s="1"/>
  <c r="AB21" i="1"/>
  <c r="AB31" i="1"/>
  <c r="BB36" i="1"/>
  <c r="AZ36" i="1"/>
  <c r="AV36" i="1"/>
  <c r="AR36" i="1"/>
  <c r="AT36" i="1"/>
  <c r="AX36" i="1"/>
  <c r="S36" i="1"/>
  <c r="S38" i="1" s="1"/>
  <c r="S39" i="1" s="1"/>
  <c r="G36" i="1"/>
  <c r="G38" i="1" s="1"/>
  <c r="G39" i="1" s="1"/>
  <c r="E36" i="1"/>
  <c r="E38" i="1" s="1"/>
  <c r="E39" i="1" s="1"/>
  <c r="L38" i="1"/>
  <c r="L39" i="1" s="1"/>
  <c r="Q36" i="1"/>
  <c r="Q38" i="1" s="1"/>
  <c r="Q39" i="1" s="1"/>
  <c r="J38" i="1"/>
  <c r="J39" i="1" s="1"/>
  <c r="O38" i="1"/>
  <c r="O39" i="1" s="1"/>
  <c r="C38" i="1"/>
  <c r="C39" i="1" s="1"/>
</calcChain>
</file>

<file path=xl/sharedStrings.xml><?xml version="1.0" encoding="utf-8"?>
<sst xmlns="http://schemas.openxmlformats.org/spreadsheetml/2006/main" count="67" uniqueCount="34">
  <si>
    <t>Date</t>
  </si>
  <si>
    <t>Bygone</t>
  </si>
  <si>
    <t>Engineer</t>
  </si>
  <si>
    <t>Mina</t>
  </si>
  <si>
    <t>Main</t>
  </si>
  <si>
    <t>Electric      Main</t>
  </si>
  <si>
    <t>Electric    Chilled</t>
  </si>
  <si>
    <t>Electric        Hot</t>
  </si>
  <si>
    <t>Chilled</t>
  </si>
  <si>
    <t>Heat</t>
  </si>
  <si>
    <t>Gas</t>
  </si>
  <si>
    <t xml:space="preserve">Water </t>
  </si>
  <si>
    <t>Electric</t>
  </si>
  <si>
    <t>Total</t>
  </si>
  <si>
    <t>Consumption</t>
  </si>
  <si>
    <t>Gas (Therm)</t>
  </si>
  <si>
    <t>Water (FT3), (THR), (MMBTU)</t>
  </si>
  <si>
    <t>Chilled (THR)</t>
  </si>
  <si>
    <t>Hot (MMBTU)</t>
  </si>
  <si>
    <t>Main (FT3)</t>
  </si>
  <si>
    <t>Electric (KWH)</t>
  </si>
  <si>
    <t>Meter 1</t>
  </si>
  <si>
    <t>Meter 2</t>
  </si>
  <si>
    <t>Meter 3</t>
  </si>
  <si>
    <t>Chilled BTU</t>
  </si>
  <si>
    <t>Heating BTU</t>
  </si>
  <si>
    <t>AHU 1</t>
  </si>
  <si>
    <t>AHU 2</t>
  </si>
  <si>
    <t>AHU 3</t>
  </si>
  <si>
    <t>AHU 4</t>
  </si>
  <si>
    <t>Anthropologie (KWH, BTU )</t>
  </si>
  <si>
    <t>Varience</t>
  </si>
  <si>
    <t>Varience %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</si>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</sst>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4" fontId="5" fillId="0" borderId="2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9"/>
  <sheetViews>
    <sheetView tabSelected="1" zoomScale="80" zoomScaleNormal="80" workbookViewId="0">
      <pane ySplit="1" topLeftCell="A23" activePane="bottomLeft" state="frozen"/>
      <selection activeCell="W1" sqref="W1"/>
      <selection pane="bottomLeft" activeCell="L36" sqref="L36"/>
    </sheetView>
  </sheetViews>
  <sheetFormatPr defaultRowHeight="15" x14ac:dyDescent="0.25"/>
  <cols>
    <col min="1" max="1" width="12.42578125" bestFit="1" customWidth="1"/>
    <col min="2" max="3" width="15.7109375" customWidth="1"/>
    <col min="4" max="4" width="11.85546875" customWidth="1"/>
    <col min="5" max="5" width="13.85546875" bestFit="1" customWidth="1"/>
    <col min="6" max="6" width="11" customWidth="1"/>
    <col min="7" max="7" width="13.85546875" bestFit="1" customWidth="1"/>
    <col min="8" max="8" width="1.42578125" customWidth="1"/>
    <col min="9" max="9" width="10.140625" customWidth="1"/>
    <col min="10" max="10" width="13.85546875" bestFit="1" customWidth="1"/>
    <col min="11" max="11" width="10.28515625" customWidth="1"/>
    <col min="12" max="12" width="14.42578125" bestFit="1" customWidth="1"/>
    <col min="13" max="13" width="1.5703125" customWidth="1"/>
    <col min="14" max="14" width="11.42578125" bestFit="1" customWidth="1"/>
    <col min="15" max="15" width="14.42578125" bestFit="1" customWidth="1"/>
    <col min="16" max="16" width="14.28515625" bestFit="1" customWidth="1"/>
    <col min="17" max="17" width="13.85546875" bestFit="1" customWidth="1"/>
    <col min="18" max="18" width="15.28515625" bestFit="1" customWidth="1"/>
    <col min="19" max="19" width="14" customWidth="1"/>
    <col min="20" max="20" width="1.5703125" customWidth="1"/>
    <col min="21" max="21" width="10.7109375" customWidth="1"/>
    <col min="22" max="22" width="13.85546875" bestFit="1" customWidth="1"/>
    <col min="23" max="23" width="11.140625" customWidth="1"/>
    <col min="24" max="24" width="13.85546875" bestFit="1" customWidth="1"/>
    <col min="25" max="25" width="9.42578125" customWidth="1"/>
    <col min="26" max="26" width="13.85546875" bestFit="1" customWidth="1"/>
    <col min="27" max="27" width="12.42578125" bestFit="1" customWidth="1"/>
    <col min="28" max="28" width="13.85546875" bestFit="1" customWidth="1"/>
    <col min="30" max="30" width="13.85546875" bestFit="1" customWidth="1"/>
    <col min="31" max="31" width="1.5703125" customWidth="1"/>
    <col min="32" max="32" width="11.42578125" customWidth="1"/>
    <col min="33" max="33" width="13.85546875" bestFit="1" customWidth="1"/>
    <col min="35" max="35" width="13.85546875" bestFit="1" customWidth="1"/>
    <col min="36" max="36" width="13.42578125" bestFit="1" customWidth="1"/>
    <col min="37" max="37" width="13.85546875" bestFit="1" customWidth="1"/>
    <col min="38" max="38" width="9.140625" customWidth="1"/>
    <col min="39" max="39" width="13.85546875" bestFit="1" customWidth="1"/>
    <col min="40" max="40" width="9.140625" bestFit="1" customWidth="1"/>
    <col min="41" max="41" width="13.85546875" bestFit="1" customWidth="1"/>
    <col min="42" max="42" width="1.5703125" customWidth="1"/>
    <col min="44" max="44" width="13.85546875" bestFit="1" customWidth="1"/>
    <col min="46" max="46" width="13.85546875" bestFit="1" customWidth="1"/>
    <col min="48" max="48" width="13.85546875" bestFit="1" customWidth="1"/>
    <col min="50" max="50" width="13.85546875" bestFit="1" customWidth="1"/>
    <col min="52" max="52" width="13.85546875" bestFit="1" customWidth="1"/>
    <col min="54" max="54" width="13.85546875" bestFit="1" customWidth="1"/>
    <col min="56" max="56" width="13.85546875" bestFit="1" customWidth="1"/>
    <col min="58" max="58" width="13.85546875" bestFit="1" customWidth="1"/>
    <col min="59" max="59" width="1.5703125" customWidth="1"/>
    <col min="60" max="60" width="10.5703125" customWidth="1"/>
  </cols>
  <sheetData>
    <row r="1" spans="1:60" ht="15.75" customHeight="1" x14ac:dyDescent="0.25">
      <c r="A1" s="63" t="s">
        <v>0</v>
      </c>
      <c r="B1" s="75" t="s">
        <v>20</v>
      </c>
      <c r="C1" s="76"/>
      <c r="D1" s="76"/>
      <c r="E1" s="76"/>
      <c r="F1" s="76"/>
      <c r="G1" s="77"/>
      <c r="H1" s="1"/>
      <c r="I1" s="72" t="s">
        <v>15</v>
      </c>
      <c r="J1" s="73"/>
      <c r="K1" s="73"/>
      <c r="L1" s="74"/>
      <c r="M1" s="1"/>
      <c r="N1" s="78" t="s">
        <v>16</v>
      </c>
      <c r="O1" s="79"/>
      <c r="P1" s="79"/>
      <c r="Q1" s="79"/>
      <c r="R1" s="79"/>
      <c r="S1" s="80"/>
      <c r="T1" s="5"/>
      <c r="U1" s="91" t="s">
        <v>30</v>
      </c>
      <c r="V1" s="92"/>
      <c r="W1" s="92"/>
      <c r="X1" s="92"/>
      <c r="Y1" s="92"/>
      <c r="Z1" s="92"/>
      <c r="AA1" s="92"/>
      <c r="AB1" s="92"/>
      <c r="AC1" s="92"/>
      <c r="AD1" s="93"/>
      <c r="AE1" s="5"/>
      <c r="AF1" s="86" t="s">
        <v>1</v>
      </c>
      <c r="AG1" s="87"/>
      <c r="AH1" s="87"/>
      <c r="AI1" s="87"/>
      <c r="AJ1" s="87"/>
      <c r="AK1" s="87"/>
      <c r="AL1" s="87"/>
      <c r="AM1" s="87"/>
      <c r="AN1" s="88"/>
      <c r="AO1" s="6"/>
      <c r="AP1" s="5"/>
      <c r="AQ1" s="89" t="s">
        <v>26</v>
      </c>
      <c r="AR1" s="90"/>
      <c r="AS1" s="90"/>
      <c r="AT1" s="90"/>
      <c r="AU1" s="89" t="s">
        <v>27</v>
      </c>
      <c r="AV1" s="90"/>
      <c r="AW1" s="90"/>
      <c r="AX1" s="90"/>
      <c r="AY1" s="89" t="s">
        <v>28</v>
      </c>
      <c r="AZ1" s="90"/>
      <c r="BA1" s="90"/>
      <c r="BB1" s="90"/>
      <c r="BC1" s="89" t="s">
        <v>29</v>
      </c>
      <c r="BD1" s="90"/>
      <c r="BE1" s="90"/>
      <c r="BF1" s="90"/>
      <c r="BG1" s="5"/>
      <c r="BH1" s="63" t="s">
        <v>2</v>
      </c>
    </row>
    <row r="2" spans="1:60" ht="15" customHeight="1" x14ac:dyDescent="0.25">
      <c r="A2" s="64"/>
      <c r="B2" s="81" t="s">
        <v>21</v>
      </c>
      <c r="C2" s="81" t="s">
        <v>14</v>
      </c>
      <c r="D2" s="81" t="s">
        <v>22</v>
      </c>
      <c r="E2" s="81" t="s">
        <v>14</v>
      </c>
      <c r="F2" s="81" t="s">
        <v>23</v>
      </c>
      <c r="G2" s="81" t="s">
        <v>14</v>
      </c>
      <c r="H2" s="2"/>
      <c r="I2" s="71" t="s">
        <v>3</v>
      </c>
      <c r="J2" s="82" t="s">
        <v>14</v>
      </c>
      <c r="K2" s="71" t="s">
        <v>4</v>
      </c>
      <c r="L2" s="82" t="s">
        <v>14</v>
      </c>
      <c r="M2" s="3"/>
      <c r="N2" s="66" t="s">
        <v>19</v>
      </c>
      <c r="O2" s="81" t="s">
        <v>14</v>
      </c>
      <c r="P2" s="66" t="s">
        <v>17</v>
      </c>
      <c r="Q2" s="81" t="s">
        <v>14</v>
      </c>
      <c r="R2" s="66" t="s">
        <v>18</v>
      </c>
      <c r="S2" s="81" t="s">
        <v>14</v>
      </c>
      <c r="T2" s="3"/>
      <c r="U2" s="68" t="s">
        <v>5</v>
      </c>
      <c r="V2" s="84" t="s">
        <v>14</v>
      </c>
      <c r="W2" s="70" t="s">
        <v>6</v>
      </c>
      <c r="X2" s="84" t="s">
        <v>14</v>
      </c>
      <c r="Y2" s="70" t="s">
        <v>7</v>
      </c>
      <c r="Z2" s="84" t="s">
        <v>14</v>
      </c>
      <c r="AA2" s="68" t="s">
        <v>24</v>
      </c>
      <c r="AB2" s="84" t="s">
        <v>14</v>
      </c>
      <c r="AC2" s="68" t="s">
        <v>25</v>
      </c>
      <c r="AD2" s="84" t="s">
        <v>14</v>
      </c>
      <c r="AE2" s="3"/>
      <c r="AF2" s="84" t="s">
        <v>9</v>
      </c>
      <c r="AG2" s="84" t="s">
        <v>14</v>
      </c>
      <c r="AH2" s="84" t="s">
        <v>8</v>
      </c>
      <c r="AI2" s="84" t="s">
        <v>14</v>
      </c>
      <c r="AJ2" s="84" t="s">
        <v>10</v>
      </c>
      <c r="AK2" s="84" t="s">
        <v>14</v>
      </c>
      <c r="AL2" s="84" t="s">
        <v>11</v>
      </c>
      <c r="AM2" s="84" t="s">
        <v>14</v>
      </c>
      <c r="AN2" s="84" t="s">
        <v>12</v>
      </c>
      <c r="AO2" s="84" t="s">
        <v>14</v>
      </c>
      <c r="AP2" s="3"/>
      <c r="AQ2" s="68" t="s">
        <v>24</v>
      </c>
      <c r="AR2" s="84" t="s">
        <v>14</v>
      </c>
      <c r="AS2" s="68" t="s">
        <v>25</v>
      </c>
      <c r="AT2" s="84" t="s">
        <v>14</v>
      </c>
      <c r="AU2" s="68" t="s">
        <v>24</v>
      </c>
      <c r="AV2" s="84" t="s">
        <v>14</v>
      </c>
      <c r="AW2" s="68" t="s">
        <v>25</v>
      </c>
      <c r="AX2" s="84" t="s">
        <v>14</v>
      </c>
      <c r="AY2" s="68" t="s">
        <v>24</v>
      </c>
      <c r="AZ2" s="84" t="s">
        <v>14</v>
      </c>
      <c r="BA2" s="68" t="s">
        <v>25</v>
      </c>
      <c r="BB2" s="84" t="s">
        <v>14</v>
      </c>
      <c r="BC2" s="68" t="s">
        <v>24</v>
      </c>
      <c r="BD2" s="84" t="s">
        <v>14</v>
      </c>
      <c r="BE2" s="68" t="s">
        <v>25</v>
      </c>
      <c r="BF2" s="84" t="s">
        <v>14</v>
      </c>
      <c r="BG2" s="3"/>
      <c r="BH2" s="64"/>
    </row>
    <row r="3" spans="1:60" ht="15" customHeight="1" x14ac:dyDescent="0.25">
      <c r="A3" s="65"/>
      <c r="B3" s="67"/>
      <c r="C3" s="67"/>
      <c r="D3" s="67"/>
      <c r="E3" s="67"/>
      <c r="F3" s="67"/>
      <c r="G3" s="67"/>
      <c r="H3" s="2"/>
      <c r="I3" s="71"/>
      <c r="J3" s="83"/>
      <c r="K3" s="71"/>
      <c r="L3" s="83"/>
      <c r="M3" s="4"/>
      <c r="N3" s="67"/>
      <c r="O3" s="67"/>
      <c r="P3" s="67"/>
      <c r="Q3" s="67"/>
      <c r="R3" s="67"/>
      <c r="S3" s="67"/>
      <c r="T3" s="4"/>
      <c r="U3" s="69"/>
      <c r="V3" s="85"/>
      <c r="W3" s="69"/>
      <c r="X3" s="85"/>
      <c r="Y3" s="69"/>
      <c r="Z3" s="85"/>
      <c r="AA3" s="69"/>
      <c r="AB3" s="85"/>
      <c r="AC3" s="69"/>
      <c r="AD3" s="85"/>
      <c r="AE3" s="4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4"/>
      <c r="AQ3" s="69"/>
      <c r="AR3" s="85"/>
      <c r="AS3" s="69"/>
      <c r="AT3" s="85"/>
      <c r="AU3" s="69"/>
      <c r="AV3" s="85"/>
      <c r="AW3" s="69"/>
      <c r="AX3" s="85"/>
      <c r="AY3" s="69"/>
      <c r="AZ3" s="85"/>
      <c r="BA3" s="69"/>
      <c r="BB3" s="85"/>
      <c r="BC3" s="69"/>
      <c r="BD3" s="85"/>
      <c r="BE3" s="69"/>
      <c r="BF3" s="85"/>
      <c r="BG3" s="4"/>
      <c r="BH3" s="65"/>
    </row>
    <row r="4" spans="1:60" ht="24.75" customHeight="1" x14ac:dyDescent="0.25">
      <c r="A4" s="12">
        <v>44652</v>
      </c>
      <c r="B4" s="7">
        <v>946520</v>
      </c>
      <c r="C4" s="8">
        <f>B4-942144</f>
        <v>4376</v>
      </c>
      <c r="D4" s="7">
        <v>29507599</v>
      </c>
      <c r="E4" s="8">
        <f>D4-29497580</f>
        <v>10019</v>
      </c>
      <c r="F4" s="7">
        <v>8092354</v>
      </c>
      <c r="G4" s="8">
        <f>F4-8088533</f>
        <v>3821</v>
      </c>
      <c r="H4" s="13"/>
      <c r="I4" s="7">
        <v>78972</v>
      </c>
      <c r="J4" s="14">
        <f>I4-78872</f>
        <v>100</v>
      </c>
      <c r="K4" s="7">
        <v>20679</v>
      </c>
      <c r="L4" s="7">
        <f>K4-20673</f>
        <v>6</v>
      </c>
      <c r="M4" s="13"/>
      <c r="N4" s="7">
        <v>53456</v>
      </c>
      <c r="O4" s="14">
        <f>(N4-53403)*1000/7.48</f>
        <v>7085.5614973262027</v>
      </c>
      <c r="P4" s="14">
        <v>52166472</v>
      </c>
      <c r="Q4" s="14">
        <f>P4-52159805</f>
        <v>6667</v>
      </c>
      <c r="R4" s="14">
        <v>231661</v>
      </c>
      <c r="S4" s="14">
        <f>R4-231590</f>
        <v>71</v>
      </c>
      <c r="T4" s="15"/>
      <c r="U4" s="7">
        <v>65333</v>
      </c>
      <c r="V4" s="8">
        <f>U4-64872</f>
        <v>461</v>
      </c>
      <c r="W4" s="7">
        <v>1663</v>
      </c>
      <c r="X4" s="8">
        <f>W4-1645</f>
        <v>18</v>
      </c>
      <c r="Y4" s="7">
        <v>1388</v>
      </c>
      <c r="Z4" s="8">
        <f>Y4-1378</f>
        <v>10</v>
      </c>
      <c r="AA4" s="8">
        <v>1663</v>
      </c>
      <c r="AB4" s="8"/>
      <c r="AC4" s="8">
        <v>1388</v>
      </c>
      <c r="AD4" s="8"/>
      <c r="AE4" s="15"/>
      <c r="AF4" s="7">
        <v>67137</v>
      </c>
      <c r="AG4" s="7">
        <f>AF4-67137</f>
        <v>0</v>
      </c>
      <c r="AH4" s="14">
        <v>217746</v>
      </c>
      <c r="AI4" s="16">
        <f>AH4-217576</f>
        <v>170</v>
      </c>
      <c r="AJ4" s="16">
        <v>10769654</v>
      </c>
      <c r="AK4" s="16">
        <f>AJ4-10764219</f>
        <v>5435</v>
      </c>
      <c r="AL4" s="14">
        <v>28651</v>
      </c>
      <c r="AM4" s="14">
        <f>AL4-28648</f>
        <v>3</v>
      </c>
      <c r="AN4" s="14">
        <v>11147</v>
      </c>
      <c r="AO4" s="14">
        <f>AN4-10500</f>
        <v>647</v>
      </c>
      <c r="AP4" s="15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15"/>
      <c r="BH4" s="7"/>
    </row>
    <row r="5" spans="1:60" ht="23.25" customHeight="1" x14ac:dyDescent="0.25">
      <c r="A5" s="12">
        <v>44653</v>
      </c>
      <c r="B5" s="7">
        <v>951121</v>
      </c>
      <c r="C5" s="7">
        <f>B5-B4</f>
        <v>4601</v>
      </c>
      <c r="D5" s="7">
        <v>29517142</v>
      </c>
      <c r="E5" s="7">
        <f>D5-D4</f>
        <v>9543</v>
      </c>
      <c r="F5" s="9">
        <v>8096118</v>
      </c>
      <c r="G5" s="9">
        <f>F5-F4</f>
        <v>3764</v>
      </c>
      <c r="H5" s="17"/>
      <c r="I5" s="7">
        <v>79088</v>
      </c>
      <c r="J5" s="14">
        <f>(I5-I4)*1.129</f>
        <v>130.964</v>
      </c>
      <c r="K5" s="7">
        <v>20685</v>
      </c>
      <c r="L5" s="14">
        <f>(K5-K4)*1.129</f>
        <v>6.774</v>
      </c>
      <c r="M5" s="13"/>
      <c r="N5" s="7">
        <v>53510</v>
      </c>
      <c r="O5" s="14">
        <f>(N5-N4)*1000/7.48</f>
        <v>7219.2513368983955</v>
      </c>
      <c r="P5" s="7">
        <v>52171424</v>
      </c>
      <c r="Q5" s="14">
        <f>P5-P4</f>
        <v>4952</v>
      </c>
      <c r="R5" s="7">
        <v>231742</v>
      </c>
      <c r="S5" s="14">
        <f>R5-R4</f>
        <v>81</v>
      </c>
      <c r="T5" s="13"/>
      <c r="U5" s="7">
        <v>65765</v>
      </c>
      <c r="V5" s="7">
        <f>U5-U4</f>
        <v>432</v>
      </c>
      <c r="W5" s="7">
        <v>1680</v>
      </c>
      <c r="X5" s="7">
        <f>W5-W4</f>
        <v>17</v>
      </c>
      <c r="Y5" s="7">
        <v>1399</v>
      </c>
      <c r="Z5" s="7">
        <f>(Y5-Y4)</f>
        <v>11</v>
      </c>
      <c r="AA5" s="8">
        <v>1680</v>
      </c>
      <c r="AB5" s="8">
        <f>(AA5-AA4)*10000</f>
        <v>170000</v>
      </c>
      <c r="AC5" s="8">
        <v>1399</v>
      </c>
      <c r="AD5" s="8">
        <f>(AC5-AC4)*10000</f>
        <v>110000</v>
      </c>
      <c r="AE5" s="13"/>
      <c r="AF5" s="7">
        <v>67137</v>
      </c>
      <c r="AG5" s="7">
        <f>AF5-AF4</f>
        <v>0</v>
      </c>
      <c r="AH5" s="7">
        <v>217909</v>
      </c>
      <c r="AI5" s="14">
        <f>AH5-AH4</f>
        <v>163</v>
      </c>
      <c r="AJ5" s="7">
        <v>10775519</v>
      </c>
      <c r="AK5" s="14">
        <f>AJ5-AJ4</f>
        <v>5865</v>
      </c>
      <c r="AL5" s="7">
        <v>28656</v>
      </c>
      <c r="AM5" s="14">
        <f>AL5-AL4</f>
        <v>5</v>
      </c>
      <c r="AN5" s="7">
        <v>11971</v>
      </c>
      <c r="AO5" s="14">
        <f>AN5-AN4</f>
        <v>824</v>
      </c>
      <c r="AP5" s="13"/>
      <c r="AQ5" s="22"/>
      <c r="AR5" s="22">
        <f>(AQ5-AQ4)*10000</f>
        <v>0</v>
      </c>
      <c r="AS5" s="22"/>
      <c r="AT5" s="22">
        <f>(AS5-AS4)*10000</f>
        <v>0</v>
      </c>
      <c r="AU5" s="22"/>
      <c r="AV5" s="22">
        <f>(AU5-AU4)*10000</f>
        <v>0</v>
      </c>
      <c r="AW5" s="22"/>
      <c r="AX5" s="22">
        <f>(AW5-AW4)*10000</f>
        <v>0</v>
      </c>
      <c r="AY5" s="22"/>
      <c r="AZ5" s="22">
        <f>(AY5-AY4)*10000</f>
        <v>0</v>
      </c>
      <c r="BA5" s="22"/>
      <c r="BB5" s="22">
        <f>(BA5-BA4)*10000</f>
        <v>0</v>
      </c>
      <c r="BC5" s="22"/>
      <c r="BD5" s="22">
        <f>(BC5-BC4)*10000</f>
        <v>0</v>
      </c>
      <c r="BE5" s="22"/>
      <c r="BF5" s="22">
        <f>(BE5-BE4)*10000</f>
        <v>0</v>
      </c>
      <c r="BG5" s="13"/>
      <c r="BH5" s="7"/>
    </row>
    <row r="6" spans="1:60" ht="24" customHeight="1" x14ac:dyDescent="0.25">
      <c r="A6" s="12">
        <v>44654</v>
      </c>
      <c r="B6" s="10">
        <v>955769</v>
      </c>
      <c r="C6" s="7">
        <f t="shared" ref="C6:C33" si="0">B6-B5</f>
        <v>4648</v>
      </c>
      <c r="D6" s="7">
        <v>29526181</v>
      </c>
      <c r="E6" s="7">
        <f t="shared" ref="E6:E33" si="1">D6-D5</f>
        <v>9039</v>
      </c>
      <c r="F6" s="9">
        <v>8099811</v>
      </c>
      <c r="G6" s="9">
        <f t="shared" ref="G6:G33" si="2">F6-F5</f>
        <v>3693</v>
      </c>
      <c r="H6" s="17"/>
      <c r="I6" s="7">
        <v>79207</v>
      </c>
      <c r="J6" s="14">
        <f t="shared" ref="J6:J33" si="3">(I6-I5)*1.129</f>
        <v>134.351</v>
      </c>
      <c r="K6" s="7">
        <v>20691</v>
      </c>
      <c r="L6" s="14">
        <f t="shared" ref="L6:L33" si="4">(K6-K5)*1.129</f>
        <v>6.774</v>
      </c>
      <c r="M6" s="13"/>
      <c r="N6" s="7">
        <v>53555</v>
      </c>
      <c r="O6" s="14">
        <f t="shared" ref="O6:O33" si="5">(N6-N5)*1000/7.48</f>
        <v>6016.0427807486631</v>
      </c>
      <c r="P6" s="7">
        <v>52176128</v>
      </c>
      <c r="Q6" s="14">
        <f t="shared" ref="Q6:Q33" si="6">P6-P5</f>
        <v>4704</v>
      </c>
      <c r="R6" s="7">
        <v>231817</v>
      </c>
      <c r="S6" s="14">
        <f t="shared" ref="S6:S33" si="7">R6-R5</f>
        <v>75</v>
      </c>
      <c r="T6" s="13"/>
      <c r="U6" s="7">
        <v>66173</v>
      </c>
      <c r="V6" s="7">
        <f t="shared" ref="V6:V33" si="8">U6-U5</f>
        <v>408</v>
      </c>
      <c r="W6" s="7">
        <v>1696</v>
      </c>
      <c r="X6" s="7">
        <f t="shared" ref="X6:X33" si="9">W6-W5</f>
        <v>16</v>
      </c>
      <c r="Y6" s="7">
        <v>1405</v>
      </c>
      <c r="Z6" s="7">
        <f t="shared" ref="Z6:Z33" si="10">(Y6-Y5)</f>
        <v>6</v>
      </c>
      <c r="AA6" s="8"/>
      <c r="AB6" s="8">
        <f t="shared" ref="AB6:AB33" si="11">(AA6-AA5)*10000</f>
        <v>-16800000</v>
      </c>
      <c r="AC6" s="8"/>
      <c r="AD6" s="8">
        <f t="shared" ref="AD6:AD33" si="12">(AC6-AC5)*10000</f>
        <v>-13990000</v>
      </c>
      <c r="AE6" s="13"/>
      <c r="AF6" s="7">
        <v>67137</v>
      </c>
      <c r="AG6" s="7">
        <f t="shared" ref="AG6:AG33" si="13">AF6-AF5</f>
        <v>0</v>
      </c>
      <c r="AH6" s="7">
        <v>218075</v>
      </c>
      <c r="AI6" s="14">
        <f t="shared" ref="AI6:AI33" si="14">AH6-AH5</f>
        <v>166</v>
      </c>
      <c r="AJ6" s="7">
        <v>10782008</v>
      </c>
      <c r="AK6" s="14">
        <f t="shared" ref="AK6:AK33" si="15">AJ6-AJ5</f>
        <v>6489</v>
      </c>
      <c r="AL6" s="7">
        <v>28662</v>
      </c>
      <c r="AM6" s="14">
        <f t="shared" ref="AM6:AM33" si="16">AL6-AL5</f>
        <v>6</v>
      </c>
      <c r="AN6" s="7">
        <v>12800</v>
      </c>
      <c r="AO6" s="14">
        <f t="shared" ref="AO6:AO33" si="17">AN6-AN5</f>
        <v>829</v>
      </c>
      <c r="AP6" s="13"/>
      <c r="AQ6" s="22"/>
      <c r="AR6" s="22">
        <f t="shared" ref="AR6:AR33" si="18">(AQ6-AQ5)*10000</f>
        <v>0</v>
      </c>
      <c r="AS6" s="22"/>
      <c r="AT6" s="22">
        <f t="shared" ref="AT6:AT33" si="19">(AS6-AS5)*10000</f>
        <v>0</v>
      </c>
      <c r="AU6" s="22"/>
      <c r="AV6" s="22">
        <f t="shared" ref="AV6:AV33" si="20">(AU6-AU5)*10000</f>
        <v>0</v>
      </c>
      <c r="AW6" s="22"/>
      <c r="AX6" s="22">
        <f t="shared" ref="AX6:AX33" si="21">(AW6-AW5)*10000</f>
        <v>0</v>
      </c>
      <c r="AY6" s="22"/>
      <c r="AZ6" s="22">
        <f t="shared" ref="AZ6:AZ33" si="22">(AY6-AY5)*10000</f>
        <v>0</v>
      </c>
      <c r="BA6" s="22"/>
      <c r="BB6" s="22">
        <f t="shared" ref="BB6:BB33" si="23">(BA6-BA5)*10000</f>
        <v>0</v>
      </c>
      <c r="BC6" s="22"/>
      <c r="BD6" s="22">
        <f t="shared" ref="BD6:BD33" si="24">(BC6-BC5)*10000</f>
        <v>0</v>
      </c>
      <c r="BE6" s="22"/>
      <c r="BF6" s="22">
        <f t="shared" ref="BF6:BF33" si="25">(BE6-BE5)*10000</f>
        <v>0</v>
      </c>
      <c r="BG6" s="13"/>
      <c r="BH6" s="7"/>
    </row>
    <row r="7" spans="1:60" ht="24" customHeight="1" x14ac:dyDescent="0.25">
      <c r="A7" s="12">
        <v>44655</v>
      </c>
      <c r="B7" s="7">
        <v>959661</v>
      </c>
      <c r="C7" s="7">
        <f t="shared" si="0"/>
        <v>3892</v>
      </c>
      <c r="D7" s="7">
        <v>29534085</v>
      </c>
      <c r="E7" s="7">
        <f t="shared" si="1"/>
        <v>7904</v>
      </c>
      <c r="F7" s="7">
        <v>8102981</v>
      </c>
      <c r="G7" s="9">
        <f t="shared" si="2"/>
        <v>3170</v>
      </c>
      <c r="H7" s="13"/>
      <c r="I7" s="7">
        <v>79298</v>
      </c>
      <c r="J7" s="14">
        <f t="shared" si="3"/>
        <v>102.739</v>
      </c>
      <c r="K7" s="7">
        <v>20696</v>
      </c>
      <c r="L7" s="14">
        <f t="shared" si="4"/>
        <v>5.6449999999999996</v>
      </c>
      <c r="M7" s="13"/>
      <c r="N7" s="11">
        <v>53592</v>
      </c>
      <c r="O7" s="14">
        <f t="shared" si="5"/>
        <v>4946.5240641711225</v>
      </c>
      <c r="P7" s="11">
        <v>52180401</v>
      </c>
      <c r="Q7" s="14">
        <f t="shared" si="6"/>
        <v>4273</v>
      </c>
      <c r="R7" s="14">
        <v>231883</v>
      </c>
      <c r="S7" s="14">
        <f t="shared" si="7"/>
        <v>66</v>
      </c>
      <c r="T7" s="15"/>
      <c r="U7" s="14">
        <v>66522</v>
      </c>
      <c r="V7" s="7">
        <f t="shared" si="8"/>
        <v>349</v>
      </c>
      <c r="W7" s="14">
        <v>1711</v>
      </c>
      <c r="X7" s="7">
        <f t="shared" si="9"/>
        <v>15</v>
      </c>
      <c r="Y7" s="14">
        <v>1417</v>
      </c>
      <c r="Z7" s="7">
        <f t="shared" si="10"/>
        <v>12</v>
      </c>
      <c r="AA7" s="8"/>
      <c r="AB7" s="8">
        <f t="shared" si="11"/>
        <v>0</v>
      </c>
      <c r="AC7" s="24"/>
      <c r="AD7" s="8">
        <f t="shared" si="12"/>
        <v>0</v>
      </c>
      <c r="AE7" s="15"/>
      <c r="AF7" s="11">
        <v>67137</v>
      </c>
      <c r="AG7" s="7">
        <f t="shared" si="13"/>
        <v>0</v>
      </c>
      <c r="AH7" s="11">
        <v>218212</v>
      </c>
      <c r="AI7" s="14">
        <f t="shared" si="14"/>
        <v>137</v>
      </c>
      <c r="AJ7" s="11">
        <v>10787815</v>
      </c>
      <c r="AK7" s="14">
        <f t="shared" si="15"/>
        <v>5807</v>
      </c>
      <c r="AL7" s="11">
        <v>28665</v>
      </c>
      <c r="AM7" s="14">
        <f t="shared" si="16"/>
        <v>3</v>
      </c>
      <c r="AN7" s="14">
        <v>13207</v>
      </c>
      <c r="AO7" s="14">
        <f t="shared" si="17"/>
        <v>407</v>
      </c>
      <c r="AP7" s="15"/>
      <c r="AQ7" s="22"/>
      <c r="AR7" s="22">
        <f t="shared" si="18"/>
        <v>0</v>
      </c>
      <c r="AS7" s="22"/>
      <c r="AT7" s="22">
        <f t="shared" si="19"/>
        <v>0</v>
      </c>
      <c r="AU7" s="22"/>
      <c r="AV7" s="22">
        <f t="shared" si="20"/>
        <v>0</v>
      </c>
      <c r="AW7" s="22"/>
      <c r="AX7" s="22">
        <f t="shared" si="21"/>
        <v>0</v>
      </c>
      <c r="AY7" s="22"/>
      <c r="AZ7" s="22">
        <f t="shared" si="22"/>
        <v>0</v>
      </c>
      <c r="BA7" s="22"/>
      <c r="BB7" s="22">
        <f t="shared" si="23"/>
        <v>0</v>
      </c>
      <c r="BC7" s="22"/>
      <c r="BD7" s="22">
        <f t="shared" si="24"/>
        <v>0</v>
      </c>
      <c r="BE7" s="22"/>
      <c r="BF7" s="22">
        <f t="shared" si="25"/>
        <v>0</v>
      </c>
      <c r="BG7" s="15"/>
      <c r="BH7" s="7"/>
    </row>
    <row r="8" spans="1:60" ht="24" customHeight="1" x14ac:dyDescent="0.25">
      <c r="A8" s="12">
        <v>44656</v>
      </c>
      <c r="B8" s="7">
        <v>964363</v>
      </c>
      <c r="C8" s="7">
        <f t="shared" si="0"/>
        <v>4702</v>
      </c>
      <c r="D8" s="7">
        <v>29544120</v>
      </c>
      <c r="E8" s="7">
        <f t="shared" si="1"/>
        <v>10035</v>
      </c>
      <c r="F8" s="7">
        <v>8106822</v>
      </c>
      <c r="G8" s="9">
        <f t="shared" si="2"/>
        <v>3841</v>
      </c>
      <c r="H8" s="13"/>
      <c r="I8" s="7">
        <v>79400</v>
      </c>
      <c r="J8" s="14">
        <f t="shared" si="3"/>
        <v>115.158</v>
      </c>
      <c r="K8" s="14">
        <v>20703</v>
      </c>
      <c r="L8" s="14">
        <f t="shared" si="4"/>
        <v>7.9030000000000005</v>
      </c>
      <c r="M8" s="15"/>
      <c r="N8" s="11">
        <v>53638</v>
      </c>
      <c r="O8" s="14">
        <f t="shared" si="5"/>
        <v>6149.7326203208549</v>
      </c>
      <c r="P8" s="11">
        <v>52185127</v>
      </c>
      <c r="Q8" s="14">
        <f t="shared" si="6"/>
        <v>4726</v>
      </c>
      <c r="R8" s="14">
        <v>231971</v>
      </c>
      <c r="S8" s="14">
        <f t="shared" si="7"/>
        <v>88</v>
      </c>
      <c r="T8" s="15"/>
      <c r="U8" s="14">
        <v>66983</v>
      </c>
      <c r="V8" s="7">
        <f t="shared" si="8"/>
        <v>461</v>
      </c>
      <c r="W8" s="14">
        <v>1730</v>
      </c>
      <c r="X8" s="7">
        <f t="shared" si="9"/>
        <v>19</v>
      </c>
      <c r="Y8" s="14">
        <v>1429</v>
      </c>
      <c r="Z8" s="7">
        <f t="shared" si="10"/>
        <v>12</v>
      </c>
      <c r="AA8" s="25"/>
      <c r="AB8" s="8">
        <f t="shared" si="11"/>
        <v>0</v>
      </c>
      <c r="AC8" s="25"/>
      <c r="AD8" s="8">
        <f t="shared" si="12"/>
        <v>0</v>
      </c>
      <c r="AE8" s="15"/>
      <c r="AF8" s="11">
        <v>67137</v>
      </c>
      <c r="AG8" s="7">
        <f t="shared" si="13"/>
        <v>0</v>
      </c>
      <c r="AH8" s="11">
        <v>218350</v>
      </c>
      <c r="AI8" s="14">
        <f t="shared" si="14"/>
        <v>138</v>
      </c>
      <c r="AJ8" s="11">
        <v>10791404</v>
      </c>
      <c r="AK8" s="14">
        <f t="shared" si="15"/>
        <v>3589</v>
      </c>
      <c r="AL8" s="11">
        <v>28666</v>
      </c>
      <c r="AM8" s="14">
        <f t="shared" si="16"/>
        <v>1</v>
      </c>
      <c r="AN8" s="14">
        <v>13602</v>
      </c>
      <c r="AO8" s="14">
        <f t="shared" si="17"/>
        <v>395</v>
      </c>
      <c r="AP8" s="15"/>
      <c r="AQ8" s="22"/>
      <c r="AR8" s="22">
        <f t="shared" si="18"/>
        <v>0</v>
      </c>
      <c r="AS8" s="22"/>
      <c r="AT8" s="22">
        <f t="shared" si="19"/>
        <v>0</v>
      </c>
      <c r="AU8" s="22"/>
      <c r="AV8" s="22">
        <f t="shared" si="20"/>
        <v>0</v>
      </c>
      <c r="AW8" s="22"/>
      <c r="AX8" s="22">
        <f t="shared" si="21"/>
        <v>0</v>
      </c>
      <c r="AY8" s="22"/>
      <c r="AZ8" s="22">
        <f t="shared" si="22"/>
        <v>0</v>
      </c>
      <c r="BA8" s="22"/>
      <c r="BB8" s="22">
        <f t="shared" si="23"/>
        <v>0</v>
      </c>
      <c r="BC8" s="22"/>
      <c r="BD8" s="22">
        <f t="shared" si="24"/>
        <v>0</v>
      </c>
      <c r="BE8" s="22"/>
      <c r="BF8" s="22">
        <f t="shared" si="25"/>
        <v>0</v>
      </c>
      <c r="BG8" s="15"/>
      <c r="BH8" s="7"/>
    </row>
    <row r="9" spans="1:60" ht="22.5" customHeight="1" x14ac:dyDescent="0.25">
      <c r="A9" s="12">
        <v>44657</v>
      </c>
      <c r="B9" s="11">
        <v>968698</v>
      </c>
      <c r="C9" s="7">
        <f t="shared" si="0"/>
        <v>4335</v>
      </c>
      <c r="D9" s="7">
        <v>29553204</v>
      </c>
      <c r="E9" s="7">
        <f t="shared" si="1"/>
        <v>9084</v>
      </c>
      <c r="F9" s="7">
        <v>8110341</v>
      </c>
      <c r="G9" s="9">
        <f t="shared" si="2"/>
        <v>3519</v>
      </c>
      <c r="H9" s="13"/>
      <c r="I9" s="7">
        <v>79493</v>
      </c>
      <c r="J9" s="14">
        <f t="shared" si="3"/>
        <v>104.997</v>
      </c>
      <c r="K9" s="14">
        <v>20710</v>
      </c>
      <c r="L9" s="14">
        <f t="shared" si="4"/>
        <v>7.9030000000000005</v>
      </c>
      <c r="M9" s="15"/>
      <c r="N9" s="11">
        <v>53676</v>
      </c>
      <c r="O9" s="14">
        <f t="shared" si="5"/>
        <v>5080.2139037433153</v>
      </c>
      <c r="P9" s="11">
        <v>52189975</v>
      </c>
      <c r="Q9" s="14">
        <f t="shared" si="6"/>
        <v>4848</v>
      </c>
      <c r="R9" s="14">
        <v>232045</v>
      </c>
      <c r="S9" s="14">
        <f t="shared" si="7"/>
        <v>74</v>
      </c>
      <c r="T9" s="15"/>
      <c r="U9" s="14">
        <v>67410</v>
      </c>
      <c r="V9" s="7">
        <f t="shared" si="8"/>
        <v>427</v>
      </c>
      <c r="W9" s="14">
        <v>1748</v>
      </c>
      <c r="X9" s="7">
        <f t="shared" si="9"/>
        <v>18</v>
      </c>
      <c r="Y9" s="14">
        <v>1439</v>
      </c>
      <c r="Z9" s="7">
        <f t="shared" si="10"/>
        <v>10</v>
      </c>
      <c r="AA9" s="25"/>
      <c r="AB9" s="8">
        <f t="shared" si="11"/>
        <v>0</v>
      </c>
      <c r="AC9" s="25"/>
      <c r="AD9" s="8">
        <f t="shared" si="12"/>
        <v>0</v>
      </c>
      <c r="AE9" s="15"/>
      <c r="AF9" s="11">
        <v>67137</v>
      </c>
      <c r="AG9" s="7">
        <f t="shared" si="13"/>
        <v>0</v>
      </c>
      <c r="AH9" s="11">
        <v>218488</v>
      </c>
      <c r="AI9" s="14">
        <f t="shared" si="14"/>
        <v>138</v>
      </c>
      <c r="AJ9" s="11">
        <v>10796294</v>
      </c>
      <c r="AK9" s="14">
        <f t="shared" si="15"/>
        <v>4890</v>
      </c>
      <c r="AL9" s="11">
        <v>28668</v>
      </c>
      <c r="AM9" s="14">
        <f t="shared" si="16"/>
        <v>2</v>
      </c>
      <c r="AN9" s="14">
        <v>14028</v>
      </c>
      <c r="AO9" s="14">
        <f t="shared" si="17"/>
        <v>426</v>
      </c>
      <c r="AP9" s="15"/>
      <c r="AQ9" s="22"/>
      <c r="AR9" s="22">
        <f t="shared" si="18"/>
        <v>0</v>
      </c>
      <c r="AS9" s="22"/>
      <c r="AT9" s="22">
        <f t="shared" si="19"/>
        <v>0</v>
      </c>
      <c r="AU9" s="22"/>
      <c r="AV9" s="22">
        <f t="shared" si="20"/>
        <v>0</v>
      </c>
      <c r="AW9" s="22"/>
      <c r="AX9" s="22">
        <f t="shared" si="21"/>
        <v>0</v>
      </c>
      <c r="AY9" s="22"/>
      <c r="AZ9" s="22">
        <f t="shared" si="22"/>
        <v>0</v>
      </c>
      <c r="BA9" s="22"/>
      <c r="BB9" s="22">
        <f t="shared" si="23"/>
        <v>0</v>
      </c>
      <c r="BC9" s="22"/>
      <c r="BD9" s="22">
        <f t="shared" si="24"/>
        <v>0</v>
      </c>
      <c r="BE9" s="22"/>
      <c r="BF9" s="22">
        <f t="shared" si="25"/>
        <v>0</v>
      </c>
      <c r="BG9" s="15"/>
      <c r="BH9" s="7"/>
    </row>
    <row r="10" spans="1:60" ht="22.5" customHeight="1" x14ac:dyDescent="0.25">
      <c r="A10" s="12">
        <v>44658</v>
      </c>
      <c r="B10" s="11">
        <v>973407</v>
      </c>
      <c r="C10" s="7">
        <f t="shared" si="0"/>
        <v>4709</v>
      </c>
      <c r="D10" s="7">
        <v>29563281</v>
      </c>
      <c r="E10" s="7">
        <f t="shared" si="1"/>
        <v>10077</v>
      </c>
      <c r="F10" s="11">
        <v>8114264</v>
      </c>
      <c r="G10" s="9">
        <f t="shared" si="2"/>
        <v>3923</v>
      </c>
      <c r="H10" s="18"/>
      <c r="I10" s="7">
        <v>79580</v>
      </c>
      <c r="J10" s="14">
        <f t="shared" si="3"/>
        <v>98.222999999999999</v>
      </c>
      <c r="K10" s="14">
        <v>20719</v>
      </c>
      <c r="L10" s="14">
        <f t="shared" si="4"/>
        <v>10.161</v>
      </c>
      <c r="M10" s="15"/>
      <c r="N10" s="7">
        <v>53733</v>
      </c>
      <c r="O10" s="14">
        <f t="shared" si="5"/>
        <v>7620.320855614973</v>
      </c>
      <c r="P10" s="7">
        <v>52196053</v>
      </c>
      <c r="Q10" s="14">
        <f t="shared" si="6"/>
        <v>6078</v>
      </c>
      <c r="R10" s="14">
        <v>232122</v>
      </c>
      <c r="S10" s="14">
        <f t="shared" si="7"/>
        <v>77</v>
      </c>
      <c r="T10" s="15"/>
      <c r="U10" s="14">
        <v>67872</v>
      </c>
      <c r="V10" s="7">
        <f t="shared" si="8"/>
        <v>462</v>
      </c>
      <c r="W10" s="14">
        <v>1767</v>
      </c>
      <c r="X10" s="7">
        <f t="shared" si="9"/>
        <v>19</v>
      </c>
      <c r="Y10" s="14">
        <v>1450</v>
      </c>
      <c r="Z10" s="7">
        <f t="shared" si="10"/>
        <v>11</v>
      </c>
      <c r="AA10" s="25">
        <v>799252</v>
      </c>
      <c r="AB10" s="8">
        <f t="shared" si="11"/>
        <v>7992520000</v>
      </c>
      <c r="AC10" s="25">
        <v>357970</v>
      </c>
      <c r="AD10" s="8">
        <f t="shared" si="12"/>
        <v>3579700000</v>
      </c>
      <c r="AE10" s="15"/>
      <c r="AF10" s="7">
        <v>67137</v>
      </c>
      <c r="AG10" s="7">
        <f t="shared" si="13"/>
        <v>0</v>
      </c>
      <c r="AH10" s="7">
        <v>218651</v>
      </c>
      <c r="AI10" s="14">
        <f t="shared" si="14"/>
        <v>163</v>
      </c>
      <c r="AJ10" s="7">
        <v>10800987</v>
      </c>
      <c r="AK10" s="14">
        <f t="shared" si="15"/>
        <v>4693</v>
      </c>
      <c r="AL10" s="7">
        <v>28669</v>
      </c>
      <c r="AM10" s="14">
        <f t="shared" si="16"/>
        <v>1</v>
      </c>
      <c r="AN10" s="14">
        <v>14808</v>
      </c>
      <c r="AO10" s="14">
        <f t="shared" si="17"/>
        <v>780</v>
      </c>
      <c r="AP10" s="15"/>
      <c r="AQ10" s="22">
        <v>578955</v>
      </c>
      <c r="AR10" s="22">
        <f t="shared" si="18"/>
        <v>5789550000</v>
      </c>
      <c r="AS10" s="22">
        <v>234978</v>
      </c>
      <c r="AT10" s="22">
        <f t="shared" si="19"/>
        <v>2349780000</v>
      </c>
      <c r="AU10" s="22">
        <v>70493</v>
      </c>
      <c r="AV10" s="22">
        <f t="shared" si="20"/>
        <v>704930000</v>
      </c>
      <c r="AW10" s="22">
        <v>269318</v>
      </c>
      <c r="AX10" s="22">
        <f t="shared" si="21"/>
        <v>2693180000</v>
      </c>
      <c r="AY10" s="22">
        <v>454153</v>
      </c>
      <c r="AZ10" s="22">
        <f t="shared" si="22"/>
        <v>4541530000</v>
      </c>
      <c r="BA10" s="22">
        <v>19318</v>
      </c>
      <c r="BB10" s="22">
        <f t="shared" si="23"/>
        <v>193180000</v>
      </c>
      <c r="BC10" s="22">
        <v>435701</v>
      </c>
      <c r="BD10" s="22">
        <f t="shared" si="24"/>
        <v>4357010000</v>
      </c>
      <c r="BE10" s="22">
        <v>124010</v>
      </c>
      <c r="BF10" s="22">
        <f t="shared" si="25"/>
        <v>1240100000</v>
      </c>
      <c r="BG10" s="15"/>
      <c r="BH10" s="7"/>
    </row>
    <row r="11" spans="1:60" ht="23.25" customHeight="1" x14ac:dyDescent="0.25">
      <c r="A11" s="12">
        <v>44659</v>
      </c>
      <c r="B11" s="11">
        <v>977751</v>
      </c>
      <c r="C11" s="7">
        <f t="shared" si="0"/>
        <v>4344</v>
      </c>
      <c r="D11" s="7">
        <v>29572366</v>
      </c>
      <c r="E11" s="7">
        <f t="shared" si="1"/>
        <v>9085</v>
      </c>
      <c r="F11" s="7">
        <v>8117611</v>
      </c>
      <c r="G11" s="9">
        <f t="shared" si="2"/>
        <v>3347</v>
      </c>
      <c r="H11" s="13"/>
      <c r="I11" s="7">
        <v>79673</v>
      </c>
      <c r="J11" s="14">
        <f t="shared" si="3"/>
        <v>104.997</v>
      </c>
      <c r="K11" s="7">
        <v>20725</v>
      </c>
      <c r="L11" s="14">
        <f t="shared" si="4"/>
        <v>6.774</v>
      </c>
      <c r="M11" s="13"/>
      <c r="N11" s="7">
        <v>53775</v>
      </c>
      <c r="O11" s="14">
        <f t="shared" si="5"/>
        <v>5614.9732620320856</v>
      </c>
      <c r="P11" s="7">
        <v>52200814</v>
      </c>
      <c r="Q11" s="14">
        <f t="shared" si="6"/>
        <v>4761</v>
      </c>
      <c r="R11" s="7">
        <v>232200</v>
      </c>
      <c r="S11" s="14">
        <f t="shared" si="7"/>
        <v>78</v>
      </c>
      <c r="T11" s="13"/>
      <c r="U11" s="7">
        <v>68275</v>
      </c>
      <c r="V11" s="7">
        <f t="shared" si="8"/>
        <v>403</v>
      </c>
      <c r="W11" s="7">
        <v>1771</v>
      </c>
      <c r="X11" s="7">
        <f t="shared" si="9"/>
        <v>4</v>
      </c>
      <c r="Y11" s="7">
        <v>1461</v>
      </c>
      <c r="Z11" s="7">
        <f t="shared" si="10"/>
        <v>11</v>
      </c>
      <c r="AA11" s="8">
        <v>799300</v>
      </c>
      <c r="AB11" s="8">
        <f t="shared" si="11"/>
        <v>480000</v>
      </c>
      <c r="AC11" s="8">
        <v>358078</v>
      </c>
      <c r="AD11" s="8">
        <f t="shared" si="12"/>
        <v>1080000</v>
      </c>
      <c r="AE11" s="13"/>
      <c r="AF11" s="7">
        <v>67137</v>
      </c>
      <c r="AG11" s="7">
        <f t="shared" si="13"/>
        <v>0</v>
      </c>
      <c r="AH11" s="7">
        <v>218797</v>
      </c>
      <c r="AI11" s="14">
        <f t="shared" si="14"/>
        <v>146</v>
      </c>
      <c r="AJ11" s="7">
        <v>10806578</v>
      </c>
      <c r="AK11" s="14">
        <f t="shared" si="15"/>
        <v>5591</v>
      </c>
      <c r="AL11" s="7">
        <v>28672</v>
      </c>
      <c r="AM11" s="14">
        <f t="shared" si="16"/>
        <v>3</v>
      </c>
      <c r="AN11" s="7">
        <v>15489</v>
      </c>
      <c r="AO11" s="14">
        <f t="shared" si="17"/>
        <v>681</v>
      </c>
      <c r="AP11" s="13"/>
      <c r="AQ11" s="22">
        <v>578959</v>
      </c>
      <c r="AR11" s="22">
        <f t="shared" si="18"/>
        <v>40000</v>
      </c>
      <c r="AS11" s="22">
        <v>234978</v>
      </c>
      <c r="AT11" s="22">
        <f t="shared" si="19"/>
        <v>0</v>
      </c>
      <c r="AU11" s="22">
        <v>70493</v>
      </c>
      <c r="AV11" s="22">
        <f t="shared" si="20"/>
        <v>0</v>
      </c>
      <c r="AW11" s="22">
        <v>269318</v>
      </c>
      <c r="AX11" s="22">
        <f t="shared" si="21"/>
        <v>0</v>
      </c>
      <c r="AY11" s="22">
        <v>454753</v>
      </c>
      <c r="AZ11" s="22">
        <f t="shared" si="22"/>
        <v>6000000</v>
      </c>
      <c r="BA11" s="22">
        <v>19318</v>
      </c>
      <c r="BB11" s="22">
        <f t="shared" si="23"/>
        <v>0</v>
      </c>
      <c r="BC11" s="22">
        <v>435879</v>
      </c>
      <c r="BD11" s="22">
        <f t="shared" si="24"/>
        <v>1780000</v>
      </c>
      <c r="BE11" s="22">
        <v>124010</v>
      </c>
      <c r="BF11" s="22">
        <f t="shared" si="25"/>
        <v>0</v>
      </c>
      <c r="BG11" s="13"/>
      <c r="BH11" s="7"/>
    </row>
    <row r="12" spans="1:60" ht="21.75" customHeight="1" x14ac:dyDescent="0.25">
      <c r="A12" s="12">
        <v>44660</v>
      </c>
      <c r="B12" s="7">
        <v>982850</v>
      </c>
      <c r="C12" s="7">
        <f t="shared" si="0"/>
        <v>5099</v>
      </c>
      <c r="D12" s="7">
        <v>29582422</v>
      </c>
      <c r="E12" s="7">
        <f t="shared" si="1"/>
        <v>10056</v>
      </c>
      <c r="F12" s="7">
        <v>8121545</v>
      </c>
      <c r="G12" s="9">
        <f t="shared" si="2"/>
        <v>3934</v>
      </c>
      <c r="H12" s="13"/>
      <c r="I12" s="7">
        <v>79785</v>
      </c>
      <c r="J12" s="14">
        <f t="shared" si="3"/>
        <v>126.44800000000001</v>
      </c>
      <c r="K12" s="7">
        <v>20731</v>
      </c>
      <c r="L12" s="14">
        <f t="shared" si="4"/>
        <v>6.774</v>
      </c>
      <c r="M12" s="13"/>
      <c r="N12" s="7">
        <v>53824</v>
      </c>
      <c r="O12" s="14">
        <f t="shared" si="5"/>
        <v>6550.8021390374324</v>
      </c>
      <c r="P12" s="7">
        <v>52206257</v>
      </c>
      <c r="Q12" s="14">
        <f t="shared" si="6"/>
        <v>5443</v>
      </c>
      <c r="R12" s="7">
        <v>232280</v>
      </c>
      <c r="S12" s="14">
        <f t="shared" si="7"/>
        <v>80</v>
      </c>
      <c r="T12" s="13"/>
      <c r="U12" s="7">
        <v>68730</v>
      </c>
      <c r="V12" s="7">
        <f t="shared" si="8"/>
        <v>455</v>
      </c>
      <c r="W12" s="7">
        <v>1788</v>
      </c>
      <c r="X12" s="7">
        <f t="shared" si="9"/>
        <v>17</v>
      </c>
      <c r="Y12" s="7">
        <v>1472</v>
      </c>
      <c r="Z12" s="7">
        <f t="shared" si="10"/>
        <v>11</v>
      </c>
      <c r="AA12" s="8">
        <v>799647</v>
      </c>
      <c r="AB12" s="8">
        <f t="shared" si="11"/>
        <v>3470000</v>
      </c>
      <c r="AC12" s="8">
        <v>358415</v>
      </c>
      <c r="AD12" s="8">
        <f t="shared" si="12"/>
        <v>3370000</v>
      </c>
      <c r="AE12" s="13"/>
      <c r="AF12" s="7">
        <v>67137</v>
      </c>
      <c r="AG12" s="7">
        <f t="shared" si="13"/>
        <v>0</v>
      </c>
      <c r="AH12" s="7">
        <v>218976</v>
      </c>
      <c r="AI12" s="14">
        <f t="shared" si="14"/>
        <v>179</v>
      </c>
      <c r="AJ12" s="7">
        <v>10815192</v>
      </c>
      <c r="AK12" s="14">
        <f t="shared" si="15"/>
        <v>8614</v>
      </c>
      <c r="AL12" s="7">
        <v>28677</v>
      </c>
      <c r="AM12" s="14">
        <f t="shared" si="16"/>
        <v>5</v>
      </c>
      <c r="AN12" s="7">
        <v>16339</v>
      </c>
      <c r="AO12" s="14">
        <f t="shared" si="17"/>
        <v>850</v>
      </c>
      <c r="AP12" s="13"/>
      <c r="AQ12" s="22">
        <v>579093</v>
      </c>
      <c r="AR12" s="22">
        <f t="shared" si="18"/>
        <v>1340000</v>
      </c>
      <c r="AS12" s="22">
        <v>234978</v>
      </c>
      <c r="AT12" s="22">
        <f t="shared" si="19"/>
        <v>0</v>
      </c>
      <c r="AU12" s="22">
        <v>70508</v>
      </c>
      <c r="AV12" s="22">
        <f t="shared" si="20"/>
        <v>150000</v>
      </c>
      <c r="AW12" s="22">
        <v>269318</v>
      </c>
      <c r="AX12" s="22">
        <f t="shared" si="21"/>
        <v>0</v>
      </c>
      <c r="AY12" s="22">
        <v>454753</v>
      </c>
      <c r="AZ12" s="22">
        <f t="shared" si="22"/>
        <v>0</v>
      </c>
      <c r="BA12" s="22">
        <v>19318</v>
      </c>
      <c r="BB12" s="22">
        <f t="shared" si="23"/>
        <v>0</v>
      </c>
      <c r="BC12" s="22">
        <v>436041</v>
      </c>
      <c r="BD12" s="22">
        <f t="shared" si="24"/>
        <v>1620000</v>
      </c>
      <c r="BE12" s="22">
        <v>124010</v>
      </c>
      <c r="BF12" s="22">
        <f t="shared" si="25"/>
        <v>0</v>
      </c>
      <c r="BG12" s="13"/>
      <c r="BH12" s="7"/>
    </row>
    <row r="13" spans="1:60" ht="21.75" customHeight="1" x14ac:dyDescent="0.25">
      <c r="A13" s="12">
        <v>44661</v>
      </c>
      <c r="B13" s="7">
        <v>986987</v>
      </c>
      <c r="C13" s="7">
        <f t="shared" si="0"/>
        <v>4137</v>
      </c>
      <c r="D13" s="7">
        <v>29590889</v>
      </c>
      <c r="E13" s="7">
        <f t="shared" si="1"/>
        <v>8467</v>
      </c>
      <c r="F13" s="7">
        <v>8124898</v>
      </c>
      <c r="G13" s="9">
        <f t="shared" si="2"/>
        <v>3353</v>
      </c>
      <c r="H13" s="13"/>
      <c r="I13" s="7">
        <v>79903</v>
      </c>
      <c r="J13" s="14">
        <f t="shared" si="3"/>
        <v>133.22200000000001</v>
      </c>
      <c r="K13" s="7">
        <v>20737</v>
      </c>
      <c r="L13" s="14">
        <f t="shared" si="4"/>
        <v>6.774</v>
      </c>
      <c r="M13" s="13"/>
      <c r="N13" s="7">
        <v>53871</v>
      </c>
      <c r="O13" s="14">
        <f t="shared" si="5"/>
        <v>6283.4224598930477</v>
      </c>
      <c r="P13" s="7">
        <v>52210873</v>
      </c>
      <c r="Q13" s="14">
        <f t="shared" si="6"/>
        <v>4616</v>
      </c>
      <c r="R13" s="7">
        <v>232354</v>
      </c>
      <c r="S13" s="14">
        <f t="shared" si="7"/>
        <v>74</v>
      </c>
      <c r="T13" s="13"/>
      <c r="U13" s="7">
        <v>69120</v>
      </c>
      <c r="V13" s="7">
        <f t="shared" si="8"/>
        <v>390</v>
      </c>
      <c r="W13" s="7">
        <v>1805</v>
      </c>
      <c r="X13" s="7">
        <f t="shared" si="9"/>
        <v>17</v>
      </c>
      <c r="Y13" s="7">
        <v>1482</v>
      </c>
      <c r="Z13" s="7">
        <f t="shared" si="10"/>
        <v>10</v>
      </c>
      <c r="AA13" s="8">
        <v>799978</v>
      </c>
      <c r="AB13" s="8">
        <f t="shared" si="11"/>
        <v>3310000</v>
      </c>
      <c r="AC13" s="8">
        <v>358756</v>
      </c>
      <c r="AD13" s="8">
        <f t="shared" si="12"/>
        <v>3410000</v>
      </c>
      <c r="AE13" s="13"/>
      <c r="AF13" s="7">
        <v>67137</v>
      </c>
      <c r="AG13" s="7">
        <f t="shared" si="13"/>
        <v>0</v>
      </c>
      <c r="AH13" s="7">
        <v>219127</v>
      </c>
      <c r="AI13" s="14">
        <f t="shared" si="14"/>
        <v>151</v>
      </c>
      <c r="AJ13" s="7">
        <v>10822992</v>
      </c>
      <c r="AK13" s="14">
        <f t="shared" si="15"/>
        <v>7800</v>
      </c>
      <c r="AL13" s="7">
        <v>28682</v>
      </c>
      <c r="AM13" s="14">
        <f t="shared" si="16"/>
        <v>5</v>
      </c>
      <c r="AN13" s="7">
        <v>17094</v>
      </c>
      <c r="AO13" s="14">
        <f t="shared" si="17"/>
        <v>755</v>
      </c>
      <c r="AP13" s="13"/>
      <c r="AQ13" s="22">
        <v>579119</v>
      </c>
      <c r="AR13" s="22">
        <f t="shared" si="18"/>
        <v>260000</v>
      </c>
      <c r="AS13" s="22">
        <v>234978</v>
      </c>
      <c r="AT13" s="22">
        <f t="shared" si="19"/>
        <v>0</v>
      </c>
      <c r="AU13" s="22">
        <v>70508</v>
      </c>
      <c r="AV13" s="22">
        <f t="shared" si="20"/>
        <v>0</v>
      </c>
      <c r="AW13" s="22">
        <v>269318</v>
      </c>
      <c r="AX13" s="22">
        <f t="shared" si="21"/>
        <v>0</v>
      </c>
      <c r="AY13" s="22">
        <v>454753</v>
      </c>
      <c r="AZ13" s="22">
        <f t="shared" si="22"/>
        <v>0</v>
      </c>
      <c r="BA13" s="22">
        <v>19318</v>
      </c>
      <c r="BB13" s="22">
        <f t="shared" si="23"/>
        <v>0</v>
      </c>
      <c r="BC13" s="22">
        <v>436182</v>
      </c>
      <c r="BD13" s="22">
        <f t="shared" si="24"/>
        <v>1410000</v>
      </c>
      <c r="BE13" s="22">
        <v>124010</v>
      </c>
      <c r="BF13" s="22">
        <f t="shared" si="25"/>
        <v>0</v>
      </c>
      <c r="BG13" s="13"/>
      <c r="BH13" s="7"/>
    </row>
    <row r="14" spans="1:60" ht="22.5" customHeight="1" x14ac:dyDescent="0.25">
      <c r="A14" s="12">
        <v>44662</v>
      </c>
      <c r="B14" s="7">
        <v>991451</v>
      </c>
      <c r="C14" s="7">
        <f t="shared" si="0"/>
        <v>4464</v>
      </c>
      <c r="D14" s="7">
        <v>29599836</v>
      </c>
      <c r="E14" s="7">
        <f t="shared" si="1"/>
        <v>8947</v>
      </c>
      <c r="F14" s="7">
        <v>8128484</v>
      </c>
      <c r="G14" s="9">
        <f t="shared" si="2"/>
        <v>3586</v>
      </c>
      <c r="H14" s="13"/>
      <c r="I14" s="7">
        <v>79993</v>
      </c>
      <c r="J14" s="14">
        <f t="shared" si="3"/>
        <v>101.61</v>
      </c>
      <c r="K14" s="7">
        <v>20743</v>
      </c>
      <c r="L14" s="14">
        <f t="shared" si="4"/>
        <v>6.774</v>
      </c>
      <c r="M14" s="13"/>
      <c r="N14" s="7">
        <v>53915</v>
      </c>
      <c r="O14" s="14">
        <f t="shared" si="5"/>
        <v>5882.3529411764703</v>
      </c>
      <c r="P14" s="7">
        <v>52215878</v>
      </c>
      <c r="Q14" s="14">
        <f t="shared" si="6"/>
        <v>5005</v>
      </c>
      <c r="R14" s="14">
        <v>232436</v>
      </c>
      <c r="S14" s="14">
        <f t="shared" si="7"/>
        <v>82</v>
      </c>
      <c r="T14" s="15"/>
      <c r="U14" s="7">
        <v>69522</v>
      </c>
      <c r="V14" s="7">
        <f t="shared" si="8"/>
        <v>402</v>
      </c>
      <c r="W14" s="7">
        <v>1820</v>
      </c>
      <c r="X14" s="7">
        <f t="shared" si="9"/>
        <v>15</v>
      </c>
      <c r="Y14" s="7">
        <v>1492</v>
      </c>
      <c r="Z14" s="7">
        <f t="shared" si="10"/>
        <v>10</v>
      </c>
      <c r="AA14" s="25">
        <f>AA13+139</f>
        <v>800117</v>
      </c>
      <c r="AB14" s="8">
        <f t="shared" si="11"/>
        <v>1390000</v>
      </c>
      <c r="AC14" s="8">
        <v>359096</v>
      </c>
      <c r="AD14" s="8">
        <f t="shared" si="12"/>
        <v>3400000</v>
      </c>
      <c r="AE14" s="15"/>
      <c r="AF14" s="7">
        <v>67137</v>
      </c>
      <c r="AG14" s="7">
        <f t="shared" si="13"/>
        <v>0</v>
      </c>
      <c r="AH14" s="7">
        <v>219276</v>
      </c>
      <c r="AI14" s="14">
        <f t="shared" si="14"/>
        <v>149</v>
      </c>
      <c r="AJ14" s="7">
        <v>10829751</v>
      </c>
      <c r="AK14" s="14">
        <f t="shared" si="15"/>
        <v>6759</v>
      </c>
      <c r="AL14" s="7">
        <v>28685</v>
      </c>
      <c r="AM14" s="14">
        <f t="shared" si="16"/>
        <v>3</v>
      </c>
      <c r="AN14" s="14">
        <v>17881</v>
      </c>
      <c r="AO14" s="14">
        <f t="shared" si="17"/>
        <v>787</v>
      </c>
      <c r="AP14" s="15"/>
      <c r="AQ14" s="22">
        <v>579119</v>
      </c>
      <c r="AR14" s="22">
        <f t="shared" si="18"/>
        <v>0</v>
      </c>
      <c r="AS14" s="22">
        <v>234978</v>
      </c>
      <c r="AT14" s="22">
        <f t="shared" si="19"/>
        <v>0</v>
      </c>
      <c r="AU14" s="22">
        <v>70508</v>
      </c>
      <c r="AV14" s="22">
        <f t="shared" si="20"/>
        <v>0</v>
      </c>
      <c r="AW14" s="22">
        <v>269318</v>
      </c>
      <c r="AX14" s="22">
        <f t="shared" si="21"/>
        <v>0</v>
      </c>
      <c r="AY14" s="22">
        <v>454753</v>
      </c>
      <c r="AZ14" s="22">
        <f t="shared" si="22"/>
        <v>0</v>
      </c>
      <c r="BA14" s="22">
        <v>19318</v>
      </c>
      <c r="BB14" s="22">
        <f t="shared" si="23"/>
        <v>0</v>
      </c>
      <c r="BC14" s="22">
        <v>436205</v>
      </c>
      <c r="BD14" s="22">
        <f t="shared" si="24"/>
        <v>230000</v>
      </c>
      <c r="BE14" s="22">
        <v>124010</v>
      </c>
      <c r="BF14" s="22">
        <f t="shared" si="25"/>
        <v>0</v>
      </c>
      <c r="BG14" s="15"/>
      <c r="BH14" s="7"/>
    </row>
    <row r="15" spans="1:60" ht="22.5" customHeight="1" x14ac:dyDescent="0.25">
      <c r="A15" s="12">
        <v>44663</v>
      </c>
      <c r="B15" s="7">
        <v>995505</v>
      </c>
      <c r="C15" s="7">
        <f t="shared" si="0"/>
        <v>4054</v>
      </c>
      <c r="D15" s="7">
        <v>29607961</v>
      </c>
      <c r="E15" s="7">
        <f t="shared" si="1"/>
        <v>8125</v>
      </c>
      <c r="F15" s="7">
        <v>8131574</v>
      </c>
      <c r="G15" s="9">
        <f t="shared" si="2"/>
        <v>3090</v>
      </c>
      <c r="H15" s="13"/>
      <c r="I15" s="7">
        <v>80086</v>
      </c>
      <c r="J15" s="14">
        <f t="shared" si="3"/>
        <v>104.997</v>
      </c>
      <c r="K15" s="7">
        <v>20749</v>
      </c>
      <c r="L15" s="14">
        <f t="shared" si="4"/>
        <v>6.774</v>
      </c>
      <c r="M15" s="13"/>
      <c r="N15" s="7">
        <v>53952</v>
      </c>
      <c r="O15" s="14">
        <f t="shared" si="5"/>
        <v>4946.5240641711225</v>
      </c>
      <c r="P15" s="14">
        <v>52219274</v>
      </c>
      <c r="Q15" s="14">
        <f t="shared" si="6"/>
        <v>3396</v>
      </c>
      <c r="R15" s="7">
        <v>232499</v>
      </c>
      <c r="S15" s="14">
        <f t="shared" si="7"/>
        <v>63</v>
      </c>
      <c r="T15" s="13"/>
      <c r="U15" s="7">
        <v>69893</v>
      </c>
      <c r="V15" s="7">
        <f t="shared" si="8"/>
        <v>371</v>
      </c>
      <c r="W15" s="7">
        <v>1821</v>
      </c>
      <c r="X15" s="7">
        <f t="shared" si="9"/>
        <v>1</v>
      </c>
      <c r="Y15" s="7">
        <v>1502</v>
      </c>
      <c r="Z15" s="7">
        <f t="shared" si="10"/>
        <v>10</v>
      </c>
      <c r="AA15" s="8">
        <v>800272</v>
      </c>
      <c r="AB15" s="8">
        <f t="shared" si="11"/>
        <v>1550000</v>
      </c>
      <c r="AC15" s="8">
        <v>359157</v>
      </c>
      <c r="AD15" s="8">
        <f t="shared" si="12"/>
        <v>610000</v>
      </c>
      <c r="AE15" s="13"/>
      <c r="AF15" s="7">
        <v>67137</v>
      </c>
      <c r="AG15" s="7">
        <f t="shared" si="13"/>
        <v>0</v>
      </c>
      <c r="AH15" s="14">
        <v>219418</v>
      </c>
      <c r="AI15" s="14">
        <f t="shared" si="14"/>
        <v>142</v>
      </c>
      <c r="AJ15" s="14">
        <v>10834829</v>
      </c>
      <c r="AK15" s="14">
        <f t="shared" si="15"/>
        <v>5078</v>
      </c>
      <c r="AL15" s="14">
        <v>28686</v>
      </c>
      <c r="AM15" s="14">
        <f t="shared" si="16"/>
        <v>1</v>
      </c>
      <c r="AN15" s="7">
        <v>18606</v>
      </c>
      <c r="AO15" s="14">
        <f t="shared" si="17"/>
        <v>725</v>
      </c>
      <c r="AP15" s="13"/>
      <c r="AQ15" s="22">
        <v>579156</v>
      </c>
      <c r="AR15" s="22">
        <f t="shared" si="18"/>
        <v>370000</v>
      </c>
      <c r="AS15" s="22">
        <v>234978</v>
      </c>
      <c r="AT15" s="22">
        <f t="shared" si="19"/>
        <v>0</v>
      </c>
      <c r="AU15" s="22">
        <v>70511</v>
      </c>
      <c r="AV15" s="22">
        <f t="shared" si="20"/>
        <v>30000</v>
      </c>
      <c r="AW15" s="22">
        <v>269318</v>
      </c>
      <c r="AX15" s="22">
        <f t="shared" si="21"/>
        <v>0</v>
      </c>
      <c r="AY15" s="22">
        <v>454753</v>
      </c>
      <c r="AZ15" s="22">
        <f t="shared" si="22"/>
        <v>0</v>
      </c>
      <c r="BA15" s="22">
        <v>19318</v>
      </c>
      <c r="BB15" s="22">
        <f t="shared" si="23"/>
        <v>0</v>
      </c>
      <c r="BC15" s="22">
        <v>436237</v>
      </c>
      <c r="BD15" s="22">
        <f t="shared" si="24"/>
        <v>320000</v>
      </c>
      <c r="BE15" s="22">
        <v>124010</v>
      </c>
      <c r="BF15" s="22">
        <f t="shared" si="25"/>
        <v>0</v>
      </c>
      <c r="BG15" s="13"/>
      <c r="BH15" s="7"/>
    </row>
    <row r="16" spans="1:60" ht="21" customHeight="1" x14ac:dyDescent="0.25">
      <c r="A16" s="12">
        <v>44664</v>
      </c>
      <c r="B16" s="7">
        <v>999776</v>
      </c>
      <c r="C16" s="7">
        <f t="shared" si="0"/>
        <v>4271</v>
      </c>
      <c r="D16" s="7">
        <v>29617055</v>
      </c>
      <c r="E16" s="7">
        <f t="shared" si="1"/>
        <v>9094</v>
      </c>
      <c r="F16" s="7">
        <v>8135126</v>
      </c>
      <c r="G16" s="9">
        <f t="shared" si="2"/>
        <v>3552</v>
      </c>
      <c r="H16" s="13"/>
      <c r="I16" s="7">
        <v>80185</v>
      </c>
      <c r="J16" s="14">
        <f t="shared" si="3"/>
        <v>111.771</v>
      </c>
      <c r="K16" s="7">
        <v>20756</v>
      </c>
      <c r="L16" s="14">
        <f t="shared" si="4"/>
        <v>7.9030000000000005</v>
      </c>
      <c r="M16" s="13"/>
      <c r="N16" s="7">
        <v>53992</v>
      </c>
      <c r="O16" s="14">
        <f t="shared" si="5"/>
        <v>5347.5935828877</v>
      </c>
      <c r="P16" s="7">
        <v>52226914</v>
      </c>
      <c r="Q16" s="14">
        <f t="shared" si="6"/>
        <v>7640</v>
      </c>
      <c r="R16" s="14">
        <v>232554</v>
      </c>
      <c r="S16" s="14">
        <f t="shared" si="7"/>
        <v>55</v>
      </c>
      <c r="T16" s="15"/>
      <c r="U16" s="7">
        <v>69987</v>
      </c>
      <c r="V16" s="7">
        <f t="shared" si="8"/>
        <v>94</v>
      </c>
      <c r="W16" s="7">
        <v>1827</v>
      </c>
      <c r="X16" s="7">
        <f t="shared" si="9"/>
        <v>6</v>
      </c>
      <c r="Y16" s="7">
        <v>1513</v>
      </c>
      <c r="Z16" s="7">
        <f t="shared" si="10"/>
        <v>11</v>
      </c>
      <c r="AA16" s="8">
        <v>800368</v>
      </c>
      <c r="AB16" s="8">
        <f t="shared" si="11"/>
        <v>960000</v>
      </c>
      <c r="AC16" s="8">
        <v>359198</v>
      </c>
      <c r="AD16" s="8">
        <f t="shared" si="12"/>
        <v>410000</v>
      </c>
      <c r="AE16" s="15"/>
      <c r="AF16" s="7">
        <v>67137</v>
      </c>
      <c r="AG16" s="7">
        <f t="shared" si="13"/>
        <v>0</v>
      </c>
      <c r="AH16" s="7">
        <v>219552</v>
      </c>
      <c r="AI16" s="14">
        <f t="shared" si="14"/>
        <v>134</v>
      </c>
      <c r="AJ16" s="7">
        <v>10839991</v>
      </c>
      <c r="AK16" s="14">
        <f t="shared" si="15"/>
        <v>5162</v>
      </c>
      <c r="AL16" s="7">
        <v>28687</v>
      </c>
      <c r="AM16" s="14">
        <f t="shared" si="16"/>
        <v>1</v>
      </c>
      <c r="AN16" s="14">
        <v>19300</v>
      </c>
      <c r="AO16" s="14">
        <f t="shared" si="17"/>
        <v>694</v>
      </c>
      <c r="AP16" s="15"/>
      <c r="AQ16" s="22">
        <v>579297</v>
      </c>
      <c r="AR16" s="22">
        <f t="shared" si="18"/>
        <v>1410000</v>
      </c>
      <c r="AS16" s="22">
        <v>234978</v>
      </c>
      <c r="AT16" s="22">
        <f t="shared" si="19"/>
        <v>0</v>
      </c>
      <c r="AU16" s="22">
        <v>70534</v>
      </c>
      <c r="AV16" s="22">
        <f t="shared" si="20"/>
        <v>230000</v>
      </c>
      <c r="AW16" s="22">
        <v>269318</v>
      </c>
      <c r="AX16" s="22">
        <f t="shared" si="21"/>
        <v>0</v>
      </c>
      <c r="AY16" s="22">
        <v>454782</v>
      </c>
      <c r="AZ16" s="22">
        <f t="shared" si="22"/>
        <v>290000</v>
      </c>
      <c r="BA16" s="22">
        <v>19318</v>
      </c>
      <c r="BB16" s="22">
        <f t="shared" si="23"/>
        <v>0</v>
      </c>
      <c r="BC16" s="22">
        <v>436275</v>
      </c>
      <c r="BD16" s="22">
        <f t="shared" si="24"/>
        <v>380000</v>
      </c>
      <c r="BE16" s="22">
        <v>124014</v>
      </c>
      <c r="BF16" s="22">
        <f t="shared" si="25"/>
        <v>40000</v>
      </c>
      <c r="BG16" s="15"/>
      <c r="BH16" s="7"/>
    </row>
    <row r="17" spans="1:60" ht="19.5" customHeight="1" x14ac:dyDescent="0.25">
      <c r="A17" s="12">
        <v>44665</v>
      </c>
      <c r="B17" s="7">
        <v>3835</v>
      </c>
      <c r="C17" s="7">
        <f t="shared" si="0"/>
        <v>-995941</v>
      </c>
      <c r="D17" s="7">
        <v>29626297</v>
      </c>
      <c r="E17" s="7">
        <f t="shared" si="1"/>
        <v>9242</v>
      </c>
      <c r="F17" s="7">
        <v>8138701</v>
      </c>
      <c r="G17" s="9">
        <f t="shared" si="2"/>
        <v>3575</v>
      </c>
      <c r="H17" s="13"/>
      <c r="I17" s="7">
        <v>80283</v>
      </c>
      <c r="J17" s="14">
        <f t="shared" si="3"/>
        <v>110.642</v>
      </c>
      <c r="K17" s="7">
        <v>20762</v>
      </c>
      <c r="L17" s="14">
        <f t="shared" si="4"/>
        <v>6.774</v>
      </c>
      <c r="M17" s="13"/>
      <c r="N17" s="7">
        <v>54037</v>
      </c>
      <c r="O17" s="14">
        <f t="shared" si="5"/>
        <v>6016.0427807486631</v>
      </c>
      <c r="P17" s="14">
        <v>52234574</v>
      </c>
      <c r="Q17" s="14">
        <f t="shared" si="6"/>
        <v>7660</v>
      </c>
      <c r="R17" s="7">
        <v>232605</v>
      </c>
      <c r="S17" s="14">
        <f t="shared" si="7"/>
        <v>51</v>
      </c>
      <c r="T17" s="13"/>
      <c r="U17" s="7">
        <v>70414</v>
      </c>
      <c r="V17" s="7">
        <f t="shared" si="8"/>
        <v>427</v>
      </c>
      <c r="W17" s="7">
        <v>1844</v>
      </c>
      <c r="X17" s="7">
        <f t="shared" si="9"/>
        <v>17</v>
      </c>
      <c r="Y17" s="7">
        <v>1525</v>
      </c>
      <c r="Z17" s="7">
        <f t="shared" si="10"/>
        <v>12</v>
      </c>
      <c r="AA17" s="8">
        <v>800727</v>
      </c>
      <c r="AB17" s="8">
        <f t="shared" si="11"/>
        <v>3590000</v>
      </c>
      <c r="AC17" s="8">
        <v>359391</v>
      </c>
      <c r="AD17" s="8">
        <f t="shared" si="12"/>
        <v>1930000</v>
      </c>
      <c r="AE17" s="13"/>
      <c r="AF17" s="7">
        <v>67137</v>
      </c>
      <c r="AG17" s="7">
        <f t="shared" si="13"/>
        <v>0</v>
      </c>
      <c r="AH17" s="14">
        <v>219712</v>
      </c>
      <c r="AI17" s="14">
        <f t="shared" si="14"/>
        <v>160</v>
      </c>
      <c r="AJ17" s="14">
        <v>10846550</v>
      </c>
      <c r="AK17" s="14">
        <f t="shared" si="15"/>
        <v>6559</v>
      </c>
      <c r="AL17" s="14">
        <v>28689</v>
      </c>
      <c r="AM17" s="14">
        <f t="shared" si="16"/>
        <v>2</v>
      </c>
      <c r="AN17" s="7">
        <v>20112</v>
      </c>
      <c r="AO17" s="14">
        <f t="shared" si="17"/>
        <v>812</v>
      </c>
      <c r="AP17" s="13"/>
      <c r="AQ17" s="22">
        <v>579512</v>
      </c>
      <c r="AR17" s="22">
        <f t="shared" si="18"/>
        <v>2150000</v>
      </c>
      <c r="AS17" s="22">
        <v>234978</v>
      </c>
      <c r="AT17" s="22">
        <f t="shared" si="19"/>
        <v>0</v>
      </c>
      <c r="AU17" s="22">
        <v>70700</v>
      </c>
      <c r="AV17" s="22">
        <f t="shared" si="20"/>
        <v>1660000</v>
      </c>
      <c r="AW17" s="22">
        <v>269335</v>
      </c>
      <c r="AX17" s="22">
        <f t="shared" si="21"/>
        <v>170000</v>
      </c>
      <c r="AY17" s="22">
        <v>454834</v>
      </c>
      <c r="AZ17" s="22">
        <f t="shared" si="22"/>
        <v>520000</v>
      </c>
      <c r="BA17" s="22">
        <v>19318</v>
      </c>
      <c r="BB17" s="22">
        <f t="shared" si="23"/>
        <v>0</v>
      </c>
      <c r="BC17" s="22">
        <v>436495</v>
      </c>
      <c r="BD17" s="22">
        <f t="shared" si="24"/>
        <v>2200000</v>
      </c>
      <c r="BE17" s="22">
        <v>124014</v>
      </c>
      <c r="BF17" s="22">
        <f t="shared" si="25"/>
        <v>0</v>
      </c>
      <c r="BG17" s="13"/>
      <c r="BH17" s="7"/>
    </row>
    <row r="18" spans="1:60" ht="19.5" customHeight="1" x14ac:dyDescent="0.25">
      <c r="A18" s="12">
        <v>44666</v>
      </c>
      <c r="B18" s="7">
        <v>8558</v>
      </c>
      <c r="C18" s="7">
        <f t="shared" si="0"/>
        <v>4723</v>
      </c>
      <c r="D18" s="7">
        <v>29637031</v>
      </c>
      <c r="E18" s="7">
        <f t="shared" si="1"/>
        <v>10734</v>
      </c>
      <c r="F18" s="7">
        <v>8142999</v>
      </c>
      <c r="G18" s="9">
        <f t="shared" si="2"/>
        <v>4298</v>
      </c>
      <c r="H18" s="13"/>
      <c r="I18" s="7">
        <v>80398</v>
      </c>
      <c r="J18" s="14">
        <f t="shared" si="3"/>
        <v>129.83500000000001</v>
      </c>
      <c r="K18" s="7">
        <v>20770</v>
      </c>
      <c r="L18" s="14">
        <f t="shared" si="4"/>
        <v>9.032</v>
      </c>
      <c r="M18" s="13"/>
      <c r="N18" s="7">
        <v>54081</v>
      </c>
      <c r="O18" s="14">
        <f t="shared" si="5"/>
        <v>5882.3529411764703</v>
      </c>
      <c r="P18" s="7">
        <v>52244204</v>
      </c>
      <c r="Q18" s="14">
        <f t="shared" si="6"/>
        <v>9630</v>
      </c>
      <c r="R18" s="7">
        <v>232661</v>
      </c>
      <c r="S18" s="14">
        <f t="shared" si="7"/>
        <v>56</v>
      </c>
      <c r="T18" s="13"/>
      <c r="U18" s="7">
        <v>70908</v>
      </c>
      <c r="V18" s="7">
        <f t="shared" si="8"/>
        <v>494</v>
      </c>
      <c r="W18" s="7">
        <v>1863</v>
      </c>
      <c r="X18" s="7">
        <f t="shared" si="9"/>
        <v>19</v>
      </c>
      <c r="Y18" s="7">
        <v>1540</v>
      </c>
      <c r="Z18" s="7">
        <f t="shared" si="10"/>
        <v>15</v>
      </c>
      <c r="AA18" s="8">
        <v>801152</v>
      </c>
      <c r="AB18" s="8">
        <f t="shared" si="11"/>
        <v>4250000</v>
      </c>
      <c r="AC18" s="8">
        <v>359641</v>
      </c>
      <c r="AD18" s="8">
        <f t="shared" si="12"/>
        <v>2500000</v>
      </c>
      <c r="AE18" s="13"/>
      <c r="AF18" s="7">
        <v>67137</v>
      </c>
      <c r="AG18" s="7">
        <f t="shared" si="13"/>
        <v>0</v>
      </c>
      <c r="AH18" s="7">
        <v>219884</v>
      </c>
      <c r="AI18" s="14">
        <f t="shared" si="14"/>
        <v>172</v>
      </c>
      <c r="AJ18" s="7">
        <v>10852986</v>
      </c>
      <c r="AK18" s="14">
        <f t="shared" si="15"/>
        <v>6436</v>
      </c>
      <c r="AL18" s="7">
        <v>28692</v>
      </c>
      <c r="AM18" s="14">
        <f t="shared" si="16"/>
        <v>3</v>
      </c>
      <c r="AN18" s="7">
        <v>20883</v>
      </c>
      <c r="AO18" s="14">
        <f t="shared" si="17"/>
        <v>771</v>
      </c>
      <c r="AP18" s="13"/>
      <c r="AQ18" s="22">
        <v>579620</v>
      </c>
      <c r="AR18" s="22">
        <f t="shared" si="18"/>
        <v>1080000</v>
      </c>
      <c r="AS18" s="22">
        <v>234978</v>
      </c>
      <c r="AT18" s="22">
        <f t="shared" si="19"/>
        <v>0</v>
      </c>
      <c r="AU18" s="22">
        <v>70879</v>
      </c>
      <c r="AV18" s="22">
        <f t="shared" si="20"/>
        <v>1790000</v>
      </c>
      <c r="AW18" s="22">
        <v>269335</v>
      </c>
      <c r="AX18" s="22">
        <f t="shared" si="21"/>
        <v>0</v>
      </c>
      <c r="AY18" s="22">
        <v>454994</v>
      </c>
      <c r="AZ18" s="22">
        <f t="shared" si="22"/>
        <v>1600000</v>
      </c>
      <c r="BA18" s="22">
        <v>19318</v>
      </c>
      <c r="BB18" s="22">
        <f t="shared" si="23"/>
        <v>0</v>
      </c>
      <c r="BC18" s="22">
        <v>436716</v>
      </c>
      <c r="BD18" s="22">
        <f t="shared" si="24"/>
        <v>2210000</v>
      </c>
      <c r="BE18" s="22">
        <v>124015</v>
      </c>
      <c r="BF18" s="22">
        <f t="shared" si="25"/>
        <v>10000</v>
      </c>
      <c r="BG18" s="13"/>
      <c r="BH18" s="7"/>
    </row>
    <row r="19" spans="1:60" ht="24" customHeight="1" x14ac:dyDescent="0.25">
      <c r="A19" s="12">
        <v>44667</v>
      </c>
      <c r="B19" s="7">
        <v>12407</v>
      </c>
      <c r="C19" s="7">
        <f t="shared" si="0"/>
        <v>3849</v>
      </c>
      <c r="D19" s="7">
        <v>29645055</v>
      </c>
      <c r="E19" s="7">
        <f t="shared" si="1"/>
        <v>8024</v>
      </c>
      <c r="F19" s="7">
        <v>8146192</v>
      </c>
      <c r="G19" s="9">
        <f t="shared" si="2"/>
        <v>3193</v>
      </c>
      <c r="H19" s="13"/>
      <c r="I19" s="7">
        <v>80512</v>
      </c>
      <c r="J19" s="14">
        <f t="shared" si="3"/>
        <v>128.70599999999999</v>
      </c>
      <c r="K19" s="7">
        <v>20776</v>
      </c>
      <c r="L19" s="14">
        <f t="shared" si="4"/>
        <v>6.774</v>
      </c>
      <c r="M19" s="13"/>
      <c r="N19" s="7">
        <v>54129</v>
      </c>
      <c r="O19" s="14">
        <f t="shared" si="5"/>
        <v>6417.1122994652405</v>
      </c>
      <c r="P19" s="7">
        <v>52250341</v>
      </c>
      <c r="Q19" s="14">
        <f t="shared" si="6"/>
        <v>6137</v>
      </c>
      <c r="R19" s="7">
        <v>232706</v>
      </c>
      <c r="S19" s="14">
        <f t="shared" si="7"/>
        <v>45</v>
      </c>
      <c r="T19" s="13"/>
      <c r="U19" s="7">
        <v>227</v>
      </c>
      <c r="V19" s="7">
        <f t="shared" si="8"/>
        <v>-70681</v>
      </c>
      <c r="W19" s="14">
        <v>0</v>
      </c>
      <c r="X19" s="7">
        <f t="shared" si="9"/>
        <v>-1863</v>
      </c>
      <c r="Y19" s="14">
        <v>6</v>
      </c>
      <c r="Z19" s="7">
        <f t="shared" si="10"/>
        <v>-1534</v>
      </c>
      <c r="AA19" s="8">
        <v>801265</v>
      </c>
      <c r="AB19" s="8">
        <f t="shared" si="11"/>
        <v>1130000</v>
      </c>
      <c r="AC19" s="8">
        <v>359766</v>
      </c>
      <c r="AD19" s="8">
        <f t="shared" si="12"/>
        <v>1250000</v>
      </c>
      <c r="AE19" s="13"/>
      <c r="AF19" s="7">
        <v>67137</v>
      </c>
      <c r="AG19" s="7">
        <f t="shared" si="13"/>
        <v>0</v>
      </c>
      <c r="AH19" s="7">
        <v>220057</v>
      </c>
      <c r="AI19" s="14">
        <f t="shared" si="14"/>
        <v>173</v>
      </c>
      <c r="AJ19" s="7">
        <v>10860960</v>
      </c>
      <c r="AK19" s="14">
        <f t="shared" si="15"/>
        <v>7974</v>
      </c>
      <c r="AL19" s="7">
        <v>28697</v>
      </c>
      <c r="AM19" s="14">
        <f t="shared" si="16"/>
        <v>5</v>
      </c>
      <c r="AN19" s="7">
        <v>21710</v>
      </c>
      <c r="AO19" s="14">
        <f t="shared" si="17"/>
        <v>827</v>
      </c>
      <c r="AP19" s="13"/>
      <c r="AQ19" s="22">
        <v>580007</v>
      </c>
      <c r="AR19" s="22">
        <f t="shared" si="18"/>
        <v>3870000</v>
      </c>
      <c r="AS19" s="22">
        <v>234978</v>
      </c>
      <c r="AT19" s="22">
        <f t="shared" si="19"/>
        <v>0</v>
      </c>
      <c r="AU19" s="22">
        <v>71011</v>
      </c>
      <c r="AV19" s="22">
        <f t="shared" si="20"/>
        <v>1320000</v>
      </c>
      <c r="AW19" s="22">
        <v>269335</v>
      </c>
      <c r="AX19" s="22">
        <f t="shared" si="21"/>
        <v>0</v>
      </c>
      <c r="AY19" s="22">
        <v>455008</v>
      </c>
      <c r="AZ19" s="22">
        <f t="shared" si="22"/>
        <v>140000</v>
      </c>
      <c r="BA19" s="22">
        <v>19318</v>
      </c>
      <c r="BB19" s="22">
        <f t="shared" si="23"/>
        <v>0</v>
      </c>
      <c r="BC19" s="22">
        <v>436870</v>
      </c>
      <c r="BD19" s="22">
        <f t="shared" si="24"/>
        <v>1540000</v>
      </c>
      <c r="BE19" s="22">
        <v>124015</v>
      </c>
      <c r="BF19" s="22">
        <f t="shared" si="25"/>
        <v>0</v>
      </c>
      <c r="BG19" s="13"/>
      <c r="BH19" s="7"/>
    </row>
    <row r="20" spans="1:60" ht="20.25" customHeight="1" x14ac:dyDescent="0.25">
      <c r="A20" s="12">
        <v>44668</v>
      </c>
      <c r="B20" s="7">
        <v>17493</v>
      </c>
      <c r="C20" s="7">
        <f t="shared" si="0"/>
        <v>5086</v>
      </c>
      <c r="D20" s="7">
        <v>29656320</v>
      </c>
      <c r="E20" s="7">
        <f t="shared" si="1"/>
        <v>11265</v>
      </c>
      <c r="F20" s="7">
        <v>8150679</v>
      </c>
      <c r="G20" s="9">
        <f t="shared" si="2"/>
        <v>4487</v>
      </c>
      <c r="H20" s="13"/>
      <c r="I20" s="7">
        <v>80633</v>
      </c>
      <c r="J20" s="14">
        <f t="shared" si="3"/>
        <v>136.60900000000001</v>
      </c>
      <c r="K20" s="7">
        <v>20783</v>
      </c>
      <c r="L20" s="14">
        <f t="shared" si="4"/>
        <v>7.9030000000000005</v>
      </c>
      <c r="M20" s="13"/>
      <c r="N20" s="7">
        <v>54182</v>
      </c>
      <c r="O20" s="14">
        <f t="shared" si="5"/>
        <v>7085.5614973262027</v>
      </c>
      <c r="P20" s="7">
        <v>52257800</v>
      </c>
      <c r="Q20" s="14">
        <f t="shared" si="6"/>
        <v>7459</v>
      </c>
      <c r="R20" s="7">
        <v>232757</v>
      </c>
      <c r="S20" s="14">
        <f t="shared" si="7"/>
        <v>51</v>
      </c>
      <c r="T20" s="13"/>
      <c r="U20" s="7">
        <v>744</v>
      </c>
      <c r="V20" s="7">
        <f t="shared" si="8"/>
        <v>517</v>
      </c>
      <c r="W20" s="7">
        <v>9</v>
      </c>
      <c r="X20" s="7">
        <f t="shared" si="9"/>
        <v>9</v>
      </c>
      <c r="Y20" s="7">
        <v>19</v>
      </c>
      <c r="Z20" s="7">
        <f t="shared" si="10"/>
        <v>13</v>
      </c>
      <c r="AA20" s="8">
        <f>AA19+252</f>
        <v>801517</v>
      </c>
      <c r="AB20" s="8">
        <f t="shared" si="11"/>
        <v>2520000</v>
      </c>
      <c r="AC20" s="8">
        <v>359783</v>
      </c>
      <c r="AD20" s="8">
        <f t="shared" si="12"/>
        <v>170000</v>
      </c>
      <c r="AE20" s="13"/>
      <c r="AF20" s="7">
        <v>67137</v>
      </c>
      <c r="AG20" s="7">
        <f t="shared" si="13"/>
        <v>0</v>
      </c>
      <c r="AH20" s="7">
        <v>220225</v>
      </c>
      <c r="AI20" s="14">
        <f t="shared" si="14"/>
        <v>168</v>
      </c>
      <c r="AJ20" s="7">
        <v>10868274</v>
      </c>
      <c r="AK20" s="14">
        <f t="shared" si="15"/>
        <v>7314</v>
      </c>
      <c r="AL20" s="7">
        <v>28702</v>
      </c>
      <c r="AM20" s="14">
        <f t="shared" si="16"/>
        <v>5</v>
      </c>
      <c r="AN20" s="7">
        <v>22591</v>
      </c>
      <c r="AO20" s="14">
        <f t="shared" si="17"/>
        <v>881</v>
      </c>
      <c r="AP20" s="13"/>
      <c r="AQ20" s="22">
        <v>580384</v>
      </c>
      <c r="AR20" s="22">
        <f t="shared" si="18"/>
        <v>3770000</v>
      </c>
      <c r="AS20" s="22">
        <v>234978</v>
      </c>
      <c r="AT20" s="22">
        <f t="shared" si="19"/>
        <v>0</v>
      </c>
      <c r="AU20" s="22">
        <v>71046</v>
      </c>
      <c r="AV20" s="22">
        <f t="shared" si="20"/>
        <v>350000</v>
      </c>
      <c r="AW20" s="22">
        <v>269335</v>
      </c>
      <c r="AX20" s="22">
        <f t="shared" si="21"/>
        <v>0</v>
      </c>
      <c r="AY20" s="22">
        <v>455107</v>
      </c>
      <c r="AZ20" s="22">
        <f t="shared" si="22"/>
        <v>990000</v>
      </c>
      <c r="BA20" s="22">
        <v>19318</v>
      </c>
      <c r="BB20" s="22">
        <f t="shared" si="23"/>
        <v>0</v>
      </c>
      <c r="BC20" s="22">
        <v>437058</v>
      </c>
      <c r="BD20" s="22">
        <f t="shared" si="24"/>
        <v>1880000</v>
      </c>
      <c r="BE20" s="22">
        <v>124015</v>
      </c>
      <c r="BF20" s="22">
        <f t="shared" si="25"/>
        <v>0</v>
      </c>
      <c r="BG20" s="13"/>
      <c r="BH20" s="7"/>
    </row>
    <row r="21" spans="1:60" ht="21" customHeight="1" x14ac:dyDescent="0.25">
      <c r="A21" s="12">
        <v>44669</v>
      </c>
      <c r="B21" s="7">
        <v>21411</v>
      </c>
      <c r="C21" s="7">
        <f t="shared" si="0"/>
        <v>3918</v>
      </c>
      <c r="D21" s="7">
        <v>29664281</v>
      </c>
      <c r="E21" s="7">
        <f t="shared" si="1"/>
        <v>7961</v>
      </c>
      <c r="F21" s="7">
        <v>8153911</v>
      </c>
      <c r="G21" s="9">
        <f t="shared" si="2"/>
        <v>3232</v>
      </c>
      <c r="H21" s="13"/>
      <c r="I21" s="7">
        <v>80736</v>
      </c>
      <c r="J21" s="14">
        <f t="shared" si="3"/>
        <v>116.28700000000001</v>
      </c>
      <c r="K21" s="7">
        <v>20789</v>
      </c>
      <c r="L21" s="14">
        <f t="shared" si="4"/>
        <v>6.774</v>
      </c>
      <c r="M21" s="13"/>
      <c r="N21" s="7">
        <v>54229</v>
      </c>
      <c r="O21" s="14">
        <f t="shared" si="5"/>
        <v>6283.4224598930477</v>
      </c>
      <c r="P21" s="7">
        <v>52263841</v>
      </c>
      <c r="Q21" s="14">
        <f t="shared" si="6"/>
        <v>6041</v>
      </c>
      <c r="R21" s="7">
        <v>232825</v>
      </c>
      <c r="S21" s="14">
        <f t="shared" si="7"/>
        <v>68</v>
      </c>
      <c r="T21" s="13"/>
      <c r="U21" s="7">
        <v>1099</v>
      </c>
      <c r="V21" s="7">
        <f t="shared" si="8"/>
        <v>355</v>
      </c>
      <c r="W21" s="7">
        <v>27</v>
      </c>
      <c r="X21" s="7">
        <f t="shared" si="9"/>
        <v>18</v>
      </c>
      <c r="Y21" s="7">
        <v>32</v>
      </c>
      <c r="Z21" s="7">
        <f t="shared" si="10"/>
        <v>13</v>
      </c>
      <c r="AA21" s="8">
        <f>AA20+252</f>
        <v>801769</v>
      </c>
      <c r="AB21" s="8">
        <f t="shared" si="11"/>
        <v>2520000</v>
      </c>
      <c r="AC21" s="8">
        <v>359855</v>
      </c>
      <c r="AD21" s="8">
        <f t="shared" si="12"/>
        <v>720000</v>
      </c>
      <c r="AE21" s="13"/>
      <c r="AF21" s="7">
        <v>67137</v>
      </c>
      <c r="AG21" s="7">
        <f t="shared" si="13"/>
        <v>0</v>
      </c>
      <c r="AH21" s="7">
        <v>220355</v>
      </c>
      <c r="AI21" s="14">
        <f t="shared" si="14"/>
        <v>130</v>
      </c>
      <c r="AJ21" s="7">
        <v>10874297</v>
      </c>
      <c r="AK21" s="14">
        <f t="shared" si="15"/>
        <v>6023</v>
      </c>
      <c r="AL21" s="7">
        <v>28705</v>
      </c>
      <c r="AM21" s="14">
        <f t="shared" si="16"/>
        <v>3</v>
      </c>
      <c r="AN21" s="7">
        <v>23365</v>
      </c>
      <c r="AO21" s="14">
        <f t="shared" si="17"/>
        <v>774</v>
      </c>
      <c r="AP21" s="13"/>
      <c r="AQ21" s="22">
        <v>580535</v>
      </c>
      <c r="AR21" s="22">
        <f t="shared" si="18"/>
        <v>1510000</v>
      </c>
      <c r="AS21" s="22">
        <v>234978</v>
      </c>
      <c r="AT21" s="22">
        <f t="shared" si="19"/>
        <v>0</v>
      </c>
      <c r="AU21" s="22">
        <v>71046</v>
      </c>
      <c r="AV21" s="22">
        <f t="shared" si="20"/>
        <v>0</v>
      </c>
      <c r="AW21" s="22">
        <v>269335</v>
      </c>
      <c r="AX21" s="22">
        <f t="shared" si="21"/>
        <v>0</v>
      </c>
      <c r="AY21" s="22">
        <v>455110</v>
      </c>
      <c r="AZ21" s="22">
        <f t="shared" si="22"/>
        <v>30000</v>
      </c>
      <c r="BA21" s="22">
        <v>19318</v>
      </c>
      <c r="BB21" s="22">
        <f t="shared" si="23"/>
        <v>0</v>
      </c>
      <c r="BC21" s="22">
        <v>437246</v>
      </c>
      <c r="BD21" s="22">
        <f t="shared" si="24"/>
        <v>1880000</v>
      </c>
      <c r="BE21" s="22">
        <v>124015</v>
      </c>
      <c r="BF21" s="22">
        <f t="shared" si="25"/>
        <v>0</v>
      </c>
      <c r="BG21" s="13"/>
      <c r="BH21" s="7"/>
    </row>
    <row r="22" spans="1:60" ht="18.75" customHeight="1" x14ac:dyDescent="0.25">
      <c r="A22" s="12">
        <v>44670</v>
      </c>
      <c r="B22" s="7">
        <v>25474</v>
      </c>
      <c r="C22" s="7">
        <f t="shared" si="0"/>
        <v>4063</v>
      </c>
      <c r="D22" s="7">
        <v>29673092</v>
      </c>
      <c r="E22" s="7">
        <f t="shared" si="1"/>
        <v>8811</v>
      </c>
      <c r="F22" s="7">
        <v>8157343</v>
      </c>
      <c r="G22" s="9">
        <f t="shared" si="2"/>
        <v>3432</v>
      </c>
      <c r="H22" s="13"/>
      <c r="I22" s="7">
        <v>80829</v>
      </c>
      <c r="J22" s="14">
        <f t="shared" si="3"/>
        <v>104.997</v>
      </c>
      <c r="K22" s="7">
        <v>20794</v>
      </c>
      <c r="L22" s="14">
        <f t="shared" si="4"/>
        <v>5.6449999999999996</v>
      </c>
      <c r="M22" s="13"/>
      <c r="N22" s="7">
        <v>54261</v>
      </c>
      <c r="O22" s="14">
        <f t="shared" si="5"/>
        <v>4278.0748663101604</v>
      </c>
      <c r="P22" s="14">
        <v>52267703</v>
      </c>
      <c r="Q22" s="14">
        <f t="shared" si="6"/>
        <v>3862</v>
      </c>
      <c r="R22" s="7">
        <v>232901</v>
      </c>
      <c r="S22" s="14">
        <f t="shared" si="7"/>
        <v>76</v>
      </c>
      <c r="T22" s="13"/>
      <c r="U22" s="7">
        <v>1490</v>
      </c>
      <c r="V22" s="7">
        <f t="shared" si="8"/>
        <v>391</v>
      </c>
      <c r="W22" s="7">
        <v>45</v>
      </c>
      <c r="X22" s="7">
        <f t="shared" si="9"/>
        <v>18</v>
      </c>
      <c r="Y22" s="7">
        <v>46</v>
      </c>
      <c r="Z22" s="7">
        <f t="shared" si="10"/>
        <v>14</v>
      </c>
      <c r="AA22" s="8">
        <v>802005</v>
      </c>
      <c r="AB22" s="8">
        <f t="shared" si="11"/>
        <v>2360000</v>
      </c>
      <c r="AC22" s="8">
        <v>360092</v>
      </c>
      <c r="AD22" s="8">
        <f t="shared" si="12"/>
        <v>2370000</v>
      </c>
      <c r="AE22" s="13"/>
      <c r="AF22" s="7">
        <v>67137</v>
      </c>
      <c r="AG22" s="7">
        <f t="shared" si="13"/>
        <v>0</v>
      </c>
      <c r="AH22" s="14">
        <v>220506</v>
      </c>
      <c r="AI22" s="14">
        <f t="shared" si="14"/>
        <v>151</v>
      </c>
      <c r="AJ22" s="14">
        <v>10879464</v>
      </c>
      <c r="AK22" s="14">
        <f t="shared" si="15"/>
        <v>5167</v>
      </c>
      <c r="AL22" s="14">
        <v>28706</v>
      </c>
      <c r="AM22" s="14">
        <f t="shared" si="16"/>
        <v>1</v>
      </c>
      <c r="AN22" s="7">
        <v>24124</v>
      </c>
      <c r="AO22" s="14">
        <f t="shared" si="17"/>
        <v>759</v>
      </c>
      <c r="AP22" s="13"/>
      <c r="AQ22" s="22">
        <v>580537</v>
      </c>
      <c r="AR22" s="22">
        <f t="shared" si="18"/>
        <v>20000</v>
      </c>
      <c r="AS22" s="22">
        <v>234978</v>
      </c>
      <c r="AT22" s="22">
        <f t="shared" si="19"/>
        <v>0</v>
      </c>
      <c r="AU22" s="22">
        <v>71046</v>
      </c>
      <c r="AV22" s="22">
        <f t="shared" si="20"/>
        <v>0</v>
      </c>
      <c r="AW22" s="22">
        <v>269335</v>
      </c>
      <c r="AX22" s="22">
        <f t="shared" si="21"/>
        <v>0</v>
      </c>
      <c r="AY22" s="22">
        <v>455110</v>
      </c>
      <c r="AZ22" s="22">
        <f t="shared" si="22"/>
        <v>0</v>
      </c>
      <c r="BA22" s="22">
        <v>19318</v>
      </c>
      <c r="BB22" s="22">
        <f t="shared" si="23"/>
        <v>0</v>
      </c>
      <c r="BC22" s="22">
        <v>437409</v>
      </c>
      <c r="BD22" s="22">
        <f t="shared" si="24"/>
        <v>1630000</v>
      </c>
      <c r="BE22" s="22">
        <v>124015</v>
      </c>
      <c r="BF22" s="22">
        <f t="shared" si="25"/>
        <v>0</v>
      </c>
      <c r="BG22" s="13"/>
      <c r="BH22" s="7"/>
    </row>
    <row r="23" spans="1:60" ht="21" customHeight="1" x14ac:dyDescent="0.25">
      <c r="A23" s="12">
        <v>44671</v>
      </c>
      <c r="B23" s="7">
        <v>30133</v>
      </c>
      <c r="C23" s="7">
        <f t="shared" si="0"/>
        <v>4659</v>
      </c>
      <c r="D23" s="7">
        <v>29682909</v>
      </c>
      <c r="E23" s="7">
        <f t="shared" si="1"/>
        <v>9817</v>
      </c>
      <c r="F23" s="7">
        <v>8161086</v>
      </c>
      <c r="G23" s="9">
        <f t="shared" si="2"/>
        <v>3743</v>
      </c>
      <c r="H23" s="13"/>
      <c r="I23" s="7">
        <v>80927</v>
      </c>
      <c r="J23" s="14">
        <f t="shared" si="3"/>
        <v>110.642</v>
      </c>
      <c r="K23" s="7">
        <v>20800</v>
      </c>
      <c r="L23" s="14">
        <f t="shared" si="4"/>
        <v>6.774</v>
      </c>
      <c r="M23" s="13"/>
      <c r="N23" s="7">
        <v>54302</v>
      </c>
      <c r="O23" s="14">
        <f t="shared" si="5"/>
        <v>5481.2834224598928</v>
      </c>
      <c r="P23" s="14">
        <v>52272388</v>
      </c>
      <c r="Q23" s="14">
        <f t="shared" si="6"/>
        <v>4685</v>
      </c>
      <c r="R23" s="7">
        <v>232994</v>
      </c>
      <c r="S23" s="14">
        <f t="shared" si="7"/>
        <v>93</v>
      </c>
      <c r="T23" s="13"/>
      <c r="U23" s="7">
        <v>1910</v>
      </c>
      <c r="V23" s="7">
        <f t="shared" si="8"/>
        <v>420</v>
      </c>
      <c r="W23" s="7">
        <v>64</v>
      </c>
      <c r="X23" s="7">
        <f t="shared" si="9"/>
        <v>19</v>
      </c>
      <c r="Y23" s="7">
        <v>60</v>
      </c>
      <c r="Z23" s="7">
        <f t="shared" si="10"/>
        <v>14</v>
      </c>
      <c r="AA23" s="8">
        <v>802305</v>
      </c>
      <c r="AB23" s="8">
        <f t="shared" si="11"/>
        <v>3000000</v>
      </c>
      <c r="AC23" s="8">
        <v>360391</v>
      </c>
      <c r="AD23" s="8">
        <f t="shared" si="12"/>
        <v>2990000</v>
      </c>
      <c r="AE23" s="13"/>
      <c r="AF23" s="7">
        <v>67137</v>
      </c>
      <c r="AG23" s="7">
        <f t="shared" si="13"/>
        <v>0</v>
      </c>
      <c r="AH23" s="14">
        <v>220641</v>
      </c>
      <c r="AI23" s="14">
        <f t="shared" si="14"/>
        <v>135</v>
      </c>
      <c r="AJ23" s="14">
        <v>10883882</v>
      </c>
      <c r="AK23" s="14">
        <f t="shared" si="15"/>
        <v>4418</v>
      </c>
      <c r="AL23" s="14">
        <v>28708</v>
      </c>
      <c r="AM23" s="14">
        <f t="shared" si="16"/>
        <v>2</v>
      </c>
      <c r="AN23" s="7">
        <v>24774</v>
      </c>
      <c r="AO23" s="14">
        <f t="shared" si="17"/>
        <v>650</v>
      </c>
      <c r="AP23" s="13"/>
      <c r="AQ23" s="22">
        <v>580537</v>
      </c>
      <c r="AR23" s="22">
        <f t="shared" si="18"/>
        <v>0</v>
      </c>
      <c r="AS23" s="22">
        <v>234978</v>
      </c>
      <c r="AT23" s="22">
        <f t="shared" si="19"/>
        <v>0</v>
      </c>
      <c r="AU23" s="22">
        <v>71046</v>
      </c>
      <c r="AV23" s="22">
        <f t="shared" si="20"/>
        <v>0</v>
      </c>
      <c r="AW23" s="22">
        <v>269336</v>
      </c>
      <c r="AX23" s="22">
        <f t="shared" si="21"/>
        <v>10000</v>
      </c>
      <c r="AY23" s="22">
        <v>455110</v>
      </c>
      <c r="AZ23" s="22">
        <f t="shared" si="22"/>
        <v>0</v>
      </c>
      <c r="BA23" s="22">
        <v>19319</v>
      </c>
      <c r="BB23" s="22">
        <f t="shared" si="23"/>
        <v>10000</v>
      </c>
      <c r="BC23" s="22">
        <v>437563</v>
      </c>
      <c r="BD23" s="22">
        <f t="shared" si="24"/>
        <v>1540000</v>
      </c>
      <c r="BE23" s="22">
        <v>124015</v>
      </c>
      <c r="BF23" s="22">
        <f t="shared" si="25"/>
        <v>0</v>
      </c>
      <c r="BG23" s="13"/>
      <c r="BH23" s="7"/>
    </row>
    <row r="24" spans="1:60" ht="22.5" customHeight="1" x14ac:dyDescent="0.25">
      <c r="A24" s="12">
        <v>44672</v>
      </c>
      <c r="B24" s="7">
        <v>34286</v>
      </c>
      <c r="C24" s="7">
        <f t="shared" si="0"/>
        <v>4153</v>
      </c>
      <c r="D24" s="7">
        <v>29691972</v>
      </c>
      <c r="E24" s="7">
        <f t="shared" si="1"/>
        <v>9063</v>
      </c>
      <c r="F24" s="7">
        <v>8164793</v>
      </c>
      <c r="G24" s="9">
        <f t="shared" si="2"/>
        <v>3707</v>
      </c>
      <c r="H24" s="13"/>
      <c r="I24" s="7">
        <v>81015</v>
      </c>
      <c r="J24" s="14">
        <f t="shared" si="3"/>
        <v>99.352000000000004</v>
      </c>
      <c r="K24" s="7">
        <v>20805</v>
      </c>
      <c r="L24" s="14">
        <f t="shared" si="4"/>
        <v>5.6449999999999996</v>
      </c>
      <c r="M24" s="13"/>
      <c r="N24" s="7">
        <v>54342</v>
      </c>
      <c r="O24" s="14">
        <f t="shared" si="5"/>
        <v>5347.5935828877</v>
      </c>
      <c r="P24" s="14">
        <v>52277209</v>
      </c>
      <c r="Q24" s="14">
        <f t="shared" si="6"/>
        <v>4821</v>
      </c>
      <c r="R24" s="7">
        <v>233069</v>
      </c>
      <c r="S24" s="14">
        <f t="shared" si="7"/>
        <v>75</v>
      </c>
      <c r="T24" s="13"/>
      <c r="U24" s="7">
        <v>2282</v>
      </c>
      <c r="V24" s="7">
        <f t="shared" si="8"/>
        <v>372</v>
      </c>
      <c r="W24" s="7">
        <v>75</v>
      </c>
      <c r="X24" s="7">
        <f t="shared" si="9"/>
        <v>11</v>
      </c>
      <c r="Y24" s="7">
        <v>80</v>
      </c>
      <c r="Z24" s="7">
        <f t="shared" si="10"/>
        <v>20</v>
      </c>
      <c r="AA24" s="8">
        <v>802606</v>
      </c>
      <c r="AB24" s="8">
        <f t="shared" si="11"/>
        <v>3010000</v>
      </c>
      <c r="AC24" s="8">
        <v>360656</v>
      </c>
      <c r="AD24" s="8">
        <f t="shared" si="12"/>
        <v>2650000</v>
      </c>
      <c r="AE24" s="13"/>
      <c r="AF24" s="7">
        <v>67137</v>
      </c>
      <c r="AG24" s="7">
        <f t="shared" si="13"/>
        <v>0</v>
      </c>
      <c r="AH24" s="14">
        <v>220795</v>
      </c>
      <c r="AI24" s="14">
        <f t="shared" si="14"/>
        <v>154</v>
      </c>
      <c r="AJ24" s="14">
        <v>10888287</v>
      </c>
      <c r="AK24" s="14">
        <f t="shared" si="15"/>
        <v>4405</v>
      </c>
      <c r="AL24" s="14">
        <v>28710</v>
      </c>
      <c r="AM24" s="14">
        <f t="shared" si="16"/>
        <v>2</v>
      </c>
      <c r="AN24" s="7">
        <v>25538</v>
      </c>
      <c r="AO24" s="14">
        <f t="shared" si="17"/>
        <v>764</v>
      </c>
      <c r="AP24" s="13"/>
      <c r="AQ24" s="22">
        <v>580651</v>
      </c>
      <c r="AR24" s="22">
        <f t="shared" si="18"/>
        <v>1140000</v>
      </c>
      <c r="AS24" s="22">
        <v>234978</v>
      </c>
      <c r="AT24" s="22">
        <f t="shared" si="19"/>
        <v>0</v>
      </c>
      <c r="AU24" s="22">
        <v>71046</v>
      </c>
      <c r="AV24" s="22">
        <f t="shared" si="20"/>
        <v>0</v>
      </c>
      <c r="AW24" s="22">
        <v>269336</v>
      </c>
      <c r="AX24" s="22">
        <f t="shared" si="21"/>
        <v>0</v>
      </c>
      <c r="AY24" s="22">
        <v>455115</v>
      </c>
      <c r="AZ24" s="22">
        <f t="shared" si="22"/>
        <v>50000</v>
      </c>
      <c r="BA24" s="22">
        <v>19319</v>
      </c>
      <c r="BB24" s="22">
        <f t="shared" si="23"/>
        <v>0</v>
      </c>
      <c r="BC24" s="22">
        <v>437724</v>
      </c>
      <c r="BD24" s="22">
        <f t="shared" si="24"/>
        <v>1610000</v>
      </c>
      <c r="BE24" s="22">
        <v>124015</v>
      </c>
      <c r="BF24" s="22">
        <f t="shared" si="25"/>
        <v>0</v>
      </c>
      <c r="BG24" s="13"/>
      <c r="BH24" s="7"/>
    </row>
    <row r="25" spans="1:60" ht="22.5" customHeight="1" x14ac:dyDescent="0.25">
      <c r="A25" s="12">
        <v>44673</v>
      </c>
      <c r="B25" s="7">
        <v>38382</v>
      </c>
      <c r="C25" s="7">
        <f t="shared" si="0"/>
        <v>4096</v>
      </c>
      <c r="D25" s="7">
        <v>29700815</v>
      </c>
      <c r="E25" s="7">
        <f t="shared" si="1"/>
        <v>8843</v>
      </c>
      <c r="F25" s="7">
        <v>8168058</v>
      </c>
      <c r="G25" s="9">
        <f t="shared" si="2"/>
        <v>3265</v>
      </c>
      <c r="H25" s="13"/>
      <c r="I25" s="7">
        <v>81111</v>
      </c>
      <c r="J25" s="14">
        <f t="shared" si="3"/>
        <v>108.384</v>
      </c>
      <c r="K25" s="7">
        <v>20811</v>
      </c>
      <c r="L25" s="14">
        <f t="shared" si="4"/>
        <v>6.774</v>
      </c>
      <c r="M25" s="13"/>
      <c r="N25" s="7">
        <v>54382</v>
      </c>
      <c r="O25" s="14">
        <f t="shared" si="5"/>
        <v>5347.5935828877</v>
      </c>
      <c r="P25" s="7">
        <v>52281797</v>
      </c>
      <c r="Q25" s="14">
        <f t="shared" si="6"/>
        <v>4588</v>
      </c>
      <c r="R25" s="7">
        <v>233123</v>
      </c>
      <c r="S25" s="14">
        <f t="shared" si="7"/>
        <v>54</v>
      </c>
      <c r="T25" s="13"/>
      <c r="U25" s="7">
        <v>2652</v>
      </c>
      <c r="V25" s="7">
        <f t="shared" si="8"/>
        <v>370</v>
      </c>
      <c r="W25" s="7">
        <v>95</v>
      </c>
      <c r="X25" s="7">
        <f t="shared" si="9"/>
        <v>20</v>
      </c>
      <c r="Y25" s="7">
        <v>90</v>
      </c>
      <c r="Z25" s="7">
        <f t="shared" si="10"/>
        <v>10</v>
      </c>
      <c r="AA25" s="8">
        <v>802867</v>
      </c>
      <c r="AB25" s="8">
        <f t="shared" si="11"/>
        <v>2610000</v>
      </c>
      <c r="AC25" s="8">
        <v>360837</v>
      </c>
      <c r="AD25" s="8">
        <f t="shared" si="12"/>
        <v>1810000</v>
      </c>
      <c r="AE25" s="13"/>
      <c r="AF25" s="7">
        <v>67137</v>
      </c>
      <c r="AG25" s="7">
        <f t="shared" si="13"/>
        <v>0</v>
      </c>
      <c r="AH25" s="7">
        <v>220970</v>
      </c>
      <c r="AI25" s="14">
        <f t="shared" si="14"/>
        <v>175</v>
      </c>
      <c r="AJ25" s="7">
        <v>10894144</v>
      </c>
      <c r="AK25" s="14">
        <f t="shared" si="15"/>
        <v>5857</v>
      </c>
      <c r="AL25" s="7">
        <v>28713</v>
      </c>
      <c r="AM25" s="14">
        <f t="shared" si="16"/>
        <v>3</v>
      </c>
      <c r="AN25" s="7">
        <v>26397</v>
      </c>
      <c r="AO25" s="14">
        <f t="shared" si="17"/>
        <v>859</v>
      </c>
      <c r="AP25" s="13"/>
      <c r="AQ25" s="22">
        <v>580659</v>
      </c>
      <c r="AR25" s="22">
        <f t="shared" si="18"/>
        <v>80000</v>
      </c>
      <c r="AS25" s="22">
        <v>234978</v>
      </c>
      <c r="AT25" s="22">
        <f t="shared" si="19"/>
        <v>0</v>
      </c>
      <c r="AU25" s="22">
        <v>71061</v>
      </c>
      <c r="AV25" s="22">
        <f t="shared" si="20"/>
        <v>150000</v>
      </c>
      <c r="AW25" s="22">
        <v>269336</v>
      </c>
      <c r="AX25" s="22">
        <f t="shared" si="21"/>
        <v>0</v>
      </c>
      <c r="AY25" s="22">
        <v>455119</v>
      </c>
      <c r="AZ25" s="22">
        <f t="shared" si="22"/>
        <v>40000</v>
      </c>
      <c r="BA25" s="22">
        <v>19319</v>
      </c>
      <c r="BB25" s="22">
        <f t="shared" si="23"/>
        <v>0</v>
      </c>
      <c r="BC25" s="22">
        <v>437879</v>
      </c>
      <c r="BD25" s="22">
        <f t="shared" si="24"/>
        <v>1550000</v>
      </c>
      <c r="BE25" s="22">
        <v>124015</v>
      </c>
      <c r="BF25" s="22">
        <f t="shared" si="25"/>
        <v>0</v>
      </c>
      <c r="BG25" s="13"/>
      <c r="BH25" s="7"/>
    </row>
    <row r="26" spans="1:60" ht="22.5" customHeight="1" x14ac:dyDescent="0.25">
      <c r="A26" s="12">
        <v>44674</v>
      </c>
      <c r="B26" s="7">
        <v>42662</v>
      </c>
      <c r="C26" s="7">
        <f t="shared" si="0"/>
        <v>4280</v>
      </c>
      <c r="D26" s="7">
        <v>29710406</v>
      </c>
      <c r="E26" s="7">
        <f t="shared" si="1"/>
        <v>9591</v>
      </c>
      <c r="F26" s="7">
        <v>8171805</v>
      </c>
      <c r="G26" s="9">
        <f t="shared" si="2"/>
        <v>3747</v>
      </c>
      <c r="H26" s="13"/>
      <c r="I26" s="7">
        <v>81233</v>
      </c>
      <c r="J26" s="14">
        <f t="shared" si="3"/>
        <v>137.738</v>
      </c>
      <c r="K26" s="7">
        <v>20819</v>
      </c>
      <c r="L26" s="14">
        <f t="shared" si="4"/>
        <v>9.032</v>
      </c>
      <c r="M26" s="13"/>
      <c r="N26" s="7">
        <v>54433</v>
      </c>
      <c r="O26" s="14">
        <f t="shared" si="5"/>
        <v>6818.181818181818</v>
      </c>
      <c r="P26" s="14">
        <v>52288336</v>
      </c>
      <c r="Q26" s="14">
        <f t="shared" si="6"/>
        <v>6539</v>
      </c>
      <c r="R26" s="7">
        <v>233179</v>
      </c>
      <c r="S26" s="14">
        <f t="shared" si="7"/>
        <v>56</v>
      </c>
      <c r="T26" s="13"/>
      <c r="U26" s="7">
        <v>3037</v>
      </c>
      <c r="V26" s="7">
        <f t="shared" si="8"/>
        <v>385</v>
      </c>
      <c r="W26" s="7">
        <v>111</v>
      </c>
      <c r="X26" s="7">
        <f t="shared" si="9"/>
        <v>16</v>
      </c>
      <c r="Y26" s="7">
        <v>99</v>
      </c>
      <c r="Z26" s="7">
        <f t="shared" si="10"/>
        <v>9</v>
      </c>
      <c r="AA26" s="8">
        <v>803166</v>
      </c>
      <c r="AB26" s="8">
        <f t="shared" si="11"/>
        <v>2990000</v>
      </c>
      <c r="AC26" s="8">
        <v>361020</v>
      </c>
      <c r="AD26" s="8">
        <f t="shared" si="12"/>
        <v>1830000</v>
      </c>
      <c r="AE26" s="13"/>
      <c r="AF26" s="7">
        <v>67137</v>
      </c>
      <c r="AG26" s="7">
        <f t="shared" si="13"/>
        <v>0</v>
      </c>
      <c r="AH26" s="14">
        <v>221127</v>
      </c>
      <c r="AI26" s="14">
        <f t="shared" si="14"/>
        <v>157</v>
      </c>
      <c r="AJ26" s="14">
        <v>10901053</v>
      </c>
      <c r="AK26" s="14">
        <f t="shared" si="15"/>
        <v>6909</v>
      </c>
      <c r="AL26" s="14">
        <v>28717</v>
      </c>
      <c r="AM26" s="14">
        <f t="shared" si="16"/>
        <v>4</v>
      </c>
      <c r="AN26" s="7">
        <v>27192</v>
      </c>
      <c r="AO26" s="14">
        <f t="shared" si="17"/>
        <v>795</v>
      </c>
      <c r="AP26" s="13"/>
      <c r="AQ26" s="22">
        <v>580662</v>
      </c>
      <c r="AR26" s="22">
        <f t="shared" si="18"/>
        <v>30000</v>
      </c>
      <c r="AS26" s="22">
        <v>234978</v>
      </c>
      <c r="AT26" s="22">
        <f t="shared" si="19"/>
        <v>0</v>
      </c>
      <c r="AU26" s="22">
        <v>71081</v>
      </c>
      <c r="AV26" s="22">
        <f t="shared" si="20"/>
        <v>200000</v>
      </c>
      <c r="AW26" s="22">
        <v>269336</v>
      </c>
      <c r="AX26" s="22">
        <f t="shared" si="21"/>
        <v>0</v>
      </c>
      <c r="AY26" s="22">
        <v>455186</v>
      </c>
      <c r="AZ26" s="22">
        <f t="shared" si="22"/>
        <v>670000</v>
      </c>
      <c r="BA26" s="22">
        <v>19319</v>
      </c>
      <c r="BB26" s="22">
        <f t="shared" si="23"/>
        <v>0</v>
      </c>
      <c r="BC26" s="22">
        <v>438065</v>
      </c>
      <c r="BD26" s="22">
        <f t="shared" si="24"/>
        <v>1860000</v>
      </c>
      <c r="BE26" s="22">
        <v>124015</v>
      </c>
      <c r="BF26" s="22">
        <f t="shared" si="25"/>
        <v>0</v>
      </c>
      <c r="BG26" s="13"/>
      <c r="BH26" s="7"/>
    </row>
    <row r="27" spans="1:60" ht="21" customHeight="1" x14ac:dyDescent="0.25">
      <c r="A27" s="12">
        <v>44675</v>
      </c>
      <c r="B27" s="7">
        <v>47043</v>
      </c>
      <c r="C27" s="7">
        <f t="shared" si="0"/>
        <v>4381</v>
      </c>
      <c r="D27" s="7">
        <v>29720280</v>
      </c>
      <c r="E27" s="7">
        <f t="shared" si="1"/>
        <v>9874</v>
      </c>
      <c r="F27" s="7">
        <v>8175644</v>
      </c>
      <c r="G27" s="9">
        <f t="shared" si="2"/>
        <v>3839</v>
      </c>
      <c r="H27" s="13"/>
      <c r="I27" s="7">
        <v>81353</v>
      </c>
      <c r="J27" s="14">
        <f t="shared" si="3"/>
        <v>135.47999999999999</v>
      </c>
      <c r="K27" s="7">
        <v>20825</v>
      </c>
      <c r="L27" s="14">
        <f t="shared" si="4"/>
        <v>6.774</v>
      </c>
      <c r="M27" s="13"/>
      <c r="N27" s="7">
        <v>54483</v>
      </c>
      <c r="O27" s="14">
        <f t="shared" si="5"/>
        <v>6684.4919786096252</v>
      </c>
      <c r="P27" s="7">
        <v>52295440</v>
      </c>
      <c r="Q27" s="14">
        <f t="shared" si="6"/>
        <v>7104</v>
      </c>
      <c r="R27" s="7">
        <v>233236</v>
      </c>
      <c r="S27" s="14">
        <f t="shared" si="7"/>
        <v>57</v>
      </c>
      <c r="T27" s="13"/>
      <c r="U27" s="7">
        <v>3441</v>
      </c>
      <c r="V27" s="7">
        <f t="shared" si="8"/>
        <v>404</v>
      </c>
      <c r="W27" s="7">
        <v>127</v>
      </c>
      <c r="X27" s="7">
        <f t="shared" si="9"/>
        <v>16</v>
      </c>
      <c r="Y27" s="7">
        <v>113</v>
      </c>
      <c r="Z27" s="7">
        <f t="shared" si="10"/>
        <v>14</v>
      </c>
      <c r="AA27" s="8">
        <v>803468</v>
      </c>
      <c r="AB27" s="8">
        <f t="shared" si="11"/>
        <v>3020000</v>
      </c>
      <c r="AC27" s="8">
        <v>361188</v>
      </c>
      <c r="AD27" s="8">
        <f t="shared" si="12"/>
        <v>1680000</v>
      </c>
      <c r="AE27" s="13"/>
      <c r="AF27" s="7">
        <v>67137</v>
      </c>
      <c r="AG27" s="7">
        <f t="shared" si="13"/>
        <v>0</v>
      </c>
      <c r="AH27" s="7">
        <v>221303</v>
      </c>
      <c r="AI27" s="14">
        <f t="shared" si="14"/>
        <v>176</v>
      </c>
      <c r="AJ27" s="7">
        <v>10908550</v>
      </c>
      <c r="AK27" s="14">
        <f t="shared" si="15"/>
        <v>7497</v>
      </c>
      <c r="AL27" s="7">
        <v>28722</v>
      </c>
      <c r="AM27" s="14">
        <f t="shared" si="16"/>
        <v>5</v>
      </c>
      <c r="AN27" s="7">
        <v>28114</v>
      </c>
      <c r="AO27" s="14">
        <f t="shared" si="17"/>
        <v>922</v>
      </c>
      <c r="AP27" s="13"/>
      <c r="AQ27" s="22">
        <v>580910</v>
      </c>
      <c r="AR27" s="22">
        <f t="shared" si="18"/>
        <v>2480000</v>
      </c>
      <c r="AS27" s="22">
        <v>234978</v>
      </c>
      <c r="AT27" s="22">
        <f t="shared" si="19"/>
        <v>0</v>
      </c>
      <c r="AU27" s="22">
        <v>71146</v>
      </c>
      <c r="AV27" s="22">
        <f t="shared" si="20"/>
        <v>650000</v>
      </c>
      <c r="AW27" s="22">
        <v>269336</v>
      </c>
      <c r="AX27" s="22">
        <f t="shared" si="21"/>
        <v>0</v>
      </c>
      <c r="AY27" s="22">
        <v>455222</v>
      </c>
      <c r="AZ27" s="22">
        <f t="shared" si="22"/>
        <v>360000</v>
      </c>
      <c r="BA27" s="22">
        <v>19319</v>
      </c>
      <c r="BB27" s="22">
        <f t="shared" si="23"/>
        <v>0</v>
      </c>
      <c r="BC27" s="22">
        <v>438260</v>
      </c>
      <c r="BD27" s="22">
        <f t="shared" si="24"/>
        <v>1950000</v>
      </c>
      <c r="BE27" s="22">
        <v>124015</v>
      </c>
      <c r="BF27" s="22">
        <f t="shared" si="25"/>
        <v>0</v>
      </c>
      <c r="BG27" s="13"/>
      <c r="BH27" s="7"/>
    </row>
    <row r="28" spans="1:60" ht="22.5" customHeight="1" x14ac:dyDescent="0.25">
      <c r="A28" s="12">
        <v>44676</v>
      </c>
      <c r="B28" s="7">
        <v>51316</v>
      </c>
      <c r="C28" s="7">
        <f t="shared" si="0"/>
        <v>4273</v>
      </c>
      <c r="D28" s="7">
        <v>29729499</v>
      </c>
      <c r="E28" s="7">
        <f t="shared" si="1"/>
        <v>9219</v>
      </c>
      <c r="F28" s="7">
        <v>8179456</v>
      </c>
      <c r="G28" s="9">
        <f t="shared" si="2"/>
        <v>3812</v>
      </c>
      <c r="H28" s="13"/>
      <c r="I28" s="7">
        <v>81464</v>
      </c>
      <c r="J28" s="14">
        <f t="shared" si="3"/>
        <v>125.319</v>
      </c>
      <c r="K28" s="7">
        <v>20831</v>
      </c>
      <c r="L28" s="14">
        <f t="shared" si="4"/>
        <v>6.774</v>
      </c>
      <c r="M28" s="13"/>
      <c r="N28" s="7">
        <v>54526</v>
      </c>
      <c r="O28" s="14">
        <f t="shared" si="5"/>
        <v>5748.6631016042775</v>
      </c>
      <c r="P28" s="7">
        <v>52302767</v>
      </c>
      <c r="Q28" s="14">
        <f t="shared" si="6"/>
        <v>7327</v>
      </c>
      <c r="R28" s="7">
        <v>233289</v>
      </c>
      <c r="S28" s="14">
        <f t="shared" si="7"/>
        <v>53</v>
      </c>
      <c r="T28" s="13"/>
      <c r="U28" s="7">
        <v>3827</v>
      </c>
      <c r="V28" s="7">
        <f t="shared" si="8"/>
        <v>386</v>
      </c>
      <c r="W28" s="7">
        <v>135</v>
      </c>
      <c r="X28" s="7">
        <f t="shared" si="9"/>
        <v>8</v>
      </c>
      <c r="Y28" s="7">
        <v>125</v>
      </c>
      <c r="Z28" s="7">
        <f t="shared" si="10"/>
        <v>12</v>
      </c>
      <c r="AA28" s="8">
        <v>803761</v>
      </c>
      <c r="AB28" s="8">
        <f t="shared" si="11"/>
        <v>2930000</v>
      </c>
      <c r="AC28" s="8">
        <v>361343</v>
      </c>
      <c r="AD28" s="8">
        <f t="shared" si="12"/>
        <v>1550000</v>
      </c>
      <c r="AE28" s="13"/>
      <c r="AF28" s="7">
        <v>67137</v>
      </c>
      <c r="AG28" s="7">
        <f t="shared" si="13"/>
        <v>0</v>
      </c>
      <c r="AH28" s="7">
        <v>221452</v>
      </c>
      <c r="AI28" s="14">
        <f t="shared" si="14"/>
        <v>149</v>
      </c>
      <c r="AJ28" s="7">
        <v>10914218</v>
      </c>
      <c r="AK28" s="14">
        <f t="shared" si="15"/>
        <v>5668</v>
      </c>
      <c r="AL28" s="7">
        <v>28724</v>
      </c>
      <c r="AM28" s="14">
        <f t="shared" si="16"/>
        <v>2</v>
      </c>
      <c r="AN28" s="7">
        <v>28913</v>
      </c>
      <c r="AO28" s="14">
        <f t="shared" si="17"/>
        <v>799</v>
      </c>
      <c r="AP28" s="13"/>
      <c r="AQ28" s="22">
        <v>581020</v>
      </c>
      <c r="AR28" s="22">
        <f t="shared" si="18"/>
        <v>1100000</v>
      </c>
      <c r="AS28" s="22">
        <v>234978</v>
      </c>
      <c r="AT28" s="22">
        <f t="shared" si="19"/>
        <v>0</v>
      </c>
      <c r="AU28" s="22">
        <v>71209</v>
      </c>
      <c r="AV28" s="22">
        <f t="shared" si="20"/>
        <v>630000</v>
      </c>
      <c r="AW28" s="22">
        <v>269336</v>
      </c>
      <c r="AX28" s="22">
        <f t="shared" si="21"/>
        <v>0</v>
      </c>
      <c r="AY28" s="22">
        <v>455272</v>
      </c>
      <c r="AZ28" s="22">
        <f t="shared" si="22"/>
        <v>500000</v>
      </c>
      <c r="BA28" s="22">
        <v>19319</v>
      </c>
      <c r="BB28" s="22">
        <f t="shared" si="23"/>
        <v>0</v>
      </c>
      <c r="BC28" s="22">
        <v>438464</v>
      </c>
      <c r="BD28" s="22">
        <f t="shared" si="24"/>
        <v>2040000</v>
      </c>
      <c r="BE28" s="22">
        <v>124015</v>
      </c>
      <c r="BF28" s="22">
        <f t="shared" si="25"/>
        <v>0</v>
      </c>
      <c r="BG28" s="13"/>
      <c r="BH28" s="7"/>
    </row>
    <row r="29" spans="1:60" ht="21" customHeight="1" x14ac:dyDescent="0.25">
      <c r="A29" s="12">
        <v>44677</v>
      </c>
      <c r="B29" s="7">
        <v>55886</v>
      </c>
      <c r="C29" s="7">
        <f t="shared" si="0"/>
        <v>4570</v>
      </c>
      <c r="D29" s="7">
        <v>29739854</v>
      </c>
      <c r="E29" s="7">
        <f t="shared" si="1"/>
        <v>10355</v>
      </c>
      <c r="F29" s="7">
        <v>8183409</v>
      </c>
      <c r="G29" s="9">
        <f t="shared" si="2"/>
        <v>3953</v>
      </c>
      <c r="H29" s="13"/>
      <c r="I29" s="7">
        <v>81562</v>
      </c>
      <c r="J29" s="14">
        <f t="shared" si="3"/>
        <v>110.642</v>
      </c>
      <c r="K29" s="7">
        <v>20838</v>
      </c>
      <c r="L29" s="14">
        <f t="shared" si="4"/>
        <v>7.9030000000000005</v>
      </c>
      <c r="M29" s="13"/>
      <c r="N29" s="7">
        <v>54571</v>
      </c>
      <c r="O29" s="14">
        <f t="shared" si="5"/>
        <v>6016.0427807486631</v>
      </c>
      <c r="P29" s="14">
        <v>52309629</v>
      </c>
      <c r="Q29" s="14">
        <f t="shared" si="6"/>
        <v>6862</v>
      </c>
      <c r="R29" s="7">
        <v>233351</v>
      </c>
      <c r="S29" s="14">
        <f t="shared" si="7"/>
        <v>62</v>
      </c>
      <c r="T29" s="13"/>
      <c r="U29" s="7">
        <v>4252</v>
      </c>
      <c r="V29" s="7">
        <f t="shared" si="8"/>
        <v>425</v>
      </c>
      <c r="W29" s="7">
        <v>161</v>
      </c>
      <c r="X29" s="7">
        <f t="shared" si="9"/>
        <v>26</v>
      </c>
      <c r="Y29" s="7">
        <v>139</v>
      </c>
      <c r="Z29" s="7">
        <f t="shared" si="10"/>
        <v>14</v>
      </c>
      <c r="AA29" s="8">
        <v>804100</v>
      </c>
      <c r="AB29" s="8">
        <f t="shared" si="11"/>
        <v>3390000</v>
      </c>
      <c r="AC29" s="8">
        <v>361555</v>
      </c>
      <c r="AD29" s="8">
        <f t="shared" si="12"/>
        <v>2120000</v>
      </c>
      <c r="AE29" s="13"/>
      <c r="AF29" s="7">
        <v>67137</v>
      </c>
      <c r="AG29" s="7">
        <f t="shared" si="13"/>
        <v>0</v>
      </c>
      <c r="AH29" s="14">
        <v>221605</v>
      </c>
      <c r="AI29" s="14">
        <f t="shared" si="14"/>
        <v>153</v>
      </c>
      <c r="AJ29" s="14">
        <v>10919160</v>
      </c>
      <c r="AK29" s="14">
        <f t="shared" si="15"/>
        <v>4942</v>
      </c>
      <c r="AL29" s="14">
        <v>28725</v>
      </c>
      <c r="AM29" s="14">
        <f t="shared" si="16"/>
        <v>1</v>
      </c>
      <c r="AN29" s="7">
        <v>29683</v>
      </c>
      <c r="AO29" s="14">
        <f t="shared" si="17"/>
        <v>770</v>
      </c>
      <c r="AP29" s="13"/>
      <c r="AQ29" s="22">
        <v>581023</v>
      </c>
      <c r="AR29" s="22">
        <f t="shared" si="18"/>
        <v>30000</v>
      </c>
      <c r="AS29" s="22">
        <v>234918</v>
      </c>
      <c r="AT29" s="22">
        <f t="shared" si="19"/>
        <v>-600000</v>
      </c>
      <c r="AU29" s="22">
        <v>71212</v>
      </c>
      <c r="AV29" s="22">
        <f t="shared" si="20"/>
        <v>30000</v>
      </c>
      <c r="AW29" s="22">
        <v>269336</v>
      </c>
      <c r="AX29" s="22">
        <f t="shared" si="21"/>
        <v>0</v>
      </c>
      <c r="AY29" s="22">
        <v>455279</v>
      </c>
      <c r="AZ29" s="22">
        <f t="shared" si="22"/>
        <v>70000</v>
      </c>
      <c r="BA29" s="22">
        <v>19319</v>
      </c>
      <c r="BB29" s="22">
        <f t="shared" si="23"/>
        <v>0</v>
      </c>
      <c r="BC29" s="22">
        <v>438707</v>
      </c>
      <c r="BD29" s="22">
        <f t="shared" si="24"/>
        <v>2430000</v>
      </c>
      <c r="BE29" s="22">
        <v>124015</v>
      </c>
      <c r="BF29" s="22">
        <f t="shared" si="25"/>
        <v>0</v>
      </c>
      <c r="BG29" s="13"/>
      <c r="BH29" s="7"/>
    </row>
    <row r="30" spans="1:60" ht="22.5" customHeight="1" x14ac:dyDescent="0.25">
      <c r="A30" s="12">
        <v>44678</v>
      </c>
      <c r="B30" s="7">
        <v>59955</v>
      </c>
      <c r="C30" s="7">
        <f t="shared" si="0"/>
        <v>4069</v>
      </c>
      <c r="D30" s="7">
        <v>29749426</v>
      </c>
      <c r="E30" s="7">
        <f t="shared" si="1"/>
        <v>9572</v>
      </c>
      <c r="F30" s="7">
        <v>8187153</v>
      </c>
      <c r="G30" s="9">
        <f t="shared" si="2"/>
        <v>3744</v>
      </c>
      <c r="H30" s="13"/>
      <c r="I30" s="7">
        <v>81656</v>
      </c>
      <c r="J30" s="14">
        <f t="shared" si="3"/>
        <v>106.126</v>
      </c>
      <c r="K30" s="7">
        <v>20845</v>
      </c>
      <c r="L30" s="14">
        <f t="shared" si="4"/>
        <v>7.9030000000000005</v>
      </c>
      <c r="M30" s="13"/>
      <c r="N30" s="7">
        <v>54613</v>
      </c>
      <c r="O30" s="14">
        <f t="shared" si="5"/>
        <v>5614.9732620320856</v>
      </c>
      <c r="P30" s="14">
        <v>52317030</v>
      </c>
      <c r="Q30" s="14">
        <f t="shared" si="6"/>
        <v>7401</v>
      </c>
      <c r="R30" s="7">
        <v>233413</v>
      </c>
      <c r="S30" s="14">
        <f t="shared" si="7"/>
        <v>62</v>
      </c>
      <c r="T30" s="13"/>
      <c r="U30" s="7">
        <v>4646</v>
      </c>
      <c r="V30" s="7">
        <f t="shared" si="8"/>
        <v>394</v>
      </c>
      <c r="W30" s="7">
        <v>177</v>
      </c>
      <c r="X30" s="7">
        <f t="shared" si="9"/>
        <v>16</v>
      </c>
      <c r="Y30" s="7">
        <v>153</v>
      </c>
      <c r="Z30" s="7">
        <f t="shared" si="10"/>
        <v>14</v>
      </c>
      <c r="AA30" s="8">
        <v>804411</v>
      </c>
      <c r="AB30" s="8">
        <f t="shared" si="11"/>
        <v>3110000</v>
      </c>
      <c r="AC30" s="8">
        <v>361735</v>
      </c>
      <c r="AD30" s="8">
        <f t="shared" si="12"/>
        <v>1800000</v>
      </c>
      <c r="AE30" s="13"/>
      <c r="AF30" s="7">
        <v>67137</v>
      </c>
      <c r="AG30" s="7">
        <f t="shared" si="13"/>
        <v>0</v>
      </c>
      <c r="AH30" s="14">
        <v>221763</v>
      </c>
      <c r="AI30" s="14">
        <f t="shared" si="14"/>
        <v>158</v>
      </c>
      <c r="AJ30" s="14">
        <v>10924157</v>
      </c>
      <c r="AK30" s="14">
        <f t="shared" si="15"/>
        <v>4997</v>
      </c>
      <c r="AL30" s="14">
        <v>28727</v>
      </c>
      <c r="AM30" s="14">
        <f t="shared" si="16"/>
        <v>2</v>
      </c>
      <c r="AN30" s="7">
        <v>30437</v>
      </c>
      <c r="AO30" s="14">
        <f t="shared" si="17"/>
        <v>754</v>
      </c>
      <c r="AP30" s="13"/>
      <c r="AQ30" s="22">
        <v>581044</v>
      </c>
      <c r="AR30" s="22">
        <f t="shared" si="18"/>
        <v>210000</v>
      </c>
      <c r="AS30" s="22">
        <v>234978</v>
      </c>
      <c r="AT30" s="22">
        <f t="shared" si="19"/>
        <v>600000</v>
      </c>
      <c r="AU30" s="22">
        <v>71229</v>
      </c>
      <c r="AV30" s="22">
        <f t="shared" si="20"/>
        <v>170000</v>
      </c>
      <c r="AW30" s="22">
        <v>269336</v>
      </c>
      <c r="AX30" s="22">
        <f t="shared" si="21"/>
        <v>0</v>
      </c>
      <c r="AY30" s="22">
        <v>455315</v>
      </c>
      <c r="AZ30" s="22">
        <f t="shared" si="22"/>
        <v>360000</v>
      </c>
      <c r="BA30" s="22">
        <v>19319</v>
      </c>
      <c r="BB30" s="22">
        <f t="shared" si="23"/>
        <v>0</v>
      </c>
      <c r="BC30" s="22">
        <v>438886</v>
      </c>
      <c r="BD30" s="22">
        <f t="shared" si="24"/>
        <v>1790000</v>
      </c>
      <c r="BE30" s="22">
        <v>124015</v>
      </c>
      <c r="BF30" s="22">
        <f t="shared" si="25"/>
        <v>0</v>
      </c>
      <c r="BG30" s="13"/>
      <c r="BH30" s="7"/>
    </row>
    <row r="31" spans="1:60" ht="23.25" customHeight="1" x14ac:dyDescent="0.25">
      <c r="A31" s="12">
        <v>44679</v>
      </c>
      <c r="B31" s="7">
        <v>64338</v>
      </c>
      <c r="C31" s="7">
        <f t="shared" si="0"/>
        <v>4383</v>
      </c>
      <c r="D31" s="7">
        <v>29758801</v>
      </c>
      <c r="E31" s="7">
        <f t="shared" si="1"/>
        <v>9375</v>
      </c>
      <c r="F31" s="7">
        <v>8190689</v>
      </c>
      <c r="G31" s="9">
        <f t="shared" si="2"/>
        <v>3536</v>
      </c>
      <c r="H31" s="13"/>
      <c r="I31" s="7">
        <v>81775</v>
      </c>
      <c r="J31" s="14">
        <f t="shared" si="3"/>
        <v>134.351</v>
      </c>
      <c r="K31" s="7">
        <v>20851</v>
      </c>
      <c r="L31" s="14">
        <f t="shared" si="4"/>
        <v>6.774</v>
      </c>
      <c r="M31" s="13"/>
      <c r="N31" s="7">
        <v>54656</v>
      </c>
      <c r="O31" s="14">
        <f t="shared" si="5"/>
        <v>5748.6631016042775</v>
      </c>
      <c r="P31" s="14">
        <v>52322264</v>
      </c>
      <c r="Q31" s="14">
        <f t="shared" si="6"/>
        <v>5234</v>
      </c>
      <c r="R31" s="7">
        <v>233481</v>
      </c>
      <c r="S31" s="14">
        <f t="shared" si="7"/>
        <v>68</v>
      </c>
      <c r="T31" s="13"/>
      <c r="U31" s="7">
        <v>5043</v>
      </c>
      <c r="V31" s="7">
        <f t="shared" si="8"/>
        <v>397</v>
      </c>
      <c r="W31" s="7">
        <v>193</v>
      </c>
      <c r="X31" s="7">
        <f t="shared" si="9"/>
        <v>16</v>
      </c>
      <c r="Y31" s="7">
        <v>168</v>
      </c>
      <c r="Z31" s="7">
        <f t="shared" si="10"/>
        <v>15</v>
      </c>
      <c r="AA31" s="8">
        <v>804710</v>
      </c>
      <c r="AB31" s="8">
        <f t="shared" si="11"/>
        <v>2990000</v>
      </c>
      <c r="AC31" s="8">
        <v>361988</v>
      </c>
      <c r="AD31" s="8">
        <f t="shared" si="12"/>
        <v>2530000</v>
      </c>
      <c r="AE31" s="13"/>
      <c r="AF31" s="7">
        <v>67137</v>
      </c>
      <c r="AG31" s="7">
        <f t="shared" si="13"/>
        <v>0</v>
      </c>
      <c r="AH31" s="14">
        <v>221907</v>
      </c>
      <c r="AI31" s="14">
        <f t="shared" si="14"/>
        <v>144</v>
      </c>
      <c r="AJ31" s="14">
        <v>10929273</v>
      </c>
      <c r="AK31" s="14">
        <f t="shared" si="15"/>
        <v>5116</v>
      </c>
      <c r="AL31" s="14">
        <v>28729</v>
      </c>
      <c r="AM31" s="14">
        <f t="shared" si="16"/>
        <v>2</v>
      </c>
      <c r="AN31" s="7">
        <v>31206</v>
      </c>
      <c r="AO31" s="14">
        <f t="shared" si="17"/>
        <v>769</v>
      </c>
      <c r="AP31" s="13"/>
      <c r="AQ31" s="22">
        <v>581092</v>
      </c>
      <c r="AR31" s="22">
        <f t="shared" si="18"/>
        <v>480000</v>
      </c>
      <c r="AS31" s="22">
        <v>234978</v>
      </c>
      <c r="AT31" s="22">
        <f t="shared" si="19"/>
        <v>0</v>
      </c>
      <c r="AU31" s="22">
        <v>71229</v>
      </c>
      <c r="AV31" s="22">
        <f t="shared" si="20"/>
        <v>0</v>
      </c>
      <c r="AW31" s="22">
        <v>269336</v>
      </c>
      <c r="AX31" s="22">
        <f t="shared" si="21"/>
        <v>0</v>
      </c>
      <c r="AY31" s="22">
        <v>455322</v>
      </c>
      <c r="AZ31" s="22">
        <f t="shared" si="22"/>
        <v>70000</v>
      </c>
      <c r="BA31" s="22">
        <v>19319</v>
      </c>
      <c r="BB31" s="22">
        <f t="shared" si="23"/>
        <v>0</v>
      </c>
      <c r="BC31" s="22">
        <v>438886</v>
      </c>
      <c r="BD31" s="22">
        <f t="shared" si="24"/>
        <v>0</v>
      </c>
      <c r="BE31" s="22">
        <v>124015</v>
      </c>
      <c r="BF31" s="22">
        <f t="shared" si="25"/>
        <v>0</v>
      </c>
      <c r="BG31" s="13"/>
      <c r="BH31" s="7"/>
    </row>
    <row r="32" spans="1:60" ht="23.25" customHeight="1" x14ac:dyDescent="0.25">
      <c r="A32" s="12">
        <v>44680</v>
      </c>
      <c r="B32" s="7">
        <v>68387</v>
      </c>
      <c r="C32" s="7">
        <f t="shared" si="0"/>
        <v>4049</v>
      </c>
      <c r="D32" s="7">
        <v>29767049</v>
      </c>
      <c r="E32" s="7">
        <f t="shared" si="1"/>
        <v>8248</v>
      </c>
      <c r="F32" s="7">
        <v>8193850</v>
      </c>
      <c r="G32" s="9">
        <f t="shared" si="2"/>
        <v>3161</v>
      </c>
      <c r="H32" s="13"/>
      <c r="I32" s="7">
        <v>81850</v>
      </c>
      <c r="J32" s="14">
        <f t="shared" si="3"/>
        <v>84.674999999999997</v>
      </c>
      <c r="K32" s="7">
        <v>20857</v>
      </c>
      <c r="L32" s="14">
        <f t="shared" si="4"/>
        <v>6.774</v>
      </c>
      <c r="M32" s="13"/>
      <c r="N32" s="7">
        <v>54746</v>
      </c>
      <c r="O32" s="14">
        <f t="shared" si="5"/>
        <v>12032.085561497326</v>
      </c>
      <c r="P32" s="7">
        <v>52326643</v>
      </c>
      <c r="Q32" s="14">
        <f t="shared" si="6"/>
        <v>4379</v>
      </c>
      <c r="R32" s="7">
        <v>233547</v>
      </c>
      <c r="S32" s="14">
        <f t="shared" si="7"/>
        <v>66</v>
      </c>
      <c r="T32" s="13"/>
      <c r="U32" s="7">
        <v>5407</v>
      </c>
      <c r="V32" s="7">
        <f t="shared" si="8"/>
        <v>364</v>
      </c>
      <c r="W32" s="7">
        <v>208</v>
      </c>
      <c r="X32" s="7">
        <f t="shared" si="9"/>
        <v>15</v>
      </c>
      <c r="Y32" s="7">
        <v>184</v>
      </c>
      <c r="Z32" s="7">
        <f t="shared" si="10"/>
        <v>16</v>
      </c>
      <c r="AA32" s="8">
        <v>804972</v>
      </c>
      <c r="AB32" s="8">
        <f t="shared" si="11"/>
        <v>2620000</v>
      </c>
      <c r="AC32" s="8">
        <v>362228</v>
      </c>
      <c r="AD32" s="8">
        <f t="shared" si="12"/>
        <v>2400000</v>
      </c>
      <c r="AE32" s="13"/>
      <c r="AF32" s="7">
        <v>67137</v>
      </c>
      <c r="AG32" s="7">
        <f t="shared" si="13"/>
        <v>0</v>
      </c>
      <c r="AH32" s="7">
        <v>222063</v>
      </c>
      <c r="AI32" s="14">
        <f t="shared" si="14"/>
        <v>156</v>
      </c>
      <c r="AJ32" s="7">
        <v>10935204</v>
      </c>
      <c r="AK32" s="14">
        <f t="shared" si="15"/>
        <v>5931</v>
      </c>
      <c r="AL32" s="7">
        <v>28731</v>
      </c>
      <c r="AM32" s="14">
        <f t="shared" si="16"/>
        <v>2</v>
      </c>
      <c r="AN32" s="7">
        <v>31959</v>
      </c>
      <c r="AO32" s="14">
        <f t="shared" si="17"/>
        <v>753</v>
      </c>
      <c r="AP32" s="13"/>
      <c r="AQ32" s="22">
        <v>581128</v>
      </c>
      <c r="AR32" s="22">
        <f t="shared" si="18"/>
        <v>360000</v>
      </c>
      <c r="AS32" s="22">
        <v>234978</v>
      </c>
      <c r="AT32" s="22">
        <f t="shared" si="19"/>
        <v>0</v>
      </c>
      <c r="AU32" s="22">
        <v>71229</v>
      </c>
      <c r="AV32" s="22">
        <f t="shared" si="20"/>
        <v>0</v>
      </c>
      <c r="AW32" s="22">
        <v>269336</v>
      </c>
      <c r="AX32" s="22">
        <f t="shared" si="21"/>
        <v>0</v>
      </c>
      <c r="AY32" s="22">
        <v>455323</v>
      </c>
      <c r="AZ32" s="22">
        <f t="shared" si="22"/>
        <v>10000</v>
      </c>
      <c r="BA32" s="22">
        <v>19319</v>
      </c>
      <c r="BB32" s="22">
        <f t="shared" si="23"/>
        <v>0</v>
      </c>
      <c r="BC32" s="22">
        <v>439002</v>
      </c>
      <c r="BD32" s="22">
        <f t="shared" si="24"/>
        <v>1160000</v>
      </c>
      <c r="BE32" s="22">
        <v>124015</v>
      </c>
      <c r="BF32" s="22">
        <f t="shared" si="25"/>
        <v>0</v>
      </c>
      <c r="BG32" s="13"/>
      <c r="BH32" s="7"/>
    </row>
    <row r="33" spans="1:60" ht="21.75" customHeight="1" x14ac:dyDescent="0.25">
      <c r="A33" s="12">
        <v>44681</v>
      </c>
      <c r="B33" s="19">
        <v>72694</v>
      </c>
      <c r="C33" s="7">
        <f t="shared" si="0"/>
        <v>4307</v>
      </c>
      <c r="D33" s="7">
        <v>29776202</v>
      </c>
      <c r="E33" s="7">
        <f t="shared" si="1"/>
        <v>9153</v>
      </c>
      <c r="F33" s="19">
        <v>8197381</v>
      </c>
      <c r="G33" s="9">
        <f t="shared" si="2"/>
        <v>3531</v>
      </c>
      <c r="H33" s="13"/>
      <c r="I33" s="7">
        <v>81968</v>
      </c>
      <c r="J33" s="14">
        <f t="shared" si="3"/>
        <v>133.22200000000001</v>
      </c>
      <c r="K33" s="7">
        <v>20862</v>
      </c>
      <c r="L33" s="14">
        <f t="shared" si="4"/>
        <v>5.6449999999999996</v>
      </c>
      <c r="M33" s="13"/>
      <c r="N33" s="7">
        <v>54747</v>
      </c>
      <c r="O33" s="14">
        <f t="shared" si="5"/>
        <v>133.68983957219251</v>
      </c>
      <c r="P33" s="7">
        <v>52332082</v>
      </c>
      <c r="Q33" s="14">
        <f t="shared" si="6"/>
        <v>5439</v>
      </c>
      <c r="R33" s="7">
        <v>233610</v>
      </c>
      <c r="S33" s="14">
        <f t="shared" si="7"/>
        <v>63</v>
      </c>
      <c r="T33" s="13"/>
      <c r="U33" s="7">
        <v>5800</v>
      </c>
      <c r="V33" s="7">
        <f t="shared" si="8"/>
        <v>393</v>
      </c>
      <c r="W33" s="7">
        <v>219</v>
      </c>
      <c r="X33" s="7">
        <f t="shared" si="9"/>
        <v>11</v>
      </c>
      <c r="Y33" s="7">
        <v>199</v>
      </c>
      <c r="Z33" s="7">
        <f t="shared" si="10"/>
        <v>15</v>
      </c>
      <c r="AA33" s="8">
        <v>805256</v>
      </c>
      <c r="AB33" s="8">
        <f t="shared" si="11"/>
        <v>2840000</v>
      </c>
      <c r="AC33" s="8">
        <v>362455</v>
      </c>
      <c r="AD33" s="8">
        <f t="shared" si="12"/>
        <v>2270000</v>
      </c>
      <c r="AE33" s="13"/>
      <c r="AF33" s="7">
        <v>67137</v>
      </c>
      <c r="AG33" s="7">
        <f t="shared" si="13"/>
        <v>0</v>
      </c>
      <c r="AH33" s="7">
        <v>222233</v>
      </c>
      <c r="AI33" s="14">
        <f t="shared" si="14"/>
        <v>170</v>
      </c>
      <c r="AJ33" s="7">
        <v>10942898</v>
      </c>
      <c r="AK33" s="14">
        <f t="shared" si="15"/>
        <v>7694</v>
      </c>
      <c r="AL33" s="7">
        <v>28735</v>
      </c>
      <c r="AM33" s="14">
        <f t="shared" si="16"/>
        <v>4</v>
      </c>
      <c r="AN33" s="7">
        <v>32719</v>
      </c>
      <c r="AO33" s="14">
        <f t="shared" si="17"/>
        <v>760</v>
      </c>
      <c r="AP33" s="13"/>
      <c r="AQ33" s="22">
        <v>581181</v>
      </c>
      <c r="AR33" s="22">
        <f t="shared" si="18"/>
        <v>530000</v>
      </c>
      <c r="AS33" s="22">
        <v>234978</v>
      </c>
      <c r="AT33" s="22">
        <f t="shared" si="19"/>
        <v>0</v>
      </c>
      <c r="AU33" s="22">
        <v>71229</v>
      </c>
      <c r="AV33" s="22">
        <f t="shared" si="20"/>
        <v>0</v>
      </c>
      <c r="AW33" s="22">
        <v>269336</v>
      </c>
      <c r="AX33" s="22">
        <f t="shared" si="21"/>
        <v>0</v>
      </c>
      <c r="AY33" s="22">
        <v>455371</v>
      </c>
      <c r="AZ33" s="22">
        <f t="shared" si="22"/>
        <v>480000</v>
      </c>
      <c r="BA33" s="22">
        <v>19319</v>
      </c>
      <c r="BB33" s="22">
        <f t="shared" si="23"/>
        <v>0</v>
      </c>
      <c r="BC33" s="22">
        <v>439169</v>
      </c>
      <c r="BD33" s="22">
        <f t="shared" si="24"/>
        <v>1670000</v>
      </c>
      <c r="BE33" s="22">
        <v>124015</v>
      </c>
      <c r="BF33" s="22">
        <f t="shared" si="25"/>
        <v>0</v>
      </c>
      <c r="BG33" s="13"/>
      <c r="BH33" s="7"/>
    </row>
    <row r="34" spans="1:60" ht="21" customHeight="1" x14ac:dyDescent="0.25">
      <c r="A34" s="27"/>
      <c r="B34" s="28"/>
      <c r="C34" s="28">
        <v>0</v>
      </c>
      <c r="D34" s="28"/>
      <c r="E34" s="28">
        <v>0</v>
      </c>
      <c r="F34" s="28"/>
      <c r="G34" s="29">
        <v>0</v>
      </c>
      <c r="H34" s="13"/>
      <c r="I34" s="28"/>
      <c r="J34" s="34">
        <v>0</v>
      </c>
      <c r="K34" s="28"/>
      <c r="L34" s="34">
        <v>0</v>
      </c>
      <c r="M34" s="13"/>
      <c r="N34" s="7"/>
      <c r="O34" s="14">
        <v>0</v>
      </c>
      <c r="P34" s="7"/>
      <c r="Q34" s="14">
        <v>0</v>
      </c>
      <c r="R34" s="7"/>
      <c r="S34" s="14">
        <v>0</v>
      </c>
      <c r="T34" s="13"/>
      <c r="U34" s="7"/>
      <c r="V34" s="7">
        <v>0</v>
      </c>
      <c r="W34" s="7"/>
      <c r="X34" s="7">
        <v>0</v>
      </c>
      <c r="Y34" s="7"/>
      <c r="Z34" s="7">
        <v>0</v>
      </c>
      <c r="AA34" s="8"/>
      <c r="AB34" s="8">
        <v>0</v>
      </c>
      <c r="AC34" s="8"/>
      <c r="AD34" s="8">
        <v>0</v>
      </c>
      <c r="AE34" s="13"/>
      <c r="AF34" s="7"/>
      <c r="AG34" s="7">
        <v>0</v>
      </c>
      <c r="AH34" s="7"/>
      <c r="AI34" s="14">
        <v>0</v>
      </c>
      <c r="AJ34" s="7"/>
      <c r="AK34" s="14">
        <v>0</v>
      </c>
      <c r="AL34" s="7"/>
      <c r="AM34" s="14">
        <v>0</v>
      </c>
      <c r="AN34" s="7"/>
      <c r="AO34" s="14">
        <v>0</v>
      </c>
      <c r="AP34" s="13"/>
      <c r="AQ34" s="22"/>
      <c r="AR34" s="22">
        <v>0</v>
      </c>
      <c r="AS34" s="22"/>
      <c r="AT34" s="22">
        <v>0</v>
      </c>
      <c r="AU34" s="22"/>
      <c r="AV34" s="22">
        <v>0</v>
      </c>
      <c r="AW34" s="22"/>
      <c r="AX34" s="22">
        <v>0</v>
      </c>
      <c r="AY34" s="22"/>
      <c r="AZ34" s="22">
        <v>0</v>
      </c>
      <c r="BA34" s="22"/>
      <c r="BB34" s="22">
        <v>0</v>
      </c>
      <c r="BC34" s="22"/>
      <c r="BD34" s="22">
        <v>0</v>
      </c>
      <c r="BE34" s="22"/>
      <c r="BF34" s="22">
        <v>0</v>
      </c>
      <c r="BG34" s="13"/>
      <c r="BH34" s="7"/>
    </row>
    <row r="35" spans="1:60" ht="19.5" customHeight="1" x14ac:dyDescent="0.25">
      <c r="A35" s="54"/>
      <c r="B35" s="55"/>
      <c r="C35" s="55"/>
      <c r="D35" s="55"/>
      <c r="E35" s="55"/>
      <c r="F35" s="55"/>
      <c r="G35" s="56"/>
      <c r="H35" s="33"/>
      <c r="I35" s="57"/>
      <c r="J35" s="58"/>
      <c r="K35" s="58"/>
      <c r="L35" s="59"/>
      <c r="M35" s="26"/>
      <c r="N35" s="60"/>
      <c r="O35" s="61"/>
      <c r="P35" s="61"/>
      <c r="Q35" s="61"/>
      <c r="R35" s="61"/>
      <c r="S35" s="62"/>
      <c r="T35" s="21"/>
      <c r="U35" s="57"/>
      <c r="V35" s="58"/>
      <c r="W35" s="58"/>
      <c r="X35" s="58"/>
      <c r="Y35" s="58"/>
      <c r="Z35" s="58"/>
      <c r="AA35" s="58"/>
      <c r="AB35" s="58"/>
      <c r="AC35" s="58"/>
      <c r="AD35" s="59"/>
      <c r="AE35" s="21"/>
      <c r="AF35" s="57"/>
      <c r="AG35" s="58"/>
      <c r="AH35" s="58"/>
      <c r="AI35" s="58"/>
      <c r="AJ35" s="58"/>
      <c r="AK35" s="58"/>
      <c r="AL35" s="58"/>
      <c r="AM35" s="58"/>
      <c r="AN35" s="58"/>
      <c r="AO35" s="59"/>
      <c r="AP35" s="21"/>
      <c r="AQ35" s="51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3"/>
      <c r="BG35" s="21"/>
      <c r="BH35" s="20"/>
    </row>
    <row r="36" spans="1:60" ht="15.75" x14ac:dyDescent="0.25">
      <c r="A36" s="30" t="s">
        <v>13</v>
      </c>
      <c r="B36" s="31"/>
      <c r="C36" s="32">
        <f>SUM(C4:C34)+1000000</f>
        <v>130550</v>
      </c>
      <c r="D36" s="31"/>
      <c r="E36" s="32">
        <f t="shared" ref="E36:G36" si="26">SUM(E4:E34)</f>
        <v>278622</v>
      </c>
      <c r="F36" s="31"/>
      <c r="G36" s="32">
        <f t="shared" si="26"/>
        <v>108848</v>
      </c>
      <c r="H36" s="41"/>
      <c r="I36" s="31"/>
      <c r="J36" s="16">
        <f>SUM(J4:J34)</f>
        <v>3482.4839999999995</v>
      </c>
      <c r="K36" s="31"/>
      <c r="L36" s="32">
        <f>SUM(L4:L34)</f>
        <v>212.60700000000003</v>
      </c>
      <c r="M36" s="42"/>
      <c r="N36" s="31"/>
      <c r="O36" s="48">
        <f>SUM(O4:O34)</f>
        <v>179679.14438502665</v>
      </c>
      <c r="P36" s="31"/>
      <c r="Q36" s="43">
        <f t="shared" ref="Q36" si="27">SUM(Q4:Q35)</f>
        <v>172277</v>
      </c>
      <c r="R36" s="31"/>
      <c r="S36" s="44">
        <f>SUM(S4:S35)</f>
        <v>2020</v>
      </c>
      <c r="T36" s="41"/>
      <c r="U36" s="49"/>
      <c r="V36" s="31">
        <f>SUM(V4:V34)+71000</f>
        <v>11928</v>
      </c>
      <c r="W36" s="32"/>
      <c r="X36" s="31">
        <f>SUM(X4:X34)+2000</f>
        <v>574</v>
      </c>
      <c r="Y36" s="32"/>
      <c r="Z36" s="31">
        <f>SUM(Z4:Z34)+1600</f>
        <v>421</v>
      </c>
      <c r="AA36" s="32"/>
      <c r="AB36" s="31">
        <f>SUM(AB4:AB34)</f>
        <v>8035930000</v>
      </c>
      <c r="AC36" s="32"/>
      <c r="AD36" s="31">
        <f>SUM(AD4:AD34)</f>
        <v>3610670000</v>
      </c>
      <c r="AE36" s="41"/>
      <c r="AF36" s="31"/>
      <c r="AG36" s="32">
        <f t="shared" ref="AG36" si="28">AG34-AG4</f>
        <v>0</v>
      </c>
      <c r="AH36" s="31"/>
      <c r="AI36" s="16">
        <f>SUM(AI4:AI34)</f>
        <v>4657</v>
      </c>
      <c r="AJ36" s="31"/>
      <c r="AK36" s="16">
        <f>SUM(AK4:AK34)</f>
        <v>178679</v>
      </c>
      <c r="AL36" s="31"/>
      <c r="AM36" s="16">
        <f>SUM(AM4:AM34)</f>
        <v>87</v>
      </c>
      <c r="AN36" s="31"/>
      <c r="AO36" s="16">
        <f>SUM(AO4:AO34)</f>
        <v>22219</v>
      </c>
      <c r="AP36" s="41"/>
      <c r="AQ36" s="45"/>
      <c r="AR36" s="30">
        <f>SUM(AR4:AR34)</f>
        <v>5811810000</v>
      </c>
      <c r="AS36" s="45"/>
      <c r="AT36" s="30">
        <f t="shared" ref="AT36:BB36" si="29">SUM(AT4:AT34)</f>
        <v>2349780000</v>
      </c>
      <c r="AU36" s="45"/>
      <c r="AV36" s="30">
        <f t="shared" si="29"/>
        <v>712290000</v>
      </c>
      <c r="AW36" s="45"/>
      <c r="AX36" s="30">
        <f t="shared" si="29"/>
        <v>2693360000</v>
      </c>
      <c r="AY36" s="45"/>
      <c r="AZ36" s="30">
        <f t="shared" si="29"/>
        <v>4553710000</v>
      </c>
      <c r="BA36" s="45"/>
      <c r="BB36" s="30">
        <f t="shared" si="29"/>
        <v>193190000</v>
      </c>
      <c r="BC36" s="45"/>
      <c r="BD36" s="30">
        <f>SUM(BD4:BD34)</f>
        <v>4391690000</v>
      </c>
      <c r="BE36" s="45"/>
      <c r="BF36" s="30">
        <f>SUM(BF4:BF34)</f>
        <v>1240150000</v>
      </c>
      <c r="BG36" s="21"/>
      <c r="BH36" s="7"/>
    </row>
    <row r="37" spans="1:60" x14ac:dyDescent="0.25">
      <c r="A37" s="22" t="s">
        <v>33</v>
      </c>
      <c r="B37" s="37"/>
      <c r="C37" s="35">
        <v>130914</v>
      </c>
      <c r="D37" s="37"/>
      <c r="E37" s="35">
        <v>281562</v>
      </c>
      <c r="F37" s="37"/>
      <c r="G37" s="35">
        <v>112047</v>
      </c>
      <c r="H37" s="36"/>
      <c r="I37" s="37"/>
      <c r="J37" s="35">
        <v>3259</v>
      </c>
      <c r="K37" s="37"/>
      <c r="L37" s="35">
        <v>201</v>
      </c>
      <c r="M37" s="36"/>
      <c r="N37" s="37"/>
      <c r="O37" s="35">
        <v>219860</v>
      </c>
      <c r="P37" s="37"/>
      <c r="Q37" s="35">
        <v>158298</v>
      </c>
      <c r="R37" s="37"/>
      <c r="S37" s="35">
        <v>2819</v>
      </c>
      <c r="T37" s="36"/>
      <c r="U37" s="47"/>
      <c r="V37" s="37">
        <v>12936</v>
      </c>
      <c r="W37" s="47"/>
      <c r="X37" s="37">
        <v>445</v>
      </c>
      <c r="Y37" s="47"/>
      <c r="Z37" s="37">
        <v>333</v>
      </c>
      <c r="AA37" s="36"/>
      <c r="AB37" s="36"/>
      <c r="AC37" s="36">
        <v>0</v>
      </c>
      <c r="AD37" s="36"/>
      <c r="AE37" s="36">
        <v>12241</v>
      </c>
      <c r="AF37" s="37"/>
      <c r="AG37" s="47">
        <v>0</v>
      </c>
      <c r="AH37" s="37"/>
      <c r="AI37" s="47">
        <v>4509</v>
      </c>
      <c r="AJ37" s="37"/>
      <c r="AK37" s="47">
        <v>176641</v>
      </c>
      <c r="AL37" s="37"/>
      <c r="AM37" s="47">
        <v>90</v>
      </c>
      <c r="AN37" s="37"/>
      <c r="AO37" s="47">
        <v>18770</v>
      </c>
      <c r="AP37" s="46"/>
    </row>
    <row r="38" spans="1:60" ht="15.75" x14ac:dyDescent="0.25">
      <c r="A38" s="22" t="s">
        <v>31</v>
      </c>
      <c r="B38" s="23"/>
      <c r="C38" s="7">
        <f>C36-C37</f>
        <v>-364</v>
      </c>
      <c r="D38" s="23"/>
      <c r="E38" s="7">
        <f>E36-E37</f>
        <v>-2940</v>
      </c>
      <c r="F38" s="23"/>
      <c r="G38" s="7">
        <f>G36-G37</f>
        <v>-3199</v>
      </c>
      <c r="H38" s="13"/>
      <c r="I38" s="23"/>
      <c r="J38" s="14">
        <f>J36-J37</f>
        <v>223.48399999999947</v>
      </c>
      <c r="K38" s="23"/>
      <c r="L38" s="7">
        <f>L36-L37</f>
        <v>11.607000000000028</v>
      </c>
      <c r="M38" s="13"/>
      <c r="N38" s="23"/>
      <c r="O38" s="7">
        <f>O36-O37</f>
        <v>-40180.855614973349</v>
      </c>
      <c r="P38" s="23"/>
      <c r="Q38" s="7">
        <f>Q36-Q37</f>
        <v>13979</v>
      </c>
      <c r="R38" s="23"/>
      <c r="S38" s="14">
        <f>S36-S37</f>
        <v>-799</v>
      </c>
      <c r="T38" s="13"/>
      <c r="U38" s="8"/>
      <c r="V38" s="23">
        <f>V36-V37</f>
        <v>-1008</v>
      </c>
      <c r="W38" s="7"/>
      <c r="X38" s="23">
        <f>X36-X37</f>
        <v>129</v>
      </c>
      <c r="Y38" s="7"/>
      <c r="Z38" s="23">
        <f>Z36-Z37</f>
        <v>88</v>
      </c>
      <c r="AA38" s="13"/>
      <c r="AB38" s="13"/>
      <c r="AC38" s="13">
        <f t="shared" ref="AC38" si="30">AC36-AC37</f>
        <v>0</v>
      </c>
      <c r="AD38" s="13"/>
      <c r="AE38" s="13">
        <f t="shared" ref="AE38" si="31">AE36-AE37</f>
        <v>-12241</v>
      </c>
      <c r="AF38" s="23"/>
      <c r="AG38" s="7">
        <f>AG36-AG37</f>
        <v>0</v>
      </c>
      <c r="AH38" s="23"/>
      <c r="AI38" s="7">
        <f t="shared" ref="AI38:AO38" si="32">AI36-AI37</f>
        <v>148</v>
      </c>
      <c r="AJ38" s="23"/>
      <c r="AK38" s="7">
        <f t="shared" si="32"/>
        <v>2038</v>
      </c>
      <c r="AL38" s="23"/>
      <c r="AM38" s="7">
        <f t="shared" si="32"/>
        <v>-3</v>
      </c>
      <c r="AN38" s="23"/>
      <c r="AO38" s="7">
        <f t="shared" si="32"/>
        <v>3449</v>
      </c>
      <c r="AP38" s="13"/>
    </row>
    <row r="39" spans="1:60" x14ac:dyDescent="0.25">
      <c r="A39" s="22" t="s">
        <v>32</v>
      </c>
      <c r="B39" s="40"/>
      <c r="C39" s="38">
        <f>C38/C37</f>
        <v>-2.780451288632232E-3</v>
      </c>
      <c r="D39" s="40"/>
      <c r="E39" s="38">
        <f>E38/E37</f>
        <v>-1.0441749952053188E-2</v>
      </c>
      <c r="F39" s="40"/>
      <c r="G39" s="38">
        <f>G38/G37</f>
        <v>-2.8550518978642889E-2</v>
      </c>
      <c r="H39" s="39"/>
      <c r="I39" s="40"/>
      <c r="J39" s="38">
        <f>J38/J37</f>
        <v>6.8574409328014563E-2</v>
      </c>
      <c r="K39" s="40"/>
      <c r="L39" s="38">
        <f>L38/L37</f>
        <v>5.7746268656716553E-2</v>
      </c>
      <c r="M39" s="39"/>
      <c r="N39" s="40"/>
      <c r="O39" s="38">
        <f>O38/O37</f>
        <v>-0.18275655241960043</v>
      </c>
      <c r="P39" s="40"/>
      <c r="Q39" s="38">
        <f>Q38/Q37</f>
        <v>8.8308127708499162E-2</v>
      </c>
      <c r="R39" s="40"/>
      <c r="S39" s="38">
        <f>S38/S37</f>
        <v>-0.28343384178786801</v>
      </c>
      <c r="T39" s="39"/>
      <c r="U39" s="50"/>
      <c r="V39" s="40">
        <f>V38/V37</f>
        <v>-7.792207792207792E-2</v>
      </c>
      <c r="W39" s="38"/>
      <c r="X39" s="40">
        <f>X38/X37</f>
        <v>0.28988764044943821</v>
      </c>
      <c r="Y39" s="38"/>
      <c r="Z39" s="40">
        <f>Z38/Z37</f>
        <v>0.26426426426426425</v>
      </c>
      <c r="AA39" s="39"/>
      <c r="AB39" s="39"/>
      <c r="AC39" s="39"/>
      <c r="AD39" s="39"/>
      <c r="AE39" s="39"/>
      <c r="AF39" s="40"/>
      <c r="AG39" s="38" t="e">
        <f>AG38/AG37</f>
        <v>#DIV/0!</v>
      </c>
      <c r="AH39" s="40"/>
      <c r="AI39" s="38">
        <f t="shared" ref="AI39:AO39" si="33">AI38/AI37</f>
        <v>3.282324240408073E-2</v>
      </c>
      <c r="AJ39" s="40"/>
      <c r="AK39" s="38">
        <f t="shared" si="33"/>
        <v>1.1537525263104262E-2</v>
      </c>
      <c r="AL39" s="40"/>
      <c r="AM39" s="38">
        <f t="shared" si="33"/>
        <v>-3.3333333333333333E-2</v>
      </c>
      <c r="AN39" s="40"/>
      <c r="AO39" s="38">
        <f t="shared" si="33"/>
        <v>0.18375066595631326</v>
      </c>
      <c r="AP39" s="39"/>
    </row>
  </sheetData>
  <mergeCells count="69">
    <mergeCell ref="BC1:BF1"/>
    <mergeCell ref="BC2:BC3"/>
    <mergeCell ref="BD2:BD3"/>
    <mergeCell ref="BE2:BE3"/>
    <mergeCell ref="BF2:BF3"/>
    <mergeCell ref="AW2:AW3"/>
    <mergeCell ref="AX2:AX3"/>
    <mergeCell ref="AY1:BB1"/>
    <mergeCell ref="AY2:AY3"/>
    <mergeCell ref="AZ2:AZ3"/>
    <mergeCell ref="BA2:BA3"/>
    <mergeCell ref="BB2:BB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L2:L3"/>
    <mergeCell ref="C2:C3"/>
    <mergeCell ref="B2:B3"/>
    <mergeCell ref="E2:E3"/>
    <mergeCell ref="F2:F3"/>
    <mergeCell ref="G2:G3"/>
    <mergeCell ref="D2:D3"/>
    <mergeCell ref="BH1:BH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AQ35:BF35"/>
    <mergeCell ref="A35:G35"/>
    <mergeCell ref="I35:L35"/>
    <mergeCell ref="N35:S35"/>
    <mergeCell ref="U35:AD35"/>
    <mergeCell ref="AF35:AO35"/>
  </mergeCells>
  <pageMargins left="0" right="0" top="0" bottom="0" header="0" footer="0"/>
  <pageSetup paperSize="5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Four Seasons Hotel Baltimore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>Robin Baugus</cp:lastModifiedBy>
  <cp:revision/>
  <dcterms:created xsi:type="dcterms:W3CDTF">2014-07-01T13:26:04Z</dcterms:created>
  <dcterms:modified xsi:type="dcterms:W3CDTF">2022-05-02T15:03:19Z</dcterms:modified>
  <cp:category/>
  <cp:contentStatus/>
</cp:coreProperties>
</file>