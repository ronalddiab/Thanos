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U6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J9" i="7" l="1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<sst xmlns="http://schemas.openxmlformats.org/spreadsheetml/2006/main" count="128" uniqueCount="49">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</sst>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23340</v>
      </c>
      <c r="F2" s="11">
        <v>5.0000000000000001E-3</v>
      </c>
      <c r="G2" s="12">
        <f>Submetering!R2</f>
        <v>811.591904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26580</v>
      </c>
      <c r="F3" s="11">
        <v>5.0000000000000001E-3</v>
      </c>
      <c r="G3" s="12">
        <f>Submetering!R3</f>
        <v>810.45628099999988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26740</v>
      </c>
      <c r="F4" s="11">
        <v>5.0000000000000001E-3</v>
      </c>
      <c r="G4" s="12">
        <f>Submetering!R4</f>
        <v>562.13338499999998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30670</v>
      </c>
      <c r="F5" s="11">
        <v>5.0000000000000001E-3</v>
      </c>
      <c r="G5" s="12">
        <f>Submetering!R5</f>
        <v>867.61597199999994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35870</v>
      </c>
      <c r="F6" s="11">
        <v>5.0000000000000001E-3</v>
      </c>
      <c r="G6" s="12">
        <f>Submetering!R6</f>
        <v>446.29983900000002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39220</v>
      </c>
      <c r="F7" s="11">
        <v>5.0000000000000001E-3</v>
      </c>
      <c r="G7" s="12">
        <f>Submetering!R7</f>
        <v>489.83205400000003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28260</v>
      </c>
      <c r="F8" s="11">
        <v>5.0000000000000001E-3</v>
      </c>
      <c r="G8" s="12">
        <f>Submetering!R8</f>
        <v>517.08700599999997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30440</v>
      </c>
      <c r="F9" s="11">
        <v>5.0000000000000001E-3</v>
      </c>
      <c r="G9" s="12">
        <f>Submetering!R9</f>
        <v>619.67161699999997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33920</v>
      </c>
      <c r="F10" s="11">
        <v>5.0000000000000001E-3</v>
      </c>
      <c r="G10" s="12">
        <f>Submetering!R10</f>
        <v>542.07071199999996</v>
      </c>
      <c r="H10" s="11">
        <v>0.52800000000000002</v>
      </c>
      <c r="I10" s="12">
        <f>Hotel!B15</f>
        <v>15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34380</v>
      </c>
      <c r="F11" s="11">
        <v>5.0000000000000001E-3</v>
      </c>
      <c r="G11" s="12">
        <f>Submetering!R11</f>
        <v>515.57284200000004</v>
      </c>
      <c r="H11" s="11">
        <v>0.52800000000000002</v>
      </c>
      <c r="I11" s="12">
        <f>Hotel!B16</f>
        <v>15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34600</v>
      </c>
      <c r="F12" s="11">
        <v>5.0000000000000001E-3</v>
      </c>
      <c r="G12" s="12">
        <f>Submetering!R12</f>
        <v>755.18929500000002</v>
      </c>
      <c r="H12" s="11">
        <v>0.52800000000000002</v>
      </c>
      <c r="I12" s="12">
        <f>Hotel!B17</f>
        <v>15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36700</v>
      </c>
      <c r="F13" s="11">
        <v>5.0000000000000001E-3</v>
      </c>
      <c r="G13" s="12">
        <f>Submetering!R13</f>
        <v>716.19957199999999</v>
      </c>
      <c r="H13" s="11">
        <v>0.52800000000000002</v>
      </c>
      <c r="I13" s="12">
        <f>Hotel!B18</f>
        <v>15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31560</v>
      </c>
      <c r="F14" s="11">
        <v>5.0000000000000001E-3</v>
      </c>
      <c r="G14" s="12">
        <f>Submetering!R14</f>
        <v>508.38056299999994</v>
      </c>
      <c r="H14" s="11">
        <v>0.52800000000000002</v>
      </c>
      <c r="I14" s="12">
        <f>Hotel!B19</f>
        <v>15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29580</v>
      </c>
      <c r="F15" s="11">
        <v>5.0000000000000001E-3</v>
      </c>
      <c r="G15" s="12">
        <f>Submetering!R15</f>
        <v>537.52822000000003</v>
      </c>
      <c r="H15" s="11">
        <v>0.52800000000000002</v>
      </c>
      <c r="I15" s="12">
        <f>Hotel!B20</f>
        <v>15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23160</v>
      </c>
      <c r="F16" s="11">
        <v>5.0000000000000001E-3</v>
      </c>
      <c r="G16" s="12">
        <f>Submetering!R16</f>
        <v>664.33945500000004</v>
      </c>
      <c r="H16" s="11">
        <v>0.52800000000000002</v>
      </c>
      <c r="I16" s="12">
        <f>Hotel!B21</f>
        <v>15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6</v>
      </c>
      <c r="D2" s="2">
        <v>2020</v>
      </c>
      <c r="E2" s="4">
        <f>Hotel!Q7</f>
        <v>510</v>
      </c>
      <c r="F2" s="4">
        <f>Hotel!R7</f>
        <v>1680</v>
      </c>
      <c r="G2" s="4">
        <f>Hotel!S7</f>
        <v>2950</v>
      </c>
      <c r="H2" s="4">
        <f>Hotel!T7</f>
        <v>1250</v>
      </c>
      <c r="I2" s="4">
        <f>Hotel!U7</f>
        <v>1930</v>
      </c>
      <c r="J2" s="4">
        <f>Hotel!V7</f>
        <v>1510</v>
      </c>
      <c r="K2" s="4">
        <f>Hotel!W7</f>
        <v>1790</v>
      </c>
      <c r="L2" s="4">
        <f>Hotel!X7</f>
        <v>1070</v>
      </c>
      <c r="M2" s="4">
        <f>Hotel!Y7</f>
        <v>1210</v>
      </c>
      <c r="N2" s="4">
        <f>Hotel!Z7</f>
        <v>2080</v>
      </c>
      <c r="O2" s="4">
        <f>Hotel!AA7</f>
        <v>1000</v>
      </c>
      <c r="P2" s="4">
        <f>Hotel!AB7</f>
        <v>3120</v>
      </c>
      <c r="Q2" s="4">
        <f>Hotel!AC7</f>
        <v>3240</v>
      </c>
      <c r="R2" s="4">
        <f>Hotel!AV7*0.00378541*100</f>
        <v>811.591904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6</v>
      </c>
      <c r="D3" s="2">
        <v>2020</v>
      </c>
      <c r="E3" s="4">
        <f>Hotel!Q8</f>
        <v>570</v>
      </c>
      <c r="F3" s="4">
        <f>Hotel!R8</f>
        <v>1870</v>
      </c>
      <c r="G3" s="4">
        <f>Hotel!S8</f>
        <v>3420</v>
      </c>
      <c r="H3" s="4">
        <f>Hotel!T8</f>
        <v>1400</v>
      </c>
      <c r="I3" s="4">
        <f>Hotel!U8</f>
        <v>2250</v>
      </c>
      <c r="J3" s="4">
        <f>Hotel!V8</f>
        <v>1810</v>
      </c>
      <c r="K3" s="4">
        <f>Hotel!W8</f>
        <v>2010</v>
      </c>
      <c r="L3" s="4">
        <f>Hotel!X8</f>
        <v>1120</v>
      </c>
      <c r="M3" s="4">
        <f>Hotel!Y8</f>
        <v>1470</v>
      </c>
      <c r="N3" s="4">
        <f>Hotel!Z8</f>
        <v>2410</v>
      </c>
      <c r="O3" s="4">
        <f>Hotel!AA8</f>
        <v>1050</v>
      </c>
      <c r="P3" s="4">
        <f>Hotel!AB8</f>
        <v>3610</v>
      </c>
      <c r="Q3" s="4">
        <f>Hotel!AC8</f>
        <v>3590</v>
      </c>
      <c r="R3" s="4">
        <f>Hotel!AV8*0.00378541*100</f>
        <v>810.45628099999988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6</v>
      </c>
      <c r="D4" s="2">
        <v>2020</v>
      </c>
      <c r="E4" s="4">
        <f>Hotel!Q9</f>
        <v>570</v>
      </c>
      <c r="F4" s="4">
        <f>Hotel!R9</f>
        <v>1880</v>
      </c>
      <c r="G4" s="4">
        <f>Hotel!S9</f>
        <v>3420</v>
      </c>
      <c r="H4" s="4">
        <f>Hotel!T9</f>
        <v>1420</v>
      </c>
      <c r="I4" s="4">
        <f>Hotel!U9</f>
        <v>2260</v>
      </c>
      <c r="J4" s="4">
        <f>Hotel!V9</f>
        <v>1590</v>
      </c>
      <c r="K4" s="4">
        <f>Hotel!W9</f>
        <v>2010</v>
      </c>
      <c r="L4" s="4">
        <f>Hotel!X9</f>
        <v>1190</v>
      </c>
      <c r="M4" s="4">
        <f>Hotel!Y9</f>
        <v>1710</v>
      </c>
      <c r="N4" s="4">
        <f>Hotel!Z9</f>
        <v>2390</v>
      </c>
      <c r="O4" s="4">
        <f>Hotel!AA9</f>
        <v>1100</v>
      </c>
      <c r="P4" s="4">
        <f>Hotel!AB9</f>
        <v>3510</v>
      </c>
      <c r="Q4" s="4">
        <f>Hotel!AC9</f>
        <v>3690</v>
      </c>
      <c r="R4" s="4">
        <f>Hotel!AV9*0.00378541*100</f>
        <v>562.13338499999998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6</v>
      </c>
      <c r="D5" s="2">
        <v>2020</v>
      </c>
      <c r="E5" s="4">
        <f>Hotel!Q10</f>
        <v>5880</v>
      </c>
      <c r="F5" s="4">
        <f>Hotel!R10</f>
        <v>1890</v>
      </c>
      <c r="G5" s="4">
        <f>Hotel!S10</f>
        <v>1640</v>
      </c>
      <c r="H5" s="4">
        <f>Hotel!T10</f>
        <v>1450</v>
      </c>
      <c r="I5" s="4">
        <f>Hotel!U10</f>
        <v>2300</v>
      </c>
      <c r="J5" s="4">
        <f>Hotel!V10</f>
        <v>1750</v>
      </c>
      <c r="K5" s="4">
        <f>Hotel!W10</f>
        <v>2000</v>
      </c>
      <c r="L5" s="4">
        <f>Hotel!X10</f>
        <v>1230</v>
      </c>
      <c r="M5" s="4">
        <f>Hotel!Y10</f>
        <v>1690</v>
      </c>
      <c r="N5" s="4">
        <f>Hotel!Z10</f>
        <v>2420</v>
      </c>
      <c r="O5" s="4">
        <f>Hotel!AA10</f>
        <v>1040</v>
      </c>
      <c r="P5" s="4">
        <f>Hotel!AB10</f>
        <v>3650</v>
      </c>
      <c r="Q5" s="4">
        <f>Hotel!AC10</f>
        <v>3730</v>
      </c>
      <c r="R5" s="4">
        <f>Hotel!AV10*0.00378541*100</f>
        <v>867.61597199999994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6</v>
      </c>
      <c r="D6" s="2">
        <v>2020</v>
      </c>
      <c r="E6" s="4">
        <f>Hotel!Q11</f>
        <v>11370</v>
      </c>
      <c r="F6" s="4">
        <f>Hotel!R11</f>
        <v>2050</v>
      </c>
      <c r="G6" s="4">
        <f>Hotel!S11</f>
        <v>0</v>
      </c>
      <c r="H6" s="4">
        <f>Hotel!T11</f>
        <v>1570</v>
      </c>
      <c r="I6" s="4">
        <f>Hotel!U11</f>
        <v>2480</v>
      </c>
      <c r="J6" s="4">
        <f>Hotel!V11</f>
        <v>1690</v>
      </c>
      <c r="K6" s="4">
        <f>Hotel!W11</f>
        <v>2120</v>
      </c>
      <c r="L6" s="4">
        <f>Hotel!X11</f>
        <v>1280</v>
      </c>
      <c r="M6" s="4">
        <f>Hotel!Y11</f>
        <v>1830</v>
      </c>
      <c r="N6" s="4">
        <f>Hotel!Z11</f>
        <v>2520</v>
      </c>
      <c r="O6" s="4">
        <f>Hotel!AA11</f>
        <v>1210</v>
      </c>
      <c r="P6" s="4">
        <f>Hotel!AB11</f>
        <v>3910</v>
      </c>
      <c r="Q6" s="4">
        <f>Hotel!AC11</f>
        <v>3840</v>
      </c>
      <c r="R6" s="4">
        <f>Hotel!AV11*0.00378541*100</f>
        <v>446.29983900000002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6</v>
      </c>
      <c r="D7" s="2">
        <v>2020</v>
      </c>
      <c r="E7" s="4">
        <f>Hotel!Q12</f>
        <v>12750</v>
      </c>
      <c r="F7" s="4">
        <f>Hotel!R12</f>
        <v>2250</v>
      </c>
      <c r="G7" s="4">
        <f>Hotel!S12</f>
        <v>0</v>
      </c>
      <c r="H7" s="4">
        <f>Hotel!T12</f>
        <v>1720</v>
      </c>
      <c r="I7" s="4">
        <f>Hotel!U12</f>
        <v>2600</v>
      </c>
      <c r="J7" s="4">
        <f>Hotel!V12</f>
        <v>1860</v>
      </c>
      <c r="K7" s="4">
        <f>Hotel!W12</f>
        <v>2300</v>
      </c>
      <c r="L7" s="4">
        <f>Hotel!X12</f>
        <v>1380</v>
      </c>
      <c r="M7" s="4">
        <f>Hotel!Y12</f>
        <v>1970</v>
      </c>
      <c r="N7" s="4">
        <f>Hotel!Z12</f>
        <v>2690</v>
      </c>
      <c r="O7" s="4">
        <f>Hotel!AA12</f>
        <v>1130</v>
      </c>
      <c r="P7" s="4">
        <f>Hotel!AB12</f>
        <v>4070</v>
      </c>
      <c r="Q7" s="4">
        <f>Hotel!AC12</f>
        <v>4500</v>
      </c>
      <c r="R7" s="4">
        <f>Hotel!AV12*0.00378541*100</f>
        <v>489.83205400000003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6</v>
      </c>
      <c r="D8" s="2">
        <v>2020</v>
      </c>
      <c r="E8" s="4">
        <f>Hotel!Q13</f>
        <v>9100</v>
      </c>
      <c r="F8" s="4">
        <f>Hotel!R13</f>
        <v>1610</v>
      </c>
      <c r="G8" s="4">
        <f>Hotel!S13</f>
        <v>0</v>
      </c>
      <c r="H8" s="4">
        <f>Hotel!T13</f>
        <v>1230</v>
      </c>
      <c r="I8" s="4">
        <f>Hotel!U13</f>
        <v>2050</v>
      </c>
      <c r="J8" s="4">
        <f>Hotel!V13</f>
        <v>1350</v>
      </c>
      <c r="K8" s="4">
        <f>Hotel!W13</f>
        <v>1660</v>
      </c>
      <c r="L8" s="4">
        <f>Hotel!X13</f>
        <v>990</v>
      </c>
      <c r="M8" s="4">
        <f>Hotel!Y13</f>
        <v>1290</v>
      </c>
      <c r="N8" s="4">
        <f>Hotel!Z13</f>
        <v>2000</v>
      </c>
      <c r="O8" s="4">
        <f>Hotel!AA13</f>
        <v>810</v>
      </c>
      <c r="P8" s="4">
        <f>Hotel!AB13</f>
        <v>2980</v>
      </c>
      <c r="Q8" s="4">
        <f>Hotel!AC13</f>
        <v>3190</v>
      </c>
      <c r="R8" s="4">
        <f>Hotel!AV13*0.00378541*100</f>
        <v>517.08700599999997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6</v>
      </c>
      <c r="D9" s="2">
        <v>2020</v>
      </c>
      <c r="E9" s="4">
        <f>Hotel!Q14</f>
        <v>9650</v>
      </c>
      <c r="F9" s="4">
        <f>Hotel!R14</f>
        <v>1730</v>
      </c>
      <c r="G9" s="4">
        <f>Hotel!S14</f>
        <v>0</v>
      </c>
      <c r="H9" s="4">
        <f>Hotel!T14</f>
        <v>1310</v>
      </c>
      <c r="I9" s="4">
        <f>Hotel!U14</f>
        <v>2260</v>
      </c>
      <c r="J9" s="4">
        <f>Hotel!V14</f>
        <v>1570</v>
      </c>
      <c r="K9" s="4">
        <f>Hotel!W14</f>
        <v>1790</v>
      </c>
      <c r="L9" s="4">
        <f>Hotel!X14</f>
        <v>1060</v>
      </c>
      <c r="M9" s="4">
        <f>Hotel!Y14</f>
        <v>1330</v>
      </c>
      <c r="N9" s="4">
        <f>Hotel!Z14</f>
        <v>2150</v>
      </c>
      <c r="O9" s="4">
        <f>Hotel!AA14</f>
        <v>880</v>
      </c>
      <c r="P9" s="4">
        <f>Hotel!AB14</f>
        <v>3240</v>
      </c>
      <c r="Q9" s="4">
        <f>Hotel!AC14</f>
        <v>3470</v>
      </c>
      <c r="R9" s="4">
        <f>Hotel!AV14*0.00378541*100</f>
        <v>619.67161699999997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6</v>
      </c>
      <c r="D10" s="2">
        <v>2020</v>
      </c>
      <c r="E10" s="4">
        <f>Hotel!Q15</f>
        <v>10710</v>
      </c>
      <c r="F10" s="4">
        <f>Hotel!R15</f>
        <v>1910</v>
      </c>
      <c r="G10" s="4">
        <f>Hotel!S15</f>
        <v>0</v>
      </c>
      <c r="H10" s="4">
        <f>Hotel!T15</f>
        <v>1420</v>
      </c>
      <c r="I10" s="4">
        <f>Hotel!U15</f>
        <v>2470</v>
      </c>
      <c r="J10" s="4">
        <f>Hotel!V15</f>
        <v>1630</v>
      </c>
      <c r="K10" s="4">
        <f>Hotel!W15</f>
        <v>2000</v>
      </c>
      <c r="L10" s="4">
        <f>Hotel!X15</f>
        <v>1160</v>
      </c>
      <c r="M10" s="4">
        <f>Hotel!Y15</f>
        <v>1810</v>
      </c>
      <c r="N10" s="4">
        <f>Hotel!Z15</f>
        <v>2390</v>
      </c>
      <c r="O10" s="4">
        <f>Hotel!AA15</f>
        <v>990</v>
      </c>
      <c r="P10" s="4">
        <f>Hotel!AB15</f>
        <v>3490</v>
      </c>
      <c r="Q10" s="4">
        <f>Hotel!AC15</f>
        <v>3940</v>
      </c>
      <c r="R10" s="4">
        <f>Hotel!AV15*0.00378541*100</f>
        <v>542.07071199999996</v>
      </c>
      <c r="S10" s="4">
        <f>Hotel!B15</f>
        <v>15</v>
      </c>
    </row>
    <row r="11" spans="1:19" x14ac:dyDescent="0.25">
      <c r="A11" s="21" t="s">
        <v>31</v>
      </c>
      <c r="B11" s="2">
        <f t="shared" si="0"/>
        <v>10</v>
      </c>
      <c r="C11" s="10">
        <v>6</v>
      </c>
      <c r="D11" s="2">
        <v>2020</v>
      </c>
      <c r="E11" s="4">
        <f>Hotel!Q16</f>
        <v>10750</v>
      </c>
      <c r="F11" s="4">
        <f>Hotel!R16</f>
        <v>1900</v>
      </c>
      <c r="G11" s="4">
        <f>Hotel!S16</f>
        <v>0</v>
      </c>
      <c r="H11" s="4">
        <f>Hotel!T16</f>
        <v>2010</v>
      </c>
      <c r="I11" s="4">
        <f>Hotel!U16</f>
        <v>2360</v>
      </c>
      <c r="J11" s="4">
        <f>Hotel!V16</f>
        <v>1690</v>
      </c>
      <c r="K11" s="4">
        <f>Hotel!W16</f>
        <v>1990</v>
      </c>
      <c r="L11" s="4">
        <f>Hotel!X16</f>
        <v>1160</v>
      </c>
      <c r="M11" s="4">
        <f>Hotel!Y16</f>
        <v>2000</v>
      </c>
      <c r="N11" s="4">
        <f>Hotel!Z16</f>
        <v>2310</v>
      </c>
      <c r="O11" s="4">
        <f>Hotel!AA16</f>
        <v>990</v>
      </c>
      <c r="P11" s="4">
        <f>Hotel!AB16</f>
        <v>3540</v>
      </c>
      <c r="Q11" s="4">
        <f>Hotel!AC16</f>
        <v>3680</v>
      </c>
      <c r="R11" s="4">
        <f>Hotel!AV16*0.00378541*100</f>
        <v>515.57284200000004</v>
      </c>
      <c r="S11" s="4">
        <f>Hotel!B16</f>
        <v>15</v>
      </c>
    </row>
    <row r="12" spans="1:19" x14ac:dyDescent="0.25">
      <c r="A12" s="21" t="s">
        <v>31</v>
      </c>
      <c r="B12" s="2">
        <f t="shared" si="0"/>
        <v>11</v>
      </c>
      <c r="C12" s="10">
        <v>6</v>
      </c>
      <c r="D12" s="2">
        <v>2020</v>
      </c>
      <c r="E12" s="4">
        <f>Hotel!Q17</f>
        <v>11000</v>
      </c>
      <c r="F12" s="4">
        <f>Hotel!R17</f>
        <v>1910</v>
      </c>
      <c r="G12" s="4">
        <f>Hotel!S17</f>
        <v>0</v>
      </c>
      <c r="H12" s="4">
        <f>Hotel!T17</f>
        <v>820</v>
      </c>
      <c r="I12" s="4">
        <f>Hotel!U17</f>
        <v>2530</v>
      </c>
      <c r="J12" s="4">
        <f>Hotel!V17</f>
        <v>2180</v>
      </c>
      <c r="K12" s="4">
        <f>Hotel!W17</f>
        <v>2020</v>
      </c>
      <c r="L12" s="4">
        <f>Hotel!X17</f>
        <v>1190</v>
      </c>
      <c r="M12" s="4">
        <f>Hotel!Y17</f>
        <v>2000</v>
      </c>
      <c r="N12" s="4">
        <f>Hotel!Z17</f>
        <v>2340</v>
      </c>
      <c r="O12" s="4">
        <f>Hotel!AA17</f>
        <v>1230</v>
      </c>
      <c r="P12" s="4">
        <f>Hotel!AB17</f>
        <v>3500</v>
      </c>
      <c r="Q12" s="4">
        <f>Hotel!AC17</f>
        <v>3880</v>
      </c>
      <c r="R12" s="4">
        <f>Hotel!AV17*0.00378541*100</f>
        <v>755.18929500000002</v>
      </c>
      <c r="S12" s="4">
        <f>Hotel!B17</f>
        <v>15</v>
      </c>
    </row>
    <row r="13" spans="1:19" x14ac:dyDescent="0.25">
      <c r="A13" s="21" t="s">
        <v>31</v>
      </c>
      <c r="B13" s="2">
        <f t="shared" si="0"/>
        <v>12</v>
      </c>
      <c r="C13" s="10">
        <v>6</v>
      </c>
      <c r="D13" s="2">
        <v>2020</v>
      </c>
      <c r="E13" s="4">
        <f>Hotel!Q18</f>
        <v>11640</v>
      </c>
      <c r="F13" s="4">
        <f>Hotel!R18</f>
        <v>2050</v>
      </c>
      <c r="G13" s="4">
        <f>Hotel!S18</f>
        <v>0</v>
      </c>
      <c r="H13" s="4">
        <f>Hotel!T18</f>
        <v>1520</v>
      </c>
      <c r="I13" s="4">
        <f>Hotel!U18</f>
        <v>2730</v>
      </c>
      <c r="J13" s="4">
        <f>Hotel!V18</f>
        <v>1450</v>
      </c>
      <c r="K13" s="4">
        <f>Hotel!W18</f>
        <v>2150</v>
      </c>
      <c r="L13" s="4">
        <f>Hotel!X18</f>
        <v>1250</v>
      </c>
      <c r="M13" s="4">
        <f>Hotel!Y18</f>
        <v>2130</v>
      </c>
      <c r="N13" s="4">
        <f>Hotel!Z18</f>
        <v>2530</v>
      </c>
      <c r="O13" s="4">
        <f>Hotel!AA18</f>
        <v>1190</v>
      </c>
      <c r="P13" s="4">
        <f>Hotel!AB18</f>
        <v>3730</v>
      </c>
      <c r="Q13" s="4">
        <f>Hotel!AC18</f>
        <v>4330</v>
      </c>
      <c r="R13" s="4">
        <f>Hotel!AV18*0.00378541*100</f>
        <v>716.19957199999999</v>
      </c>
      <c r="S13" s="4">
        <f>Hotel!B18</f>
        <v>15</v>
      </c>
    </row>
    <row r="14" spans="1:19" x14ac:dyDescent="0.25">
      <c r="A14" s="21" t="s">
        <v>31</v>
      </c>
      <c r="B14" s="2">
        <f t="shared" si="0"/>
        <v>13</v>
      </c>
      <c r="C14" s="10">
        <v>6</v>
      </c>
      <c r="D14" s="2">
        <v>2020</v>
      </c>
      <c r="E14" s="4">
        <f>Hotel!Q19</f>
        <v>9430</v>
      </c>
      <c r="F14" s="4">
        <f>Hotel!R19</f>
        <v>1820</v>
      </c>
      <c r="G14" s="4">
        <f>Hotel!S19</f>
        <v>130</v>
      </c>
      <c r="H14" s="4">
        <f>Hotel!T19</f>
        <v>1360</v>
      </c>
      <c r="I14" s="4">
        <f>Hotel!U19</f>
        <v>2290</v>
      </c>
      <c r="J14" s="4">
        <f>Hotel!V19</f>
        <v>1600</v>
      </c>
      <c r="K14" s="4">
        <f>Hotel!W19</f>
        <v>1890</v>
      </c>
      <c r="L14" s="4">
        <f>Hotel!X19</f>
        <v>1120</v>
      </c>
      <c r="M14" s="4">
        <f>Hotel!Y19</f>
        <v>1730</v>
      </c>
      <c r="N14" s="4">
        <f>Hotel!Z19</f>
        <v>2130</v>
      </c>
      <c r="O14" s="4">
        <f>Hotel!AA19</f>
        <v>890</v>
      </c>
      <c r="P14" s="4">
        <f>Hotel!AB19</f>
        <v>3370</v>
      </c>
      <c r="Q14" s="4">
        <f>Hotel!AC19</f>
        <v>3800</v>
      </c>
      <c r="R14" s="4">
        <f>Hotel!AV19*0.00378541*100</f>
        <v>508.38056299999994</v>
      </c>
      <c r="S14" s="4">
        <f>Hotel!B19</f>
        <v>15</v>
      </c>
    </row>
    <row r="15" spans="1:19" x14ac:dyDescent="0.25">
      <c r="A15" s="21" t="s">
        <v>31</v>
      </c>
      <c r="B15" s="2">
        <f t="shared" si="0"/>
        <v>14</v>
      </c>
      <c r="C15" s="10">
        <v>6</v>
      </c>
      <c r="D15" s="2">
        <v>2020</v>
      </c>
      <c r="E15" s="4">
        <f>Hotel!Q20</f>
        <v>620</v>
      </c>
      <c r="F15" s="4">
        <f>Hotel!R20</f>
        <v>2120</v>
      </c>
      <c r="G15" s="4">
        <f>Hotel!S20</f>
        <v>3670</v>
      </c>
      <c r="H15" s="4">
        <f>Hotel!T20</f>
        <v>1550</v>
      </c>
      <c r="I15" s="4">
        <f>Hotel!U20</f>
        <v>2580</v>
      </c>
      <c r="J15" s="4">
        <f>Hotel!V20</f>
        <v>1830</v>
      </c>
      <c r="K15" s="4">
        <f>Hotel!W20</f>
        <v>2190</v>
      </c>
      <c r="L15" s="4">
        <f>Hotel!X20</f>
        <v>1310</v>
      </c>
      <c r="M15" s="4">
        <f>Hotel!Y20</f>
        <v>1850</v>
      </c>
      <c r="N15" s="4">
        <f>Hotel!Z20</f>
        <v>2560</v>
      </c>
      <c r="O15" s="4">
        <f>Hotel!AA20</f>
        <v>1040</v>
      </c>
      <c r="P15" s="4">
        <f>Hotel!AB20</f>
        <v>3930</v>
      </c>
      <c r="Q15" s="4">
        <f>Hotel!AC20</f>
        <v>4330</v>
      </c>
      <c r="R15" s="4">
        <f>Hotel!AV20*0.00378541*100</f>
        <v>537.52822000000003</v>
      </c>
      <c r="S15" s="4">
        <f>Hotel!B20</f>
        <v>15</v>
      </c>
    </row>
    <row r="16" spans="1:19" x14ac:dyDescent="0.25">
      <c r="A16" s="21" t="s">
        <v>31</v>
      </c>
      <c r="B16" s="2">
        <f t="shared" si="0"/>
        <v>15</v>
      </c>
      <c r="C16" s="10">
        <v>6</v>
      </c>
      <c r="D16" s="2">
        <v>2020</v>
      </c>
      <c r="E16" s="4">
        <f>Hotel!Q21</f>
        <v>470</v>
      </c>
      <c r="F16" s="4">
        <f>Hotel!R21</f>
        <v>1630</v>
      </c>
      <c r="G16" s="4">
        <f>Hotel!S21</f>
        <v>2900</v>
      </c>
      <c r="H16" s="4">
        <f>Hotel!T21</f>
        <v>1190</v>
      </c>
      <c r="I16" s="4">
        <f>Hotel!U21</f>
        <v>2120</v>
      </c>
      <c r="J16" s="4">
        <f>Hotel!V21</f>
        <v>1570</v>
      </c>
      <c r="K16" s="4">
        <f>Hotel!W21</f>
        <v>1700</v>
      </c>
      <c r="L16" s="4">
        <f>Hotel!X21</f>
        <v>1020</v>
      </c>
      <c r="M16" s="4">
        <f>Hotel!Y21</f>
        <v>1440</v>
      </c>
      <c r="N16" s="4">
        <f>Hotel!Z21</f>
        <v>2020</v>
      </c>
      <c r="O16" s="4">
        <f>Hotel!AA21</f>
        <v>980</v>
      </c>
      <c r="P16" s="4">
        <f>Hotel!AB21</f>
        <v>2900</v>
      </c>
      <c r="Q16" s="4">
        <f>Hotel!AC21</f>
        <v>3220</v>
      </c>
      <c r="R16" s="4">
        <f>Hotel!AV21*0.00378541*100</f>
        <v>664.33945500000004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6</v>
      </c>
      <c r="D17" s="2">
        <v>2020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6</v>
      </c>
      <c r="D18" s="2">
        <v>2020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6</v>
      </c>
      <c r="D19" s="2">
        <v>2020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6</v>
      </c>
      <c r="D20" s="2">
        <v>2020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6</v>
      </c>
      <c r="D21" s="2">
        <v>2020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6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6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6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6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6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6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6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6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6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6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6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P4" zoomScale="93" zoomScaleNormal="93" workbookViewId="0">
      <selection activeCell="AL34" sqref="AL3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43982</v>
      </c>
      <c r="B2" s="40">
        <v>12</v>
      </c>
      <c r="C2" s="24">
        <v>6022430</v>
      </c>
      <c r="D2" s="24">
        <v>13072330</v>
      </c>
      <c r="E2" s="24">
        <v>1763550</v>
      </c>
      <c r="F2" s="24">
        <v>2860970</v>
      </c>
      <c r="G2" s="24">
        <v>8796590</v>
      </c>
      <c r="H2" s="24">
        <v>4397160</v>
      </c>
      <c r="I2" s="24">
        <v>4224340</v>
      </c>
      <c r="J2" s="24">
        <v>4776540</v>
      </c>
      <c r="K2" s="24">
        <v>7522320</v>
      </c>
      <c r="L2" s="24">
        <v>2894190</v>
      </c>
      <c r="M2" s="24">
        <v>6789070</v>
      </c>
      <c r="N2" s="24">
        <v>9651940</v>
      </c>
      <c r="O2" s="24">
        <v>13111940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952372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f>AU2</f>
        <v>952372</v>
      </c>
    </row>
    <row r="7" spans="1:49" x14ac:dyDescent="0.25">
      <c r="A7" s="23">
        <v>43983</v>
      </c>
      <c r="B7" s="40">
        <v>15</v>
      </c>
      <c r="C7" s="24">
        <v>6022940</v>
      </c>
      <c r="D7" s="24">
        <v>13074010</v>
      </c>
      <c r="E7" s="24">
        <v>1766500</v>
      </c>
      <c r="F7" s="24">
        <v>2862220</v>
      </c>
      <c r="G7" s="24">
        <v>8798520</v>
      </c>
      <c r="H7" s="24">
        <v>4398670</v>
      </c>
      <c r="I7" s="24">
        <v>4226130</v>
      </c>
      <c r="J7" s="24">
        <v>4777610</v>
      </c>
      <c r="K7" s="24">
        <v>7523530</v>
      </c>
      <c r="L7" s="24">
        <v>2896270</v>
      </c>
      <c r="M7" s="24">
        <v>6790070</v>
      </c>
      <c r="N7" s="24">
        <v>9655060</v>
      </c>
      <c r="O7" s="24">
        <v>13115180</v>
      </c>
      <c r="Q7" s="37">
        <f>IF((C7-C2&lt;0), "0",C7-C2)</f>
        <v>510</v>
      </c>
      <c r="R7" s="37">
        <f t="shared" ref="R7:AC7" si="0">IF((D7-D2&lt;0), "0",D7-D2)</f>
        <v>1680</v>
      </c>
      <c r="S7" s="37">
        <f>IF((E7-E2&lt;0), "0",E7-E2)</f>
        <v>2950</v>
      </c>
      <c r="T7" s="37">
        <f t="shared" si="0"/>
        <v>1250</v>
      </c>
      <c r="U7" s="37">
        <f t="shared" si="0"/>
        <v>1930</v>
      </c>
      <c r="V7" s="37">
        <f t="shared" si="0"/>
        <v>1510</v>
      </c>
      <c r="W7" s="37">
        <f t="shared" si="0"/>
        <v>1790</v>
      </c>
      <c r="X7" s="37">
        <f t="shared" si="0"/>
        <v>1070</v>
      </c>
      <c r="Y7" s="37">
        <f t="shared" si="0"/>
        <v>1210</v>
      </c>
      <c r="Z7" s="37">
        <f t="shared" si="0"/>
        <v>2080</v>
      </c>
      <c r="AA7" s="37">
        <f t="shared" si="0"/>
        <v>1000</v>
      </c>
      <c r="AB7" s="37">
        <f t="shared" si="0"/>
        <v>3120</v>
      </c>
      <c r="AC7" s="37">
        <f t="shared" si="0"/>
        <v>3240</v>
      </c>
      <c r="AD7" s="34">
        <f>SUM(Q7:AC7)</f>
        <v>23340</v>
      </c>
      <c r="AF7" s="20">
        <f t="shared" ref="AF7:AF36" si="1">Q7*$D$39</f>
        <v>2.5500000000000003</v>
      </c>
      <c r="AG7" s="20">
        <f t="shared" ref="AG7:AG36" si="2">R7*$D$39</f>
        <v>8.4</v>
      </c>
      <c r="AH7" s="20">
        <f t="shared" ref="AH7:AH36" si="3">S7*$D$39</f>
        <v>14.75</v>
      </c>
      <c r="AI7" s="20">
        <f t="shared" ref="AI7:AI36" si="4">T7*$D$39</f>
        <v>6.25</v>
      </c>
      <c r="AJ7" s="20">
        <f t="shared" ref="AJ7:AJ36" si="5">U7*$D$39</f>
        <v>9.65</v>
      </c>
      <c r="AK7" s="20">
        <f t="shared" ref="AK7:AK36" si="6">V7*$D$39</f>
        <v>7.55</v>
      </c>
      <c r="AL7" s="20">
        <f t="shared" ref="AL7:AL36" si="7">W7*$D$39</f>
        <v>8.9500000000000011</v>
      </c>
      <c r="AM7" s="20">
        <f t="shared" ref="AM7:AM36" si="8">X7*$D$39</f>
        <v>5.3500000000000005</v>
      </c>
      <c r="AN7" s="20">
        <f t="shared" ref="AN7:AN36" si="9">Y7*$D$39</f>
        <v>6.05</v>
      </c>
      <c r="AO7" s="20">
        <f t="shared" ref="AO7:AO36" si="10">Z7*$D$39</f>
        <v>10.4</v>
      </c>
      <c r="AP7" s="20">
        <f t="shared" ref="AP7:AP36" si="11">AA7*$D$39</f>
        <v>5</v>
      </c>
      <c r="AQ7" s="20">
        <f t="shared" ref="AQ7:AQ36" si="12">AB7*$D$39</f>
        <v>15.6</v>
      </c>
      <c r="AR7" s="20">
        <f t="shared" ref="AR7:AR36" si="13">AC7*$D$39</f>
        <v>16.2</v>
      </c>
      <c r="AS7" s="35">
        <f>SUM(AF7:AR7)</f>
        <v>116.7</v>
      </c>
      <c r="AU7" s="47">
        <v>954516</v>
      </c>
      <c r="AV7" s="37">
        <f>IF((AU7-AU6&lt;0),"0",AU7-AU6)</f>
        <v>2144</v>
      </c>
      <c r="AW7" s="50">
        <v>0</v>
      </c>
    </row>
    <row r="8" spans="1:49" x14ac:dyDescent="0.25">
      <c r="A8" s="23">
        <v>43984</v>
      </c>
      <c r="B8" s="40">
        <v>15</v>
      </c>
      <c r="C8" s="24">
        <v>6023510</v>
      </c>
      <c r="D8" s="24">
        <v>13075880</v>
      </c>
      <c r="E8" s="24">
        <v>1769920</v>
      </c>
      <c r="F8" s="24">
        <v>2863620</v>
      </c>
      <c r="G8" s="24">
        <v>8800770</v>
      </c>
      <c r="H8" s="24">
        <v>4400480</v>
      </c>
      <c r="I8" s="24">
        <v>4228140</v>
      </c>
      <c r="J8" s="24">
        <v>4778730</v>
      </c>
      <c r="K8" s="24">
        <v>7525000</v>
      </c>
      <c r="L8" s="24">
        <v>2898680</v>
      </c>
      <c r="M8" s="24">
        <v>6791120</v>
      </c>
      <c r="N8" s="24">
        <v>9658670</v>
      </c>
      <c r="O8" s="24">
        <v>13118770</v>
      </c>
      <c r="Q8" s="37">
        <f>IF((C8-C7&lt;0), "0",C8-C7)</f>
        <v>570</v>
      </c>
      <c r="R8" s="37">
        <f t="shared" ref="R8:AC8" si="14">IF((D8-D7&lt;0), "0",D8-D7)</f>
        <v>1870</v>
      </c>
      <c r="S8" s="37">
        <f t="shared" ref="S8:S35" si="15">IF((E8-E7&lt;0), "0",E8-E7)</f>
        <v>3420</v>
      </c>
      <c r="T8" s="37">
        <f t="shared" si="14"/>
        <v>1400</v>
      </c>
      <c r="U8" s="37">
        <f t="shared" si="14"/>
        <v>2250</v>
      </c>
      <c r="V8" s="37">
        <f t="shared" si="14"/>
        <v>1810</v>
      </c>
      <c r="W8" s="37">
        <f t="shared" si="14"/>
        <v>2010</v>
      </c>
      <c r="X8" s="37">
        <f t="shared" si="14"/>
        <v>1120</v>
      </c>
      <c r="Y8" s="37">
        <f t="shared" si="14"/>
        <v>1470</v>
      </c>
      <c r="Z8" s="37">
        <f t="shared" si="14"/>
        <v>2410</v>
      </c>
      <c r="AA8" s="37">
        <f t="shared" si="14"/>
        <v>1050</v>
      </c>
      <c r="AB8" s="37">
        <f t="shared" si="14"/>
        <v>3610</v>
      </c>
      <c r="AC8" s="37">
        <f t="shared" si="14"/>
        <v>3590</v>
      </c>
      <c r="AD8" s="35">
        <f>SUM(Q8:AC8)</f>
        <v>26580</v>
      </c>
      <c r="AF8" s="20">
        <f t="shared" si="1"/>
        <v>2.85</v>
      </c>
      <c r="AG8" s="20">
        <f t="shared" si="2"/>
        <v>9.35</v>
      </c>
      <c r="AH8" s="20">
        <f t="shared" si="3"/>
        <v>17.100000000000001</v>
      </c>
      <c r="AI8" s="20">
        <f t="shared" si="4"/>
        <v>7</v>
      </c>
      <c r="AJ8" s="20">
        <f t="shared" si="5"/>
        <v>11.25</v>
      </c>
      <c r="AK8" s="20">
        <f t="shared" si="6"/>
        <v>9.0500000000000007</v>
      </c>
      <c r="AL8" s="20">
        <f t="shared" si="7"/>
        <v>10.050000000000001</v>
      </c>
      <c r="AM8" s="20">
        <f t="shared" si="8"/>
        <v>5.6000000000000005</v>
      </c>
      <c r="AN8" s="20">
        <f t="shared" si="9"/>
        <v>7.3500000000000005</v>
      </c>
      <c r="AO8" s="20">
        <f t="shared" si="10"/>
        <v>12.05</v>
      </c>
      <c r="AP8" s="20">
        <f t="shared" si="11"/>
        <v>5.25</v>
      </c>
      <c r="AQ8" s="20">
        <f t="shared" si="12"/>
        <v>18.05</v>
      </c>
      <c r="AR8" s="20">
        <f t="shared" si="13"/>
        <v>17.95</v>
      </c>
      <c r="AS8" s="35">
        <f>SUM(AF8:AR8)</f>
        <v>132.89999999999998</v>
      </c>
      <c r="AU8" s="47">
        <v>956657</v>
      </c>
      <c r="AV8" s="37">
        <f>IF((AU8-AU7&lt;0),"0",AU8-AU7)</f>
        <v>2141</v>
      </c>
      <c r="AW8" s="35">
        <v>0</v>
      </c>
    </row>
    <row r="9" spans="1:49" x14ac:dyDescent="0.25">
      <c r="A9" s="23">
        <v>43985</v>
      </c>
      <c r="B9" s="40">
        <v>15</v>
      </c>
      <c r="C9" s="24">
        <v>6024080</v>
      </c>
      <c r="D9" s="24">
        <v>13077760</v>
      </c>
      <c r="E9" s="24">
        <v>1773340</v>
      </c>
      <c r="F9" s="24">
        <v>2865040</v>
      </c>
      <c r="G9" s="24">
        <v>8803030</v>
      </c>
      <c r="H9" s="24">
        <v>4402070</v>
      </c>
      <c r="I9" s="24">
        <v>4230150</v>
      </c>
      <c r="J9" s="24">
        <v>4779920</v>
      </c>
      <c r="K9" s="24">
        <v>7526710</v>
      </c>
      <c r="L9" s="24">
        <v>2901070</v>
      </c>
      <c r="M9" s="24">
        <v>6792220</v>
      </c>
      <c r="N9" s="24">
        <v>9662180</v>
      </c>
      <c r="O9" s="24">
        <v>13122460</v>
      </c>
      <c r="Q9" s="37">
        <f t="shared" ref="Q9:Q30" si="16">IF((C9-C8&lt;0), "0",C9-C8)</f>
        <v>570</v>
      </c>
      <c r="R9" s="37">
        <f t="shared" ref="R9:R35" si="17">IF((D9-D8&lt;0), "0",D9-D8)</f>
        <v>1880</v>
      </c>
      <c r="S9" s="37">
        <f t="shared" si="15"/>
        <v>3420</v>
      </c>
      <c r="T9" s="37">
        <f t="shared" ref="T9:T35" si="18">IF((F9-F8&lt;0), "0",F9-F8)</f>
        <v>1420</v>
      </c>
      <c r="U9" s="37">
        <f t="shared" ref="U9:U35" si="19">IF((G9-G8&lt;0), "0",G9-G8)</f>
        <v>2260</v>
      </c>
      <c r="V9" s="37">
        <f t="shared" ref="V9:V35" si="20">IF((H9-H8&lt;0), "0",H9-H8)</f>
        <v>1590</v>
      </c>
      <c r="W9" s="37">
        <f t="shared" ref="W9:W35" si="21">IF((I9-I8&lt;0), "0",I9-I8)</f>
        <v>2010</v>
      </c>
      <c r="X9" s="37">
        <f t="shared" ref="X9:X35" si="22">IF((J9-J8&lt;0), "0",J9-J8)</f>
        <v>1190</v>
      </c>
      <c r="Y9" s="37">
        <f t="shared" ref="Y9:Y35" si="23">IF((K9-K8&lt;0), "0",K9-K8)</f>
        <v>1710</v>
      </c>
      <c r="Z9" s="37">
        <f t="shared" ref="Z9:Z35" si="24">IF((L9-L8&lt;0), "0",L9-L8)</f>
        <v>2390</v>
      </c>
      <c r="AA9" s="37">
        <f t="shared" ref="AA9:AA35" si="25">IF((M9-M8&lt;0), "0",M9-M8)</f>
        <v>1100</v>
      </c>
      <c r="AB9" s="37">
        <f t="shared" ref="AB9:AB37" si="26">IF((N9-N8&lt;0), "0",N9-N8)</f>
        <v>3510</v>
      </c>
      <c r="AC9" s="37">
        <f t="shared" ref="AC9:AC37" si="27">IF((O9-O8&lt;0), "0",O9-O8)</f>
        <v>3690</v>
      </c>
      <c r="AD9" s="35">
        <f t="shared" ref="AD9:AD37" si="28">SUM(Q9:AC9)</f>
        <v>26740</v>
      </c>
      <c r="AF9" s="20">
        <f t="shared" si="1"/>
        <v>2.85</v>
      </c>
      <c r="AG9" s="20">
        <f t="shared" si="2"/>
        <v>9.4</v>
      </c>
      <c r="AH9" s="20">
        <f t="shared" si="3"/>
        <v>17.100000000000001</v>
      </c>
      <c r="AI9" s="20">
        <f t="shared" si="4"/>
        <v>7.1000000000000005</v>
      </c>
      <c r="AJ9" s="20">
        <f t="shared" si="5"/>
        <v>11.3</v>
      </c>
      <c r="AK9" s="20">
        <f t="shared" si="6"/>
        <v>7.95</v>
      </c>
      <c r="AL9" s="20">
        <f t="shared" si="7"/>
        <v>10.050000000000001</v>
      </c>
      <c r="AM9" s="20">
        <f t="shared" si="8"/>
        <v>5.95</v>
      </c>
      <c r="AN9" s="20">
        <f t="shared" si="9"/>
        <v>8.5500000000000007</v>
      </c>
      <c r="AO9" s="20">
        <f t="shared" si="10"/>
        <v>11.950000000000001</v>
      </c>
      <c r="AP9" s="20">
        <f t="shared" si="11"/>
        <v>5.5</v>
      </c>
      <c r="AQ9" s="20">
        <f t="shared" si="12"/>
        <v>17.55</v>
      </c>
      <c r="AR9" s="20">
        <f t="shared" si="13"/>
        <v>18.45</v>
      </c>
      <c r="AS9" s="35">
        <f t="shared" ref="AS9:AS33" si="29">SUM(AF9:AR9)</f>
        <v>133.69999999999999</v>
      </c>
      <c r="AU9" s="47">
        <v>958142</v>
      </c>
      <c r="AV9" s="37">
        <f>IF((AU9-AU8&lt;0),"0",AU9-AU8)</f>
        <v>1485</v>
      </c>
      <c r="AW9" s="35">
        <f t="shared" ref="AW9:AW35" si="30">AV9*$D$40</f>
        <v>2.97</v>
      </c>
    </row>
    <row r="10" spans="1:49" x14ac:dyDescent="0.25">
      <c r="A10" s="23">
        <v>43986</v>
      </c>
      <c r="B10" s="40">
        <v>15</v>
      </c>
      <c r="C10" s="24">
        <v>6029960</v>
      </c>
      <c r="D10" s="24">
        <v>13079650</v>
      </c>
      <c r="E10" s="24">
        <v>1774980</v>
      </c>
      <c r="F10" s="24">
        <v>2866490</v>
      </c>
      <c r="G10" s="24">
        <v>8805330</v>
      </c>
      <c r="H10" s="24">
        <v>4403820</v>
      </c>
      <c r="I10" s="24">
        <v>4232150</v>
      </c>
      <c r="J10" s="24">
        <v>4781150</v>
      </c>
      <c r="K10" s="24">
        <v>7528400</v>
      </c>
      <c r="L10" s="24">
        <v>2903490</v>
      </c>
      <c r="M10" s="24">
        <v>6793260</v>
      </c>
      <c r="N10" s="24">
        <v>9665830</v>
      </c>
      <c r="O10" s="24">
        <v>13126190</v>
      </c>
      <c r="Q10" s="37">
        <f t="shared" si="16"/>
        <v>5880</v>
      </c>
      <c r="R10" s="37">
        <f t="shared" si="17"/>
        <v>1890</v>
      </c>
      <c r="S10" s="37">
        <f t="shared" si="15"/>
        <v>1640</v>
      </c>
      <c r="T10" s="37">
        <f t="shared" si="18"/>
        <v>1450</v>
      </c>
      <c r="U10" s="37">
        <f t="shared" si="19"/>
        <v>2300</v>
      </c>
      <c r="V10" s="37">
        <f t="shared" si="20"/>
        <v>1750</v>
      </c>
      <c r="W10" s="37">
        <f t="shared" si="21"/>
        <v>2000</v>
      </c>
      <c r="X10" s="37">
        <f t="shared" si="22"/>
        <v>1230</v>
      </c>
      <c r="Y10" s="37">
        <f t="shared" si="23"/>
        <v>1690</v>
      </c>
      <c r="Z10" s="37">
        <f t="shared" si="24"/>
        <v>2420</v>
      </c>
      <c r="AA10" s="37">
        <f t="shared" si="25"/>
        <v>1040</v>
      </c>
      <c r="AB10" s="37">
        <f t="shared" si="26"/>
        <v>3650</v>
      </c>
      <c r="AC10" s="37">
        <f t="shared" si="27"/>
        <v>3730</v>
      </c>
      <c r="AD10" s="35">
        <f t="shared" si="28"/>
        <v>30670</v>
      </c>
      <c r="AF10" s="20">
        <f t="shared" si="1"/>
        <v>29.400000000000002</v>
      </c>
      <c r="AG10" s="20">
        <f t="shared" si="2"/>
        <v>9.4500000000000011</v>
      </c>
      <c r="AH10" s="20">
        <f t="shared" si="3"/>
        <v>8.1999999999999993</v>
      </c>
      <c r="AI10" s="20">
        <f t="shared" si="4"/>
        <v>7.25</v>
      </c>
      <c r="AJ10" s="20">
        <f t="shared" si="5"/>
        <v>11.5</v>
      </c>
      <c r="AK10" s="20">
        <f t="shared" si="6"/>
        <v>8.75</v>
      </c>
      <c r="AL10" s="20">
        <f t="shared" si="7"/>
        <v>10</v>
      </c>
      <c r="AM10" s="20">
        <f t="shared" si="8"/>
        <v>6.15</v>
      </c>
      <c r="AN10" s="20">
        <f t="shared" si="9"/>
        <v>8.4499999999999993</v>
      </c>
      <c r="AO10" s="20">
        <f t="shared" si="10"/>
        <v>12.1</v>
      </c>
      <c r="AP10" s="20">
        <f t="shared" si="11"/>
        <v>5.2</v>
      </c>
      <c r="AQ10" s="20">
        <f t="shared" si="12"/>
        <v>18.25</v>
      </c>
      <c r="AR10" s="20">
        <f t="shared" si="13"/>
        <v>18.650000000000002</v>
      </c>
      <c r="AS10" s="35">
        <f t="shared" si="29"/>
        <v>153.35</v>
      </c>
      <c r="AU10" s="47">
        <v>960434</v>
      </c>
      <c r="AV10" s="37">
        <f t="shared" ref="AV10:AV26" si="31">IF((AU10-AU9&lt;0),"0",AU10-AU9)</f>
        <v>2292</v>
      </c>
      <c r="AW10" s="35">
        <f t="shared" si="30"/>
        <v>4.5840000000000005</v>
      </c>
    </row>
    <row r="11" spans="1:49" x14ac:dyDescent="0.25">
      <c r="A11" s="23">
        <v>43987</v>
      </c>
      <c r="B11" s="40">
        <v>15</v>
      </c>
      <c r="C11" s="24">
        <v>6041330</v>
      </c>
      <c r="D11" s="24">
        <v>13081700</v>
      </c>
      <c r="E11" s="24">
        <v>1774980</v>
      </c>
      <c r="F11" s="24">
        <v>2868060</v>
      </c>
      <c r="G11" s="24">
        <v>8807810</v>
      </c>
      <c r="H11" s="24">
        <v>4405510</v>
      </c>
      <c r="I11" s="24">
        <v>4234270</v>
      </c>
      <c r="J11" s="24">
        <v>4782430</v>
      </c>
      <c r="K11" s="24">
        <v>7530230</v>
      </c>
      <c r="L11" s="24">
        <v>2906010</v>
      </c>
      <c r="M11" s="24">
        <v>6794470</v>
      </c>
      <c r="N11" s="24">
        <v>9669740</v>
      </c>
      <c r="O11" s="24">
        <v>13130030</v>
      </c>
      <c r="Q11" s="37">
        <f t="shared" si="16"/>
        <v>11370</v>
      </c>
      <c r="R11" s="37">
        <f t="shared" si="17"/>
        <v>2050</v>
      </c>
      <c r="S11" s="37">
        <f t="shared" si="15"/>
        <v>0</v>
      </c>
      <c r="T11" s="37">
        <f t="shared" si="18"/>
        <v>1570</v>
      </c>
      <c r="U11" s="37">
        <f t="shared" si="19"/>
        <v>2480</v>
      </c>
      <c r="V11" s="37">
        <f t="shared" si="20"/>
        <v>1690</v>
      </c>
      <c r="W11" s="37">
        <f t="shared" si="21"/>
        <v>2120</v>
      </c>
      <c r="X11" s="37">
        <f t="shared" si="22"/>
        <v>1280</v>
      </c>
      <c r="Y11" s="37">
        <f t="shared" si="23"/>
        <v>1830</v>
      </c>
      <c r="Z11" s="37">
        <f t="shared" si="24"/>
        <v>2520</v>
      </c>
      <c r="AA11" s="37">
        <f t="shared" si="25"/>
        <v>1210</v>
      </c>
      <c r="AB11" s="37">
        <f t="shared" si="26"/>
        <v>3910</v>
      </c>
      <c r="AC11" s="37">
        <f t="shared" si="27"/>
        <v>3840</v>
      </c>
      <c r="AD11" s="35">
        <f t="shared" si="28"/>
        <v>35870</v>
      </c>
      <c r="AF11" s="20">
        <f t="shared" si="1"/>
        <v>56.85</v>
      </c>
      <c r="AG11" s="20">
        <f t="shared" si="2"/>
        <v>10.25</v>
      </c>
      <c r="AH11" s="20">
        <f t="shared" si="3"/>
        <v>0</v>
      </c>
      <c r="AI11" s="20">
        <f t="shared" si="4"/>
        <v>7.8500000000000005</v>
      </c>
      <c r="AJ11" s="20">
        <f t="shared" si="5"/>
        <v>12.4</v>
      </c>
      <c r="AK11" s="20">
        <f t="shared" si="6"/>
        <v>8.4499999999999993</v>
      </c>
      <c r="AL11" s="20">
        <f t="shared" si="7"/>
        <v>10.6</v>
      </c>
      <c r="AM11" s="20">
        <f t="shared" si="8"/>
        <v>6.4</v>
      </c>
      <c r="AN11" s="20">
        <f t="shared" si="9"/>
        <v>9.15</v>
      </c>
      <c r="AO11" s="20">
        <f t="shared" si="10"/>
        <v>12.6</v>
      </c>
      <c r="AP11" s="20">
        <f t="shared" si="11"/>
        <v>6.05</v>
      </c>
      <c r="AQ11" s="20">
        <f t="shared" si="12"/>
        <v>19.55</v>
      </c>
      <c r="AR11" s="20">
        <f t="shared" si="13"/>
        <v>19.2</v>
      </c>
      <c r="AS11" s="35">
        <f t="shared" si="29"/>
        <v>179.35000000000002</v>
      </c>
      <c r="AU11" s="47">
        <v>961613</v>
      </c>
      <c r="AV11" s="37">
        <f t="shared" si="31"/>
        <v>1179</v>
      </c>
      <c r="AW11" s="35">
        <f t="shared" si="30"/>
        <v>2.3580000000000001</v>
      </c>
    </row>
    <row r="12" spans="1:49" x14ac:dyDescent="0.25">
      <c r="A12" s="23">
        <v>43988</v>
      </c>
      <c r="B12" s="40">
        <v>15</v>
      </c>
      <c r="C12" s="49">
        <v>6054080</v>
      </c>
      <c r="D12" s="24">
        <v>13083950</v>
      </c>
      <c r="E12" s="24">
        <v>1774980</v>
      </c>
      <c r="F12" s="24">
        <v>2869780</v>
      </c>
      <c r="G12" s="24">
        <v>8810410</v>
      </c>
      <c r="H12" s="24">
        <v>4407370</v>
      </c>
      <c r="I12" s="24">
        <v>4236570</v>
      </c>
      <c r="J12" s="24">
        <v>4783810</v>
      </c>
      <c r="K12" s="24">
        <v>7532200</v>
      </c>
      <c r="L12" s="24">
        <v>2908700</v>
      </c>
      <c r="M12" s="24">
        <v>6795600</v>
      </c>
      <c r="N12" s="24">
        <v>9673810</v>
      </c>
      <c r="O12" s="24">
        <v>13134530</v>
      </c>
      <c r="Q12" s="37">
        <f t="shared" si="16"/>
        <v>12750</v>
      </c>
      <c r="R12" s="37">
        <f t="shared" si="17"/>
        <v>2250</v>
      </c>
      <c r="S12" s="37">
        <f t="shared" si="15"/>
        <v>0</v>
      </c>
      <c r="T12" s="37">
        <f t="shared" ref="T12:W14" si="32">IF((F12-F11&lt;0), "0",F12-F11)</f>
        <v>1720</v>
      </c>
      <c r="U12" s="37">
        <f t="shared" si="32"/>
        <v>2600</v>
      </c>
      <c r="V12" s="37">
        <f t="shared" si="32"/>
        <v>1860</v>
      </c>
      <c r="W12" s="37">
        <f t="shared" si="32"/>
        <v>2300</v>
      </c>
      <c r="X12" s="37">
        <f t="shared" si="22"/>
        <v>1380</v>
      </c>
      <c r="Y12" s="37">
        <f t="shared" si="23"/>
        <v>1970</v>
      </c>
      <c r="Z12" s="37">
        <f>IF((L12-L11&lt;0), "0",L12-L11)</f>
        <v>2690</v>
      </c>
      <c r="AA12" s="37">
        <f t="shared" si="25"/>
        <v>1130</v>
      </c>
      <c r="AB12" s="37">
        <f t="shared" si="26"/>
        <v>4070</v>
      </c>
      <c r="AC12" s="37">
        <f t="shared" si="27"/>
        <v>4500</v>
      </c>
      <c r="AD12" s="35">
        <f t="shared" si="28"/>
        <v>39220</v>
      </c>
      <c r="AF12" s="20">
        <f t="shared" si="1"/>
        <v>63.75</v>
      </c>
      <c r="AG12" s="20">
        <f t="shared" si="2"/>
        <v>11.25</v>
      </c>
      <c r="AH12" s="20">
        <f t="shared" si="3"/>
        <v>0</v>
      </c>
      <c r="AI12" s="20">
        <f t="shared" si="4"/>
        <v>8.6</v>
      </c>
      <c r="AJ12" s="20">
        <f t="shared" si="5"/>
        <v>13</v>
      </c>
      <c r="AK12" s="20">
        <f t="shared" si="6"/>
        <v>9.3000000000000007</v>
      </c>
      <c r="AL12" s="20">
        <f t="shared" si="7"/>
        <v>11.5</v>
      </c>
      <c r="AM12" s="20">
        <f t="shared" si="8"/>
        <v>6.9</v>
      </c>
      <c r="AN12" s="20">
        <f t="shared" si="9"/>
        <v>9.85</v>
      </c>
      <c r="AO12" s="20">
        <f t="shared" si="10"/>
        <v>13.450000000000001</v>
      </c>
      <c r="AP12" s="20">
        <f t="shared" si="11"/>
        <v>5.65</v>
      </c>
      <c r="AQ12" s="20">
        <f t="shared" si="12"/>
        <v>20.350000000000001</v>
      </c>
      <c r="AR12" s="20">
        <f t="shared" si="13"/>
        <v>22.5</v>
      </c>
      <c r="AS12" s="35">
        <f t="shared" si="29"/>
        <v>196.1</v>
      </c>
      <c r="AU12" s="47">
        <v>962907</v>
      </c>
      <c r="AV12" s="37">
        <f t="shared" si="31"/>
        <v>1294</v>
      </c>
      <c r="AW12" s="35">
        <f t="shared" si="30"/>
        <v>2.5880000000000001</v>
      </c>
    </row>
    <row r="13" spans="1:49" x14ac:dyDescent="0.25">
      <c r="A13" s="23">
        <v>43989</v>
      </c>
      <c r="B13" s="40">
        <v>15</v>
      </c>
      <c r="C13" s="24">
        <v>6063180</v>
      </c>
      <c r="D13" s="24">
        <v>13085560</v>
      </c>
      <c r="E13" s="24">
        <v>1774980</v>
      </c>
      <c r="F13" s="24">
        <v>2871010</v>
      </c>
      <c r="G13" s="24">
        <v>8812460</v>
      </c>
      <c r="H13" s="24">
        <v>4408720</v>
      </c>
      <c r="I13" s="24">
        <v>4238230</v>
      </c>
      <c r="J13" s="24">
        <v>4784800</v>
      </c>
      <c r="K13" s="24">
        <v>7533490</v>
      </c>
      <c r="L13" s="24">
        <v>2910700</v>
      </c>
      <c r="M13" s="24">
        <v>6796410</v>
      </c>
      <c r="N13" s="24">
        <v>9676790</v>
      </c>
      <c r="O13" s="24">
        <v>13137720</v>
      </c>
      <c r="Q13" s="37">
        <f t="shared" si="16"/>
        <v>9100</v>
      </c>
      <c r="R13" s="37">
        <f t="shared" si="17"/>
        <v>1610</v>
      </c>
      <c r="S13" s="37">
        <f t="shared" si="15"/>
        <v>0</v>
      </c>
      <c r="T13" s="37">
        <f t="shared" si="32"/>
        <v>1230</v>
      </c>
      <c r="U13" s="37">
        <f t="shared" si="32"/>
        <v>2050</v>
      </c>
      <c r="V13" s="37">
        <f t="shared" si="32"/>
        <v>1350</v>
      </c>
      <c r="W13" s="37">
        <f t="shared" si="32"/>
        <v>1660</v>
      </c>
      <c r="X13" s="37">
        <f t="shared" si="22"/>
        <v>990</v>
      </c>
      <c r="Y13" s="37">
        <f t="shared" si="23"/>
        <v>1290</v>
      </c>
      <c r="Z13" s="37">
        <f>IF((L13-L12&lt;0), "0",L13-L12)</f>
        <v>2000</v>
      </c>
      <c r="AA13" s="37">
        <f t="shared" si="25"/>
        <v>810</v>
      </c>
      <c r="AB13" s="37">
        <f t="shared" si="26"/>
        <v>2980</v>
      </c>
      <c r="AC13" s="37">
        <f t="shared" si="27"/>
        <v>3190</v>
      </c>
      <c r="AD13" s="35">
        <f t="shared" si="28"/>
        <v>28260</v>
      </c>
      <c r="AF13" s="20">
        <f t="shared" si="1"/>
        <v>45.5</v>
      </c>
      <c r="AG13" s="20">
        <f t="shared" si="2"/>
        <v>8.0500000000000007</v>
      </c>
      <c r="AH13" s="20">
        <f t="shared" si="3"/>
        <v>0</v>
      </c>
      <c r="AI13" s="20">
        <f t="shared" si="4"/>
        <v>6.15</v>
      </c>
      <c r="AJ13" s="20">
        <f t="shared" si="5"/>
        <v>10.25</v>
      </c>
      <c r="AK13" s="20">
        <f t="shared" si="6"/>
        <v>6.75</v>
      </c>
      <c r="AL13" s="20">
        <f t="shared" si="7"/>
        <v>8.3000000000000007</v>
      </c>
      <c r="AM13" s="20">
        <f t="shared" si="8"/>
        <v>4.95</v>
      </c>
      <c r="AN13" s="20">
        <f t="shared" si="9"/>
        <v>6.45</v>
      </c>
      <c r="AO13" s="20">
        <f t="shared" si="10"/>
        <v>10</v>
      </c>
      <c r="AP13" s="20">
        <f t="shared" si="11"/>
        <v>4.05</v>
      </c>
      <c r="AQ13" s="20">
        <f t="shared" si="12"/>
        <v>14.9</v>
      </c>
      <c r="AR13" s="20">
        <f t="shared" si="13"/>
        <v>15.950000000000001</v>
      </c>
      <c r="AS13" s="35">
        <f t="shared" si="29"/>
        <v>141.29999999999998</v>
      </c>
      <c r="AU13" s="47">
        <v>964273</v>
      </c>
      <c r="AV13" s="37">
        <f t="shared" si="31"/>
        <v>1366</v>
      </c>
      <c r="AW13" s="35">
        <f t="shared" si="30"/>
        <v>2.7320000000000002</v>
      </c>
    </row>
    <row r="14" spans="1:49" x14ac:dyDescent="0.25">
      <c r="A14" s="23">
        <v>43990</v>
      </c>
      <c r="B14" s="40">
        <v>15</v>
      </c>
      <c r="C14" s="24">
        <v>6072830</v>
      </c>
      <c r="D14" s="24">
        <v>13087290</v>
      </c>
      <c r="E14" s="24">
        <v>1774980</v>
      </c>
      <c r="F14" s="24">
        <v>2872320</v>
      </c>
      <c r="G14" s="24">
        <v>8814720</v>
      </c>
      <c r="H14" s="24">
        <v>4410290</v>
      </c>
      <c r="I14" s="24">
        <v>4240020</v>
      </c>
      <c r="J14" s="24">
        <v>4785860</v>
      </c>
      <c r="K14" s="24">
        <v>7534820</v>
      </c>
      <c r="L14" s="24">
        <v>2912850</v>
      </c>
      <c r="M14" s="24">
        <v>6797290</v>
      </c>
      <c r="N14" s="24">
        <v>9680030</v>
      </c>
      <c r="O14" s="24">
        <v>13141190</v>
      </c>
      <c r="P14" s="54"/>
      <c r="Q14" s="37">
        <f t="shared" si="16"/>
        <v>9650</v>
      </c>
      <c r="R14" s="37">
        <f t="shared" si="17"/>
        <v>1730</v>
      </c>
      <c r="S14" s="37">
        <f t="shared" si="15"/>
        <v>0</v>
      </c>
      <c r="T14" s="37">
        <f t="shared" si="32"/>
        <v>1310</v>
      </c>
      <c r="U14" s="37">
        <f t="shared" si="32"/>
        <v>2260</v>
      </c>
      <c r="V14" s="37">
        <f t="shared" si="32"/>
        <v>1570</v>
      </c>
      <c r="W14" s="37">
        <f t="shared" si="32"/>
        <v>1790</v>
      </c>
      <c r="X14" s="37">
        <f t="shared" si="22"/>
        <v>1060</v>
      </c>
      <c r="Y14" s="37">
        <f t="shared" si="23"/>
        <v>1330</v>
      </c>
      <c r="Z14" s="37">
        <f>IF((L14-L13&lt;0), "0",L14-L13)</f>
        <v>2150</v>
      </c>
      <c r="AA14" s="37">
        <f t="shared" si="25"/>
        <v>880</v>
      </c>
      <c r="AB14" s="37">
        <f t="shared" si="26"/>
        <v>3240</v>
      </c>
      <c r="AC14" s="37">
        <f t="shared" si="27"/>
        <v>3470</v>
      </c>
      <c r="AD14" s="35">
        <f t="shared" si="28"/>
        <v>30440</v>
      </c>
      <c r="AF14" s="20">
        <f t="shared" si="1"/>
        <v>48.25</v>
      </c>
      <c r="AG14" s="20">
        <f t="shared" si="2"/>
        <v>8.65</v>
      </c>
      <c r="AH14" s="20">
        <f t="shared" si="3"/>
        <v>0</v>
      </c>
      <c r="AI14" s="20">
        <f t="shared" si="4"/>
        <v>6.55</v>
      </c>
      <c r="AJ14" s="20">
        <f t="shared" si="5"/>
        <v>11.3</v>
      </c>
      <c r="AK14" s="20">
        <f t="shared" si="6"/>
        <v>7.8500000000000005</v>
      </c>
      <c r="AL14" s="20">
        <f t="shared" si="7"/>
        <v>8.9500000000000011</v>
      </c>
      <c r="AM14" s="20">
        <f t="shared" si="8"/>
        <v>5.3</v>
      </c>
      <c r="AN14" s="20">
        <f t="shared" si="9"/>
        <v>6.65</v>
      </c>
      <c r="AO14" s="20">
        <f t="shared" si="10"/>
        <v>10.75</v>
      </c>
      <c r="AP14" s="20">
        <f t="shared" si="11"/>
        <v>4.4000000000000004</v>
      </c>
      <c r="AQ14" s="20">
        <f t="shared" si="12"/>
        <v>16.2</v>
      </c>
      <c r="AR14" s="20">
        <f t="shared" si="13"/>
        <v>17.350000000000001</v>
      </c>
      <c r="AS14" s="35">
        <f t="shared" si="29"/>
        <v>152.19999999999999</v>
      </c>
      <c r="AU14" s="47">
        <v>965910</v>
      </c>
      <c r="AV14" s="37">
        <f t="shared" si="31"/>
        <v>1637</v>
      </c>
      <c r="AW14" s="35">
        <f t="shared" si="30"/>
        <v>3.274</v>
      </c>
    </row>
    <row r="15" spans="1:49" x14ac:dyDescent="0.25">
      <c r="A15" s="23">
        <v>43991</v>
      </c>
      <c r="B15" s="40">
        <v>15</v>
      </c>
      <c r="C15" s="24">
        <v>6083540</v>
      </c>
      <c r="D15" s="24">
        <v>13089200</v>
      </c>
      <c r="E15" s="24">
        <v>1774980</v>
      </c>
      <c r="F15" s="24">
        <v>2873740</v>
      </c>
      <c r="G15" s="24">
        <v>8817190</v>
      </c>
      <c r="H15" s="24">
        <v>4411920</v>
      </c>
      <c r="I15" s="24">
        <v>4242020</v>
      </c>
      <c r="J15" s="24">
        <v>4787020</v>
      </c>
      <c r="K15" s="24">
        <v>7536630</v>
      </c>
      <c r="L15" s="24">
        <v>2915240</v>
      </c>
      <c r="M15" s="24">
        <v>6798280</v>
      </c>
      <c r="N15" s="24">
        <v>9683520</v>
      </c>
      <c r="O15" s="24">
        <v>13145130</v>
      </c>
      <c r="Q15" s="37">
        <f t="shared" si="16"/>
        <v>10710</v>
      </c>
      <c r="R15" s="37">
        <f t="shared" si="17"/>
        <v>1910</v>
      </c>
      <c r="S15" s="37">
        <f t="shared" si="15"/>
        <v>0</v>
      </c>
      <c r="T15" s="37">
        <f t="shared" si="18"/>
        <v>1420</v>
      </c>
      <c r="U15" s="37">
        <f t="shared" si="19"/>
        <v>2470</v>
      </c>
      <c r="V15" s="37">
        <f t="shared" si="20"/>
        <v>1630</v>
      </c>
      <c r="W15" s="37">
        <f t="shared" si="21"/>
        <v>2000</v>
      </c>
      <c r="X15" s="37">
        <f t="shared" si="22"/>
        <v>1160</v>
      </c>
      <c r="Y15" s="37">
        <f t="shared" si="23"/>
        <v>1810</v>
      </c>
      <c r="Z15" s="37">
        <f t="shared" si="24"/>
        <v>2390</v>
      </c>
      <c r="AA15" s="37">
        <f t="shared" si="25"/>
        <v>990</v>
      </c>
      <c r="AB15" s="37">
        <f t="shared" si="26"/>
        <v>3490</v>
      </c>
      <c r="AC15" s="37">
        <f t="shared" si="27"/>
        <v>3940</v>
      </c>
      <c r="AD15" s="35">
        <f t="shared" si="28"/>
        <v>33920</v>
      </c>
      <c r="AF15" s="20">
        <f t="shared" si="1"/>
        <v>53.550000000000004</v>
      </c>
      <c r="AG15" s="20">
        <f t="shared" si="2"/>
        <v>9.5500000000000007</v>
      </c>
      <c r="AH15" s="20">
        <f t="shared" si="3"/>
        <v>0</v>
      </c>
      <c r="AI15" s="20">
        <f t="shared" si="4"/>
        <v>7.1000000000000005</v>
      </c>
      <c r="AJ15" s="20">
        <f t="shared" si="5"/>
        <v>12.35</v>
      </c>
      <c r="AK15" s="20">
        <f t="shared" si="6"/>
        <v>8.15</v>
      </c>
      <c r="AL15" s="20">
        <f t="shared" si="7"/>
        <v>10</v>
      </c>
      <c r="AM15" s="20">
        <f t="shared" si="8"/>
        <v>5.8</v>
      </c>
      <c r="AN15" s="20">
        <f t="shared" si="9"/>
        <v>9.0500000000000007</v>
      </c>
      <c r="AO15" s="20">
        <f t="shared" si="10"/>
        <v>11.950000000000001</v>
      </c>
      <c r="AP15" s="20">
        <f t="shared" si="11"/>
        <v>4.95</v>
      </c>
      <c r="AQ15" s="20">
        <f t="shared" si="12"/>
        <v>17.45</v>
      </c>
      <c r="AR15" s="20">
        <f t="shared" si="13"/>
        <v>19.7</v>
      </c>
      <c r="AS15" s="35">
        <f t="shared" si="29"/>
        <v>169.59999999999997</v>
      </c>
      <c r="AU15" s="47">
        <v>967342</v>
      </c>
      <c r="AV15" s="37">
        <f t="shared" si="31"/>
        <v>1432</v>
      </c>
      <c r="AW15" s="35">
        <f t="shared" si="30"/>
        <v>2.8639999999999999</v>
      </c>
    </row>
    <row r="16" spans="1:49" x14ac:dyDescent="0.25">
      <c r="A16" s="23">
        <v>43992</v>
      </c>
      <c r="B16" s="40">
        <v>15</v>
      </c>
      <c r="C16" s="24">
        <v>6094290</v>
      </c>
      <c r="D16" s="24">
        <v>13091100</v>
      </c>
      <c r="E16" s="24">
        <v>1774980</v>
      </c>
      <c r="F16" s="24">
        <v>2875750</v>
      </c>
      <c r="G16" s="24">
        <v>8819550</v>
      </c>
      <c r="H16" s="24">
        <v>4413610</v>
      </c>
      <c r="I16" s="24">
        <v>4244010</v>
      </c>
      <c r="J16" s="24">
        <v>4788180</v>
      </c>
      <c r="K16" s="24">
        <v>7538630</v>
      </c>
      <c r="L16" s="24">
        <v>2917550</v>
      </c>
      <c r="M16" s="24">
        <v>6799270</v>
      </c>
      <c r="N16" s="24">
        <v>9687060</v>
      </c>
      <c r="O16" s="24">
        <v>13148810</v>
      </c>
      <c r="Q16" s="37">
        <f t="shared" si="16"/>
        <v>10750</v>
      </c>
      <c r="R16" s="37">
        <f t="shared" si="17"/>
        <v>1900</v>
      </c>
      <c r="S16" s="37">
        <f t="shared" si="15"/>
        <v>0</v>
      </c>
      <c r="T16" s="37">
        <f t="shared" si="18"/>
        <v>2010</v>
      </c>
      <c r="U16" s="37">
        <f t="shared" si="19"/>
        <v>2360</v>
      </c>
      <c r="V16" s="37">
        <f t="shared" si="20"/>
        <v>1690</v>
      </c>
      <c r="W16" s="37">
        <f t="shared" si="21"/>
        <v>1990</v>
      </c>
      <c r="X16" s="37">
        <f t="shared" si="22"/>
        <v>1160</v>
      </c>
      <c r="Y16" s="37">
        <f t="shared" si="23"/>
        <v>2000</v>
      </c>
      <c r="Z16" s="37">
        <f t="shared" si="24"/>
        <v>2310</v>
      </c>
      <c r="AA16" s="37">
        <f t="shared" si="25"/>
        <v>990</v>
      </c>
      <c r="AB16" s="37">
        <f t="shared" si="26"/>
        <v>3540</v>
      </c>
      <c r="AC16" s="37">
        <f t="shared" si="27"/>
        <v>3680</v>
      </c>
      <c r="AD16" s="35">
        <f t="shared" si="28"/>
        <v>34380</v>
      </c>
      <c r="AF16" s="20">
        <f t="shared" si="1"/>
        <v>53.75</v>
      </c>
      <c r="AG16" s="20">
        <f t="shared" si="2"/>
        <v>9.5</v>
      </c>
      <c r="AH16" s="20">
        <f t="shared" si="3"/>
        <v>0</v>
      </c>
      <c r="AI16" s="20">
        <f t="shared" si="4"/>
        <v>10.050000000000001</v>
      </c>
      <c r="AJ16" s="20">
        <f t="shared" si="5"/>
        <v>11.8</v>
      </c>
      <c r="AK16" s="20">
        <f t="shared" si="6"/>
        <v>8.4499999999999993</v>
      </c>
      <c r="AL16" s="20">
        <f t="shared" si="7"/>
        <v>9.9500000000000011</v>
      </c>
      <c r="AM16" s="20">
        <f t="shared" si="8"/>
        <v>5.8</v>
      </c>
      <c r="AN16" s="20">
        <f t="shared" si="9"/>
        <v>10</v>
      </c>
      <c r="AO16" s="20">
        <f t="shared" si="10"/>
        <v>11.55</v>
      </c>
      <c r="AP16" s="20">
        <f t="shared" si="11"/>
        <v>4.95</v>
      </c>
      <c r="AQ16" s="20">
        <f t="shared" si="12"/>
        <v>17.7</v>
      </c>
      <c r="AR16" s="20">
        <f t="shared" si="13"/>
        <v>18.400000000000002</v>
      </c>
      <c r="AS16" s="35">
        <f t="shared" si="29"/>
        <v>171.89999999999998</v>
      </c>
      <c r="AU16" s="47">
        <v>968704</v>
      </c>
      <c r="AV16" s="37">
        <f t="shared" si="31"/>
        <v>1362</v>
      </c>
      <c r="AW16" s="35">
        <f t="shared" si="30"/>
        <v>2.7240000000000002</v>
      </c>
    </row>
    <row r="17" spans="1:49" x14ac:dyDescent="0.25">
      <c r="A17" s="23">
        <v>43993</v>
      </c>
      <c r="B17" s="40">
        <v>15</v>
      </c>
      <c r="C17" s="24">
        <v>6105290</v>
      </c>
      <c r="D17" s="24">
        <v>13093010</v>
      </c>
      <c r="E17" s="24">
        <v>1774980</v>
      </c>
      <c r="F17" s="24">
        <v>2876570</v>
      </c>
      <c r="G17" s="24">
        <v>8822080</v>
      </c>
      <c r="H17" s="24">
        <v>4415790</v>
      </c>
      <c r="I17" s="24">
        <v>4246030</v>
      </c>
      <c r="J17" s="24">
        <v>4789370</v>
      </c>
      <c r="K17" s="24">
        <v>7540630</v>
      </c>
      <c r="L17" s="24">
        <v>2919890</v>
      </c>
      <c r="M17" s="24">
        <v>6800500</v>
      </c>
      <c r="N17" s="24">
        <v>9690560</v>
      </c>
      <c r="O17" s="24">
        <v>13152690</v>
      </c>
      <c r="Q17" s="37">
        <f t="shared" si="16"/>
        <v>11000</v>
      </c>
      <c r="R17" s="37">
        <f t="shared" si="17"/>
        <v>1910</v>
      </c>
      <c r="S17" s="37">
        <f t="shared" si="15"/>
        <v>0</v>
      </c>
      <c r="T17" s="37">
        <f t="shared" si="18"/>
        <v>820</v>
      </c>
      <c r="U17" s="37">
        <f t="shared" si="19"/>
        <v>2530</v>
      </c>
      <c r="V17" s="37">
        <f t="shared" si="20"/>
        <v>2180</v>
      </c>
      <c r="W17" s="37">
        <f t="shared" si="21"/>
        <v>2020</v>
      </c>
      <c r="X17" s="37">
        <f t="shared" si="22"/>
        <v>1190</v>
      </c>
      <c r="Y17" s="37">
        <f t="shared" si="23"/>
        <v>2000</v>
      </c>
      <c r="Z17" s="37">
        <f t="shared" si="24"/>
        <v>2340</v>
      </c>
      <c r="AA17" s="37">
        <f t="shared" si="25"/>
        <v>1230</v>
      </c>
      <c r="AB17" s="37">
        <f t="shared" si="26"/>
        <v>3500</v>
      </c>
      <c r="AC17" s="37">
        <f t="shared" si="27"/>
        <v>3880</v>
      </c>
      <c r="AD17" s="35">
        <f t="shared" si="28"/>
        <v>34600</v>
      </c>
      <c r="AF17" s="20">
        <f t="shared" si="1"/>
        <v>55</v>
      </c>
      <c r="AG17" s="20">
        <f t="shared" si="2"/>
        <v>9.5500000000000007</v>
      </c>
      <c r="AH17" s="20">
        <f t="shared" si="3"/>
        <v>0</v>
      </c>
      <c r="AI17" s="20">
        <f t="shared" si="4"/>
        <v>4.0999999999999996</v>
      </c>
      <c r="AJ17" s="20">
        <f t="shared" si="5"/>
        <v>12.65</v>
      </c>
      <c r="AK17" s="20">
        <f t="shared" si="6"/>
        <v>10.9</v>
      </c>
      <c r="AL17" s="20">
        <f t="shared" si="7"/>
        <v>10.1</v>
      </c>
      <c r="AM17" s="20">
        <f t="shared" si="8"/>
        <v>5.95</v>
      </c>
      <c r="AN17" s="20">
        <f t="shared" si="9"/>
        <v>10</v>
      </c>
      <c r="AO17" s="20">
        <f t="shared" si="10"/>
        <v>11.700000000000001</v>
      </c>
      <c r="AP17" s="20">
        <f t="shared" si="11"/>
        <v>6.15</v>
      </c>
      <c r="AQ17" s="20">
        <f t="shared" si="12"/>
        <v>17.5</v>
      </c>
      <c r="AR17" s="20">
        <f t="shared" si="13"/>
        <v>19.400000000000002</v>
      </c>
      <c r="AS17" s="35">
        <f t="shared" si="29"/>
        <v>173</v>
      </c>
      <c r="AU17" s="47">
        <v>970699</v>
      </c>
      <c r="AV17" s="37">
        <f t="shared" si="31"/>
        <v>1995</v>
      </c>
      <c r="AW17" s="35">
        <f t="shared" si="30"/>
        <v>3.99</v>
      </c>
    </row>
    <row r="18" spans="1:49" x14ac:dyDescent="0.25">
      <c r="A18" s="23">
        <v>43994</v>
      </c>
      <c r="B18" s="40">
        <v>15</v>
      </c>
      <c r="C18" s="24">
        <v>6116930</v>
      </c>
      <c r="D18" s="24">
        <v>13095060</v>
      </c>
      <c r="E18" s="24">
        <v>1774980</v>
      </c>
      <c r="F18" s="24">
        <v>2878090</v>
      </c>
      <c r="G18" s="24">
        <v>8824810</v>
      </c>
      <c r="H18" s="24">
        <v>4417240</v>
      </c>
      <c r="I18" s="24">
        <v>4248180</v>
      </c>
      <c r="J18" s="24">
        <v>4790620</v>
      </c>
      <c r="K18" s="24">
        <v>7542760</v>
      </c>
      <c r="L18" s="24">
        <v>2922420</v>
      </c>
      <c r="M18" s="24">
        <v>6801690</v>
      </c>
      <c r="N18" s="24">
        <v>9694290</v>
      </c>
      <c r="O18" s="24">
        <v>13157020</v>
      </c>
      <c r="Q18" s="37">
        <f t="shared" si="16"/>
        <v>11640</v>
      </c>
      <c r="R18" s="37">
        <f t="shared" si="17"/>
        <v>2050</v>
      </c>
      <c r="S18" s="37">
        <f t="shared" si="15"/>
        <v>0</v>
      </c>
      <c r="T18" s="37">
        <f t="shared" si="18"/>
        <v>1520</v>
      </c>
      <c r="U18" s="37">
        <f t="shared" si="19"/>
        <v>2730</v>
      </c>
      <c r="V18" s="37">
        <f t="shared" si="20"/>
        <v>1450</v>
      </c>
      <c r="W18" s="37">
        <f t="shared" si="21"/>
        <v>2150</v>
      </c>
      <c r="X18" s="37">
        <f t="shared" si="22"/>
        <v>1250</v>
      </c>
      <c r="Y18" s="37">
        <f t="shared" si="23"/>
        <v>2130</v>
      </c>
      <c r="Z18" s="37">
        <f t="shared" si="24"/>
        <v>2530</v>
      </c>
      <c r="AA18" s="37">
        <f t="shared" si="25"/>
        <v>1190</v>
      </c>
      <c r="AB18" s="37">
        <f t="shared" si="26"/>
        <v>3730</v>
      </c>
      <c r="AC18" s="37">
        <f t="shared" si="27"/>
        <v>4330</v>
      </c>
      <c r="AD18" s="35">
        <f t="shared" si="28"/>
        <v>36700</v>
      </c>
      <c r="AF18" s="20">
        <f t="shared" si="1"/>
        <v>58.2</v>
      </c>
      <c r="AG18" s="20">
        <f t="shared" si="2"/>
        <v>10.25</v>
      </c>
      <c r="AH18" s="20">
        <f t="shared" si="3"/>
        <v>0</v>
      </c>
      <c r="AI18" s="20">
        <f t="shared" si="4"/>
        <v>7.6000000000000005</v>
      </c>
      <c r="AJ18" s="20">
        <f t="shared" si="5"/>
        <v>13.65</v>
      </c>
      <c r="AK18" s="20">
        <f t="shared" si="6"/>
        <v>7.25</v>
      </c>
      <c r="AL18" s="20">
        <f t="shared" si="7"/>
        <v>10.75</v>
      </c>
      <c r="AM18" s="20">
        <f t="shared" si="8"/>
        <v>6.25</v>
      </c>
      <c r="AN18" s="20">
        <f t="shared" si="9"/>
        <v>10.65</v>
      </c>
      <c r="AO18" s="20">
        <f t="shared" si="10"/>
        <v>12.65</v>
      </c>
      <c r="AP18" s="20">
        <f t="shared" si="11"/>
        <v>5.95</v>
      </c>
      <c r="AQ18" s="20">
        <f t="shared" si="12"/>
        <v>18.650000000000002</v>
      </c>
      <c r="AR18" s="20">
        <f t="shared" si="13"/>
        <v>21.650000000000002</v>
      </c>
      <c r="AS18" s="35">
        <f t="shared" si="29"/>
        <v>183.5</v>
      </c>
      <c r="AU18" s="47">
        <v>972591</v>
      </c>
      <c r="AV18" s="37">
        <f t="shared" si="31"/>
        <v>1892</v>
      </c>
      <c r="AW18" s="35">
        <f t="shared" si="30"/>
        <v>3.7840000000000003</v>
      </c>
    </row>
    <row r="19" spans="1:49" x14ac:dyDescent="0.25">
      <c r="A19" s="23">
        <v>43995</v>
      </c>
      <c r="B19" s="40">
        <v>15</v>
      </c>
      <c r="C19" s="24">
        <v>6126360</v>
      </c>
      <c r="D19" s="24">
        <v>13096880</v>
      </c>
      <c r="E19" s="24">
        <v>1775110</v>
      </c>
      <c r="F19" s="24">
        <v>2879450</v>
      </c>
      <c r="G19" s="24">
        <v>8827100</v>
      </c>
      <c r="H19" s="24">
        <v>4418840</v>
      </c>
      <c r="I19" s="24">
        <v>4250070</v>
      </c>
      <c r="J19" s="24">
        <v>4791740</v>
      </c>
      <c r="K19" s="24">
        <v>7544490</v>
      </c>
      <c r="L19" s="24">
        <v>2924550</v>
      </c>
      <c r="M19" s="24">
        <v>6802580</v>
      </c>
      <c r="N19" s="24">
        <v>9697660</v>
      </c>
      <c r="O19" s="24">
        <v>13160820</v>
      </c>
      <c r="Q19" s="37">
        <f t="shared" si="16"/>
        <v>9430</v>
      </c>
      <c r="R19" s="37">
        <f t="shared" si="17"/>
        <v>1820</v>
      </c>
      <c r="S19" s="37">
        <f t="shared" si="15"/>
        <v>130</v>
      </c>
      <c r="T19" s="37">
        <f t="shared" si="18"/>
        <v>1360</v>
      </c>
      <c r="U19" s="37">
        <f t="shared" si="19"/>
        <v>2290</v>
      </c>
      <c r="V19" s="37">
        <f t="shared" si="20"/>
        <v>1600</v>
      </c>
      <c r="W19" s="37">
        <f t="shared" si="21"/>
        <v>1890</v>
      </c>
      <c r="X19" s="37">
        <f t="shared" si="22"/>
        <v>1120</v>
      </c>
      <c r="Y19" s="37">
        <f t="shared" si="23"/>
        <v>1730</v>
      </c>
      <c r="Z19" s="37">
        <f t="shared" si="24"/>
        <v>2130</v>
      </c>
      <c r="AA19" s="37">
        <f t="shared" si="25"/>
        <v>890</v>
      </c>
      <c r="AB19" s="37">
        <f t="shared" si="26"/>
        <v>3370</v>
      </c>
      <c r="AC19" s="37">
        <f t="shared" si="27"/>
        <v>3800</v>
      </c>
      <c r="AD19" s="35">
        <f t="shared" si="28"/>
        <v>31560</v>
      </c>
      <c r="AF19" s="20">
        <f t="shared" si="1"/>
        <v>47.15</v>
      </c>
      <c r="AG19" s="20">
        <f t="shared" si="2"/>
        <v>9.1</v>
      </c>
      <c r="AH19" s="20">
        <f t="shared" si="3"/>
        <v>0.65</v>
      </c>
      <c r="AI19" s="20">
        <f t="shared" si="4"/>
        <v>6.8</v>
      </c>
      <c r="AJ19" s="20">
        <f t="shared" si="5"/>
        <v>11.450000000000001</v>
      </c>
      <c r="AK19" s="20">
        <f t="shared" si="6"/>
        <v>8</v>
      </c>
      <c r="AL19" s="20">
        <f t="shared" si="7"/>
        <v>9.4500000000000011</v>
      </c>
      <c r="AM19" s="20">
        <f t="shared" si="8"/>
        <v>5.6000000000000005</v>
      </c>
      <c r="AN19" s="20">
        <f t="shared" si="9"/>
        <v>8.65</v>
      </c>
      <c r="AO19" s="20">
        <f t="shared" si="10"/>
        <v>10.65</v>
      </c>
      <c r="AP19" s="20">
        <f t="shared" si="11"/>
        <v>4.45</v>
      </c>
      <c r="AQ19" s="20">
        <f t="shared" si="12"/>
        <v>16.850000000000001</v>
      </c>
      <c r="AR19" s="20">
        <f t="shared" si="13"/>
        <v>19</v>
      </c>
      <c r="AS19" s="35">
        <f t="shared" si="29"/>
        <v>157.80000000000001</v>
      </c>
      <c r="AU19" s="47">
        <v>973934</v>
      </c>
      <c r="AV19" s="37">
        <f t="shared" si="31"/>
        <v>1343</v>
      </c>
      <c r="AW19" s="35">
        <f t="shared" si="30"/>
        <v>2.6859999999999999</v>
      </c>
    </row>
    <row r="20" spans="1:49" x14ac:dyDescent="0.25">
      <c r="A20" s="23">
        <v>43996</v>
      </c>
      <c r="B20" s="40">
        <v>15</v>
      </c>
      <c r="C20" s="24">
        <v>6126980</v>
      </c>
      <c r="D20" s="24">
        <v>13099000</v>
      </c>
      <c r="E20" s="24">
        <v>1778780</v>
      </c>
      <c r="F20" s="24">
        <v>2881000</v>
      </c>
      <c r="G20" s="24">
        <v>8829680</v>
      </c>
      <c r="H20" s="24">
        <v>4420670</v>
      </c>
      <c r="I20" s="24">
        <v>4252260</v>
      </c>
      <c r="J20" s="24">
        <v>4793050</v>
      </c>
      <c r="K20" s="24">
        <v>7546340</v>
      </c>
      <c r="L20" s="24">
        <v>2927110</v>
      </c>
      <c r="M20" s="24">
        <v>6803620</v>
      </c>
      <c r="N20" s="24">
        <v>9701590</v>
      </c>
      <c r="O20" s="24">
        <v>13165150</v>
      </c>
      <c r="Q20" s="37">
        <f t="shared" si="16"/>
        <v>620</v>
      </c>
      <c r="R20" s="37">
        <f t="shared" si="17"/>
        <v>2120</v>
      </c>
      <c r="S20" s="37">
        <f t="shared" si="15"/>
        <v>3670</v>
      </c>
      <c r="T20" s="37">
        <f t="shared" si="18"/>
        <v>1550</v>
      </c>
      <c r="U20" s="37">
        <f t="shared" si="19"/>
        <v>2580</v>
      </c>
      <c r="V20" s="37">
        <f t="shared" si="20"/>
        <v>1830</v>
      </c>
      <c r="W20" s="37">
        <f t="shared" si="21"/>
        <v>2190</v>
      </c>
      <c r="X20" s="37">
        <f t="shared" si="22"/>
        <v>1310</v>
      </c>
      <c r="Y20" s="37">
        <f t="shared" si="23"/>
        <v>1850</v>
      </c>
      <c r="Z20" s="37">
        <f t="shared" si="24"/>
        <v>2560</v>
      </c>
      <c r="AA20" s="37">
        <f t="shared" si="25"/>
        <v>1040</v>
      </c>
      <c r="AB20" s="37">
        <f t="shared" si="26"/>
        <v>3930</v>
      </c>
      <c r="AC20" s="37">
        <f t="shared" si="27"/>
        <v>4330</v>
      </c>
      <c r="AD20" s="35">
        <f t="shared" si="28"/>
        <v>29580</v>
      </c>
      <c r="AF20" s="20">
        <f t="shared" si="1"/>
        <v>3.1</v>
      </c>
      <c r="AG20" s="20">
        <f t="shared" si="2"/>
        <v>10.6</v>
      </c>
      <c r="AH20" s="20">
        <f t="shared" si="3"/>
        <v>18.350000000000001</v>
      </c>
      <c r="AI20" s="20">
        <f t="shared" si="4"/>
        <v>7.75</v>
      </c>
      <c r="AJ20" s="20">
        <f t="shared" si="5"/>
        <v>12.9</v>
      </c>
      <c r="AK20" s="20">
        <f t="shared" si="6"/>
        <v>9.15</v>
      </c>
      <c r="AL20" s="20">
        <f t="shared" si="7"/>
        <v>10.950000000000001</v>
      </c>
      <c r="AM20" s="20">
        <f t="shared" si="8"/>
        <v>6.55</v>
      </c>
      <c r="AN20" s="20">
        <f t="shared" si="9"/>
        <v>9.25</v>
      </c>
      <c r="AO20" s="20">
        <f t="shared" si="10"/>
        <v>12.8</v>
      </c>
      <c r="AP20" s="20">
        <f t="shared" si="11"/>
        <v>5.2</v>
      </c>
      <c r="AQ20" s="20">
        <f t="shared" si="12"/>
        <v>19.650000000000002</v>
      </c>
      <c r="AR20" s="20">
        <f t="shared" si="13"/>
        <v>21.650000000000002</v>
      </c>
      <c r="AS20" s="35">
        <f t="shared" si="29"/>
        <v>147.9</v>
      </c>
      <c r="AU20" s="47">
        <v>975354</v>
      </c>
      <c r="AV20" s="37">
        <f t="shared" si="31"/>
        <v>1420</v>
      </c>
      <c r="AW20" s="35">
        <f t="shared" si="30"/>
        <v>2.84</v>
      </c>
    </row>
    <row r="21" spans="1:49" x14ac:dyDescent="0.25">
      <c r="A21" s="23">
        <v>43997</v>
      </c>
      <c r="B21" s="40">
        <v>15</v>
      </c>
      <c r="C21" s="24">
        <v>6127450</v>
      </c>
      <c r="D21" s="24">
        <v>13100630</v>
      </c>
      <c r="E21" s="24">
        <v>1781680</v>
      </c>
      <c r="F21" s="24">
        <v>2882190</v>
      </c>
      <c r="G21" s="24">
        <v>8831800</v>
      </c>
      <c r="H21" s="24">
        <v>4422240</v>
      </c>
      <c r="I21" s="24">
        <v>4253960</v>
      </c>
      <c r="J21" s="24">
        <v>4794070</v>
      </c>
      <c r="K21" s="24">
        <v>7547780</v>
      </c>
      <c r="L21" s="24">
        <v>2929130</v>
      </c>
      <c r="M21" s="24">
        <v>6804600</v>
      </c>
      <c r="N21" s="24">
        <v>9704490</v>
      </c>
      <c r="O21" s="24">
        <v>13168370</v>
      </c>
      <c r="Q21" s="37">
        <f t="shared" si="16"/>
        <v>470</v>
      </c>
      <c r="R21" s="37">
        <f t="shared" si="17"/>
        <v>1630</v>
      </c>
      <c r="S21" s="37">
        <f t="shared" si="15"/>
        <v>2900</v>
      </c>
      <c r="T21" s="37">
        <f t="shared" si="18"/>
        <v>1190</v>
      </c>
      <c r="U21" s="37">
        <f t="shared" si="19"/>
        <v>2120</v>
      </c>
      <c r="V21" s="37">
        <f t="shared" si="20"/>
        <v>1570</v>
      </c>
      <c r="W21" s="37">
        <f t="shared" si="21"/>
        <v>1700</v>
      </c>
      <c r="X21" s="37">
        <f t="shared" si="22"/>
        <v>1020</v>
      </c>
      <c r="Y21" s="37">
        <f t="shared" si="23"/>
        <v>1440</v>
      </c>
      <c r="Z21" s="37">
        <f t="shared" si="24"/>
        <v>2020</v>
      </c>
      <c r="AA21" s="37">
        <f t="shared" si="25"/>
        <v>980</v>
      </c>
      <c r="AB21" s="37">
        <f t="shared" si="26"/>
        <v>2900</v>
      </c>
      <c r="AC21" s="37">
        <f t="shared" si="27"/>
        <v>3220</v>
      </c>
      <c r="AD21" s="35">
        <f t="shared" si="28"/>
        <v>23160</v>
      </c>
      <c r="AF21" s="20">
        <f t="shared" si="1"/>
        <v>2.35</v>
      </c>
      <c r="AG21" s="20">
        <f t="shared" si="2"/>
        <v>8.15</v>
      </c>
      <c r="AH21" s="20">
        <f t="shared" si="3"/>
        <v>14.5</v>
      </c>
      <c r="AI21" s="20">
        <f t="shared" si="4"/>
        <v>5.95</v>
      </c>
      <c r="AJ21" s="20">
        <f t="shared" si="5"/>
        <v>10.6</v>
      </c>
      <c r="AK21" s="20">
        <f t="shared" si="6"/>
        <v>7.8500000000000005</v>
      </c>
      <c r="AL21" s="20">
        <f t="shared" si="7"/>
        <v>8.5</v>
      </c>
      <c r="AM21" s="20">
        <f t="shared" si="8"/>
        <v>5.1000000000000005</v>
      </c>
      <c r="AN21" s="20">
        <f t="shared" si="9"/>
        <v>7.2</v>
      </c>
      <c r="AO21" s="20">
        <f t="shared" si="10"/>
        <v>10.1</v>
      </c>
      <c r="AP21" s="20">
        <f t="shared" si="11"/>
        <v>4.9000000000000004</v>
      </c>
      <c r="AQ21" s="20">
        <f t="shared" si="12"/>
        <v>14.5</v>
      </c>
      <c r="AR21" s="20">
        <f t="shared" si="13"/>
        <v>16.100000000000001</v>
      </c>
      <c r="AS21" s="35">
        <f t="shared" si="29"/>
        <v>115.80000000000001</v>
      </c>
      <c r="AU21" s="47">
        <v>977109</v>
      </c>
      <c r="AV21" s="37">
        <f t="shared" si="31"/>
        <v>1755</v>
      </c>
      <c r="AW21" s="35">
        <f t="shared" si="30"/>
        <v>3.5100000000000002</v>
      </c>
    </row>
    <row r="22" spans="1:49" x14ac:dyDescent="0.25">
      <c r="A22" s="23">
        <v>43998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6"/>
        <v>0</v>
      </c>
      <c r="R22" s="37" t="str">
        <f t="shared" si="17"/>
        <v>0</v>
      </c>
      <c r="S22" s="37" t="str">
        <f t="shared" si="15"/>
        <v>0</v>
      </c>
      <c r="T22" s="37" t="str">
        <f t="shared" si="18"/>
        <v>0</v>
      </c>
      <c r="U22" s="37" t="str">
        <f t="shared" si="19"/>
        <v>0</v>
      </c>
      <c r="V22" s="37" t="str">
        <f t="shared" si="20"/>
        <v>0</v>
      </c>
      <c r="W22" s="37" t="str">
        <f t="shared" si="21"/>
        <v>0</v>
      </c>
      <c r="X22" s="37" t="str">
        <f t="shared" si="22"/>
        <v>0</v>
      </c>
      <c r="Y22" s="37" t="str">
        <f t="shared" si="23"/>
        <v>0</v>
      </c>
      <c r="Z22" s="37" t="str">
        <f t="shared" si="24"/>
        <v>0</v>
      </c>
      <c r="AA22" s="37" t="str">
        <f t="shared" si="25"/>
        <v>0</v>
      </c>
      <c r="AB22" s="37" t="str">
        <f t="shared" si="26"/>
        <v>0</v>
      </c>
      <c r="AC22" s="37" t="str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 t="str">
        <f t="shared" si="31"/>
        <v>0</v>
      </c>
      <c r="AW22" s="35">
        <f t="shared" si="30"/>
        <v>0</v>
      </c>
    </row>
    <row r="23" spans="1:49" x14ac:dyDescent="0.25">
      <c r="A23" s="23">
        <v>43999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44000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44001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44002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44003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44004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44005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44006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44007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44008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44009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44010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44011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44012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105020</v>
      </c>
      <c r="R38" s="30">
        <f t="shared" si="62"/>
        <v>28300</v>
      </c>
      <c r="S38" s="30">
        <f t="shared" si="62"/>
        <v>18130</v>
      </c>
      <c r="T38" s="30">
        <f t="shared" si="62"/>
        <v>21220</v>
      </c>
      <c r="U38" s="30">
        <f t="shared" si="62"/>
        <v>35210</v>
      </c>
      <c r="V38" s="30">
        <f t="shared" si="62"/>
        <v>25080</v>
      </c>
      <c r="W38" s="30">
        <f t="shared" si="62"/>
        <v>29620</v>
      </c>
      <c r="X38" s="30">
        <f t="shared" si="62"/>
        <v>17530</v>
      </c>
      <c r="Y38" s="30">
        <f t="shared" si="62"/>
        <v>25460</v>
      </c>
      <c r="Z38" s="30">
        <f t="shared" si="62"/>
        <v>34940</v>
      </c>
      <c r="AA38" s="30">
        <f t="shared" si="62"/>
        <v>15530</v>
      </c>
      <c r="AB38" s="30">
        <f t="shared" si="62"/>
        <v>52550</v>
      </c>
      <c r="AC38" s="30">
        <f t="shared" si="62"/>
        <v>56430</v>
      </c>
      <c r="AD38" s="35">
        <f t="shared" si="62"/>
        <v>465020</v>
      </c>
      <c r="AF38" s="35">
        <f t="shared" ref="AF38:AS38" si="63">SUM(AF7:AF34)</f>
        <v>525.1</v>
      </c>
      <c r="AG38" s="35">
        <f t="shared" si="63"/>
        <v>141.5</v>
      </c>
      <c r="AH38" s="35">
        <f t="shared" si="63"/>
        <v>90.65</v>
      </c>
      <c r="AI38" s="35">
        <f t="shared" si="63"/>
        <v>106.1</v>
      </c>
      <c r="AJ38" s="35">
        <f t="shared" si="63"/>
        <v>176.04999999999998</v>
      </c>
      <c r="AK38" s="35">
        <f t="shared" si="63"/>
        <v>125.4</v>
      </c>
      <c r="AL38" s="35">
        <f t="shared" si="63"/>
        <v>148.1</v>
      </c>
      <c r="AM38" s="35">
        <f t="shared" si="63"/>
        <v>87.649999999999977</v>
      </c>
      <c r="AN38" s="35">
        <f t="shared" si="63"/>
        <v>127.30000000000003</v>
      </c>
      <c r="AO38" s="35">
        <f t="shared" si="63"/>
        <v>174.70000000000002</v>
      </c>
      <c r="AP38" s="35">
        <f t="shared" si="63"/>
        <v>77.650000000000006</v>
      </c>
      <c r="AQ38" s="35">
        <f t="shared" si="63"/>
        <v>262.75</v>
      </c>
      <c r="AR38" s="35">
        <f t="shared" si="63"/>
        <v>282.15000000000003</v>
      </c>
      <c r="AS38" s="35">
        <f t="shared" si="63"/>
        <v>2325.1000000000004</v>
      </c>
      <c r="AU38" s="48"/>
      <c r="AV38" s="35">
        <f>SUM(AV7:AV34)</f>
        <v>24737</v>
      </c>
      <c r="AW38" s="35">
        <f>SUM(AW7:AW34)</f>
        <v>40.904000000000003</v>
      </c>
    </row>
    <row r="39" spans="1:49" x14ac:dyDescent="0.25">
      <c r="D39">
        <v>5.0000000000000001E-3</v>
      </c>
      <c r="AV39" s="36">
        <f>AV38*0.00378541*1000</f>
        <v>93639.687170000005</v>
      </c>
    </row>
    <row r="40" spans="1:49" x14ac:dyDescent="0.25">
      <c r="D40">
        <v>2E-3</v>
      </c>
      <c r="AV40">
        <f>AV39/31</f>
        <v>3020.6350700000003</v>
      </c>
    </row>
    <row r="41" spans="1:49" x14ac:dyDescent="0.25">
      <c r="AV41">
        <f>AV38*0.00378541</f>
        <v>93.639687170000002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E3:E11 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2020-06-16T05:49:03Z</dcterms:modified>
</cp:coreProperties>
</file>