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97AB1BDC-AF13-4F7A-B520-68DDEE8E2BB6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Septem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32" i="2" l="1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17" i="2"/>
  <c r="C1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2" i="2"/>
  <c r="AE8" i="2"/>
  <c r="AE9" i="2"/>
  <c r="AE10" i="2"/>
  <c r="AE11" i="2"/>
  <c r="AE12" i="2"/>
  <c r="AE13" i="2"/>
  <c r="AE14" i="2"/>
  <c r="AE15" i="2"/>
  <c r="AE16" i="2"/>
  <c r="AE3" i="2"/>
  <c r="AE4" i="2"/>
  <c r="AE5" i="2"/>
  <c r="AE6" i="2"/>
  <c r="AE7" i="2"/>
  <c r="AE2" i="2"/>
  <c r="U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9" i="3"/>
  <c r="K30" i="3"/>
  <c r="K31" i="3"/>
  <c r="K3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K33" i="2"/>
  <c r="Y32" i="2"/>
  <c r="K32" i="2"/>
  <c r="G32" i="2"/>
  <c r="Y31" i="2"/>
  <c r="K31" i="2"/>
  <c r="G31" i="2"/>
  <c r="Y30" i="2"/>
  <c r="K30" i="2"/>
  <c r="G30" i="2"/>
  <c r="Y29" i="2"/>
  <c r="U29" i="2"/>
  <c r="G29" i="3" s="1"/>
  <c r="K29" i="2"/>
  <c r="G29" i="2"/>
  <c r="Y28" i="2"/>
  <c r="K28" i="2"/>
  <c r="G28" i="2"/>
  <c r="Y27" i="2"/>
  <c r="K27" i="2"/>
  <c r="G27" i="2"/>
  <c r="Y26" i="2"/>
  <c r="K26" i="2"/>
  <c r="G26" i="2"/>
  <c r="Y25" i="2"/>
  <c r="K25" i="2"/>
  <c r="G25" i="2"/>
  <c r="Y24" i="2"/>
  <c r="K24" i="2"/>
  <c r="G24" i="2"/>
  <c r="Y23" i="2"/>
  <c r="K23" i="2"/>
  <c r="G23" i="2"/>
  <c r="H23" i="2"/>
  <c r="Y22" i="2"/>
  <c r="K22" i="2"/>
  <c r="G22" i="2"/>
  <c r="Y21" i="2"/>
  <c r="K21" i="2"/>
  <c r="G21" i="2"/>
  <c r="Y20" i="2"/>
  <c r="K20" i="2"/>
  <c r="G20" i="2"/>
  <c r="Y19" i="2"/>
  <c r="K19" i="2"/>
  <c r="G19" i="2"/>
  <c r="Y18" i="2"/>
  <c r="K18" i="2"/>
  <c r="G18" i="2"/>
  <c r="Y17" i="2"/>
  <c r="K17" i="2"/>
  <c r="G17" i="2"/>
  <c r="Y16" i="2"/>
  <c r="K16" i="2"/>
  <c r="G16" i="2"/>
  <c r="Y15" i="2"/>
  <c r="K15" i="2"/>
  <c r="G15" i="2"/>
  <c r="Y14" i="2"/>
  <c r="K14" i="2"/>
  <c r="G14" i="2"/>
  <c r="Y13" i="2"/>
  <c r="K13" i="2"/>
  <c r="G13" i="2"/>
  <c r="Y12" i="2"/>
  <c r="K12" i="2"/>
  <c r="G12" i="2"/>
  <c r="Y11" i="2"/>
  <c r="K11" i="2"/>
  <c r="G11" i="2"/>
  <c r="Y10" i="2"/>
  <c r="K10" i="2"/>
  <c r="G10" i="2"/>
  <c r="Y9" i="2"/>
  <c r="K9" i="2"/>
  <c r="G9" i="2"/>
  <c r="Y8" i="2"/>
  <c r="K8" i="2"/>
  <c r="G8" i="2"/>
  <c r="Y7" i="2"/>
  <c r="K7" i="2"/>
  <c r="G7" i="2"/>
  <c r="Y6" i="2"/>
  <c r="K6" i="2"/>
  <c r="G6" i="2"/>
  <c r="Y5" i="2"/>
  <c r="K5" i="2"/>
  <c r="G5" i="2"/>
  <c r="Y4" i="2"/>
  <c r="K4" i="2"/>
  <c r="G4" i="2"/>
  <c r="Y3" i="2"/>
  <c r="K3" i="2"/>
  <c r="G3" i="2"/>
  <c r="Y2" i="2"/>
  <c r="K2" i="2"/>
  <c r="G2" i="2"/>
  <c r="G34" i="2" s="1"/>
  <c r="I23" i="2" l="1"/>
  <c r="E17" i="3"/>
  <c r="F17" i="3"/>
  <c r="F19" i="3"/>
  <c r="E19" i="3"/>
  <c r="F16" i="3"/>
  <c r="E16" i="3"/>
  <c r="F18" i="3"/>
  <c r="E18" i="3"/>
  <c r="F20" i="3"/>
  <c r="E20" i="3"/>
  <c r="E9" i="3"/>
  <c r="F9" i="3"/>
  <c r="E13" i="3"/>
  <c r="F13" i="3"/>
  <c r="F15" i="3"/>
  <c r="E15" i="3"/>
  <c r="E11" i="3"/>
  <c r="F11" i="3"/>
  <c r="F8" i="3"/>
  <c r="E8" i="3"/>
  <c r="H10" i="2"/>
  <c r="I10" i="2" s="1"/>
  <c r="E10" i="3"/>
  <c r="F10" i="3"/>
  <c r="F12" i="3"/>
  <c r="E12" i="3"/>
  <c r="F14" i="3"/>
  <c r="E14" i="3"/>
  <c r="F3" i="3"/>
  <c r="E3" i="3"/>
  <c r="F5" i="3"/>
  <c r="E5" i="3"/>
  <c r="F7" i="3"/>
  <c r="E7" i="3"/>
  <c r="F2" i="3"/>
  <c r="E2" i="3"/>
  <c r="E4" i="3"/>
  <c r="F4" i="3"/>
  <c r="E6" i="3"/>
  <c r="F6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I5" i="2" s="1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6" i="2"/>
  <c r="C34" i="2"/>
  <c r="J22" i="2" l="1"/>
  <c r="J10" i="2"/>
  <c r="J11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<sst xmlns="http://schemas.openxmlformats.org/spreadsheetml/2006/main" count="77" uniqueCount="40">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</sst>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1" fontId="7" fillId="0" borderId="17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4" xfId="0" applyNumberFormat="1" applyFont="1" applyBorder="1" applyAlignment="1">
      <alignment horizontal="center" vertical="center"/>
    </xf>
    <xf numFmtId="1" fontId="5" fillId="0" borderId="25" xfId="0" applyNumberFormat="1" applyFont="1" applyBorder="1" applyAlignment="1">
      <alignment horizontal="center"/>
    </xf>
    <xf numFmtId="1" fontId="8" fillId="0" borderId="25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/>
    </xf>
    <xf numFmtId="0" fontId="0" fillId="0" borderId="30" xfId="0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3" fontId="3" fillId="2" borderId="27" xfId="0" applyNumberFormat="1" applyFont="1" applyFill="1" applyBorder="1" applyAlignment="1">
      <alignment horizontal="center"/>
    </xf>
    <xf numFmtId="1" fontId="9" fillId="0" borderId="23" xfId="0" applyNumberFormat="1" applyFont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164" fontId="0" fillId="4" borderId="32" xfId="0" applyNumberFormat="1" applyFill="1" applyBorder="1" applyAlignment="1">
      <alignment horizontal="right" vertical="center"/>
    </xf>
    <xf numFmtId="1" fontId="6" fillId="0" borderId="23" xfId="0" applyNumberFormat="1" applyFont="1" applyBorder="1" applyAlignment="1">
      <alignment horizontal="center"/>
    </xf>
    <xf numFmtId="3" fontId="3" fillId="0" borderId="31" xfId="0" applyNumberFormat="1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1" fontId="7" fillId="0" borderId="25" xfId="0" applyNumberFormat="1" applyFont="1" applyBorder="1" applyAlignment="1">
      <alignment horizontal="center"/>
    </xf>
    <xf numFmtId="3" fontId="10" fillId="2" borderId="21" xfId="0" applyNumberFormat="1" applyFont="1" applyFill="1" applyBorder="1" applyAlignment="1">
      <alignment horizontal="center" vertical="center" textRotation="90" wrapText="1"/>
    </xf>
    <xf numFmtId="3" fontId="3" fillId="2" borderId="22" xfId="0" applyNumberFormat="1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1" fontId="12" fillId="3" borderId="35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30" xfId="0" applyFont="1" applyBorder="1" applyAlignment="1">
      <alignment horizontal="center"/>
    </xf>
    <xf numFmtId="0" fontId="11" fillId="5" borderId="34" xfId="0" applyFont="1" applyFill="1" applyBorder="1" applyAlignment="1">
      <alignment horizontal="center" vertical="center" wrapText="1"/>
    </xf>
    <xf numFmtId="1" fontId="12" fillId="5" borderId="35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9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" fontId="29" fillId="5" borderId="36" xfId="0" applyNumberFormat="1" applyFont="1" applyFill="1" applyBorder="1" applyAlignment="1">
      <alignment horizontal="center" vertical="center" wrapText="1"/>
    </xf>
    <xf numFmtId="1" fontId="29" fillId="6" borderId="36" xfId="0" applyNumberFormat="1" applyFont="1" applyFill="1" applyBorder="1" applyAlignment="1">
      <alignment horizontal="center" vertical="center" wrapText="1"/>
    </xf>
    <xf numFmtId="0" fontId="29" fillId="7" borderId="36" xfId="0" applyFont="1" applyFill="1" applyBorder="1" applyAlignment="1">
      <alignment horizontal="center" vertical="center" wrapText="1"/>
    </xf>
    <xf numFmtId="0" fontId="30" fillId="3" borderId="36" xfId="0" applyFont="1" applyFill="1" applyBorder="1" applyAlignment="1">
      <alignment horizontal="center" vertical="center" wrapText="1"/>
    </xf>
    <xf numFmtId="0" fontId="29" fillId="8" borderId="36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6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6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6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6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6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30</xdr:col>
      <xdr:colOff>0</xdr:colOff>
      <xdr:row>2</xdr:row>
      <xdr:rowOff>0</xdr:rowOff>
    </xdr:from>
    <xdr:ext cx="138749" cy="233930"/>
    <xdr:sp macro="" textlink="">
      <xdr:nvSpPr>
        <xdr:cNvPr id="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C5DBCD-03B1-4C07-86D3-F3B98854357E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3</xdr:row>
      <xdr:rowOff>0</xdr:rowOff>
    </xdr:from>
    <xdr:ext cx="138749" cy="233930"/>
    <xdr:sp macro="" textlink="">
      <xdr:nvSpPr>
        <xdr:cNvPr id="4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1B1090B-5EB8-4740-9772-DF26BCBCB9A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4</xdr:row>
      <xdr:rowOff>0</xdr:rowOff>
    </xdr:from>
    <xdr:ext cx="138749" cy="233930"/>
    <xdr:sp macro="" textlink="">
      <xdr:nvSpPr>
        <xdr:cNvPr id="5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738D93BD-B1EE-429B-B6CF-A9490F767A9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5</xdr:row>
      <xdr:rowOff>0</xdr:rowOff>
    </xdr:from>
    <xdr:ext cx="138749" cy="233930"/>
    <xdr:sp macro="" textlink="">
      <xdr:nvSpPr>
        <xdr:cNvPr id="6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3AF21A9B-2E55-4D55-B255-F49933F86E6B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6</xdr:row>
      <xdr:rowOff>0</xdr:rowOff>
    </xdr:from>
    <xdr:ext cx="138749" cy="233930"/>
    <xdr:sp macro="" textlink="">
      <xdr:nvSpPr>
        <xdr:cNvPr id="7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1EF98415-71E1-45BC-8257-345BD2A8BBD0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7</xdr:row>
      <xdr:rowOff>0</xdr:rowOff>
    </xdr:from>
    <xdr:ext cx="138749" cy="233930"/>
    <xdr:sp macro="" textlink="">
      <xdr:nvSpPr>
        <xdr:cNvPr id="8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3D2581E-EA9A-4B59-90BA-85F573BB7BCC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91328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8</xdr:row>
      <xdr:rowOff>0</xdr:rowOff>
    </xdr:from>
    <xdr:ext cx="138749" cy="233930"/>
    <xdr:sp macro="" textlink="">
      <xdr:nvSpPr>
        <xdr:cNvPr id="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422CDCE9-EE79-49D3-B7C5-92A2BF2DF212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176618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9</xdr:row>
      <xdr:rowOff>0</xdr:rowOff>
    </xdr:from>
    <xdr:ext cx="138749" cy="233930"/>
    <xdr:sp macro="" textlink="">
      <xdr:nvSpPr>
        <xdr:cNvPr id="10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C19A128F-BFBE-4F94-AA81-0C2D41CDB6BF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439956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10</xdr:row>
      <xdr:rowOff>0</xdr:rowOff>
    </xdr:from>
    <xdr:ext cx="138749" cy="233930"/>
    <xdr:sp macro="" textlink="">
      <xdr:nvSpPr>
        <xdr:cNvPr id="11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9DAB00A2-7A24-4102-B1F3-A4AE07CC9995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703294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11</xdr:row>
      <xdr:rowOff>0</xdr:rowOff>
    </xdr:from>
    <xdr:ext cx="138749" cy="233930"/>
    <xdr:sp macro="" textlink="">
      <xdr:nvSpPr>
        <xdr:cNvPr id="1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DB224C6D-74EF-4CE7-BEBA-2DE7DE8CBCFA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1966633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30</xdr:col>
      <xdr:colOff>0</xdr:colOff>
      <xdr:row>12</xdr:row>
      <xdr:rowOff>0</xdr:rowOff>
    </xdr:from>
    <xdr:ext cx="138749" cy="233930"/>
    <xdr:sp macro="" textlink="">
      <xdr:nvSpPr>
        <xdr:cNvPr id="13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2AFFD2DA-5F88-4DC5-A733-6AA96934A227}"/>
            </a:ext>
          </a:extLst>
        </xdr:cNvPr>
        <xdr:cNvSpPr>
          <a:spLocks noChangeAspect="1" noChangeArrowheads="1"/>
        </xdr:cNvSpPr>
      </xdr:nvSpPr>
      <xdr:spPr bwMode="auto">
        <a:xfrm>
          <a:off x="19296529" y="2229971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workbookViewId="0">
      <selection activeCell="L35" sqref="L35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30"/>
    <col min="4" max="4" width="13.5" style="5" customWidth="1"/>
    <col min="5" max="5" width="12.5" style="104" customWidth="1"/>
    <col min="6" max="6" width="12.5" style="119" customWidth="1"/>
    <col min="7" max="7" width="8.875" style="105"/>
    <col min="8" max="8" width="8.875" style="122"/>
    <col min="9" max="10" width="8.875" style="111"/>
    <col min="11" max="11" width="8.875" style="106"/>
    <col min="12" max="12" width="8.875" style="125"/>
    <col min="13" max="13" width="12.375" style="116" bestFit="1" customWidth="1"/>
    <col min="14" max="14" width="12.375" style="128" bestFit="1" customWidth="1"/>
    <col min="15" max="15" width="8.875" style="112"/>
    <col min="16" max="16" width="11.5" style="112" customWidth="1"/>
    <col min="17" max="16384" width="8.875" style="5"/>
  </cols>
  <sheetData>
    <row r="1" spans="1:16" ht="57.75" thickBot="1" x14ac:dyDescent="0.25">
      <c r="A1" s="97" t="s">
        <v>24</v>
      </c>
      <c r="B1" s="97" t="s">
        <v>25</v>
      </c>
      <c r="C1" s="129" t="s">
        <v>26</v>
      </c>
      <c r="D1" s="97" t="s">
        <v>27</v>
      </c>
      <c r="E1" s="98" t="s">
        <v>28</v>
      </c>
      <c r="F1" s="117" t="s">
        <v>29</v>
      </c>
      <c r="G1" s="99" t="s">
        <v>30</v>
      </c>
      <c r="H1" s="120" t="s">
        <v>31</v>
      </c>
      <c r="I1" s="100" t="s">
        <v>32</v>
      </c>
      <c r="J1" s="100" t="s">
        <v>33</v>
      </c>
      <c r="K1" s="113" t="s">
        <v>38</v>
      </c>
      <c r="L1" s="123" t="s">
        <v>39</v>
      </c>
      <c r="M1" s="101" t="s">
        <v>34</v>
      </c>
      <c r="N1" s="126" t="s">
        <v>35</v>
      </c>
      <c r="O1" s="102" t="s">
        <v>0</v>
      </c>
      <c r="P1" s="102" t="s">
        <v>36</v>
      </c>
    </row>
    <row r="2" spans="1:16" ht="15" thickTop="1" x14ac:dyDescent="0.25">
      <c r="A2" s="103" t="s">
        <v>37</v>
      </c>
      <c r="B2" s="5">
        <v>1</v>
      </c>
      <c r="C2" s="130">
        <v>9</v>
      </c>
      <c r="D2" s="4">
        <v>2024</v>
      </c>
      <c r="E2" s="104">
        <f>IF(September!C2&lt;0,"0",September!C2)+(IF(September!E2&lt;0,"0",September!E2)-(IF(September!G2&lt;0,"0",September!G2)))</f>
        <v>9737</v>
      </c>
      <c r="F2" s="118">
        <f>(September!C2*0.27)/(September!C2+September!E2)</f>
        <v>0.23661394680086273</v>
      </c>
      <c r="G2" s="105">
        <f>September!U2</f>
        <v>0</v>
      </c>
      <c r="H2" s="121">
        <v>0.62</v>
      </c>
      <c r="I2" s="106">
        <f>September!W2</f>
        <v>118</v>
      </c>
      <c r="J2" s="107">
        <v>2.42</v>
      </c>
      <c r="K2" s="114">
        <f>September!AB2*5.04</f>
        <v>1033.2</v>
      </c>
      <c r="L2" s="124">
        <v>0.11509999999999999</v>
      </c>
      <c r="M2" s="115">
        <f>September!M2</f>
        <v>0</v>
      </c>
      <c r="N2" s="127">
        <v>0.88</v>
      </c>
      <c r="O2" s="108">
        <f>September!AC2</f>
        <v>156</v>
      </c>
      <c r="P2" s="108">
        <f>September!AD2</f>
        <v>316</v>
      </c>
    </row>
    <row r="3" spans="1:16" ht="14.3" x14ac:dyDescent="0.25">
      <c r="A3" s="103" t="s">
        <v>37</v>
      </c>
      <c r="B3" s="5">
        <f>B2+1</f>
        <v>2</v>
      </c>
      <c r="C3" s="130">
        <v>9</v>
      </c>
      <c r="D3" s="4">
        <v>2024</v>
      </c>
      <c r="E3" s="104">
        <f>IF(September!C3&lt;0,"0",September!C3)+(IF(September!E3&lt;0,"0",September!E3)-(IF(September!G3&lt;0,"0",September!G3)))</f>
        <v>9413</v>
      </c>
      <c r="F3" s="118">
        <f>(September!C3*0.27)/(September!C3+September!E3)</f>
        <v>0.23382980983745882</v>
      </c>
      <c r="G3" s="105">
        <f>September!U3</f>
        <v>278</v>
      </c>
      <c r="H3" s="121">
        <v>0.62</v>
      </c>
      <c r="I3" s="106">
        <f>September!W3</f>
        <v>124</v>
      </c>
      <c r="J3" s="107">
        <v>2.42</v>
      </c>
      <c r="K3" s="114">
        <f>September!AB3*5.04</f>
        <v>428.4</v>
      </c>
      <c r="L3" s="124">
        <v>0.11509999999999999</v>
      </c>
      <c r="M3" s="115">
        <f>September!M3</f>
        <v>0</v>
      </c>
      <c r="N3" s="127">
        <v>0.88</v>
      </c>
      <c r="O3" s="108">
        <f>September!AC3</f>
        <v>165</v>
      </c>
      <c r="P3" s="108">
        <f>September!AD3</f>
        <v>337</v>
      </c>
    </row>
    <row r="4" spans="1:16" ht="14.3" x14ac:dyDescent="0.25">
      <c r="A4" s="103" t="s">
        <v>37</v>
      </c>
      <c r="B4" s="5">
        <f t="shared" ref="B4:B32" si="0">B3+1</f>
        <v>3</v>
      </c>
      <c r="C4" s="130">
        <v>9</v>
      </c>
      <c r="D4" s="4">
        <v>2024</v>
      </c>
      <c r="E4" s="104">
        <f>IF(September!C4&lt;0,"0",September!C4)+(IF(September!E4&lt;0,"0",September!E4)-(IF(September!G4&lt;0,"0",September!G4)))</f>
        <v>9746</v>
      </c>
      <c r="F4" s="118">
        <f>(September!C4*0.27)/(September!C4+September!E4)</f>
        <v>0.2360630002052124</v>
      </c>
      <c r="G4" s="105">
        <f>September!U4</f>
        <v>0</v>
      </c>
      <c r="H4" s="121">
        <v>0.62</v>
      </c>
      <c r="I4" s="106">
        <f>September!W4</f>
        <v>100</v>
      </c>
      <c r="J4" s="107">
        <v>2.42</v>
      </c>
      <c r="K4" s="114">
        <f>September!AB4*5.04</f>
        <v>1108.8</v>
      </c>
      <c r="L4" s="124">
        <v>0.11509999999999999</v>
      </c>
      <c r="M4" s="115">
        <f>September!M4</f>
        <v>0</v>
      </c>
      <c r="N4" s="127">
        <v>0.88</v>
      </c>
      <c r="O4" s="108">
        <f>September!AC4</f>
        <v>165</v>
      </c>
      <c r="P4" s="108">
        <f>September!AD4</f>
        <v>330</v>
      </c>
    </row>
    <row r="5" spans="1:16" ht="14.3" x14ac:dyDescent="0.25">
      <c r="A5" s="103" t="s">
        <v>37</v>
      </c>
      <c r="B5" s="5">
        <f t="shared" si="0"/>
        <v>4</v>
      </c>
      <c r="C5" s="130">
        <v>9</v>
      </c>
      <c r="D5" s="4">
        <v>2024</v>
      </c>
      <c r="E5" s="104">
        <f>IF(September!C5&lt;0,"0",September!C5)+(IF(September!E5&lt;0,"0",September!E5)-(IF(September!G5&lt;0,"0",September!G5)))</f>
        <v>9013</v>
      </c>
      <c r="F5" s="118">
        <f>(September!C5*0.27)/(September!C5+September!E5)</f>
        <v>0.23375235770553643</v>
      </c>
      <c r="G5" s="105">
        <f>September!U5</f>
        <v>0</v>
      </c>
      <c r="H5" s="121">
        <v>0.62</v>
      </c>
      <c r="I5" s="106">
        <f>September!W5</f>
        <v>113</v>
      </c>
      <c r="J5" s="107">
        <v>2.42</v>
      </c>
      <c r="K5" s="114">
        <f>September!AB5*5.04</f>
        <v>932.4</v>
      </c>
      <c r="L5" s="124">
        <v>0.11509999999999999</v>
      </c>
      <c r="M5" s="115">
        <f>September!M5</f>
        <v>0</v>
      </c>
      <c r="N5" s="127">
        <v>0.88</v>
      </c>
      <c r="O5" s="108">
        <f>September!AC5</f>
        <v>177</v>
      </c>
      <c r="P5" s="108">
        <f>September!AD5</f>
        <v>347</v>
      </c>
    </row>
    <row r="6" spans="1:16" ht="14.3" x14ac:dyDescent="0.25">
      <c r="A6" s="103" t="s">
        <v>37</v>
      </c>
      <c r="B6" s="5">
        <f t="shared" si="0"/>
        <v>5</v>
      </c>
      <c r="C6" s="130">
        <v>9</v>
      </c>
      <c r="D6" s="4">
        <v>2024</v>
      </c>
      <c r="E6" s="104">
        <f>IF(September!C6&lt;0,"0",September!C6)+(IF(September!E6&lt;0,"0",September!E6)-(IF(September!G6&lt;0,"0",September!G6)))</f>
        <v>9674</v>
      </c>
      <c r="F6" s="118">
        <f>(September!C6*0.27)/(September!C6+September!E6)</f>
        <v>0.23514058300599544</v>
      </c>
      <c r="G6" s="105">
        <f>September!U6</f>
        <v>0</v>
      </c>
      <c r="H6" s="121">
        <v>0.62</v>
      </c>
      <c r="I6" s="106">
        <f>September!W6</f>
        <v>121</v>
      </c>
      <c r="J6" s="107">
        <v>2.42</v>
      </c>
      <c r="K6" s="114">
        <f>September!AB6*5.04</f>
        <v>957.6</v>
      </c>
      <c r="L6" s="124">
        <v>0.11509999999999999</v>
      </c>
      <c r="M6" s="115">
        <f>September!M6</f>
        <v>0</v>
      </c>
      <c r="N6" s="127">
        <v>0.88</v>
      </c>
      <c r="O6" s="108">
        <f>September!AC6</f>
        <v>188</v>
      </c>
      <c r="P6" s="108">
        <f>September!AD6</f>
        <v>373</v>
      </c>
    </row>
    <row r="7" spans="1:16" ht="14.3" x14ac:dyDescent="0.25">
      <c r="A7" s="103" t="s">
        <v>37</v>
      </c>
      <c r="B7" s="5">
        <f t="shared" si="0"/>
        <v>6</v>
      </c>
      <c r="C7" s="130">
        <v>9</v>
      </c>
      <c r="D7" s="4">
        <v>2024</v>
      </c>
      <c r="E7" s="104">
        <f>IF(September!C7&lt;0,"0",September!C7)+(IF(September!E7&lt;0,"0",September!E7)-(IF(September!G7&lt;0,"0",September!G7)))</f>
        <v>10378</v>
      </c>
      <c r="F7" s="118">
        <f>(September!C7*0.27)/(September!C7+September!E7)</f>
        <v>0.23714106764309117</v>
      </c>
      <c r="G7" s="105">
        <f>September!U7</f>
        <v>0</v>
      </c>
      <c r="H7" s="121">
        <v>0.62</v>
      </c>
      <c r="I7" s="106">
        <f>September!W7</f>
        <v>117</v>
      </c>
      <c r="J7" s="107">
        <v>2.42</v>
      </c>
      <c r="K7" s="114">
        <f>September!AB7*5.04</f>
        <v>982.8</v>
      </c>
      <c r="L7" s="124">
        <v>0.11509999999999999</v>
      </c>
      <c r="M7" s="115">
        <f>September!M7</f>
        <v>0</v>
      </c>
      <c r="N7" s="127">
        <v>0.88</v>
      </c>
      <c r="O7" s="108">
        <f>September!AC7</f>
        <v>210</v>
      </c>
      <c r="P7" s="108">
        <f>September!AD7</f>
        <v>413</v>
      </c>
    </row>
    <row r="8" spans="1:16" ht="14.3" x14ac:dyDescent="0.25">
      <c r="A8" s="103" t="s">
        <v>37</v>
      </c>
      <c r="B8" s="5">
        <f t="shared" si="0"/>
        <v>7</v>
      </c>
      <c r="C8" s="130">
        <v>9</v>
      </c>
      <c r="D8" s="4">
        <v>2024</v>
      </c>
      <c r="E8" s="104">
        <f>IF(September!C8&lt;0,"0",September!C8)+(IF(September!E8&lt;0,"0",September!E8)-(IF(September!G8&lt;0,"0",September!G8)))</f>
        <v>10268</v>
      </c>
      <c r="F8" s="118">
        <f>(September!C8*0.27)/(September!C8+September!E8)</f>
        <v>0.23807752239968838</v>
      </c>
      <c r="G8" s="105">
        <f>September!U8</f>
        <v>0</v>
      </c>
      <c r="H8" s="121">
        <v>0.62</v>
      </c>
      <c r="I8" s="106">
        <f>September!W8</f>
        <v>112</v>
      </c>
      <c r="J8" s="107">
        <v>2.42</v>
      </c>
      <c r="K8" s="114">
        <f>September!AB8*5.04</f>
        <v>1058.4000000000001</v>
      </c>
      <c r="L8" s="124">
        <v>0.11509999999999999</v>
      </c>
      <c r="M8" s="115">
        <f>September!M8</f>
        <v>0</v>
      </c>
      <c r="N8" s="127">
        <v>0.88</v>
      </c>
      <c r="O8" s="108">
        <f>September!AC8</f>
        <v>224</v>
      </c>
      <c r="P8" s="108">
        <f>September!AD8</f>
        <v>438</v>
      </c>
    </row>
    <row r="9" spans="1:16" ht="14.3" x14ac:dyDescent="0.25">
      <c r="A9" s="103" t="s">
        <v>37</v>
      </c>
      <c r="B9" s="5">
        <f t="shared" si="0"/>
        <v>8</v>
      </c>
      <c r="C9" s="130">
        <v>9</v>
      </c>
      <c r="D9" s="4">
        <v>2024</v>
      </c>
      <c r="E9" s="104">
        <f>IF(September!C9&lt;0,"0",September!C9)+(IF(September!E9&lt;0,"0",September!E9)-(IF(September!G9&lt;0,"0",September!G9)))</f>
        <v>10485</v>
      </c>
      <c r="F9" s="118">
        <f>(September!C9*0.27)/(September!C9+September!E9)</f>
        <v>0.23812017167381974</v>
      </c>
      <c r="G9" s="105">
        <f>September!U9</f>
        <v>0</v>
      </c>
      <c r="H9" s="121">
        <v>0.62</v>
      </c>
      <c r="I9" s="106">
        <f>September!W9</f>
        <v>120</v>
      </c>
      <c r="J9" s="107">
        <v>2.42</v>
      </c>
      <c r="K9" s="114">
        <f>September!AB9*5.04</f>
        <v>957.6</v>
      </c>
      <c r="L9" s="124">
        <v>0.11509999999999999</v>
      </c>
      <c r="M9" s="115">
        <f>September!M9</f>
        <v>0</v>
      </c>
      <c r="N9" s="127">
        <v>0.88</v>
      </c>
      <c r="O9" s="108">
        <f>September!AC9</f>
        <v>205</v>
      </c>
      <c r="P9" s="108">
        <f>September!AD9</f>
        <v>393</v>
      </c>
    </row>
    <row r="10" spans="1:16" ht="14.3" x14ac:dyDescent="0.25">
      <c r="A10" s="103" t="s">
        <v>37</v>
      </c>
      <c r="B10" s="5">
        <f t="shared" si="0"/>
        <v>9</v>
      </c>
      <c r="C10" s="130">
        <v>9</v>
      </c>
      <c r="D10" s="4">
        <v>2024</v>
      </c>
      <c r="E10" s="104">
        <f>IF(September!C10&lt;0,"0",September!C10)+(IF(September!E10&lt;0,"0",September!E10)-(IF(September!G10&lt;0,"0",September!G10)))</f>
        <v>9616</v>
      </c>
      <c r="F10" s="118">
        <f>(September!C10*0.27)/(September!C10+September!E10)</f>
        <v>0.23459338602329455</v>
      </c>
      <c r="G10" s="105">
        <f>September!U10</f>
        <v>1215</v>
      </c>
      <c r="H10" s="121">
        <v>0.62</v>
      </c>
      <c r="I10" s="106">
        <f>September!W10</f>
        <v>119</v>
      </c>
      <c r="J10" s="107">
        <v>2.42</v>
      </c>
      <c r="K10" s="114">
        <f>September!AB10*5.04</f>
        <v>957.6</v>
      </c>
      <c r="L10" s="124">
        <v>0.11509999999999999</v>
      </c>
      <c r="M10" s="115">
        <f>September!M10</f>
        <v>0</v>
      </c>
      <c r="N10" s="127">
        <v>0.88</v>
      </c>
      <c r="O10" s="108">
        <f>September!AC10</f>
        <v>214</v>
      </c>
      <c r="P10" s="108">
        <f>September!AD10</f>
        <v>400</v>
      </c>
    </row>
    <row r="11" spans="1:16" ht="14.3" x14ac:dyDescent="0.25">
      <c r="A11" s="103" t="s">
        <v>37</v>
      </c>
      <c r="B11" s="5">
        <f t="shared" si="0"/>
        <v>10</v>
      </c>
      <c r="C11" s="130">
        <v>9</v>
      </c>
      <c r="D11" s="4">
        <v>2024</v>
      </c>
      <c r="E11" s="104">
        <f>IF(September!C11&lt;0,"0",September!C11)+(IF(September!E11&lt;0,"0",September!E11)-(IF(September!G11&lt;0,"0",September!G11)))</f>
        <v>9557</v>
      </c>
      <c r="F11" s="118">
        <f>(September!C11*0.27)/(September!C11+September!E11)</f>
        <v>0.23406403683164176</v>
      </c>
      <c r="G11" s="105">
        <f>September!U11</f>
        <v>0</v>
      </c>
      <c r="H11" s="121">
        <v>0.62</v>
      </c>
      <c r="I11" s="106">
        <f>September!W11</f>
        <v>106</v>
      </c>
      <c r="J11" s="107">
        <v>2.42</v>
      </c>
      <c r="K11" s="114">
        <f>September!AB11*5.04</f>
        <v>1159.2</v>
      </c>
      <c r="L11" s="124">
        <v>0.11509999999999999</v>
      </c>
      <c r="M11" s="115">
        <f>September!M11</f>
        <v>0</v>
      </c>
      <c r="N11" s="127">
        <v>0.88</v>
      </c>
      <c r="O11" s="108">
        <f>September!AC11</f>
        <v>213</v>
      </c>
      <c r="P11" s="108">
        <f>September!AD11</f>
        <v>397</v>
      </c>
    </row>
    <row r="12" spans="1:16" ht="14.3" x14ac:dyDescent="0.25">
      <c r="A12" s="103" t="s">
        <v>37</v>
      </c>
      <c r="B12" s="5">
        <f t="shared" si="0"/>
        <v>11</v>
      </c>
      <c r="C12" s="130">
        <v>9</v>
      </c>
      <c r="D12" s="4">
        <v>2024</v>
      </c>
      <c r="E12" s="104">
        <f>IF(September!C12&lt;0,"0",September!C12)+(IF(September!E12&lt;0,"0",September!E12)-(IF(September!G12&lt;0,"0",September!G12)))</f>
        <v>9522</v>
      </c>
      <c r="F12" s="118">
        <f>(September!C12*0.27)/(September!C12+September!E12)</f>
        <v>0.23489603024574673</v>
      </c>
      <c r="G12" s="105">
        <f>September!U12</f>
        <v>0</v>
      </c>
      <c r="H12" s="121">
        <v>0.62</v>
      </c>
      <c r="I12" s="106">
        <f>September!W12</f>
        <v>132</v>
      </c>
      <c r="J12" s="107">
        <v>2.42</v>
      </c>
      <c r="K12" s="114">
        <f>September!AB12*5.04</f>
        <v>1134</v>
      </c>
      <c r="L12" s="124">
        <v>0.11509999999999999</v>
      </c>
      <c r="M12" s="115">
        <f>September!M12</f>
        <v>0</v>
      </c>
      <c r="N12" s="127">
        <v>0.88</v>
      </c>
      <c r="O12" s="108">
        <f>September!AC12</f>
        <v>220</v>
      </c>
      <c r="P12" s="108">
        <f>September!AD12</f>
        <v>407</v>
      </c>
    </row>
    <row r="13" spans="1:16" ht="14.3" x14ac:dyDescent="0.25">
      <c r="A13" s="103" t="s">
        <v>37</v>
      </c>
      <c r="B13" s="5">
        <f t="shared" si="0"/>
        <v>12</v>
      </c>
      <c r="C13" s="130">
        <v>9</v>
      </c>
      <c r="D13" s="4">
        <v>2024</v>
      </c>
      <c r="E13" s="104">
        <f>IF(September!C13&lt;0,"0",September!C13)+(IF(September!E13&lt;0,"0",September!E13)-(IF(September!G13&lt;0,"0",September!G13)))</f>
        <v>10409</v>
      </c>
      <c r="F13" s="118">
        <f>(September!C13*0.27)/(September!C13+September!E13)</f>
        <v>0.23900278605053321</v>
      </c>
      <c r="G13" s="105">
        <f>September!U13</f>
        <v>0</v>
      </c>
      <c r="H13" s="121">
        <v>0.62</v>
      </c>
      <c r="I13" s="106">
        <f>September!W13</f>
        <v>120</v>
      </c>
      <c r="J13" s="107">
        <v>2.42</v>
      </c>
      <c r="K13" s="114">
        <f>September!AB13*5.04</f>
        <v>1108.8</v>
      </c>
      <c r="L13" s="124">
        <v>0.11509999999999999</v>
      </c>
      <c r="M13" s="115">
        <f>September!M13</f>
        <v>0</v>
      </c>
      <c r="N13" s="127">
        <v>0.88</v>
      </c>
      <c r="O13" s="108">
        <f>September!AC13</f>
        <v>216</v>
      </c>
      <c r="P13" s="108">
        <f>September!AD13</f>
        <v>403</v>
      </c>
    </row>
    <row r="14" spans="1:16" ht="14.3" x14ac:dyDescent="0.25">
      <c r="A14" s="103" t="s">
        <v>37</v>
      </c>
      <c r="B14" s="5">
        <f t="shared" si="0"/>
        <v>13</v>
      </c>
      <c r="C14" s="130">
        <v>9</v>
      </c>
      <c r="D14" s="4">
        <v>2024</v>
      </c>
      <c r="E14" s="104">
        <f>IF(September!C14&lt;0,"0",September!C14)+(IF(September!E14&lt;0,"0",September!E14)-(IF(September!G14&lt;0,"0",September!G14)))</f>
        <v>10097</v>
      </c>
      <c r="F14" s="118">
        <f>(September!C14*0.27)/(September!C14+September!E14)</f>
        <v>0.23662771120134693</v>
      </c>
      <c r="G14" s="105">
        <f>September!U14</f>
        <v>0</v>
      </c>
      <c r="H14" s="121">
        <v>0.62</v>
      </c>
      <c r="I14" s="106">
        <f>September!W14</f>
        <v>133</v>
      </c>
      <c r="J14" s="107">
        <v>2.42</v>
      </c>
      <c r="K14" s="114">
        <f>September!AB14*5.04</f>
        <v>1008</v>
      </c>
      <c r="L14" s="124">
        <v>0.11509999999999999</v>
      </c>
      <c r="M14" s="115">
        <f>September!M14</f>
        <v>0</v>
      </c>
      <c r="N14" s="127">
        <v>0.88</v>
      </c>
      <c r="O14" s="108">
        <f>September!AC14</f>
        <v>233</v>
      </c>
      <c r="P14" s="108">
        <f>September!AD14</f>
        <v>441</v>
      </c>
    </row>
    <row r="15" spans="1:16" ht="14.3" x14ac:dyDescent="0.25">
      <c r="A15" s="103" t="s">
        <v>37</v>
      </c>
      <c r="B15" s="5">
        <f t="shared" si="0"/>
        <v>14</v>
      </c>
      <c r="C15" s="130">
        <v>9</v>
      </c>
      <c r="D15" s="4">
        <v>2024</v>
      </c>
      <c r="E15" s="104">
        <f>IF(September!C15&lt;0,"0",September!C15)+(IF(September!E15&lt;0,"0",September!E15)-(IF(September!G15&lt;0,"0",September!G15)))</f>
        <v>10101</v>
      </c>
      <c r="F15" s="118">
        <f>(September!C15*0.27)/(September!C15+September!E15)</f>
        <v>0.23808434808434811</v>
      </c>
      <c r="G15" s="105">
        <f>September!U15</f>
        <v>0</v>
      </c>
      <c r="H15" s="121">
        <v>0.62</v>
      </c>
      <c r="I15" s="106">
        <f>September!W15</f>
        <v>131</v>
      </c>
      <c r="J15" s="107">
        <v>2.42</v>
      </c>
      <c r="K15" s="114">
        <f>September!AB15*5.04</f>
        <v>1209.5999999999999</v>
      </c>
      <c r="L15" s="124">
        <v>0.11509999999999999</v>
      </c>
      <c r="M15" s="115">
        <f>September!M15</f>
        <v>0</v>
      </c>
      <c r="N15" s="127">
        <v>0.88</v>
      </c>
      <c r="O15" s="108">
        <f>September!AC15</f>
        <v>232</v>
      </c>
      <c r="P15" s="108">
        <f>September!AD15</f>
        <v>442</v>
      </c>
    </row>
    <row r="16" spans="1:16" ht="14.3" x14ac:dyDescent="0.25">
      <c r="A16" s="103" t="s">
        <v>37</v>
      </c>
      <c r="B16" s="5">
        <f t="shared" si="0"/>
        <v>15</v>
      </c>
      <c r="C16" s="130">
        <v>9</v>
      </c>
      <c r="D16" s="4">
        <v>2024</v>
      </c>
      <c r="E16" s="104">
        <f>IF(September!C16&lt;0,"0",September!C16)+(IF(September!E16&lt;0,"0",September!E16)-(IF(September!G16&lt;0,"0",September!G16)))</f>
        <v>9877</v>
      </c>
      <c r="F16" s="118">
        <f>(September!C16*0.27)/(September!C16+September!E16)</f>
        <v>0.23941075225270833</v>
      </c>
      <c r="G16" s="105">
        <f>September!U16</f>
        <v>0</v>
      </c>
      <c r="H16" s="121">
        <v>0.62</v>
      </c>
      <c r="I16" s="106">
        <f>September!W16</f>
        <v>122</v>
      </c>
      <c r="J16" s="107">
        <v>2.42</v>
      </c>
      <c r="K16" s="114">
        <f>September!AB16*5.04</f>
        <v>1108.8</v>
      </c>
      <c r="L16" s="124">
        <v>0.11509999999999999</v>
      </c>
      <c r="M16" s="115">
        <f>September!M16</f>
        <v>0</v>
      </c>
      <c r="N16" s="127">
        <v>0.88</v>
      </c>
      <c r="O16" s="108">
        <f>September!AC16</f>
        <v>212</v>
      </c>
      <c r="P16" s="108">
        <f>September!AD16</f>
        <v>390</v>
      </c>
    </row>
    <row r="17" spans="1:16" ht="14.3" x14ac:dyDescent="0.25">
      <c r="A17" s="103" t="s">
        <v>37</v>
      </c>
      <c r="B17" s="5">
        <f t="shared" si="0"/>
        <v>16</v>
      </c>
      <c r="C17" s="130">
        <v>9</v>
      </c>
      <c r="D17" s="4">
        <v>2024</v>
      </c>
      <c r="E17" s="104">
        <f>IF(September!C17&lt;0,"0",September!C17)+(IF(September!E17&lt;0,"0",September!E17)-(IF(September!G17&lt;0,"0",September!G17)))</f>
        <v>8864</v>
      </c>
      <c r="F17" s="118">
        <f>(September!C17*0.27)/(September!C17+September!E17)</f>
        <v>0.23405685920577621</v>
      </c>
      <c r="G17" s="105">
        <f>September!U17</f>
        <v>711</v>
      </c>
      <c r="H17" s="121">
        <v>0.62</v>
      </c>
      <c r="I17" s="106">
        <f>September!W17</f>
        <v>110</v>
      </c>
      <c r="J17" s="107">
        <v>2.42</v>
      </c>
      <c r="K17" s="114">
        <f>September!AB17*5.04</f>
        <v>1108.8</v>
      </c>
      <c r="L17" s="124">
        <v>0.11509999999999999</v>
      </c>
      <c r="M17" s="115">
        <f>September!M17</f>
        <v>0</v>
      </c>
      <c r="N17" s="127">
        <v>0.88</v>
      </c>
      <c r="O17" s="108">
        <f>September!AC17</f>
        <v>220</v>
      </c>
      <c r="P17" s="108">
        <f>September!AD17</f>
        <v>404</v>
      </c>
    </row>
    <row r="18" spans="1:16" ht="14.3" x14ac:dyDescent="0.25">
      <c r="A18" s="103" t="s">
        <v>37</v>
      </c>
      <c r="B18" s="5">
        <f t="shared" si="0"/>
        <v>17</v>
      </c>
      <c r="C18" s="130">
        <v>9</v>
      </c>
      <c r="D18" s="4">
        <v>2024</v>
      </c>
      <c r="E18" s="104">
        <f>IF(September!C18&lt;0,"0",September!C18)+(IF(September!E18&lt;0,"0",September!E18)-(IF(September!G18&lt;0,"0",September!G18)))</f>
        <v>8520</v>
      </c>
      <c r="F18" s="118">
        <f>(September!C18*0.27)/(September!C18+September!E18)</f>
        <v>0.23453873239436623</v>
      </c>
      <c r="G18" s="105">
        <f>September!U18</f>
        <v>0</v>
      </c>
      <c r="H18" s="121">
        <v>0.62</v>
      </c>
      <c r="I18" s="106">
        <f>September!W18</f>
        <v>120</v>
      </c>
      <c r="J18" s="107">
        <v>2.42</v>
      </c>
      <c r="K18" s="114">
        <f>September!AB18*5.04</f>
        <v>1234.8</v>
      </c>
      <c r="L18" s="124">
        <v>0.11509999999999999</v>
      </c>
      <c r="M18" s="115">
        <f>September!M18</f>
        <v>0</v>
      </c>
      <c r="N18" s="127">
        <v>0.88</v>
      </c>
      <c r="O18" s="108">
        <f>September!AC18</f>
        <v>222</v>
      </c>
      <c r="P18" s="108">
        <f>September!AD18</f>
        <v>405</v>
      </c>
    </row>
    <row r="19" spans="1:16" ht="14.3" x14ac:dyDescent="0.25">
      <c r="A19" s="103" t="s">
        <v>37</v>
      </c>
      <c r="B19" s="5">
        <f t="shared" si="0"/>
        <v>18</v>
      </c>
      <c r="C19" s="130">
        <v>9</v>
      </c>
      <c r="D19" s="4">
        <v>2024</v>
      </c>
      <c r="E19" s="104">
        <f>IF(September!C19&lt;0,"0",September!C19)+(IF(September!E19&lt;0,"0",September!E19)-(IF(September!G19&lt;0,"0",September!G19)))</f>
        <v>9319</v>
      </c>
      <c r="F19" s="118">
        <f>(September!C19*0.27)/(September!C19+September!E19)</f>
        <v>0.23702865114282651</v>
      </c>
      <c r="G19" s="105">
        <f>September!U19</f>
        <v>0</v>
      </c>
      <c r="H19" s="121">
        <v>0.62</v>
      </c>
      <c r="I19" s="106">
        <f>September!W19</f>
        <v>118</v>
      </c>
      <c r="J19" s="107">
        <v>2.42</v>
      </c>
      <c r="K19" s="114">
        <f>September!AB19*5.04</f>
        <v>1285.2</v>
      </c>
      <c r="L19" s="124">
        <v>0.11509999999999999</v>
      </c>
      <c r="M19" s="115">
        <f>September!M19</f>
        <v>0</v>
      </c>
      <c r="N19" s="127">
        <v>0.88</v>
      </c>
      <c r="O19" s="108">
        <f>September!AC19</f>
        <v>210</v>
      </c>
      <c r="P19" s="108">
        <f>September!AD19</f>
        <v>384</v>
      </c>
    </row>
    <row r="20" spans="1:16" ht="14.3" x14ac:dyDescent="0.25">
      <c r="A20" s="103" t="s">
        <v>37</v>
      </c>
      <c r="B20" s="5">
        <f t="shared" si="0"/>
        <v>19</v>
      </c>
      <c r="C20" s="130">
        <v>9</v>
      </c>
      <c r="D20" s="4">
        <v>2024</v>
      </c>
      <c r="E20" s="104">
        <f>IF(September!C20&lt;0,"0",September!C20)+(IF(September!E20&lt;0,"0",September!E20)-(IF(September!G20&lt;0,"0",September!G20)))</f>
        <v>9136</v>
      </c>
      <c r="F20" s="118">
        <f>(September!C20*0.27)/(September!C20+September!E20)</f>
        <v>0.23654553415061294</v>
      </c>
      <c r="G20" s="105">
        <f>September!U20</f>
        <v>0</v>
      </c>
      <c r="H20" s="121">
        <v>0.62</v>
      </c>
      <c r="I20" s="106">
        <f>September!W20</f>
        <v>95</v>
      </c>
      <c r="J20" s="107">
        <v>2.42</v>
      </c>
      <c r="K20" s="114">
        <f>September!AB20*5.04</f>
        <v>1184.4000000000001</v>
      </c>
      <c r="L20" s="124">
        <v>0.11509999999999999</v>
      </c>
      <c r="M20" s="115">
        <f>September!M20</f>
        <v>0</v>
      </c>
      <c r="N20" s="127">
        <v>0.88</v>
      </c>
      <c r="O20" s="108">
        <f>September!AC20</f>
        <v>198</v>
      </c>
      <c r="P20" s="108">
        <f>September!AD20</f>
        <v>365</v>
      </c>
    </row>
    <row r="21" spans="1:16" ht="14.3" x14ac:dyDescent="0.25">
      <c r="A21" s="103" t="s">
        <v>37</v>
      </c>
      <c r="B21" s="5">
        <f t="shared" si="0"/>
        <v>20</v>
      </c>
      <c r="C21" s="130">
        <v>9</v>
      </c>
      <c r="D21" s="4">
        <v>2024</v>
      </c>
      <c r="E21" s="104">
        <f>IF(September!C21&lt;0,"0",September!C21)+(IF(September!E21&lt;0,"0",September!E21)-(IF(September!G21&lt;0,"0",September!G21)))</f>
        <v>0</v>
      </c>
      <c r="F21" s="118" t="e">
        <f>(September!C21*0.27)/(September!C21+September!E21)</f>
        <v>#DIV/0!</v>
      </c>
      <c r="G21" s="105">
        <f>September!U21</f>
        <v>0</v>
      </c>
      <c r="H21" s="121">
        <v>0.62</v>
      </c>
      <c r="I21" s="106" t="str">
        <f>September!W21</f>
        <v>0</v>
      </c>
      <c r="J21" s="107">
        <v>2.42</v>
      </c>
      <c r="K21" s="114">
        <f>September!AB21*5.04</f>
        <v>0</v>
      </c>
      <c r="L21" s="124">
        <v>0.11509999999999999</v>
      </c>
      <c r="M21" s="115">
        <f>September!M21</f>
        <v>0</v>
      </c>
      <c r="N21" s="127">
        <v>0.88</v>
      </c>
      <c r="O21" s="108">
        <f>September!AC21</f>
        <v>0</v>
      </c>
      <c r="P21" s="108">
        <f>September!AD21</f>
        <v>0</v>
      </c>
    </row>
    <row r="22" spans="1:16" ht="14.3" x14ac:dyDescent="0.25">
      <c r="A22" s="103" t="s">
        <v>37</v>
      </c>
      <c r="B22" s="5">
        <f t="shared" si="0"/>
        <v>21</v>
      </c>
      <c r="C22" s="130">
        <v>9</v>
      </c>
      <c r="D22" s="4">
        <v>2024</v>
      </c>
      <c r="E22" s="104">
        <f>IF(September!C22&lt;0,"0",September!C22)+(IF(September!E22&lt;0,"0",September!E22)-(IF(September!G22&lt;0,"0",September!G22)))</f>
        <v>0</v>
      </c>
      <c r="F22" s="118" t="e">
        <f>(September!C22*0.27)/(September!C22+September!E22)</f>
        <v>#DIV/0!</v>
      </c>
      <c r="G22" s="105">
        <f>September!U22</f>
        <v>0</v>
      </c>
      <c r="H22" s="121">
        <v>0.62</v>
      </c>
      <c r="I22" s="106">
        <f>September!W22</f>
        <v>0</v>
      </c>
      <c r="J22" s="107">
        <v>2.42</v>
      </c>
      <c r="K22" s="114">
        <f>September!AB22*5.04</f>
        <v>0</v>
      </c>
      <c r="L22" s="124">
        <v>0.11509999999999999</v>
      </c>
      <c r="M22" s="115">
        <f>September!M22</f>
        <v>0</v>
      </c>
      <c r="N22" s="127">
        <v>0.88</v>
      </c>
      <c r="O22" s="108">
        <f>September!AC22</f>
        <v>0</v>
      </c>
      <c r="P22" s="108">
        <f>September!AD22</f>
        <v>0</v>
      </c>
    </row>
    <row r="23" spans="1:16" ht="14.3" x14ac:dyDescent="0.25">
      <c r="A23" s="103" t="s">
        <v>37</v>
      </c>
      <c r="B23" s="5">
        <f t="shared" si="0"/>
        <v>22</v>
      </c>
      <c r="C23" s="130">
        <v>9</v>
      </c>
      <c r="D23" s="4">
        <v>2024</v>
      </c>
      <c r="E23" s="104">
        <f>IF(September!C23&lt;0,"0",September!C23)+(IF(September!E23&lt;0,"0",September!E23)-(IF(September!G23&lt;0,"0",September!G23)))</f>
        <v>0</v>
      </c>
      <c r="F23" s="118" t="e">
        <f>(September!C23*0.27)/(September!C23+September!E23)</f>
        <v>#DIV/0!</v>
      </c>
      <c r="G23" s="105">
        <f>September!U23</f>
        <v>0</v>
      </c>
      <c r="H23" s="121">
        <v>0.62</v>
      </c>
      <c r="I23" s="106">
        <f>September!W23</f>
        <v>0</v>
      </c>
      <c r="J23" s="107">
        <v>2.42</v>
      </c>
      <c r="K23" s="114">
        <f>September!AB23*5.04</f>
        <v>0</v>
      </c>
      <c r="L23" s="124">
        <v>0.11509999999999999</v>
      </c>
      <c r="M23" s="115">
        <f>September!M23</f>
        <v>0</v>
      </c>
      <c r="N23" s="127">
        <v>0.88</v>
      </c>
      <c r="O23" s="108">
        <f>September!AC23</f>
        <v>0</v>
      </c>
      <c r="P23" s="108">
        <f>September!AD23</f>
        <v>0</v>
      </c>
    </row>
    <row r="24" spans="1:16" ht="14.3" x14ac:dyDescent="0.25">
      <c r="A24" s="103" t="s">
        <v>37</v>
      </c>
      <c r="B24" s="5">
        <f t="shared" si="0"/>
        <v>23</v>
      </c>
      <c r="C24" s="130">
        <v>9</v>
      </c>
      <c r="D24" s="4">
        <v>2024</v>
      </c>
      <c r="E24" s="104">
        <f>IF(September!C24&lt;0,"0",September!C24)+(IF(September!E24&lt;0,"0",September!E24)-(IF(September!G24&lt;0,"0",September!G24)))</f>
        <v>0</v>
      </c>
      <c r="F24" s="118" t="e">
        <f>(September!C24*0.27)/(September!C24+September!E24)</f>
        <v>#DIV/0!</v>
      </c>
      <c r="G24" s="105">
        <f>September!U24</f>
        <v>0</v>
      </c>
      <c r="H24" s="121">
        <v>0.62</v>
      </c>
      <c r="I24" s="106">
        <f>September!W24</f>
        <v>0</v>
      </c>
      <c r="J24" s="107">
        <v>2.42</v>
      </c>
      <c r="K24" s="114">
        <f>September!AB24*5.04</f>
        <v>0</v>
      </c>
      <c r="L24" s="124">
        <v>0.11509999999999999</v>
      </c>
      <c r="M24" s="115">
        <f>September!M24</f>
        <v>0</v>
      </c>
      <c r="N24" s="127">
        <v>0.88</v>
      </c>
      <c r="O24" s="108">
        <f>September!AC24</f>
        <v>0</v>
      </c>
      <c r="P24" s="108">
        <f>September!AD24</f>
        <v>0</v>
      </c>
    </row>
    <row r="25" spans="1:16" ht="14.3" x14ac:dyDescent="0.25">
      <c r="A25" s="103" t="s">
        <v>37</v>
      </c>
      <c r="B25" s="5">
        <f t="shared" si="0"/>
        <v>24</v>
      </c>
      <c r="C25" s="130">
        <v>9</v>
      </c>
      <c r="D25" s="4">
        <v>2024</v>
      </c>
      <c r="E25" s="104">
        <f>IF(September!C25&lt;0,"0",September!C25)+(IF(September!E25&lt;0,"0",September!E25)-(IF(September!G25&lt;0,"0",September!G25)))</f>
        <v>0</v>
      </c>
      <c r="F25" s="118" t="e">
        <f>(September!C25*0.27)/(September!C25+September!E25)</f>
        <v>#DIV/0!</v>
      </c>
      <c r="G25" s="105">
        <f>September!U25</f>
        <v>0</v>
      </c>
      <c r="H25" s="121">
        <v>0.62</v>
      </c>
      <c r="I25" s="106">
        <f>September!W25</f>
        <v>0</v>
      </c>
      <c r="J25" s="107">
        <v>2.42</v>
      </c>
      <c r="K25" s="114">
        <f>September!AB25*5.04</f>
        <v>0</v>
      </c>
      <c r="L25" s="124">
        <v>0.11509999999999999</v>
      </c>
      <c r="M25" s="115">
        <f>September!M25</f>
        <v>0</v>
      </c>
      <c r="N25" s="127">
        <v>0.88</v>
      </c>
      <c r="O25" s="108">
        <f>September!AC25</f>
        <v>0</v>
      </c>
      <c r="P25" s="108">
        <f>September!AD25</f>
        <v>0</v>
      </c>
    </row>
    <row r="26" spans="1:16" ht="14.3" x14ac:dyDescent="0.25">
      <c r="A26" s="103" t="s">
        <v>37</v>
      </c>
      <c r="B26" s="5">
        <f>B25+1</f>
        <v>25</v>
      </c>
      <c r="C26" s="130">
        <v>9</v>
      </c>
      <c r="D26" s="4">
        <v>2024</v>
      </c>
      <c r="E26" s="104">
        <f>IF(September!C26&lt;0,"0",September!C26)+(IF(September!E26&lt;0,"0",September!E26)-(IF(September!G26&lt;0,"0",September!G26)))</f>
        <v>0</v>
      </c>
      <c r="F26" s="118" t="e">
        <f>(September!C26*0.27)/(September!C26+September!E26)</f>
        <v>#DIV/0!</v>
      </c>
      <c r="G26" s="105">
        <f>September!U26</f>
        <v>0</v>
      </c>
      <c r="H26" s="121">
        <v>0.62</v>
      </c>
      <c r="I26" s="106">
        <f>September!W26</f>
        <v>0</v>
      </c>
      <c r="J26" s="107">
        <v>2.42</v>
      </c>
      <c r="K26" s="114">
        <f>September!AB26*5.04</f>
        <v>0</v>
      </c>
      <c r="L26" s="124">
        <v>0.11509999999999999</v>
      </c>
      <c r="M26" s="115">
        <f>September!M26</f>
        <v>0</v>
      </c>
      <c r="N26" s="127">
        <v>0.88</v>
      </c>
      <c r="O26" s="108">
        <f>September!AC26</f>
        <v>0</v>
      </c>
      <c r="P26" s="108">
        <f>September!AD26</f>
        <v>0</v>
      </c>
    </row>
    <row r="27" spans="1:16" ht="14.3" x14ac:dyDescent="0.25">
      <c r="A27" s="103" t="s">
        <v>37</v>
      </c>
      <c r="B27" s="5">
        <f t="shared" si="0"/>
        <v>26</v>
      </c>
      <c r="C27" s="130">
        <v>9</v>
      </c>
      <c r="D27" s="4">
        <v>2024</v>
      </c>
      <c r="E27" s="104">
        <f>IF(September!C27&lt;0,"0",September!C27)+(IF(September!E27&lt;0,"0",September!E27)-(IF(September!G27&lt;0,"0",September!G27)))</f>
        <v>0</v>
      </c>
      <c r="F27" s="118" t="e">
        <f>(September!C27*0.27)/(September!C27+September!E27)</f>
        <v>#DIV/0!</v>
      </c>
      <c r="G27" s="105">
        <f>September!U27</f>
        <v>0</v>
      </c>
      <c r="H27" s="121">
        <v>0.62</v>
      </c>
      <c r="I27" s="106">
        <f>September!W27</f>
        <v>0</v>
      </c>
      <c r="J27" s="107">
        <v>2.42</v>
      </c>
      <c r="K27" s="114">
        <f>September!AB27*5.04</f>
        <v>0</v>
      </c>
      <c r="L27" s="124">
        <v>0.11509999999999999</v>
      </c>
      <c r="M27" s="115">
        <f>September!M27</f>
        <v>0</v>
      </c>
      <c r="N27" s="127">
        <v>0.88</v>
      </c>
      <c r="O27" s="108">
        <f>September!AC27</f>
        <v>0</v>
      </c>
      <c r="P27" s="108">
        <f>September!AD27</f>
        <v>0</v>
      </c>
    </row>
    <row r="28" spans="1:16" ht="14.3" x14ac:dyDescent="0.25">
      <c r="A28" s="103" t="s">
        <v>37</v>
      </c>
      <c r="B28" s="5">
        <f t="shared" si="0"/>
        <v>27</v>
      </c>
      <c r="C28" s="130">
        <v>9</v>
      </c>
      <c r="D28" s="4">
        <v>2024</v>
      </c>
      <c r="E28" s="104">
        <f>IF(September!C28&lt;0,"0",September!C28)+(IF(September!E28&lt;0,"0",September!E28)-(IF(September!G28&lt;0,"0",September!G28)))</f>
        <v>0</v>
      </c>
      <c r="F28" s="118" t="e">
        <f>(September!C28*0.27)/(September!C28+September!E28)</f>
        <v>#DIV/0!</v>
      </c>
      <c r="G28" s="105">
        <f>September!U28</f>
        <v>0</v>
      </c>
      <c r="H28" s="121">
        <v>0.62</v>
      </c>
      <c r="I28" s="106">
        <f>September!W28</f>
        <v>0</v>
      </c>
      <c r="J28" s="107">
        <v>2.42</v>
      </c>
      <c r="K28" s="114">
        <f>September!AB28*5.04</f>
        <v>0</v>
      </c>
      <c r="L28" s="124">
        <v>0.11509999999999999</v>
      </c>
      <c r="M28" s="115">
        <f>September!M28</f>
        <v>0</v>
      </c>
      <c r="N28" s="127">
        <v>0.88</v>
      </c>
      <c r="O28" s="108">
        <f>September!AC28</f>
        <v>0</v>
      </c>
      <c r="P28" s="108">
        <f>September!AD28</f>
        <v>0</v>
      </c>
    </row>
    <row r="29" spans="1:16" ht="14.3" x14ac:dyDescent="0.25">
      <c r="A29" s="103" t="s">
        <v>37</v>
      </c>
      <c r="B29" s="5">
        <f t="shared" si="0"/>
        <v>28</v>
      </c>
      <c r="C29" s="130">
        <v>9</v>
      </c>
      <c r="D29" s="4">
        <v>2024</v>
      </c>
      <c r="E29" s="104">
        <f>IF(September!C29&lt;0,"0",September!C29)+(IF(September!E29&lt;0,"0",September!E29)-(IF(September!G29&lt;0,"0",September!G29)))</f>
        <v>0</v>
      </c>
      <c r="F29" s="118" t="e">
        <f>(September!C29*0.27)/(September!C29+September!E29)</f>
        <v>#DIV/0!</v>
      </c>
      <c r="G29" s="105">
        <f>September!U29</f>
        <v>0</v>
      </c>
      <c r="H29" s="121">
        <v>0.62</v>
      </c>
      <c r="I29" s="106">
        <f>September!W29</f>
        <v>0</v>
      </c>
      <c r="J29" s="107">
        <v>2.42</v>
      </c>
      <c r="K29" s="114">
        <f>September!AB29*5.04</f>
        <v>0</v>
      </c>
      <c r="L29" s="124">
        <v>0.11509999999999999</v>
      </c>
      <c r="M29" s="115">
        <f>September!M29</f>
        <v>0</v>
      </c>
      <c r="N29" s="127">
        <v>0.88</v>
      </c>
      <c r="O29" s="108">
        <f>September!AC29</f>
        <v>0</v>
      </c>
      <c r="P29" s="108">
        <f>September!AD29</f>
        <v>0</v>
      </c>
    </row>
    <row r="30" spans="1:16" ht="14.3" x14ac:dyDescent="0.25">
      <c r="A30" s="103" t="s">
        <v>37</v>
      </c>
      <c r="B30" s="5">
        <f t="shared" si="0"/>
        <v>29</v>
      </c>
      <c r="C30" s="130">
        <v>9</v>
      </c>
      <c r="D30" s="4">
        <v>2024</v>
      </c>
      <c r="E30" s="104">
        <f>IF(September!C30&lt;0,"0",September!C30)+(IF(September!E30&lt;0,"0",September!E30)-(IF(September!G30&lt;0,"0",September!G30)))</f>
        <v>0</v>
      </c>
      <c r="F30" s="118" t="e">
        <f>(September!C30*0.27)/(September!C30+September!E30)</f>
        <v>#DIV/0!</v>
      </c>
      <c r="G30" s="105">
        <f>September!U30</f>
        <v>0</v>
      </c>
      <c r="H30" s="121">
        <v>0.62</v>
      </c>
      <c r="I30" s="106">
        <f>September!W30</f>
        <v>0</v>
      </c>
      <c r="J30" s="107">
        <v>2.42</v>
      </c>
      <c r="K30" s="114">
        <f>September!AB30*5.04</f>
        <v>0</v>
      </c>
      <c r="L30" s="124">
        <v>0.11509999999999999</v>
      </c>
      <c r="M30" s="115">
        <f>September!M30</f>
        <v>0</v>
      </c>
      <c r="N30" s="127">
        <v>0.88</v>
      </c>
      <c r="O30" s="108">
        <f>September!AC30</f>
        <v>0</v>
      </c>
      <c r="P30" s="108">
        <f>September!AD30</f>
        <v>0</v>
      </c>
    </row>
    <row r="31" spans="1:16" ht="14.3" x14ac:dyDescent="0.25">
      <c r="A31" s="103" t="s">
        <v>37</v>
      </c>
      <c r="B31" s="5">
        <f t="shared" si="0"/>
        <v>30</v>
      </c>
      <c r="C31" s="130">
        <v>9</v>
      </c>
      <c r="D31" s="4">
        <v>2024</v>
      </c>
      <c r="E31" s="104">
        <f>IF(September!C31&lt;0,"0",September!C31)+(IF(September!E31&lt;0,"0",September!E31)-(IF(September!G31&lt;0,"0",September!G31)))</f>
        <v>0</v>
      </c>
      <c r="F31" s="118" t="e">
        <f>(September!C31*0.27)/(September!C31+September!E31)</f>
        <v>#DIV/0!</v>
      </c>
      <c r="G31" s="105">
        <f>September!U31</f>
        <v>0</v>
      </c>
      <c r="H31" s="121">
        <v>0.62</v>
      </c>
      <c r="I31" s="106">
        <f>September!W31</f>
        <v>0</v>
      </c>
      <c r="J31" s="107">
        <v>2.42</v>
      </c>
      <c r="K31" s="114">
        <f>September!AB31*5.04</f>
        <v>0</v>
      </c>
      <c r="L31" s="124">
        <v>0.11509999999999999</v>
      </c>
      <c r="M31" s="115">
        <f>September!M31</f>
        <v>0</v>
      </c>
      <c r="N31" s="127">
        <v>0.88</v>
      </c>
      <c r="O31" s="108">
        <f>September!AC31</f>
        <v>0</v>
      </c>
      <c r="P31" s="108">
        <f>September!AD31</f>
        <v>0</v>
      </c>
    </row>
    <row r="32" spans="1:16" ht="14.3" x14ac:dyDescent="0.25">
      <c r="A32" s="103" t="s">
        <v>37</v>
      </c>
      <c r="B32" s="5">
        <f t="shared" si="0"/>
        <v>31</v>
      </c>
      <c r="C32" s="130">
        <v>9</v>
      </c>
      <c r="D32" s="4">
        <v>2024</v>
      </c>
      <c r="E32" s="104">
        <f>IF(September!C32&lt;0,"0",September!C32)+(IF(September!E32&lt;0,"0",September!E32)-(IF(September!G32&lt;0,"0",September!G32)))</f>
        <v>0</v>
      </c>
      <c r="F32" s="118" t="e">
        <f>(September!C32*0.27)/(September!C32+September!E32)</f>
        <v>#DIV/0!</v>
      </c>
      <c r="G32" s="105">
        <f>September!U32</f>
        <v>0</v>
      </c>
      <c r="H32" s="121">
        <v>0.62</v>
      </c>
      <c r="I32" s="106">
        <f>September!W32</f>
        <v>0</v>
      </c>
      <c r="J32" s="107">
        <v>2.42</v>
      </c>
      <c r="K32" s="114">
        <f>September!AB32*5.04</f>
        <v>0</v>
      </c>
      <c r="L32" s="124"/>
      <c r="M32" s="115">
        <f>September!M32</f>
        <v>0</v>
      </c>
      <c r="N32" s="127">
        <v>0.88</v>
      </c>
      <c r="O32" s="108">
        <f>September!AC32</f>
        <v>0</v>
      </c>
      <c r="P32" s="108">
        <f>September!AD32</f>
        <v>0</v>
      </c>
    </row>
    <row r="33" spans="4:16" x14ac:dyDescent="0.2">
      <c r="D33" s="109"/>
      <c r="F33" s="118"/>
      <c r="I33" s="107"/>
      <c r="J33" s="107"/>
      <c r="K33" s="114"/>
      <c r="L33" s="124"/>
      <c r="O33" s="110"/>
      <c r="P33" s="110"/>
    </row>
    <row r="34" spans="4:16" x14ac:dyDescent="0.2">
      <c r="D34" s="109"/>
      <c r="F34" s="118"/>
      <c r="I34" s="107"/>
      <c r="J34" s="107"/>
      <c r="K34" s="114"/>
      <c r="L34" s="124"/>
      <c r="O34" s="110"/>
      <c r="P34" s="110"/>
    </row>
    <row r="35" spans="4:16" x14ac:dyDescent="0.2">
      <c r="D35" s="109"/>
      <c r="F35" s="118"/>
      <c r="I35" s="107"/>
      <c r="J35" s="107"/>
      <c r="K35" s="114"/>
      <c r="L35" s="124"/>
      <c r="O35" s="110"/>
      <c r="P35" s="110"/>
    </row>
    <row r="36" spans="4:16" x14ac:dyDescent="0.2">
      <c r="D36" s="109"/>
      <c r="F36" s="118"/>
      <c r="I36" s="107"/>
      <c r="J36" s="107"/>
      <c r="K36" s="114"/>
      <c r="L36" s="124"/>
      <c r="O36" s="110"/>
      <c r="P36" s="110"/>
    </row>
    <row r="37" spans="4:16" x14ac:dyDescent="0.2">
      <c r="D37" s="109"/>
      <c r="F37" s="118"/>
      <c r="I37" s="107"/>
      <c r="J37" s="107"/>
      <c r="K37" s="114"/>
      <c r="L37" s="124"/>
      <c r="O37" s="110"/>
      <c r="P37" s="110"/>
    </row>
    <row r="38" spans="4:16" x14ac:dyDescent="0.2">
      <c r="D38" s="109"/>
      <c r="F38" s="118"/>
      <c r="I38" s="107"/>
      <c r="J38" s="107"/>
      <c r="K38" s="114"/>
      <c r="L38" s="124"/>
      <c r="O38" s="110"/>
      <c r="P38" s="110"/>
    </row>
    <row r="39" spans="4:16" x14ac:dyDescent="0.2">
      <c r="D39" s="109"/>
      <c r="F39" s="118"/>
      <c r="I39" s="107"/>
      <c r="J39" s="107"/>
      <c r="K39" s="114"/>
      <c r="L39" s="124"/>
      <c r="O39" s="110"/>
      <c r="P39" s="110"/>
    </row>
    <row r="40" spans="4:16" x14ac:dyDescent="0.2">
      <c r="F40" s="118"/>
      <c r="K40" s="114"/>
      <c r="L40" s="124"/>
    </row>
    <row r="41" spans="4:16" x14ac:dyDescent="0.2">
      <c r="F41" s="118"/>
      <c r="K41" s="114"/>
      <c r="L41" s="124"/>
    </row>
    <row r="42" spans="4:16" x14ac:dyDescent="0.2">
      <c r="F42" s="118"/>
      <c r="K42" s="114"/>
      <c r="L42" s="124"/>
    </row>
    <row r="43" spans="4:16" x14ac:dyDescent="0.2">
      <c r="F43" s="118"/>
      <c r="K43" s="114"/>
      <c r="L43" s="124"/>
    </row>
    <row r="44" spans="4:16" x14ac:dyDescent="0.2">
      <c r="K44" s="114"/>
      <c r="L44" s="1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E76"/>
  <sheetViews>
    <sheetView tabSelected="1" topLeftCell="E1" zoomScale="85" zoomScaleNormal="85" workbookViewId="0">
      <selection activeCell="S21" sqref="S21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8.25" style="15" customWidth="1"/>
    <col min="29" max="29" width="6.375" customWidth="1"/>
    <col min="30" max="30" width="7" customWidth="1"/>
    <col min="32" max="36" width="15.25" customWidth="1"/>
  </cols>
  <sheetData>
    <row r="1" spans="1:31" s="3" customFormat="1" ht="72" customHeight="1" thickTop="1" x14ac:dyDescent="0.2">
      <c r="A1" s="26" t="s">
        <v>1</v>
      </c>
      <c r="B1" s="27" t="s">
        <v>10</v>
      </c>
      <c r="C1" s="23" t="s">
        <v>8</v>
      </c>
      <c r="D1" s="22" t="s">
        <v>11</v>
      </c>
      <c r="E1" s="16" t="s">
        <v>6</v>
      </c>
      <c r="F1" s="22" t="s">
        <v>12</v>
      </c>
      <c r="G1" s="74" t="s">
        <v>7</v>
      </c>
      <c r="H1" s="76" t="s">
        <v>18</v>
      </c>
      <c r="I1" s="80" t="s">
        <v>17</v>
      </c>
      <c r="J1" s="52" t="s">
        <v>5</v>
      </c>
      <c r="K1" s="26" t="s">
        <v>1</v>
      </c>
      <c r="L1" s="29" t="s">
        <v>2</v>
      </c>
      <c r="M1" s="82" t="s">
        <v>14</v>
      </c>
      <c r="N1" s="30" t="s">
        <v>5</v>
      </c>
      <c r="O1" s="90" t="s">
        <v>20</v>
      </c>
      <c r="P1" s="90" t="s">
        <v>21</v>
      </c>
      <c r="Q1" s="90" t="s">
        <v>22</v>
      </c>
      <c r="R1" s="90" t="s">
        <v>23</v>
      </c>
      <c r="S1" s="38" t="s">
        <v>19</v>
      </c>
      <c r="T1" s="37" t="s">
        <v>13</v>
      </c>
      <c r="U1" s="30" t="s">
        <v>5</v>
      </c>
      <c r="V1" s="43" t="s">
        <v>4</v>
      </c>
      <c r="W1" s="30" t="s">
        <v>5</v>
      </c>
      <c r="X1" s="46" t="s">
        <v>3</v>
      </c>
      <c r="Y1" s="30" t="s">
        <v>5</v>
      </c>
      <c r="Z1" s="49" t="s">
        <v>15</v>
      </c>
      <c r="AA1" s="55" t="s">
        <v>16</v>
      </c>
      <c r="AB1" s="30" t="s">
        <v>5</v>
      </c>
      <c r="AC1" s="24" t="s">
        <v>0</v>
      </c>
      <c r="AD1" s="25" t="s">
        <v>9</v>
      </c>
    </row>
    <row r="2" spans="1:31" ht="20.7" customHeight="1" x14ac:dyDescent="0.2">
      <c r="A2" s="19">
        <v>45536</v>
      </c>
      <c r="B2" s="8">
        <v>12691724</v>
      </c>
      <c r="C2" s="14">
        <f t="shared" ref="C2:E15" si="0">IF(OR((B3-B2)&lt;0,B3=0),"0",B3-B2)</f>
        <v>8533</v>
      </c>
      <c r="D2" s="9">
        <v>521626</v>
      </c>
      <c r="E2" s="14">
        <f t="shared" si="0"/>
        <v>1204</v>
      </c>
      <c r="F2" s="28">
        <v>1704</v>
      </c>
      <c r="G2" s="75">
        <f>F3-F2</f>
        <v>0</v>
      </c>
      <c r="H2" s="77">
        <f>C2+E2-G2</f>
        <v>9737</v>
      </c>
      <c r="I2" s="81">
        <f>H2-K2-M2-O2-Q2</f>
        <v>-35800.32</v>
      </c>
      <c r="J2" s="33">
        <f t="shared" ref="J2:J32" si="1">I3-I2</f>
        <v>-324.87999999999738</v>
      </c>
      <c r="K2" s="19">
        <f t="shared" ref="K2:K33" si="2">A2</f>
        <v>45536</v>
      </c>
      <c r="L2" s="31">
        <v>5660</v>
      </c>
      <c r="M2" s="32">
        <v>0</v>
      </c>
      <c r="N2" s="33">
        <v>0</v>
      </c>
      <c r="O2" s="91">
        <v>0.72</v>
      </c>
      <c r="P2" s="92">
        <v>0.71</v>
      </c>
      <c r="Q2" s="91">
        <v>0.6</v>
      </c>
      <c r="R2" s="92">
        <v>0.59</v>
      </c>
      <c r="S2" s="40"/>
      <c r="T2" s="39"/>
      <c r="U2" s="33">
        <f t="shared" ref="U2:U16" si="3">IF(OR((S2+T2-S3)&lt;0,S2&gt;S1),"0",(S2+T2-S3))</f>
        <v>0</v>
      </c>
      <c r="V2" s="44">
        <v>113967</v>
      </c>
      <c r="W2" s="33">
        <f>IF(V3-V2&lt;0,"0",V3-V2)</f>
        <v>118</v>
      </c>
      <c r="X2" s="47">
        <v>60489</v>
      </c>
      <c r="Y2" s="33">
        <f>X3-X2</f>
        <v>7</v>
      </c>
      <c r="Z2" s="50">
        <v>1250</v>
      </c>
      <c r="AA2" s="56">
        <v>0</v>
      </c>
      <c r="AB2" s="33">
        <f>IF(OR((Z2+AA2-Z3)&lt;0,(Z3=0)),"0",(Z2+AA2-Z3))</f>
        <v>205</v>
      </c>
      <c r="AC2" s="12">
        <v>156</v>
      </c>
      <c r="AD2" s="17">
        <v>316</v>
      </c>
      <c r="AE2" s="131">
        <f>Z2+AA2-Z3</f>
        <v>205</v>
      </c>
    </row>
    <row r="3" spans="1:31" ht="20.7" customHeight="1" x14ac:dyDescent="0.2">
      <c r="A3" s="20">
        <v>45537</v>
      </c>
      <c r="B3" s="10">
        <v>12700257</v>
      </c>
      <c r="C3" s="14">
        <f t="shared" si="0"/>
        <v>8152</v>
      </c>
      <c r="D3" s="11">
        <v>522830</v>
      </c>
      <c r="E3" s="14">
        <f t="shared" ref="E3" si="4">IF(OR((D4-D3)&lt;0,D4=0),"0",D4-D3)</f>
        <v>1261</v>
      </c>
      <c r="F3" s="28">
        <v>1704</v>
      </c>
      <c r="G3" s="75">
        <f t="shared" ref="G3:G32" si="5">F4-F3</f>
        <v>0</v>
      </c>
      <c r="H3" s="77">
        <f t="shared" ref="H3:H32" si="6">C3+E3-G3</f>
        <v>9413</v>
      </c>
      <c r="I3" s="81">
        <f t="shared" ref="I3:I32" si="7">H3-K3-M3-O3-Q3</f>
        <v>-36125.199999999997</v>
      </c>
      <c r="J3" s="33">
        <f t="shared" si="1"/>
        <v>331.68000000000029</v>
      </c>
      <c r="K3" s="20">
        <f t="shared" si="2"/>
        <v>45537</v>
      </c>
      <c r="L3" s="34">
        <v>5660</v>
      </c>
      <c r="M3" s="35">
        <v>0</v>
      </c>
      <c r="N3" s="36">
        <v>0</v>
      </c>
      <c r="O3" s="93">
        <v>0.7</v>
      </c>
      <c r="P3" s="94">
        <v>0.71</v>
      </c>
      <c r="Q3" s="93">
        <v>0.5</v>
      </c>
      <c r="R3" s="94">
        <v>0.53</v>
      </c>
      <c r="S3" s="40"/>
      <c r="T3" s="39">
        <v>278</v>
      </c>
      <c r="U3" s="33">
        <f t="shared" si="3"/>
        <v>278</v>
      </c>
      <c r="V3" s="45">
        <v>114085</v>
      </c>
      <c r="W3" s="33">
        <f t="shared" ref="W3:W32" si="8">IF(V4-V3&lt;0,"0",V4-V3)</f>
        <v>124</v>
      </c>
      <c r="X3" s="48">
        <v>60496</v>
      </c>
      <c r="Y3" s="33">
        <f t="shared" ref="Y3:Y32" si="9">X4-X3</f>
        <v>14</v>
      </c>
      <c r="Z3" s="51">
        <v>1045</v>
      </c>
      <c r="AA3" s="57">
        <v>8195</v>
      </c>
      <c r="AB3" s="33">
        <f t="shared" ref="AB3:AB32" si="10">IF(OR((Z3+AA3-Z4)&lt;0,(Z4=0)),"0",(Z3+AA3-Z4))</f>
        <v>85</v>
      </c>
      <c r="AC3" s="13">
        <v>165</v>
      </c>
      <c r="AD3" s="18">
        <v>337</v>
      </c>
      <c r="AE3" s="131">
        <f t="shared" ref="AE3:AE32" si="11">Z3+AA3-Z4</f>
        <v>85</v>
      </c>
    </row>
    <row r="4" spans="1:31" ht="20.7" customHeight="1" x14ac:dyDescent="0.2">
      <c r="A4" s="20">
        <v>45538</v>
      </c>
      <c r="B4" s="10">
        <v>12708409</v>
      </c>
      <c r="C4" s="14">
        <f t="shared" si="0"/>
        <v>8521</v>
      </c>
      <c r="D4" s="11">
        <v>524091</v>
      </c>
      <c r="E4" s="14">
        <f t="shared" ref="E4" si="12">IF(OR((D5-D4)&lt;0,D5=0),"0",D5-D4)</f>
        <v>1225</v>
      </c>
      <c r="F4" s="28">
        <v>1704</v>
      </c>
      <c r="G4" s="75">
        <f t="shared" si="5"/>
        <v>0</v>
      </c>
      <c r="H4" s="77">
        <f t="shared" si="6"/>
        <v>9746</v>
      </c>
      <c r="I4" s="81">
        <f t="shared" si="7"/>
        <v>-35793.519999999997</v>
      </c>
      <c r="J4" s="33">
        <f t="shared" si="1"/>
        <v>-733.92000000000553</v>
      </c>
      <c r="K4" s="20">
        <f t="shared" si="2"/>
        <v>45538</v>
      </c>
      <c r="L4" s="34">
        <v>5660</v>
      </c>
      <c r="M4" s="35">
        <v>0</v>
      </c>
      <c r="N4" s="36">
        <v>0</v>
      </c>
      <c r="O4" s="93">
        <v>0.68</v>
      </c>
      <c r="P4" s="94">
        <v>0.71</v>
      </c>
      <c r="Q4" s="93">
        <v>0.84</v>
      </c>
      <c r="R4" s="94">
        <v>0.87</v>
      </c>
      <c r="S4" s="40"/>
      <c r="T4" s="39"/>
      <c r="U4" s="33">
        <f t="shared" si="3"/>
        <v>0</v>
      </c>
      <c r="V4" s="45">
        <v>114209</v>
      </c>
      <c r="W4" s="33">
        <f t="shared" si="8"/>
        <v>100</v>
      </c>
      <c r="X4" s="48">
        <v>60510</v>
      </c>
      <c r="Y4" s="33">
        <f t="shared" si="9"/>
        <v>12</v>
      </c>
      <c r="Z4" s="51">
        <v>9155</v>
      </c>
      <c r="AA4" s="57">
        <v>0</v>
      </c>
      <c r="AB4" s="33">
        <f t="shared" si="10"/>
        <v>220</v>
      </c>
      <c r="AC4" s="13">
        <v>165</v>
      </c>
      <c r="AD4" s="18">
        <v>330</v>
      </c>
      <c r="AE4" s="131">
        <f t="shared" si="11"/>
        <v>220</v>
      </c>
    </row>
    <row r="5" spans="1:31" ht="20.7" customHeight="1" x14ac:dyDescent="0.2">
      <c r="A5" s="20">
        <v>45539</v>
      </c>
      <c r="B5" s="10">
        <v>12716930</v>
      </c>
      <c r="C5" s="14">
        <f t="shared" si="0"/>
        <v>7803</v>
      </c>
      <c r="D5" s="11">
        <v>525316</v>
      </c>
      <c r="E5" s="14">
        <f t="shared" ref="E5" si="13">IF(OR((D6-D5)&lt;0,D6=0),"0",D6-D5)</f>
        <v>1210</v>
      </c>
      <c r="F5" s="28">
        <v>1704</v>
      </c>
      <c r="G5" s="75">
        <f t="shared" si="5"/>
        <v>0</v>
      </c>
      <c r="H5" s="77">
        <f t="shared" si="6"/>
        <v>9013</v>
      </c>
      <c r="I5" s="81">
        <f t="shared" si="7"/>
        <v>-36527.440000000002</v>
      </c>
      <c r="J5" s="33">
        <f t="shared" si="1"/>
        <v>660.03000000000611</v>
      </c>
      <c r="K5" s="20">
        <f t="shared" si="2"/>
        <v>45539</v>
      </c>
      <c r="L5" s="34">
        <v>5660</v>
      </c>
      <c r="M5" s="35">
        <v>0</v>
      </c>
      <c r="N5" s="36">
        <v>0</v>
      </c>
      <c r="O5" s="93">
        <v>0.64</v>
      </c>
      <c r="P5" s="94">
        <v>0.69</v>
      </c>
      <c r="Q5" s="93">
        <v>0.8</v>
      </c>
      <c r="R5" s="94">
        <v>0.74</v>
      </c>
      <c r="S5" s="40"/>
      <c r="T5" s="39"/>
      <c r="U5" s="33">
        <f t="shared" si="3"/>
        <v>0</v>
      </c>
      <c r="V5" s="45">
        <v>114309</v>
      </c>
      <c r="W5" s="33">
        <f t="shared" si="8"/>
        <v>113</v>
      </c>
      <c r="X5" s="48">
        <v>60522</v>
      </c>
      <c r="Y5" s="33">
        <f t="shared" si="9"/>
        <v>17</v>
      </c>
      <c r="Z5" s="51">
        <v>8935</v>
      </c>
      <c r="AA5" s="57">
        <v>0</v>
      </c>
      <c r="AB5" s="33">
        <f t="shared" si="10"/>
        <v>185</v>
      </c>
      <c r="AC5" s="13">
        <v>177</v>
      </c>
      <c r="AD5" s="18">
        <v>347</v>
      </c>
      <c r="AE5" s="131">
        <f t="shared" si="11"/>
        <v>185</v>
      </c>
    </row>
    <row r="6" spans="1:31" ht="20.7" customHeight="1" x14ac:dyDescent="0.2">
      <c r="A6" s="20">
        <v>45540</v>
      </c>
      <c r="B6" s="10">
        <v>12724733</v>
      </c>
      <c r="C6" s="14">
        <f t="shared" si="0"/>
        <v>8425</v>
      </c>
      <c r="D6" s="11">
        <v>526526</v>
      </c>
      <c r="E6" s="14">
        <f t="shared" ref="E6" si="14">IF(OR((D7-D6)&lt;0,D7=0),"0",D7-D6)</f>
        <v>1249</v>
      </c>
      <c r="F6" s="28">
        <v>1704</v>
      </c>
      <c r="G6" s="75">
        <f t="shared" si="5"/>
        <v>0</v>
      </c>
      <c r="H6" s="77">
        <f t="shared" si="6"/>
        <v>9674</v>
      </c>
      <c r="I6" s="81">
        <f t="shared" si="7"/>
        <v>-35867.409999999996</v>
      </c>
      <c r="J6" s="33">
        <f t="shared" si="1"/>
        <v>703.02999999999156</v>
      </c>
      <c r="K6" s="20">
        <f t="shared" si="2"/>
        <v>45540</v>
      </c>
      <c r="L6" s="34">
        <v>5660</v>
      </c>
      <c r="M6" s="35">
        <v>0</v>
      </c>
      <c r="N6" s="36">
        <v>0</v>
      </c>
      <c r="O6" s="93">
        <v>0.63</v>
      </c>
      <c r="P6" s="94">
        <v>0.68</v>
      </c>
      <c r="Q6" s="93">
        <v>0.78</v>
      </c>
      <c r="R6" s="94">
        <v>0.73</v>
      </c>
      <c r="S6" s="40"/>
      <c r="T6" s="39"/>
      <c r="U6" s="33">
        <f t="shared" si="3"/>
        <v>0</v>
      </c>
      <c r="V6" s="45">
        <v>114422</v>
      </c>
      <c r="W6" s="33">
        <f t="shared" si="8"/>
        <v>121</v>
      </c>
      <c r="X6" s="48">
        <v>60539</v>
      </c>
      <c r="Y6" s="33">
        <f t="shared" si="9"/>
        <v>16</v>
      </c>
      <c r="Z6" s="51">
        <v>8750</v>
      </c>
      <c r="AA6" s="57">
        <v>0</v>
      </c>
      <c r="AB6" s="33">
        <f t="shared" si="10"/>
        <v>190</v>
      </c>
      <c r="AC6" s="13">
        <v>188</v>
      </c>
      <c r="AD6" s="18">
        <v>373</v>
      </c>
      <c r="AE6" s="131">
        <f t="shared" si="11"/>
        <v>190</v>
      </c>
    </row>
    <row r="7" spans="1:31" ht="20.7" customHeight="1" x14ac:dyDescent="0.2">
      <c r="A7" s="20">
        <v>45541</v>
      </c>
      <c r="B7" s="10">
        <v>12733158</v>
      </c>
      <c r="C7" s="14">
        <f t="shared" si="0"/>
        <v>9115</v>
      </c>
      <c r="D7" s="11">
        <v>527775</v>
      </c>
      <c r="E7" s="14">
        <f t="shared" ref="E7" si="15">IF(OR((D8-D7)&lt;0,D8=0),"0",D8-D7)</f>
        <v>1263</v>
      </c>
      <c r="F7" s="28">
        <v>1704</v>
      </c>
      <c r="G7" s="75">
        <f t="shared" si="5"/>
        <v>0</v>
      </c>
      <c r="H7" s="77">
        <f t="shared" si="6"/>
        <v>10378</v>
      </c>
      <c r="I7" s="81">
        <f t="shared" si="7"/>
        <v>-35164.380000000005</v>
      </c>
      <c r="J7" s="33">
        <f t="shared" si="1"/>
        <v>-110.89999999999418</v>
      </c>
      <c r="K7" s="20">
        <f t="shared" si="2"/>
        <v>45541</v>
      </c>
      <c r="L7" s="34">
        <v>5660</v>
      </c>
      <c r="M7" s="35">
        <v>0</v>
      </c>
      <c r="N7" s="36">
        <v>0</v>
      </c>
      <c r="O7" s="93">
        <v>0.62</v>
      </c>
      <c r="P7" s="94">
        <v>0.67</v>
      </c>
      <c r="Q7" s="93">
        <v>0.76</v>
      </c>
      <c r="R7" s="94">
        <v>0.71</v>
      </c>
      <c r="S7" s="40"/>
      <c r="T7" s="39"/>
      <c r="U7" s="33">
        <f t="shared" si="3"/>
        <v>0</v>
      </c>
      <c r="V7" s="45">
        <v>114543</v>
      </c>
      <c r="W7" s="33">
        <f t="shared" si="8"/>
        <v>117</v>
      </c>
      <c r="X7" s="48">
        <v>60555</v>
      </c>
      <c r="Y7" s="33">
        <f t="shared" si="9"/>
        <v>28</v>
      </c>
      <c r="Z7" s="51">
        <v>8560</v>
      </c>
      <c r="AA7" s="57">
        <v>0</v>
      </c>
      <c r="AB7" s="33">
        <f t="shared" si="10"/>
        <v>195</v>
      </c>
      <c r="AC7" s="13">
        <v>210</v>
      </c>
      <c r="AD7" s="18">
        <v>413</v>
      </c>
      <c r="AE7" s="131">
        <f t="shared" si="11"/>
        <v>195</v>
      </c>
    </row>
    <row r="8" spans="1:31" ht="20.7" customHeight="1" x14ac:dyDescent="0.2">
      <c r="A8" s="20">
        <v>45542</v>
      </c>
      <c r="B8" s="10">
        <v>12742273</v>
      </c>
      <c r="C8" s="14">
        <f t="shared" si="0"/>
        <v>9054</v>
      </c>
      <c r="D8" s="11">
        <v>529038</v>
      </c>
      <c r="E8" s="14">
        <f t="shared" ref="E8" si="16">IF(OR((D9-D8)&lt;0,D9=0),"0",D9-D8)</f>
        <v>1214</v>
      </c>
      <c r="F8" s="28">
        <v>1704</v>
      </c>
      <c r="G8" s="75">
        <f t="shared" si="5"/>
        <v>0</v>
      </c>
      <c r="H8" s="77">
        <f t="shared" si="6"/>
        <v>10268</v>
      </c>
      <c r="I8" s="81">
        <f t="shared" si="7"/>
        <v>-35275.279999999999</v>
      </c>
      <c r="J8" s="33">
        <f t="shared" si="1"/>
        <v>216.05999999999767</v>
      </c>
      <c r="K8" s="20">
        <f t="shared" si="2"/>
        <v>45542</v>
      </c>
      <c r="L8" s="34">
        <v>5660</v>
      </c>
      <c r="M8" s="35">
        <v>0</v>
      </c>
      <c r="N8" s="36">
        <v>0</v>
      </c>
      <c r="O8" s="93">
        <v>0.61</v>
      </c>
      <c r="P8" s="94">
        <v>0.67</v>
      </c>
      <c r="Q8" s="93">
        <v>0.67</v>
      </c>
      <c r="R8" s="94">
        <v>0.64</v>
      </c>
      <c r="S8" s="40"/>
      <c r="T8" s="39"/>
      <c r="U8" s="33">
        <f t="shared" si="3"/>
        <v>0</v>
      </c>
      <c r="V8" s="45">
        <v>114660</v>
      </c>
      <c r="W8" s="33">
        <f t="shared" si="8"/>
        <v>112</v>
      </c>
      <c r="X8" s="48">
        <v>60583</v>
      </c>
      <c r="Y8" s="33">
        <f t="shared" si="9"/>
        <v>15</v>
      </c>
      <c r="Z8" s="51">
        <v>8365</v>
      </c>
      <c r="AA8" s="57">
        <v>0</v>
      </c>
      <c r="AB8" s="33">
        <f t="shared" si="10"/>
        <v>210</v>
      </c>
      <c r="AC8" s="13">
        <v>224</v>
      </c>
      <c r="AD8" s="18">
        <v>438</v>
      </c>
      <c r="AE8" s="131">
        <f t="shared" si="11"/>
        <v>210</v>
      </c>
    </row>
    <row r="9" spans="1:31" ht="20.7" customHeight="1" x14ac:dyDescent="0.2">
      <c r="A9" s="20">
        <v>45543</v>
      </c>
      <c r="B9" s="10">
        <v>12751327</v>
      </c>
      <c r="C9" s="14">
        <f t="shared" si="0"/>
        <v>9247</v>
      </c>
      <c r="D9" s="11">
        <v>530252</v>
      </c>
      <c r="E9" s="14">
        <f t="shared" ref="E9" si="17">IF(OR((D10-D9)&lt;0,D10=0),"0",D10-D9)</f>
        <v>1238</v>
      </c>
      <c r="F9" s="28">
        <v>1704</v>
      </c>
      <c r="G9" s="75">
        <f t="shared" si="5"/>
        <v>0</v>
      </c>
      <c r="H9" s="77">
        <f t="shared" si="6"/>
        <v>10485</v>
      </c>
      <c r="I9" s="81">
        <f t="shared" si="7"/>
        <v>-35059.22</v>
      </c>
      <c r="J9" s="33">
        <f t="shared" si="1"/>
        <v>-869.90000000000146</v>
      </c>
      <c r="K9" s="20">
        <f t="shared" si="2"/>
        <v>45543</v>
      </c>
      <c r="L9" s="34">
        <v>5660</v>
      </c>
      <c r="M9" s="35">
        <v>0</v>
      </c>
      <c r="N9" s="36">
        <v>0</v>
      </c>
      <c r="O9" s="93">
        <v>0.6</v>
      </c>
      <c r="P9" s="94">
        <v>0.65</v>
      </c>
      <c r="Q9" s="93">
        <v>0.62</v>
      </c>
      <c r="R9" s="94">
        <v>0.62</v>
      </c>
      <c r="S9" s="40"/>
      <c r="T9" s="39"/>
      <c r="U9" s="33">
        <f t="shared" si="3"/>
        <v>0</v>
      </c>
      <c r="V9" s="45">
        <v>114772</v>
      </c>
      <c r="W9" s="33">
        <f t="shared" si="8"/>
        <v>120</v>
      </c>
      <c r="X9" s="48">
        <v>60598</v>
      </c>
      <c r="Y9" s="33">
        <f t="shared" si="9"/>
        <v>8</v>
      </c>
      <c r="Z9" s="51">
        <v>8155</v>
      </c>
      <c r="AA9" s="57">
        <v>0</v>
      </c>
      <c r="AB9" s="33">
        <f t="shared" si="10"/>
        <v>190</v>
      </c>
      <c r="AC9" s="13">
        <v>205</v>
      </c>
      <c r="AD9" s="18">
        <v>393</v>
      </c>
      <c r="AE9" s="131">
        <f t="shared" si="11"/>
        <v>190</v>
      </c>
    </row>
    <row r="10" spans="1:31" ht="20.7" customHeight="1" x14ac:dyDescent="0.2">
      <c r="A10" s="20">
        <v>45544</v>
      </c>
      <c r="B10" s="10">
        <v>12760574</v>
      </c>
      <c r="C10" s="14">
        <f t="shared" si="0"/>
        <v>8355</v>
      </c>
      <c r="D10" s="11">
        <v>531490</v>
      </c>
      <c r="E10" s="14">
        <f t="shared" ref="E10" si="18">IF(OR((D11-D10)&lt;0,D11=0),"0",D11-D10)</f>
        <v>1261</v>
      </c>
      <c r="F10" s="28">
        <v>1704</v>
      </c>
      <c r="G10" s="75">
        <f t="shared" si="5"/>
        <v>0</v>
      </c>
      <c r="H10" s="77">
        <f t="shared" si="6"/>
        <v>9616</v>
      </c>
      <c r="I10" s="81">
        <f t="shared" si="7"/>
        <v>-35929.120000000003</v>
      </c>
      <c r="J10" s="33">
        <f t="shared" si="1"/>
        <v>-60.519999999996799</v>
      </c>
      <c r="K10" s="20">
        <f t="shared" si="2"/>
        <v>45544</v>
      </c>
      <c r="L10" s="34">
        <v>5660</v>
      </c>
      <c r="M10" s="35">
        <v>0</v>
      </c>
      <c r="N10" s="36">
        <v>0</v>
      </c>
      <c r="O10" s="93">
        <v>0.57999999999999996</v>
      </c>
      <c r="P10" s="94">
        <v>0.61</v>
      </c>
      <c r="Q10" s="93">
        <v>0.54</v>
      </c>
      <c r="R10" s="94">
        <v>0.55000000000000004</v>
      </c>
      <c r="S10" s="40"/>
      <c r="T10" s="39">
        <v>1215</v>
      </c>
      <c r="U10" s="33">
        <f t="shared" si="3"/>
        <v>1215</v>
      </c>
      <c r="V10" s="45">
        <v>114892</v>
      </c>
      <c r="W10" s="33">
        <f t="shared" si="8"/>
        <v>119</v>
      </c>
      <c r="X10" s="48">
        <v>60606</v>
      </c>
      <c r="Y10" s="33">
        <f t="shared" si="9"/>
        <v>13</v>
      </c>
      <c r="Z10" s="51">
        <v>7965</v>
      </c>
      <c r="AA10" s="57">
        <v>0</v>
      </c>
      <c r="AB10" s="33">
        <f t="shared" si="10"/>
        <v>190</v>
      </c>
      <c r="AC10" s="13">
        <v>214</v>
      </c>
      <c r="AD10" s="18">
        <v>400</v>
      </c>
      <c r="AE10" s="131">
        <f t="shared" si="11"/>
        <v>190</v>
      </c>
    </row>
    <row r="11" spans="1:31" ht="20.7" customHeight="1" x14ac:dyDescent="0.2">
      <c r="A11" s="20">
        <v>45545</v>
      </c>
      <c r="B11" s="10">
        <v>12768929</v>
      </c>
      <c r="C11" s="14">
        <f t="shared" si="0"/>
        <v>8285</v>
      </c>
      <c r="D11" s="11">
        <v>532751</v>
      </c>
      <c r="E11" s="14">
        <f t="shared" ref="E11" si="19">IF(OR((D12-D11)&lt;0,D12=0),"0",D12-D11)</f>
        <v>1272</v>
      </c>
      <c r="F11" s="28">
        <v>1704</v>
      </c>
      <c r="G11" s="75">
        <f t="shared" si="5"/>
        <v>0</v>
      </c>
      <c r="H11" s="77">
        <f t="shared" si="6"/>
        <v>9557</v>
      </c>
      <c r="I11" s="81">
        <f t="shared" si="7"/>
        <v>-35989.64</v>
      </c>
      <c r="J11" s="33">
        <f t="shared" si="1"/>
        <v>-35.940000000002328</v>
      </c>
      <c r="K11" s="20">
        <f t="shared" si="2"/>
        <v>45545</v>
      </c>
      <c r="L11" s="34">
        <v>5660</v>
      </c>
      <c r="M11" s="35">
        <v>0</v>
      </c>
      <c r="N11" s="36">
        <v>0</v>
      </c>
      <c r="O11" s="93">
        <v>0.79</v>
      </c>
      <c r="P11" s="94">
        <v>0.78</v>
      </c>
      <c r="Q11" s="93">
        <v>0.85</v>
      </c>
      <c r="R11" s="94">
        <v>0.75</v>
      </c>
      <c r="S11" s="40"/>
      <c r="T11" s="39"/>
      <c r="U11" s="33">
        <f t="shared" si="3"/>
        <v>0</v>
      </c>
      <c r="V11" s="45">
        <v>115011</v>
      </c>
      <c r="W11" s="33">
        <f t="shared" si="8"/>
        <v>106</v>
      </c>
      <c r="X11" s="48">
        <v>60619</v>
      </c>
      <c r="Y11" s="33">
        <f t="shared" si="9"/>
        <v>12</v>
      </c>
      <c r="Z11" s="51">
        <v>7775</v>
      </c>
      <c r="AA11" s="57">
        <v>0</v>
      </c>
      <c r="AB11" s="33">
        <f t="shared" si="10"/>
        <v>230</v>
      </c>
      <c r="AC11" s="13">
        <v>213</v>
      </c>
      <c r="AD11" s="18">
        <v>397</v>
      </c>
      <c r="AE11" s="131">
        <f t="shared" si="11"/>
        <v>230</v>
      </c>
    </row>
    <row r="12" spans="1:31" ht="20.7" customHeight="1" x14ac:dyDescent="0.2">
      <c r="A12" s="20">
        <v>45546</v>
      </c>
      <c r="B12" s="10">
        <v>12777214</v>
      </c>
      <c r="C12" s="14">
        <f t="shared" si="0"/>
        <v>8284</v>
      </c>
      <c r="D12" s="11">
        <v>534023</v>
      </c>
      <c r="E12" s="14">
        <f t="shared" ref="E12" si="20">IF(OR((D13-D12)&lt;0,D13=0),"0",D13-D12)</f>
        <v>1238</v>
      </c>
      <c r="F12" s="28">
        <v>1704</v>
      </c>
      <c r="G12" s="75">
        <f t="shared" si="5"/>
        <v>0</v>
      </c>
      <c r="H12" s="77">
        <f t="shared" si="6"/>
        <v>9522</v>
      </c>
      <c r="I12" s="81">
        <f t="shared" si="7"/>
        <v>-36025.58</v>
      </c>
      <c r="J12" s="33">
        <f t="shared" si="1"/>
        <v>886.04000000000087</v>
      </c>
      <c r="K12" s="20">
        <f t="shared" si="2"/>
        <v>45546</v>
      </c>
      <c r="L12" s="34">
        <v>5660</v>
      </c>
      <c r="M12" s="35">
        <v>0</v>
      </c>
      <c r="N12" s="36">
        <v>0</v>
      </c>
      <c r="O12" s="93">
        <v>0.78</v>
      </c>
      <c r="P12" s="94">
        <v>0.78</v>
      </c>
      <c r="Q12" s="93">
        <v>0.8</v>
      </c>
      <c r="R12" s="94">
        <v>0.74</v>
      </c>
      <c r="S12" s="40"/>
      <c r="T12" s="39"/>
      <c r="U12" s="33">
        <f t="shared" si="3"/>
        <v>0</v>
      </c>
      <c r="V12" s="45">
        <v>115117</v>
      </c>
      <c r="W12" s="33">
        <f t="shared" si="8"/>
        <v>132</v>
      </c>
      <c r="X12" s="48">
        <v>60631</v>
      </c>
      <c r="Y12" s="33">
        <f t="shared" si="9"/>
        <v>7</v>
      </c>
      <c r="Z12" s="51">
        <v>7545</v>
      </c>
      <c r="AA12" s="57">
        <v>0</v>
      </c>
      <c r="AB12" s="33">
        <f t="shared" si="10"/>
        <v>225</v>
      </c>
      <c r="AC12" s="13">
        <v>220</v>
      </c>
      <c r="AD12" s="18">
        <v>407</v>
      </c>
      <c r="AE12" s="131">
        <f t="shared" si="11"/>
        <v>225</v>
      </c>
    </row>
    <row r="13" spans="1:31" ht="20.7" customHeight="1" x14ac:dyDescent="0.2">
      <c r="A13" s="20">
        <v>45547</v>
      </c>
      <c r="B13" s="10">
        <v>12785498</v>
      </c>
      <c r="C13" s="14">
        <f t="shared" si="0"/>
        <v>9214</v>
      </c>
      <c r="D13" s="11">
        <v>535261</v>
      </c>
      <c r="E13" s="14">
        <f t="shared" ref="E13" si="21">IF(OR((D14-D13)&lt;0,D14=0),"0",D14-D13)</f>
        <v>1195</v>
      </c>
      <c r="F13" s="28">
        <v>1704</v>
      </c>
      <c r="G13" s="75">
        <f t="shared" si="5"/>
        <v>0</v>
      </c>
      <c r="H13" s="77">
        <f t="shared" si="6"/>
        <v>10409</v>
      </c>
      <c r="I13" s="81">
        <f t="shared" si="7"/>
        <v>-35139.54</v>
      </c>
      <c r="J13" s="33">
        <f t="shared" si="1"/>
        <v>-312.95000000000437</v>
      </c>
      <c r="K13" s="20">
        <f t="shared" si="2"/>
        <v>45547</v>
      </c>
      <c r="L13" s="34">
        <v>5660</v>
      </c>
      <c r="M13" s="35">
        <v>0</v>
      </c>
      <c r="N13" s="36">
        <v>0</v>
      </c>
      <c r="O13" s="93">
        <v>0.78</v>
      </c>
      <c r="P13" s="94">
        <v>0.78</v>
      </c>
      <c r="Q13" s="93">
        <v>0.76</v>
      </c>
      <c r="R13" s="94">
        <v>0.71</v>
      </c>
      <c r="S13" s="40"/>
      <c r="T13" s="39"/>
      <c r="U13" s="33">
        <f t="shared" si="3"/>
        <v>0</v>
      </c>
      <c r="V13" s="45">
        <v>115249</v>
      </c>
      <c r="W13" s="33">
        <f t="shared" si="8"/>
        <v>120</v>
      </c>
      <c r="X13" s="48">
        <v>60638</v>
      </c>
      <c r="Y13" s="33">
        <f t="shared" si="9"/>
        <v>13</v>
      </c>
      <c r="Z13" s="51">
        <v>7320</v>
      </c>
      <c r="AA13" s="57">
        <v>0</v>
      </c>
      <c r="AB13" s="33">
        <f t="shared" si="10"/>
        <v>220</v>
      </c>
      <c r="AC13" s="13">
        <v>216</v>
      </c>
      <c r="AD13" s="18">
        <v>403</v>
      </c>
      <c r="AE13" s="131">
        <f t="shared" si="11"/>
        <v>220</v>
      </c>
    </row>
    <row r="14" spans="1:31" ht="20.7" customHeight="1" x14ac:dyDescent="0.2">
      <c r="A14" s="20">
        <v>45548</v>
      </c>
      <c r="B14" s="10">
        <v>12794712</v>
      </c>
      <c r="C14" s="14">
        <f t="shared" si="0"/>
        <v>8849</v>
      </c>
      <c r="D14" s="11">
        <v>536456</v>
      </c>
      <c r="E14" s="14">
        <f t="shared" ref="E14" si="22">IF(OR((D15-D14)&lt;0,D15=0),"0",D15-D14)</f>
        <v>1248</v>
      </c>
      <c r="F14" s="28">
        <v>1704</v>
      </c>
      <c r="G14" s="75">
        <f t="shared" si="5"/>
        <v>0</v>
      </c>
      <c r="H14" s="77">
        <f t="shared" si="6"/>
        <v>10097</v>
      </c>
      <c r="I14" s="81">
        <f t="shared" si="7"/>
        <v>-35452.490000000005</v>
      </c>
      <c r="J14" s="33">
        <f t="shared" si="1"/>
        <v>3.0300000000061118</v>
      </c>
      <c r="K14" s="20">
        <f t="shared" si="2"/>
        <v>45548</v>
      </c>
      <c r="L14" s="34">
        <v>5660</v>
      </c>
      <c r="M14" s="35">
        <v>0</v>
      </c>
      <c r="N14" s="36">
        <v>0</v>
      </c>
      <c r="O14" s="93">
        <v>0.76</v>
      </c>
      <c r="P14" s="94">
        <v>0.77</v>
      </c>
      <c r="Q14" s="93">
        <v>0.73</v>
      </c>
      <c r="R14" s="94">
        <v>0.68</v>
      </c>
      <c r="S14" s="40"/>
      <c r="T14" s="39"/>
      <c r="U14" s="33">
        <f t="shared" si="3"/>
        <v>0</v>
      </c>
      <c r="V14" s="45">
        <v>115369</v>
      </c>
      <c r="W14" s="33">
        <f t="shared" si="8"/>
        <v>133</v>
      </c>
      <c r="X14" s="48">
        <v>60651</v>
      </c>
      <c r="Y14" s="33">
        <f t="shared" si="9"/>
        <v>20</v>
      </c>
      <c r="Z14" s="51">
        <v>7100</v>
      </c>
      <c r="AA14" s="57">
        <v>0</v>
      </c>
      <c r="AB14" s="33">
        <f t="shared" si="10"/>
        <v>200</v>
      </c>
      <c r="AC14" s="13">
        <v>233</v>
      </c>
      <c r="AD14" s="18">
        <v>441</v>
      </c>
      <c r="AE14" s="131">
        <f t="shared" si="11"/>
        <v>200</v>
      </c>
    </row>
    <row r="15" spans="1:31" ht="20.7" customHeight="1" x14ac:dyDescent="0.2">
      <c r="A15" s="20">
        <v>45549</v>
      </c>
      <c r="B15" s="10">
        <v>12803561</v>
      </c>
      <c r="C15" s="14">
        <f t="shared" si="0"/>
        <v>8907</v>
      </c>
      <c r="D15" s="11">
        <v>537704</v>
      </c>
      <c r="E15" s="14">
        <f t="shared" ref="E15" si="23">IF(OR((D16-D15)&lt;0,D16=0),"0",D16-D15)</f>
        <v>1194</v>
      </c>
      <c r="F15" s="28">
        <v>1704</v>
      </c>
      <c r="G15" s="75">
        <f t="shared" si="5"/>
        <v>0</v>
      </c>
      <c r="H15" s="77">
        <f t="shared" si="6"/>
        <v>10101</v>
      </c>
      <c r="I15" s="81">
        <f t="shared" si="7"/>
        <v>-35449.46</v>
      </c>
      <c r="J15" s="33">
        <f t="shared" si="1"/>
        <v>-224.84999999999854</v>
      </c>
      <c r="K15" s="20">
        <f t="shared" si="2"/>
        <v>45549</v>
      </c>
      <c r="L15" s="34">
        <v>5660</v>
      </c>
      <c r="M15" s="35">
        <v>0</v>
      </c>
      <c r="N15" s="36">
        <v>0</v>
      </c>
      <c r="O15" s="93">
        <v>0.75</v>
      </c>
      <c r="P15" s="94">
        <v>0.75</v>
      </c>
      <c r="Q15" s="93">
        <v>0.71</v>
      </c>
      <c r="R15" s="94">
        <v>0.66</v>
      </c>
      <c r="S15" s="40"/>
      <c r="T15" s="39"/>
      <c r="U15" s="33">
        <f t="shared" si="3"/>
        <v>0</v>
      </c>
      <c r="V15" s="45">
        <v>115502</v>
      </c>
      <c r="W15" s="33">
        <f t="shared" si="8"/>
        <v>131</v>
      </c>
      <c r="X15" s="48">
        <v>60671</v>
      </c>
      <c r="Y15" s="33">
        <f t="shared" si="9"/>
        <v>12</v>
      </c>
      <c r="Z15" s="51">
        <v>6900</v>
      </c>
      <c r="AA15" s="57">
        <v>0</v>
      </c>
      <c r="AB15" s="33">
        <f t="shared" si="10"/>
        <v>240</v>
      </c>
      <c r="AC15" s="13">
        <v>232</v>
      </c>
      <c r="AD15" s="18">
        <v>442</v>
      </c>
      <c r="AE15" s="131">
        <f t="shared" si="11"/>
        <v>240</v>
      </c>
    </row>
    <row r="16" spans="1:31" ht="20.7" customHeight="1" x14ac:dyDescent="0.2">
      <c r="A16" s="20">
        <v>45550</v>
      </c>
      <c r="B16" s="10">
        <v>12812468</v>
      </c>
      <c r="C16" s="14">
        <f>IF(OR((B17-B16)&lt;0,B17=0),"0",B17-B16)</f>
        <v>8758</v>
      </c>
      <c r="D16" s="11">
        <v>538898</v>
      </c>
      <c r="E16" s="14">
        <f t="shared" ref="E16" si="24">IF(OR((D17-D16)&lt;0,D17=0),"0",D17-D16)</f>
        <v>1119</v>
      </c>
      <c r="F16" s="28">
        <v>1704</v>
      </c>
      <c r="G16" s="75">
        <f t="shared" si="5"/>
        <v>0</v>
      </c>
      <c r="H16" s="77">
        <f t="shared" si="6"/>
        <v>9877</v>
      </c>
      <c r="I16" s="81">
        <f t="shared" si="7"/>
        <v>-35674.31</v>
      </c>
      <c r="J16" s="33">
        <f t="shared" si="1"/>
        <v>-1013.8900000000067</v>
      </c>
      <c r="K16" s="20">
        <f t="shared" si="2"/>
        <v>45550</v>
      </c>
      <c r="L16" s="34">
        <v>5660</v>
      </c>
      <c r="M16" s="35">
        <v>0</v>
      </c>
      <c r="N16" s="36">
        <v>0</v>
      </c>
      <c r="O16" s="93">
        <v>0.72</v>
      </c>
      <c r="P16" s="94">
        <v>0.74</v>
      </c>
      <c r="Q16" s="93">
        <v>0.59</v>
      </c>
      <c r="R16" s="94">
        <v>0.6</v>
      </c>
      <c r="S16" s="40"/>
      <c r="T16" s="39"/>
      <c r="U16" s="33">
        <f t="shared" si="3"/>
        <v>0</v>
      </c>
      <c r="V16" s="45">
        <v>115633</v>
      </c>
      <c r="W16" s="33">
        <f t="shared" si="8"/>
        <v>122</v>
      </c>
      <c r="X16" s="48">
        <v>60683</v>
      </c>
      <c r="Y16" s="33">
        <f t="shared" si="9"/>
        <v>9</v>
      </c>
      <c r="Z16" s="51">
        <v>6660</v>
      </c>
      <c r="AA16" s="57">
        <v>0</v>
      </c>
      <c r="AB16" s="33">
        <f t="shared" si="10"/>
        <v>220</v>
      </c>
      <c r="AC16" s="13">
        <v>212</v>
      </c>
      <c r="AD16" s="18">
        <v>390</v>
      </c>
      <c r="AE16" s="131">
        <f t="shared" si="11"/>
        <v>220</v>
      </c>
    </row>
    <row r="17" spans="1:31" ht="20.7" customHeight="1" x14ac:dyDescent="0.2">
      <c r="A17" s="20">
        <v>45551</v>
      </c>
      <c r="B17" s="10">
        <v>12821226</v>
      </c>
      <c r="C17" s="14">
        <f>IF(OR((B18-B17)&lt;0,B18=0),"0",B18-B17)</f>
        <v>7684</v>
      </c>
      <c r="D17" s="11">
        <v>540017</v>
      </c>
      <c r="E17" s="14">
        <f t="shared" ref="E17" si="25">IF(OR((D18-D17)&lt;0,D18=0),"0",D18-D17)</f>
        <v>1180</v>
      </c>
      <c r="F17" s="28">
        <v>1704</v>
      </c>
      <c r="G17" s="75">
        <f t="shared" si="5"/>
        <v>0</v>
      </c>
      <c r="H17" s="77">
        <f t="shared" si="6"/>
        <v>8864</v>
      </c>
      <c r="I17" s="81">
        <f t="shared" si="7"/>
        <v>-36688.200000000004</v>
      </c>
      <c r="J17" s="33">
        <f t="shared" si="1"/>
        <v>-345.44999999999709</v>
      </c>
      <c r="K17" s="20">
        <f t="shared" si="2"/>
        <v>45551</v>
      </c>
      <c r="L17" s="34">
        <v>5660</v>
      </c>
      <c r="M17" s="35">
        <v>0</v>
      </c>
      <c r="N17" s="36">
        <v>0</v>
      </c>
      <c r="O17" s="93">
        <v>0.69</v>
      </c>
      <c r="P17" s="94">
        <v>0.72</v>
      </c>
      <c r="Q17" s="93">
        <v>0.51</v>
      </c>
      <c r="R17" s="94">
        <v>0.55000000000000004</v>
      </c>
      <c r="S17" s="40"/>
      <c r="T17" s="39">
        <v>711</v>
      </c>
      <c r="U17" s="33">
        <f t="shared" ref="U17:U20" si="26">IF(OR((S17+T17-S18)&lt;0,S17&gt;S16),"0",(S17+T17-S18))</f>
        <v>711</v>
      </c>
      <c r="V17" s="45">
        <v>115755</v>
      </c>
      <c r="W17" s="33">
        <f t="shared" si="8"/>
        <v>110</v>
      </c>
      <c r="X17" s="48">
        <v>60692</v>
      </c>
      <c r="Y17" s="33">
        <f t="shared" si="9"/>
        <v>12</v>
      </c>
      <c r="Z17" s="51">
        <v>6440</v>
      </c>
      <c r="AA17" s="57">
        <v>0</v>
      </c>
      <c r="AB17" s="33">
        <f t="shared" si="10"/>
        <v>220</v>
      </c>
      <c r="AC17" s="13">
        <v>220</v>
      </c>
      <c r="AD17" s="18">
        <v>404</v>
      </c>
      <c r="AE17" s="131">
        <f t="shared" si="11"/>
        <v>220</v>
      </c>
    </row>
    <row r="18" spans="1:31" ht="20.7" customHeight="1" x14ac:dyDescent="0.2">
      <c r="A18" s="20">
        <v>45552</v>
      </c>
      <c r="B18" s="10">
        <v>12828910</v>
      </c>
      <c r="C18" s="14">
        <f t="shared" ref="C18:C32" si="27">IF(OR((B19-B18)&lt;0,B19=0),"0",B19-B18)</f>
        <v>7401</v>
      </c>
      <c r="D18" s="11">
        <v>541197</v>
      </c>
      <c r="E18" s="14">
        <f t="shared" ref="E18" si="28">IF(OR((D19-D18)&lt;0,D19=0),"0",D19-D18)</f>
        <v>1119</v>
      </c>
      <c r="F18" s="28">
        <v>1704</v>
      </c>
      <c r="G18" s="75">
        <f t="shared" si="5"/>
        <v>0</v>
      </c>
      <c r="H18" s="77">
        <f t="shared" si="6"/>
        <v>8520</v>
      </c>
      <c r="I18" s="81">
        <f t="shared" si="7"/>
        <v>-37033.65</v>
      </c>
      <c r="J18" s="33">
        <f t="shared" si="1"/>
        <v>798.05000000000291</v>
      </c>
      <c r="K18" s="20">
        <f t="shared" si="2"/>
        <v>45552</v>
      </c>
      <c r="L18" s="34">
        <v>5660</v>
      </c>
      <c r="M18" s="35">
        <v>0</v>
      </c>
      <c r="N18" s="36">
        <v>0</v>
      </c>
      <c r="O18" s="93">
        <v>0.8</v>
      </c>
      <c r="P18" s="94">
        <v>0.78</v>
      </c>
      <c r="Q18" s="93">
        <v>0.85</v>
      </c>
      <c r="R18" s="94">
        <v>0.75</v>
      </c>
      <c r="S18" s="40"/>
      <c r="T18" s="39"/>
      <c r="U18" s="33">
        <f t="shared" si="26"/>
        <v>0</v>
      </c>
      <c r="V18" s="45">
        <v>115865</v>
      </c>
      <c r="W18" s="33">
        <f t="shared" si="8"/>
        <v>120</v>
      </c>
      <c r="X18" s="48">
        <v>60704</v>
      </c>
      <c r="Y18" s="33">
        <f t="shared" si="9"/>
        <v>15</v>
      </c>
      <c r="Z18" s="51">
        <v>6220</v>
      </c>
      <c r="AA18" s="57">
        <v>0</v>
      </c>
      <c r="AB18" s="33">
        <f t="shared" si="10"/>
        <v>245</v>
      </c>
      <c r="AC18" s="13">
        <v>222</v>
      </c>
      <c r="AD18" s="18">
        <v>405</v>
      </c>
      <c r="AE18" s="131">
        <f t="shared" si="11"/>
        <v>245</v>
      </c>
    </row>
    <row r="19" spans="1:31" ht="20.7" customHeight="1" x14ac:dyDescent="0.2">
      <c r="A19" s="20">
        <v>45553</v>
      </c>
      <c r="B19" s="10">
        <v>12836311</v>
      </c>
      <c r="C19" s="14">
        <f t="shared" si="27"/>
        <v>8181</v>
      </c>
      <c r="D19" s="11">
        <v>542316</v>
      </c>
      <c r="E19" s="14">
        <f t="shared" ref="E19" si="29">IF(OR((D20-D19)&lt;0,D20=0),"0",D20-D19)</f>
        <v>1138</v>
      </c>
      <c r="F19" s="28">
        <v>1704</v>
      </c>
      <c r="G19" s="75">
        <f t="shared" si="5"/>
        <v>0</v>
      </c>
      <c r="H19" s="77">
        <f t="shared" si="6"/>
        <v>9319</v>
      </c>
      <c r="I19" s="81">
        <f t="shared" si="7"/>
        <v>-36235.599999999999</v>
      </c>
      <c r="J19" s="33">
        <f t="shared" si="1"/>
        <v>-183.91000000000349</v>
      </c>
      <c r="K19" s="20">
        <f t="shared" si="2"/>
        <v>45553</v>
      </c>
      <c r="L19" s="34">
        <v>5660</v>
      </c>
      <c r="M19" s="35">
        <v>0</v>
      </c>
      <c r="N19" s="36">
        <v>0</v>
      </c>
      <c r="O19" s="93">
        <v>0.78</v>
      </c>
      <c r="P19" s="94">
        <v>0.77</v>
      </c>
      <c r="Q19" s="93">
        <v>0.82</v>
      </c>
      <c r="R19" s="94">
        <v>0.71</v>
      </c>
      <c r="S19" s="40"/>
      <c r="T19" s="39"/>
      <c r="U19" s="33">
        <f t="shared" si="26"/>
        <v>0</v>
      </c>
      <c r="V19" s="45">
        <v>115985</v>
      </c>
      <c r="W19" s="33">
        <f t="shared" si="8"/>
        <v>118</v>
      </c>
      <c r="X19" s="48">
        <v>60719</v>
      </c>
      <c r="Y19" s="33">
        <f t="shared" si="9"/>
        <v>8</v>
      </c>
      <c r="Z19" s="51">
        <v>5975</v>
      </c>
      <c r="AA19" s="57">
        <v>0</v>
      </c>
      <c r="AB19" s="33">
        <f t="shared" si="10"/>
        <v>255</v>
      </c>
      <c r="AC19" s="13">
        <v>210</v>
      </c>
      <c r="AD19" s="18">
        <v>384</v>
      </c>
      <c r="AE19" s="131">
        <f t="shared" si="11"/>
        <v>255</v>
      </c>
    </row>
    <row r="20" spans="1:31" ht="20.7" customHeight="1" x14ac:dyDescent="0.2">
      <c r="A20" s="20">
        <v>45554</v>
      </c>
      <c r="B20" s="10">
        <v>12844492</v>
      </c>
      <c r="C20" s="14">
        <f t="shared" si="27"/>
        <v>8004</v>
      </c>
      <c r="D20" s="11">
        <v>543454</v>
      </c>
      <c r="E20" s="14">
        <f t="shared" ref="E20" si="30">IF(OR((D21-D20)&lt;0,D21=0),"0",D21-D20)</f>
        <v>1132</v>
      </c>
      <c r="F20" s="28">
        <v>1704</v>
      </c>
      <c r="G20" s="75">
        <f t="shared" si="5"/>
        <v>0</v>
      </c>
      <c r="H20" s="77">
        <f t="shared" si="6"/>
        <v>9136</v>
      </c>
      <c r="I20" s="81">
        <f t="shared" si="7"/>
        <v>-36419.51</v>
      </c>
      <c r="J20" s="33">
        <f t="shared" si="1"/>
        <v>-9136.9700000000012</v>
      </c>
      <c r="K20" s="20">
        <f t="shared" si="2"/>
        <v>45554</v>
      </c>
      <c r="L20" s="34">
        <v>5661</v>
      </c>
      <c r="M20" s="35">
        <v>0</v>
      </c>
      <c r="N20" s="36">
        <v>0</v>
      </c>
      <c r="O20" s="93">
        <v>0.75</v>
      </c>
      <c r="P20" s="94">
        <v>0.76</v>
      </c>
      <c r="Q20" s="93">
        <v>0.76</v>
      </c>
      <c r="R20" s="94">
        <v>0.68</v>
      </c>
      <c r="S20" s="40"/>
      <c r="T20" s="39"/>
      <c r="U20" s="33">
        <f t="shared" si="26"/>
        <v>0</v>
      </c>
      <c r="V20" s="45">
        <v>116103</v>
      </c>
      <c r="W20" s="33">
        <f t="shared" si="8"/>
        <v>95</v>
      </c>
      <c r="X20" s="48">
        <v>60727</v>
      </c>
      <c r="Y20" s="33">
        <f t="shared" si="9"/>
        <v>13</v>
      </c>
      <c r="Z20" s="51">
        <v>5720</v>
      </c>
      <c r="AA20" s="57">
        <v>0</v>
      </c>
      <c r="AB20" s="33">
        <f t="shared" si="10"/>
        <v>235</v>
      </c>
      <c r="AC20" s="13">
        <v>198</v>
      </c>
      <c r="AD20" s="18">
        <v>365</v>
      </c>
      <c r="AE20" s="131">
        <f t="shared" si="11"/>
        <v>235</v>
      </c>
    </row>
    <row r="21" spans="1:31" ht="20.7" customHeight="1" x14ac:dyDescent="0.2">
      <c r="A21" s="20">
        <v>45555</v>
      </c>
      <c r="B21" s="10">
        <v>12852496</v>
      </c>
      <c r="C21" s="14" t="str">
        <f t="shared" si="27"/>
        <v>0</v>
      </c>
      <c r="D21" s="11">
        <v>544586</v>
      </c>
      <c r="E21" s="14" t="str">
        <f t="shared" ref="E21" si="31">IF(OR((D22-D21)&lt;0,D22=0),"0",D22-D21)</f>
        <v>0</v>
      </c>
      <c r="F21" s="28">
        <v>1704</v>
      </c>
      <c r="G21" s="75">
        <f t="shared" si="5"/>
        <v>0</v>
      </c>
      <c r="H21" s="77">
        <f t="shared" si="6"/>
        <v>0</v>
      </c>
      <c r="I21" s="81">
        <f t="shared" si="7"/>
        <v>-45556.480000000003</v>
      </c>
      <c r="J21" s="33">
        <f t="shared" si="1"/>
        <v>0.48000000000320142</v>
      </c>
      <c r="K21" s="20">
        <f t="shared" si="2"/>
        <v>45555</v>
      </c>
      <c r="L21" s="34">
        <v>5660</v>
      </c>
      <c r="M21" s="35">
        <v>0</v>
      </c>
      <c r="N21" s="36">
        <v>0</v>
      </c>
      <c r="O21" s="93">
        <v>0.75</v>
      </c>
      <c r="P21" s="94">
        <v>0.75</v>
      </c>
      <c r="Q21" s="93">
        <v>0.73</v>
      </c>
      <c r="R21" s="94">
        <v>0.66</v>
      </c>
      <c r="S21" s="41"/>
      <c r="T21" s="39"/>
      <c r="U21" s="33">
        <f>IF(OR((S21+T21-S22)&lt;0,S21&gt;S20),"0",(S21+T21-S22))</f>
        <v>0</v>
      </c>
      <c r="V21" s="45">
        <v>116198</v>
      </c>
      <c r="W21" s="33" t="str">
        <f t="shared" si="8"/>
        <v>0</v>
      </c>
      <c r="X21" s="48">
        <v>60740</v>
      </c>
      <c r="Y21" s="33">
        <f t="shared" si="9"/>
        <v>-60740</v>
      </c>
      <c r="Z21" s="51">
        <v>5485</v>
      </c>
      <c r="AA21" s="57">
        <v>0</v>
      </c>
      <c r="AB21" s="33" t="str">
        <f t="shared" si="10"/>
        <v>0</v>
      </c>
      <c r="AC21" s="13"/>
      <c r="AD21" s="18"/>
      <c r="AE21" s="131">
        <f t="shared" si="11"/>
        <v>5485</v>
      </c>
    </row>
    <row r="22" spans="1:31" ht="20.7" customHeight="1" x14ac:dyDescent="0.2">
      <c r="A22" s="20">
        <v>45556</v>
      </c>
      <c r="B22" s="10"/>
      <c r="C22" s="14" t="str">
        <f t="shared" si="27"/>
        <v>0</v>
      </c>
      <c r="D22" s="11"/>
      <c r="E22" s="14" t="str">
        <f t="shared" ref="E22" si="32">IF(OR((D23-D22)&lt;0,D23=0),"0",D23-D22)</f>
        <v>0</v>
      </c>
      <c r="F22" s="28">
        <v>1704</v>
      </c>
      <c r="G22" s="75">
        <f t="shared" si="5"/>
        <v>0</v>
      </c>
      <c r="H22" s="77">
        <f t="shared" si="6"/>
        <v>0</v>
      </c>
      <c r="I22" s="81">
        <f t="shared" si="7"/>
        <v>-45556</v>
      </c>
      <c r="J22" s="33">
        <f t="shared" si="1"/>
        <v>-1</v>
      </c>
      <c r="K22" s="20">
        <f t="shared" si="2"/>
        <v>45556</v>
      </c>
      <c r="L22" s="34">
        <v>5660</v>
      </c>
      <c r="M22" s="35">
        <v>0</v>
      </c>
      <c r="N22" s="36">
        <v>0</v>
      </c>
      <c r="O22" s="93"/>
      <c r="P22" s="94"/>
      <c r="Q22" s="93"/>
      <c r="R22" s="94"/>
      <c r="S22" s="41"/>
      <c r="T22" s="39"/>
      <c r="U22" s="33">
        <f t="shared" ref="U22:U32" si="33">IF((S22+T22-S23)&lt;0,"0",(S22+T22-S23))</f>
        <v>0</v>
      </c>
      <c r="V22" s="45"/>
      <c r="W22" s="33">
        <f t="shared" si="8"/>
        <v>0</v>
      </c>
      <c r="X22" s="48"/>
      <c r="Y22" s="33">
        <f t="shared" si="9"/>
        <v>0</v>
      </c>
      <c r="Z22" s="51"/>
      <c r="AA22" s="57">
        <v>0</v>
      </c>
      <c r="AB22" s="33" t="str">
        <f t="shared" si="10"/>
        <v>0</v>
      </c>
      <c r="AC22" s="13"/>
      <c r="AD22" s="18"/>
      <c r="AE22" s="131">
        <f t="shared" si="11"/>
        <v>0</v>
      </c>
    </row>
    <row r="23" spans="1:31" ht="20.7" customHeight="1" x14ac:dyDescent="0.2">
      <c r="A23" s="20">
        <v>45557</v>
      </c>
      <c r="B23" s="10"/>
      <c r="C23" s="14" t="str">
        <f t="shared" si="27"/>
        <v>0</v>
      </c>
      <c r="D23" s="11"/>
      <c r="E23" s="14" t="str">
        <f t="shared" ref="E23" si="34">IF(OR((D24-D23)&lt;0,D24=0),"0",D24-D23)</f>
        <v>0</v>
      </c>
      <c r="F23" s="28">
        <v>1704</v>
      </c>
      <c r="G23" s="75">
        <f t="shared" si="5"/>
        <v>0</v>
      </c>
      <c r="H23" s="77">
        <f t="shared" si="6"/>
        <v>0</v>
      </c>
      <c r="I23" s="81">
        <f t="shared" si="7"/>
        <v>-45557</v>
      </c>
      <c r="J23" s="33">
        <f t="shared" si="1"/>
        <v>-1</v>
      </c>
      <c r="K23" s="20">
        <f t="shared" si="2"/>
        <v>45557</v>
      </c>
      <c r="L23" s="34">
        <v>5660</v>
      </c>
      <c r="M23" s="35">
        <v>0</v>
      </c>
      <c r="N23" s="36">
        <v>0</v>
      </c>
      <c r="O23" s="93"/>
      <c r="P23" s="94"/>
      <c r="Q23" s="93"/>
      <c r="R23" s="94"/>
      <c r="S23" s="41"/>
      <c r="T23" s="39"/>
      <c r="U23" s="33">
        <f t="shared" si="33"/>
        <v>0</v>
      </c>
      <c r="V23" s="45"/>
      <c r="W23" s="33">
        <f t="shared" si="8"/>
        <v>0</v>
      </c>
      <c r="X23" s="48"/>
      <c r="Y23" s="33">
        <f t="shared" si="9"/>
        <v>0</v>
      </c>
      <c r="Z23" s="51"/>
      <c r="AA23" s="57">
        <v>0</v>
      </c>
      <c r="AB23" s="33" t="str">
        <f t="shared" si="10"/>
        <v>0</v>
      </c>
      <c r="AC23" s="13"/>
      <c r="AD23" s="18"/>
      <c r="AE23" s="131">
        <f t="shared" si="11"/>
        <v>0</v>
      </c>
    </row>
    <row r="24" spans="1:31" ht="20.7" customHeight="1" x14ac:dyDescent="0.2">
      <c r="A24" s="20">
        <v>45558</v>
      </c>
      <c r="B24" s="10"/>
      <c r="C24" s="14" t="str">
        <f t="shared" si="27"/>
        <v>0</v>
      </c>
      <c r="D24" s="11"/>
      <c r="E24" s="14" t="str">
        <f t="shared" ref="E24" si="35">IF(OR((D25-D24)&lt;0,D25=0),"0",D25-D24)</f>
        <v>0</v>
      </c>
      <c r="F24" s="28">
        <v>1704</v>
      </c>
      <c r="G24" s="75">
        <f t="shared" si="5"/>
        <v>0</v>
      </c>
      <c r="H24" s="77">
        <f t="shared" si="6"/>
        <v>0</v>
      </c>
      <c r="I24" s="81">
        <f t="shared" si="7"/>
        <v>-45558</v>
      </c>
      <c r="J24" s="33">
        <f t="shared" si="1"/>
        <v>-1</v>
      </c>
      <c r="K24" s="20">
        <f t="shared" si="2"/>
        <v>45558</v>
      </c>
      <c r="L24" s="34">
        <v>5660</v>
      </c>
      <c r="M24" s="35">
        <v>0</v>
      </c>
      <c r="N24" s="36">
        <v>0</v>
      </c>
      <c r="O24" s="93"/>
      <c r="P24" s="94"/>
      <c r="Q24" s="93"/>
      <c r="R24" s="94"/>
      <c r="S24" s="41"/>
      <c r="T24" s="39"/>
      <c r="U24" s="33">
        <f t="shared" si="33"/>
        <v>0</v>
      </c>
      <c r="V24" s="45"/>
      <c r="W24" s="33">
        <f t="shared" si="8"/>
        <v>0</v>
      </c>
      <c r="X24" s="48"/>
      <c r="Y24" s="33">
        <f t="shared" si="9"/>
        <v>0</v>
      </c>
      <c r="Z24" s="51"/>
      <c r="AA24" s="57">
        <v>0</v>
      </c>
      <c r="AB24" s="33" t="str">
        <f t="shared" si="10"/>
        <v>0</v>
      </c>
      <c r="AC24" s="13"/>
      <c r="AD24" s="18"/>
      <c r="AE24" s="131">
        <f t="shared" si="11"/>
        <v>0</v>
      </c>
    </row>
    <row r="25" spans="1:31" ht="20.7" customHeight="1" x14ac:dyDescent="0.2">
      <c r="A25" s="20">
        <v>45559</v>
      </c>
      <c r="B25" s="10"/>
      <c r="C25" s="14" t="str">
        <f t="shared" si="27"/>
        <v>0</v>
      </c>
      <c r="D25" s="11"/>
      <c r="E25" s="14" t="str">
        <f t="shared" ref="E25" si="36">IF(OR((D26-D25)&lt;0,D26=0),"0",D26-D25)</f>
        <v>0</v>
      </c>
      <c r="F25" s="28">
        <v>1704</v>
      </c>
      <c r="G25" s="75">
        <f t="shared" si="5"/>
        <v>0</v>
      </c>
      <c r="H25" s="77">
        <f t="shared" si="6"/>
        <v>0</v>
      </c>
      <c r="I25" s="81">
        <f t="shared" si="7"/>
        <v>-45559</v>
      </c>
      <c r="J25" s="33">
        <f t="shared" si="1"/>
        <v>-1</v>
      </c>
      <c r="K25" s="20">
        <f t="shared" si="2"/>
        <v>45559</v>
      </c>
      <c r="L25" s="34">
        <v>5660</v>
      </c>
      <c r="M25" s="35">
        <v>0</v>
      </c>
      <c r="N25" s="36">
        <v>0</v>
      </c>
      <c r="O25" s="93"/>
      <c r="P25" s="94"/>
      <c r="Q25" s="93"/>
      <c r="R25" s="94"/>
      <c r="S25" s="41"/>
      <c r="T25" s="39"/>
      <c r="U25" s="33">
        <f t="shared" si="33"/>
        <v>0</v>
      </c>
      <c r="V25" s="45"/>
      <c r="W25" s="33">
        <f t="shared" si="8"/>
        <v>0</v>
      </c>
      <c r="X25" s="48"/>
      <c r="Y25" s="33">
        <f t="shared" si="9"/>
        <v>0</v>
      </c>
      <c r="Z25" s="51"/>
      <c r="AA25" s="57">
        <v>0</v>
      </c>
      <c r="AB25" s="33" t="str">
        <f t="shared" si="10"/>
        <v>0</v>
      </c>
      <c r="AC25" s="13"/>
      <c r="AD25" s="18"/>
      <c r="AE25" s="131">
        <f t="shared" si="11"/>
        <v>0</v>
      </c>
    </row>
    <row r="26" spans="1:31" ht="20.7" customHeight="1" x14ac:dyDescent="0.2">
      <c r="A26" s="20">
        <v>45560</v>
      </c>
      <c r="B26" s="10"/>
      <c r="C26" s="14" t="str">
        <f t="shared" si="27"/>
        <v>0</v>
      </c>
      <c r="D26" s="11"/>
      <c r="E26" s="14" t="str">
        <f t="shared" ref="E26" si="37">IF(OR((D27-D26)&lt;0,D27=0),"0",D27-D26)</f>
        <v>0</v>
      </c>
      <c r="F26" s="28">
        <v>1704</v>
      </c>
      <c r="G26" s="75">
        <f t="shared" si="5"/>
        <v>0</v>
      </c>
      <c r="H26" s="77">
        <f t="shared" si="6"/>
        <v>0</v>
      </c>
      <c r="I26" s="81">
        <f t="shared" si="7"/>
        <v>-45560</v>
      </c>
      <c r="J26" s="33">
        <f t="shared" si="1"/>
        <v>-1</v>
      </c>
      <c r="K26" s="20">
        <f t="shared" si="2"/>
        <v>45560</v>
      </c>
      <c r="L26" s="34">
        <v>5660</v>
      </c>
      <c r="M26" s="35">
        <v>0</v>
      </c>
      <c r="N26" s="36">
        <v>0</v>
      </c>
      <c r="O26" s="93"/>
      <c r="P26" s="94"/>
      <c r="Q26" s="93"/>
      <c r="R26" s="94"/>
      <c r="S26" s="41"/>
      <c r="T26" s="39"/>
      <c r="U26" s="33">
        <f t="shared" si="33"/>
        <v>0</v>
      </c>
      <c r="V26" s="45"/>
      <c r="W26" s="33">
        <f t="shared" si="8"/>
        <v>0</v>
      </c>
      <c r="X26" s="48"/>
      <c r="Y26" s="33">
        <f t="shared" si="9"/>
        <v>0</v>
      </c>
      <c r="Z26" s="51"/>
      <c r="AA26" s="57">
        <v>0</v>
      </c>
      <c r="AB26" s="33" t="str">
        <f t="shared" si="10"/>
        <v>0</v>
      </c>
      <c r="AC26" s="13"/>
      <c r="AD26" s="18"/>
      <c r="AE26" s="131">
        <f t="shared" si="11"/>
        <v>0</v>
      </c>
    </row>
    <row r="27" spans="1:31" ht="20.7" customHeight="1" x14ac:dyDescent="0.2">
      <c r="A27" s="20">
        <v>45561</v>
      </c>
      <c r="B27" s="10"/>
      <c r="C27" s="14" t="str">
        <f t="shared" si="27"/>
        <v>0</v>
      </c>
      <c r="D27" s="11"/>
      <c r="E27" s="14" t="str">
        <f t="shared" ref="E27" si="38">IF(OR((D28-D27)&lt;0,D28=0),"0",D28-D27)</f>
        <v>0</v>
      </c>
      <c r="F27" s="28">
        <v>1704</v>
      </c>
      <c r="G27" s="75">
        <f t="shared" si="5"/>
        <v>0</v>
      </c>
      <c r="H27" s="77">
        <f t="shared" si="6"/>
        <v>0</v>
      </c>
      <c r="I27" s="81">
        <f t="shared" si="7"/>
        <v>-45561</v>
      </c>
      <c r="J27" s="33">
        <f t="shared" si="1"/>
        <v>-1</v>
      </c>
      <c r="K27" s="20">
        <f t="shared" si="2"/>
        <v>45561</v>
      </c>
      <c r="L27" s="34">
        <v>5660</v>
      </c>
      <c r="M27" s="35">
        <v>0</v>
      </c>
      <c r="N27" s="36">
        <v>0</v>
      </c>
      <c r="O27" s="93"/>
      <c r="P27" s="94"/>
      <c r="Q27" s="93"/>
      <c r="R27" s="94"/>
      <c r="S27" s="41"/>
      <c r="T27" s="39"/>
      <c r="U27" s="33">
        <f t="shared" si="33"/>
        <v>0</v>
      </c>
      <c r="V27" s="45"/>
      <c r="W27" s="33">
        <f t="shared" si="8"/>
        <v>0</v>
      </c>
      <c r="X27" s="48"/>
      <c r="Y27" s="33">
        <f t="shared" si="9"/>
        <v>0</v>
      </c>
      <c r="Z27" s="51"/>
      <c r="AA27" s="57">
        <v>0</v>
      </c>
      <c r="AB27" s="33" t="str">
        <f t="shared" si="10"/>
        <v>0</v>
      </c>
      <c r="AC27" s="13"/>
      <c r="AD27" s="18"/>
      <c r="AE27" s="131">
        <f t="shared" si="11"/>
        <v>0</v>
      </c>
    </row>
    <row r="28" spans="1:31" ht="20.7" customHeight="1" x14ac:dyDescent="0.2">
      <c r="A28" s="20">
        <v>45562</v>
      </c>
      <c r="B28" s="10"/>
      <c r="C28" s="14" t="str">
        <f t="shared" si="27"/>
        <v>0</v>
      </c>
      <c r="D28" s="11"/>
      <c r="E28" s="14" t="str">
        <f t="shared" ref="E28" si="39">IF(OR((D29-D28)&lt;0,D29=0),"0",D29-D28)</f>
        <v>0</v>
      </c>
      <c r="F28" s="28">
        <v>1704</v>
      </c>
      <c r="G28" s="75">
        <f t="shared" si="5"/>
        <v>0</v>
      </c>
      <c r="H28" s="77">
        <f t="shared" si="6"/>
        <v>0</v>
      </c>
      <c r="I28" s="81">
        <f t="shared" si="7"/>
        <v>-45562</v>
      </c>
      <c r="J28" s="33">
        <f t="shared" si="1"/>
        <v>-1</v>
      </c>
      <c r="K28" s="20">
        <f t="shared" si="2"/>
        <v>45562</v>
      </c>
      <c r="L28" s="34">
        <v>5660</v>
      </c>
      <c r="M28" s="35">
        <v>0</v>
      </c>
      <c r="N28" s="36">
        <v>0</v>
      </c>
      <c r="O28" s="93"/>
      <c r="P28" s="94"/>
      <c r="Q28" s="93"/>
      <c r="R28" s="94"/>
      <c r="S28" s="41"/>
      <c r="T28" s="39"/>
      <c r="U28" s="33">
        <f t="shared" si="33"/>
        <v>0</v>
      </c>
      <c r="V28" s="45"/>
      <c r="W28" s="33">
        <f t="shared" si="8"/>
        <v>0</v>
      </c>
      <c r="X28" s="48"/>
      <c r="Y28" s="33">
        <f t="shared" si="9"/>
        <v>0</v>
      </c>
      <c r="Z28" s="51"/>
      <c r="AA28" s="57">
        <v>0</v>
      </c>
      <c r="AB28" s="33" t="str">
        <f t="shared" si="10"/>
        <v>0</v>
      </c>
      <c r="AC28" s="13"/>
      <c r="AD28" s="18"/>
      <c r="AE28" s="131">
        <f t="shared" si="11"/>
        <v>0</v>
      </c>
    </row>
    <row r="29" spans="1:31" ht="20.7" customHeight="1" x14ac:dyDescent="0.2">
      <c r="A29" s="20">
        <v>45563</v>
      </c>
      <c r="B29" s="10"/>
      <c r="C29" s="14" t="str">
        <f t="shared" si="27"/>
        <v>0</v>
      </c>
      <c r="D29" s="11"/>
      <c r="E29" s="14" t="str">
        <f t="shared" ref="E29" si="40">IF(OR((D30-D29)&lt;0,D30=0),"0",D30-D29)</f>
        <v>0</v>
      </c>
      <c r="F29" s="28">
        <v>1704</v>
      </c>
      <c r="G29" s="75">
        <f t="shared" si="5"/>
        <v>0</v>
      </c>
      <c r="H29" s="77">
        <f t="shared" si="6"/>
        <v>0</v>
      </c>
      <c r="I29" s="81">
        <f t="shared" si="7"/>
        <v>-45563</v>
      </c>
      <c r="J29" s="33">
        <f t="shared" si="1"/>
        <v>-1</v>
      </c>
      <c r="K29" s="20">
        <f t="shared" si="2"/>
        <v>45563</v>
      </c>
      <c r="L29" s="34">
        <v>5660</v>
      </c>
      <c r="M29" s="35">
        <v>0</v>
      </c>
      <c r="N29" s="36">
        <v>0</v>
      </c>
      <c r="O29" s="93"/>
      <c r="P29" s="94"/>
      <c r="Q29" s="93"/>
      <c r="R29" s="94"/>
      <c r="S29" s="41"/>
      <c r="T29" s="39"/>
      <c r="U29" s="33">
        <f t="shared" si="33"/>
        <v>0</v>
      </c>
      <c r="V29" s="45"/>
      <c r="W29" s="33">
        <f t="shared" si="8"/>
        <v>0</v>
      </c>
      <c r="X29" s="48"/>
      <c r="Y29" s="33">
        <f t="shared" si="9"/>
        <v>0</v>
      </c>
      <c r="Z29" s="51"/>
      <c r="AA29" s="57">
        <v>0</v>
      </c>
      <c r="AB29" s="33" t="str">
        <f t="shared" si="10"/>
        <v>0</v>
      </c>
      <c r="AC29" s="13"/>
      <c r="AD29" s="18"/>
      <c r="AE29" s="131">
        <f t="shared" si="11"/>
        <v>0</v>
      </c>
    </row>
    <row r="30" spans="1:31" ht="20.7" customHeight="1" x14ac:dyDescent="0.2">
      <c r="A30" s="20">
        <v>45564</v>
      </c>
      <c r="B30" s="10"/>
      <c r="C30" s="14" t="str">
        <f t="shared" si="27"/>
        <v>0</v>
      </c>
      <c r="D30" s="11"/>
      <c r="E30" s="14" t="str">
        <f t="shared" ref="E30" si="41">IF(OR((D31-D30)&lt;0,D31=0),"0",D31-D30)</f>
        <v>0</v>
      </c>
      <c r="F30" s="28">
        <v>1704</v>
      </c>
      <c r="G30" s="75">
        <f t="shared" si="5"/>
        <v>0</v>
      </c>
      <c r="H30" s="77">
        <f t="shared" si="6"/>
        <v>0</v>
      </c>
      <c r="I30" s="81">
        <f t="shared" si="7"/>
        <v>-45564</v>
      </c>
      <c r="J30" s="33">
        <f t="shared" si="1"/>
        <v>-1</v>
      </c>
      <c r="K30" s="20">
        <f t="shared" si="2"/>
        <v>45564</v>
      </c>
      <c r="L30" s="34">
        <v>5660</v>
      </c>
      <c r="M30" s="35">
        <v>0</v>
      </c>
      <c r="N30" s="36">
        <v>0</v>
      </c>
      <c r="O30" s="93"/>
      <c r="P30" s="94"/>
      <c r="Q30" s="93"/>
      <c r="R30" s="94"/>
      <c r="S30" s="41"/>
      <c r="T30" s="39"/>
      <c r="U30" s="33">
        <f t="shared" si="33"/>
        <v>0</v>
      </c>
      <c r="V30" s="45"/>
      <c r="W30" s="33">
        <f t="shared" si="8"/>
        <v>0</v>
      </c>
      <c r="X30" s="48"/>
      <c r="Y30" s="33">
        <f t="shared" si="9"/>
        <v>0</v>
      </c>
      <c r="Z30" s="51"/>
      <c r="AA30" s="57">
        <v>0</v>
      </c>
      <c r="AB30" s="33" t="str">
        <f t="shared" si="10"/>
        <v>0</v>
      </c>
      <c r="AC30" s="13"/>
      <c r="AD30" s="18"/>
      <c r="AE30" s="131">
        <f t="shared" si="11"/>
        <v>0</v>
      </c>
    </row>
    <row r="31" spans="1:31" ht="20.7" customHeight="1" x14ac:dyDescent="0.2">
      <c r="A31" s="20">
        <v>45565</v>
      </c>
      <c r="B31" s="10"/>
      <c r="C31" s="14" t="str">
        <f t="shared" si="27"/>
        <v>0</v>
      </c>
      <c r="D31" s="11"/>
      <c r="E31" s="14" t="str">
        <f t="shared" ref="E31" si="42">IF(OR((D32-D31)&lt;0,D32=0),"0",D32-D31)</f>
        <v>0</v>
      </c>
      <c r="F31" s="28">
        <v>1704</v>
      </c>
      <c r="G31" s="75">
        <f t="shared" si="5"/>
        <v>0</v>
      </c>
      <c r="H31" s="77">
        <f t="shared" si="6"/>
        <v>0</v>
      </c>
      <c r="I31" s="81">
        <f t="shared" si="7"/>
        <v>-45565</v>
      </c>
      <c r="J31" s="33">
        <f t="shared" si="1"/>
        <v>-1</v>
      </c>
      <c r="K31" s="20">
        <f t="shared" si="2"/>
        <v>45565</v>
      </c>
      <c r="L31" s="34">
        <v>5660</v>
      </c>
      <c r="M31" s="35">
        <v>0</v>
      </c>
      <c r="N31" s="36">
        <v>0</v>
      </c>
      <c r="O31" s="93"/>
      <c r="P31" s="94"/>
      <c r="Q31" s="93"/>
      <c r="R31" s="94"/>
      <c r="S31" s="41"/>
      <c r="T31" s="39"/>
      <c r="U31" s="33">
        <f t="shared" si="33"/>
        <v>0</v>
      </c>
      <c r="V31" s="45"/>
      <c r="W31" s="33">
        <f t="shared" si="8"/>
        <v>0</v>
      </c>
      <c r="X31" s="48"/>
      <c r="Y31" s="33">
        <f t="shared" si="9"/>
        <v>0</v>
      </c>
      <c r="Z31" s="51"/>
      <c r="AA31" s="57">
        <v>0</v>
      </c>
      <c r="AB31" s="33" t="str">
        <f t="shared" si="10"/>
        <v>0</v>
      </c>
      <c r="AC31" s="13"/>
      <c r="AD31" s="18"/>
      <c r="AE31" s="131">
        <f t="shared" si="11"/>
        <v>0</v>
      </c>
    </row>
    <row r="32" spans="1:31" ht="20.7" customHeight="1" thickBot="1" x14ac:dyDescent="0.25">
      <c r="A32" s="20">
        <v>45566</v>
      </c>
      <c r="B32" s="10"/>
      <c r="C32" s="14" t="str">
        <f t="shared" si="27"/>
        <v>0</v>
      </c>
      <c r="D32" s="11"/>
      <c r="E32" s="14" t="str">
        <f t="shared" ref="E32" si="43">IF(OR((D33-D32)&lt;0,D33=0),"0",D33-D32)</f>
        <v>0</v>
      </c>
      <c r="F32" s="28">
        <v>1704</v>
      </c>
      <c r="G32" s="75">
        <f t="shared" si="5"/>
        <v>0</v>
      </c>
      <c r="H32" s="77">
        <f t="shared" si="6"/>
        <v>0</v>
      </c>
      <c r="I32" s="81">
        <f t="shared" si="7"/>
        <v>-45566</v>
      </c>
      <c r="J32" s="33">
        <f t="shared" si="1"/>
        <v>45566</v>
      </c>
      <c r="K32" s="20">
        <f t="shared" si="2"/>
        <v>45566</v>
      </c>
      <c r="L32" s="34">
        <v>5660</v>
      </c>
      <c r="M32" s="35">
        <v>0</v>
      </c>
      <c r="N32" s="66">
        <v>0</v>
      </c>
      <c r="O32" s="93"/>
      <c r="P32" s="94"/>
      <c r="Q32" s="93"/>
      <c r="R32" s="94"/>
      <c r="S32" s="41"/>
      <c r="T32" s="39"/>
      <c r="U32" s="33">
        <f t="shared" si="33"/>
        <v>0</v>
      </c>
      <c r="V32" s="45"/>
      <c r="W32" s="33">
        <f t="shared" si="8"/>
        <v>0</v>
      </c>
      <c r="X32" s="48"/>
      <c r="Y32" s="33">
        <f t="shared" si="9"/>
        <v>0</v>
      </c>
      <c r="Z32" s="51"/>
      <c r="AA32" s="57">
        <v>0</v>
      </c>
      <c r="AB32" s="33" t="str">
        <f t="shared" si="10"/>
        <v>0</v>
      </c>
      <c r="AC32" s="61"/>
      <c r="AD32" s="62"/>
      <c r="AE32" s="131">
        <f t="shared" si="11"/>
        <v>0</v>
      </c>
    </row>
    <row r="33" spans="1:30" ht="20.7" customHeight="1" thickTop="1" thickBot="1" x14ac:dyDescent="0.25">
      <c r="A33" s="21"/>
      <c r="B33" s="58"/>
      <c r="C33" s="71"/>
      <c r="D33" s="70"/>
      <c r="E33" s="71"/>
      <c r="F33" s="28">
        <v>1704</v>
      </c>
      <c r="G33" s="63"/>
      <c r="H33" s="79"/>
      <c r="I33" s="72"/>
      <c r="J33" s="71"/>
      <c r="K33" s="69">
        <f t="shared" si="2"/>
        <v>0</v>
      </c>
      <c r="L33" s="53">
        <v>5660</v>
      </c>
      <c r="M33" s="73">
        <v>0</v>
      </c>
      <c r="N33" s="71"/>
      <c r="O33" s="95"/>
      <c r="P33" s="96"/>
      <c r="Q33" s="95"/>
      <c r="R33" s="96"/>
      <c r="S33" s="42"/>
      <c r="T33" s="59"/>
      <c r="U33" s="71"/>
      <c r="V33" s="68"/>
      <c r="W33" s="71"/>
      <c r="X33" s="67"/>
      <c r="Y33" s="71"/>
      <c r="Z33" s="65"/>
      <c r="AA33" s="60">
        <v>0</v>
      </c>
      <c r="AB33" s="63"/>
      <c r="AC33" s="64">
        <v>174</v>
      </c>
      <c r="AD33" s="64">
        <v>370</v>
      </c>
    </row>
    <row r="34" spans="1:30" s="89" customFormat="1" ht="10.7" thickTop="1" x14ac:dyDescent="0.2">
      <c r="A34" s="83"/>
      <c r="B34" s="83"/>
      <c r="C34" s="84">
        <f>SUM(C2:C33)</f>
        <v>160772</v>
      </c>
      <c r="D34" s="85"/>
      <c r="E34" s="84">
        <f>SUM(E2:E33)</f>
        <v>22960</v>
      </c>
      <c r="F34" s="86"/>
      <c r="G34" s="84">
        <f>SUM(G2:G33)</f>
        <v>0</v>
      </c>
      <c r="H34" s="85">
        <f>SUM(H2:H33)</f>
        <v>183732</v>
      </c>
      <c r="I34" s="84">
        <f>SUM(I2:I32)</f>
        <v>-1228377.3500000001</v>
      </c>
      <c r="J34" s="84">
        <f>SUM(J2:J33)</f>
        <v>35800.32</v>
      </c>
      <c r="K34" s="83"/>
      <c r="L34" s="85"/>
      <c r="M34" s="85"/>
      <c r="N34" s="84">
        <f>SUM(N2:N33)</f>
        <v>0</v>
      </c>
      <c r="O34" s="83"/>
      <c r="P34" s="83"/>
      <c r="Q34" s="83"/>
      <c r="R34" s="83"/>
      <c r="S34" s="83"/>
      <c r="T34" s="85">
        <f>SUM(T2:T33)</f>
        <v>2204</v>
      </c>
      <c r="U34" s="84">
        <f>SUM(U2:U33)</f>
        <v>2204</v>
      </c>
      <c r="V34" s="83"/>
      <c r="W34" s="84">
        <f>SUM(W2:W33)</f>
        <v>2231</v>
      </c>
      <c r="X34" s="83"/>
      <c r="Y34" s="84">
        <f>SUM(Y2:Y33)</f>
        <v>-60489</v>
      </c>
      <c r="Z34" s="83"/>
      <c r="AA34" s="83">
        <f>SUM(AA2:AA33)</f>
        <v>8195</v>
      </c>
      <c r="AB34" s="84">
        <f>SUM(AB2:AB33)</f>
        <v>3960</v>
      </c>
      <c r="AC34" s="87">
        <f>SUM(AC2:AC33)</f>
        <v>4054</v>
      </c>
      <c r="AD34" s="88">
        <f>SUM(AD2:AD33)</f>
        <v>7755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8"/>
      <c r="I37" s="78"/>
      <c r="J37" s="5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September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2024-09-20T05:36:13Z</dcterms:modified>
  <cp:category/>
  <cp:contentStatus/>
</cp:coreProperties>
</file>