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8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I47" i="6" l="1"/>
  <c r="G47" i="6"/>
  <c r="E47" i="6"/>
  <c r="C47" i="6"/>
  <c r="I46" i="6"/>
  <c r="G46" i="6"/>
  <c r="E46" i="6"/>
  <c r="C46" i="6"/>
  <c r="I45" i="6"/>
  <c r="G45" i="6"/>
  <c r="E45" i="6"/>
  <c r="C45" i="6"/>
  <c r="I44" i="6"/>
  <c r="G44" i="6"/>
  <c r="E44" i="6"/>
  <c r="C44" i="6"/>
  <c r="I43" i="6"/>
  <c r="G43" i="6"/>
  <c r="E43" i="6"/>
  <c r="C43" i="6"/>
  <c r="I42" i="6"/>
  <c r="G42" i="6"/>
  <c r="E42" i="6"/>
  <c r="C42" i="6"/>
  <c r="I41" i="6"/>
  <c r="G41" i="6"/>
  <c r="E41" i="6"/>
  <c r="C41" i="6"/>
  <c r="I40" i="6"/>
  <c r="G40" i="6"/>
  <c r="E40" i="6"/>
  <c r="C40" i="6"/>
  <c r="I39" i="6"/>
  <c r="G39" i="6"/>
  <c r="E39" i="6"/>
  <c r="C39" i="6"/>
  <c r="I38" i="6"/>
  <c r="G38" i="6"/>
  <c r="E38" i="6"/>
  <c r="C38" i="6"/>
  <c r="I37" i="6"/>
  <c r="G37" i="6"/>
  <c r="E37" i="6"/>
  <c r="C37" i="6"/>
  <c r="I36" i="6"/>
  <c r="G36" i="6"/>
  <c r="E36" i="6"/>
  <c r="C36" i="6"/>
  <c r="I35" i="6"/>
  <c r="G35" i="6"/>
  <c r="E35" i="6"/>
  <c r="C35" i="6"/>
  <c r="I34" i="6"/>
  <c r="G34" i="6"/>
  <c r="E34" i="6"/>
  <c r="C34" i="6"/>
  <c r="I33" i="6"/>
  <c r="G33" i="6"/>
  <c r="E33" i="6"/>
  <c r="C33" i="6"/>
  <c r="I32" i="6"/>
  <c r="G32" i="6"/>
  <c r="E32" i="6"/>
  <c r="C32" i="6"/>
  <c r="I31" i="6"/>
  <c r="G31" i="6"/>
  <c r="E31" i="6"/>
  <c r="C31" i="6"/>
  <c r="I30" i="6"/>
  <c r="G30" i="6"/>
  <c r="E30" i="6"/>
  <c r="C30" i="6"/>
  <c r="I29" i="6"/>
  <c r="G29" i="6"/>
  <c r="E29" i="6"/>
  <c r="C29" i="6"/>
  <c r="I28" i="6"/>
  <c r="G28" i="6"/>
  <c r="E28" i="6"/>
  <c r="C28" i="6"/>
  <c r="I27" i="6"/>
  <c r="G27" i="6"/>
  <c r="E27" i="6"/>
  <c r="C27" i="6"/>
  <c r="I26" i="6"/>
  <c r="G26" i="6"/>
  <c r="E26" i="6"/>
  <c r="C26" i="6"/>
  <c r="I25" i="6"/>
  <c r="G25" i="6"/>
  <c r="E25" i="6"/>
  <c r="C25" i="6"/>
  <c r="I24" i="6"/>
  <c r="G24" i="6"/>
  <c r="E24" i="6"/>
  <c r="C24" i="6"/>
  <c r="I23" i="6"/>
  <c r="G23" i="6"/>
  <c r="E23" i="6"/>
  <c r="C23" i="6"/>
  <c r="I22" i="6"/>
  <c r="G22" i="6"/>
  <c r="E22" i="6"/>
  <c r="C22" i="6"/>
  <c r="I21" i="6"/>
  <c r="G21" i="6"/>
  <c r="E21" i="6"/>
  <c r="C21" i="6"/>
  <c r="I20" i="6"/>
  <c r="G20" i="6"/>
  <c r="E20" i="6"/>
  <c r="C20" i="6"/>
  <c r="I19" i="6"/>
  <c r="G19" i="6"/>
  <c r="E19" i="6"/>
  <c r="C19" i="6"/>
  <c r="C48" i="6" s="1"/>
  <c r="I18" i="6"/>
  <c r="G18" i="6"/>
  <c r="E18" i="6"/>
  <c r="C18" i="6"/>
  <c r="I17" i="6"/>
  <c r="G17" i="6"/>
  <c r="G48" i="6" s="1"/>
  <c r="E17" i="6"/>
  <c r="C17" i="6"/>
  <c r="I16" i="6"/>
  <c r="I48" i="6" s="1"/>
  <c r="G16" i="6"/>
  <c r="E16" i="6"/>
  <c r="E48" i="6" s="1"/>
  <c r="C16" i="6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I9" i="6"/>
  <c r="G9" i="6"/>
  <c r="E9" i="6"/>
  <c r="C9" i="6"/>
  <c r="W4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10" i="1"/>
  <c r="Q44" i="4"/>
  <c r="AC44" i="4" s="1"/>
  <c r="Z43" i="4"/>
  <c r="W43" i="4"/>
  <c r="T43" i="4"/>
  <c r="Q43" i="4"/>
  <c r="AC43" i="4" s="1"/>
  <c r="C43" i="4"/>
  <c r="AC42" i="4"/>
  <c r="P42" i="4"/>
  <c r="N42" i="4"/>
  <c r="O42" i="4" s="1"/>
  <c r="M42" i="4"/>
  <c r="L42" i="4"/>
  <c r="J42" i="4"/>
  <c r="K42" i="4" s="1"/>
  <c r="L41" i="4" s="1"/>
  <c r="N41" i="4" s="1"/>
  <c r="O41" i="4" s="1"/>
  <c r="P41" i="4" s="1"/>
  <c r="I42" i="4"/>
  <c r="G42" i="4"/>
  <c r="E42" i="4"/>
  <c r="C42" i="4"/>
  <c r="AC41" i="4"/>
  <c r="M41" i="4"/>
  <c r="J41" i="4"/>
  <c r="K41" i="4" s="1"/>
  <c r="L40" i="4" s="1"/>
  <c r="N40" i="4" s="1"/>
  <c r="O40" i="4" s="1"/>
  <c r="P40" i="4" s="1"/>
  <c r="I41" i="4"/>
  <c r="G41" i="4"/>
  <c r="E41" i="4"/>
  <c r="C41" i="4"/>
  <c r="AC40" i="4"/>
  <c r="M40" i="4"/>
  <c r="J40" i="4"/>
  <c r="K40" i="4" s="1"/>
  <c r="L39" i="4" s="1"/>
  <c r="N39" i="4" s="1"/>
  <c r="O39" i="4" s="1"/>
  <c r="P39" i="4" s="1"/>
  <c r="I40" i="4"/>
  <c r="G40" i="4"/>
  <c r="E40" i="4"/>
  <c r="C40" i="4"/>
  <c r="AC39" i="4"/>
  <c r="M39" i="4"/>
  <c r="J39" i="4"/>
  <c r="K39" i="4" s="1"/>
  <c r="L38" i="4" s="1"/>
  <c r="N38" i="4" s="1"/>
  <c r="O38" i="4" s="1"/>
  <c r="P38" i="4" s="1"/>
  <c r="I39" i="4"/>
  <c r="G39" i="4"/>
  <c r="E39" i="4"/>
  <c r="C39" i="4"/>
  <c r="AC38" i="4"/>
  <c r="M38" i="4"/>
  <c r="J38" i="4"/>
  <c r="K38" i="4" s="1"/>
  <c r="L37" i="4" s="1"/>
  <c r="N37" i="4" s="1"/>
  <c r="O37" i="4" s="1"/>
  <c r="P37" i="4" s="1"/>
  <c r="I38" i="4"/>
  <c r="G38" i="4"/>
  <c r="E38" i="4"/>
  <c r="C38" i="4"/>
  <c r="AC37" i="4"/>
  <c r="M37" i="4"/>
  <c r="J37" i="4"/>
  <c r="K37" i="4" s="1"/>
  <c r="I37" i="4"/>
  <c r="G37" i="4"/>
  <c r="E37" i="4"/>
  <c r="C37" i="4"/>
  <c r="AC36" i="4"/>
  <c r="E36" i="4" s="1"/>
  <c r="M36" i="4"/>
  <c r="J36" i="4"/>
  <c r="K36" i="4" s="1"/>
  <c r="I36" i="4"/>
  <c r="G36" i="4"/>
  <c r="C36" i="4"/>
  <c r="AC35" i="4"/>
  <c r="E35" i="4" s="1"/>
  <c r="M35" i="4"/>
  <c r="J35" i="4"/>
  <c r="K35" i="4" s="1"/>
  <c r="I35" i="4"/>
  <c r="G35" i="4"/>
  <c r="C35" i="4"/>
  <c r="AC34" i="4"/>
  <c r="E34" i="4" s="1"/>
  <c r="M34" i="4"/>
  <c r="J34" i="4"/>
  <c r="K34" i="4" s="1"/>
  <c r="L34" i="4" s="1"/>
  <c r="N34" i="4" s="1"/>
  <c r="O34" i="4" s="1"/>
  <c r="P34" i="4" s="1"/>
  <c r="I34" i="4"/>
  <c r="G34" i="4"/>
  <c r="C34" i="4"/>
  <c r="AC33" i="4"/>
  <c r="E33" i="4" s="1"/>
  <c r="M33" i="4"/>
  <c r="J33" i="4"/>
  <c r="K33" i="4" s="1"/>
  <c r="I33" i="4"/>
  <c r="G33" i="4"/>
  <c r="C33" i="4"/>
  <c r="AC32" i="4"/>
  <c r="E32" i="4" s="1"/>
  <c r="M32" i="4"/>
  <c r="J32" i="4"/>
  <c r="K32" i="4" s="1"/>
  <c r="I32" i="4"/>
  <c r="G32" i="4"/>
  <c r="C32" i="4"/>
  <c r="AC31" i="4"/>
  <c r="E31" i="4" s="1"/>
  <c r="N31" i="4"/>
  <c r="O31" i="4" s="1"/>
  <c r="P31" i="4" s="1"/>
  <c r="M31" i="4"/>
  <c r="L31" i="4"/>
  <c r="J31" i="4"/>
  <c r="K31" i="4" s="1"/>
  <c r="I31" i="4"/>
  <c r="G31" i="4"/>
  <c r="C31" i="4"/>
  <c r="AC30" i="4"/>
  <c r="E30" i="4" s="1"/>
  <c r="M30" i="4"/>
  <c r="J30" i="4"/>
  <c r="K30" i="4" s="1"/>
  <c r="I30" i="4"/>
  <c r="G30" i="4"/>
  <c r="C30" i="4"/>
  <c r="AC29" i="4"/>
  <c r="E29" i="4" s="1"/>
  <c r="M29" i="4"/>
  <c r="J29" i="4"/>
  <c r="K29" i="4" s="1"/>
  <c r="I29" i="4"/>
  <c r="G29" i="4"/>
  <c r="C29" i="4"/>
  <c r="AC28" i="4"/>
  <c r="E28" i="4" s="1"/>
  <c r="M28" i="4"/>
  <c r="J28" i="4"/>
  <c r="K28" i="4" s="1"/>
  <c r="L28" i="4" s="1"/>
  <c r="N28" i="4" s="1"/>
  <c r="O28" i="4" s="1"/>
  <c r="P28" i="4" s="1"/>
  <c r="I28" i="4"/>
  <c r="G28" i="4"/>
  <c r="C28" i="4"/>
  <c r="AC27" i="4"/>
  <c r="E27" i="4" s="1"/>
  <c r="N27" i="4"/>
  <c r="O27" i="4" s="1"/>
  <c r="P27" i="4" s="1"/>
  <c r="M27" i="4"/>
  <c r="L27" i="4"/>
  <c r="J27" i="4"/>
  <c r="K27" i="4" s="1"/>
  <c r="I27" i="4"/>
  <c r="G27" i="4"/>
  <c r="C27" i="4"/>
  <c r="AC26" i="4"/>
  <c r="E26" i="4" s="1"/>
  <c r="M26" i="4"/>
  <c r="J26" i="4"/>
  <c r="K26" i="4" s="1"/>
  <c r="L26" i="4" s="1"/>
  <c r="N26" i="4" s="1"/>
  <c r="O26" i="4" s="1"/>
  <c r="P26" i="4" s="1"/>
  <c r="G26" i="4"/>
  <c r="C26" i="4"/>
  <c r="AC25" i="4"/>
  <c r="M25" i="4"/>
  <c r="J25" i="4"/>
  <c r="K25" i="4" s="1"/>
  <c r="C25" i="4"/>
  <c r="AC24" i="4"/>
  <c r="E24" i="4" s="1"/>
  <c r="M24" i="4"/>
  <c r="J24" i="4"/>
  <c r="K24" i="4" s="1"/>
  <c r="I24" i="4"/>
  <c r="G24" i="4"/>
  <c r="C24" i="4"/>
  <c r="AC23" i="4"/>
  <c r="E23" i="4" s="1"/>
  <c r="N23" i="4"/>
  <c r="O23" i="4" s="1"/>
  <c r="P23" i="4" s="1"/>
  <c r="M23" i="4"/>
  <c r="L23" i="4"/>
  <c r="J23" i="4"/>
  <c r="K23" i="4" s="1"/>
  <c r="I23" i="4"/>
  <c r="C23" i="4"/>
  <c r="AC22" i="4"/>
  <c r="E22" i="4" s="1"/>
  <c r="M22" i="4"/>
  <c r="J22" i="4"/>
  <c r="K22" i="4" s="1"/>
  <c r="L22" i="4" s="1"/>
  <c r="N22" i="4" s="1"/>
  <c r="O22" i="4" s="1"/>
  <c r="P22" i="4" s="1"/>
  <c r="G22" i="4"/>
  <c r="C22" i="4"/>
  <c r="AC21" i="4"/>
  <c r="M21" i="4"/>
  <c r="J21" i="4"/>
  <c r="K21" i="4" s="1"/>
  <c r="C21" i="4"/>
  <c r="AC20" i="4"/>
  <c r="E20" i="4" s="1"/>
  <c r="M20" i="4"/>
  <c r="J20" i="4"/>
  <c r="K20" i="4" s="1"/>
  <c r="L20" i="4" s="1"/>
  <c r="N20" i="4" s="1"/>
  <c r="O20" i="4" s="1"/>
  <c r="P20" i="4" s="1"/>
  <c r="I20" i="4"/>
  <c r="G20" i="4"/>
  <c r="C20" i="4"/>
  <c r="AC19" i="4"/>
  <c r="E19" i="4" s="1"/>
  <c r="N19" i="4"/>
  <c r="O19" i="4" s="1"/>
  <c r="P19" i="4" s="1"/>
  <c r="M19" i="4"/>
  <c r="L19" i="4"/>
  <c r="J19" i="4"/>
  <c r="K19" i="4" s="1"/>
  <c r="I19" i="4"/>
  <c r="C19" i="4"/>
  <c r="AC18" i="4"/>
  <c r="E18" i="4" s="1"/>
  <c r="M18" i="4"/>
  <c r="J18" i="4"/>
  <c r="K18" i="4" s="1"/>
  <c r="G18" i="4"/>
  <c r="C18" i="4"/>
  <c r="AC17" i="4"/>
  <c r="M17" i="4"/>
  <c r="J17" i="4"/>
  <c r="K17" i="4" s="1"/>
  <c r="C17" i="4"/>
  <c r="AC16" i="4"/>
  <c r="E16" i="4" s="1"/>
  <c r="M16" i="4"/>
  <c r="J16" i="4"/>
  <c r="K16" i="4" s="1"/>
  <c r="L16" i="4" s="1"/>
  <c r="N16" i="4" s="1"/>
  <c r="O16" i="4" s="1"/>
  <c r="P16" i="4" s="1"/>
  <c r="I16" i="4"/>
  <c r="G16" i="4"/>
  <c r="C16" i="4"/>
  <c r="AC15" i="4"/>
  <c r="E15" i="4" s="1"/>
  <c r="N15" i="4"/>
  <c r="O15" i="4" s="1"/>
  <c r="P15" i="4" s="1"/>
  <c r="M15" i="4"/>
  <c r="L15" i="4"/>
  <c r="J15" i="4"/>
  <c r="K15" i="4" s="1"/>
  <c r="I15" i="4"/>
  <c r="C15" i="4"/>
  <c r="AC14" i="4"/>
  <c r="E14" i="4" s="1"/>
  <c r="M14" i="4"/>
  <c r="J14" i="4"/>
  <c r="K14" i="4" s="1"/>
  <c r="L14" i="4" s="1"/>
  <c r="N14" i="4" s="1"/>
  <c r="O14" i="4" s="1"/>
  <c r="P14" i="4" s="1"/>
  <c r="G14" i="4"/>
  <c r="C14" i="4"/>
  <c r="AC13" i="4"/>
  <c r="M13" i="4"/>
  <c r="K13" i="4"/>
  <c r="J13" i="4"/>
  <c r="I13" i="4"/>
  <c r="AC12" i="4"/>
  <c r="M12" i="4"/>
  <c r="K12" i="4"/>
  <c r="J12" i="4"/>
  <c r="I12" i="4"/>
  <c r="AC11" i="4"/>
  <c r="M11" i="4"/>
  <c r="K11" i="4"/>
  <c r="J11" i="4"/>
  <c r="I11" i="4"/>
  <c r="E11" i="4"/>
  <c r="AC10" i="4"/>
  <c r="M10" i="4"/>
  <c r="K10" i="4"/>
  <c r="J10" i="4"/>
  <c r="I10" i="4"/>
  <c r="AC9" i="4"/>
  <c r="I9" i="4" s="1"/>
  <c r="M9" i="4"/>
  <c r="K9" i="4"/>
  <c r="J9" i="4"/>
  <c r="E9" i="4"/>
  <c r="AC8" i="4"/>
  <c r="M8" i="4"/>
  <c r="K8" i="4"/>
  <c r="J8" i="4"/>
  <c r="I8" i="4"/>
  <c r="E8" i="4"/>
  <c r="AC7" i="4"/>
  <c r="M7" i="4"/>
  <c r="K7" i="4"/>
  <c r="J7" i="4"/>
  <c r="AC6" i="4"/>
  <c r="M6" i="4"/>
  <c r="K6" i="4"/>
  <c r="J6" i="4"/>
  <c r="I6" i="4"/>
  <c r="AC5" i="4"/>
  <c r="I5" i="4" s="1"/>
  <c r="M5" i="4"/>
  <c r="K5" i="4"/>
  <c r="J5" i="4"/>
  <c r="E5" i="4"/>
  <c r="AC4" i="4"/>
  <c r="M4" i="4"/>
  <c r="K4" i="4"/>
  <c r="J4" i="4"/>
  <c r="I4" i="4"/>
  <c r="E4" i="4"/>
  <c r="Z41" i="1"/>
  <c r="Y41" i="1"/>
  <c r="Y39" i="1"/>
  <c r="Z39" i="1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L7" i="4" l="1"/>
  <c r="N7" i="4" s="1"/>
  <c r="O7" i="4" s="1"/>
  <c r="P7" i="4" s="1"/>
  <c r="G7" i="4"/>
  <c r="C7" i="4"/>
  <c r="L6" i="4"/>
  <c r="N6" i="4" s="1"/>
  <c r="O6" i="4" s="1"/>
  <c r="P6" i="4" s="1"/>
  <c r="G6" i="4"/>
  <c r="C6" i="4"/>
  <c r="L10" i="4"/>
  <c r="N10" i="4" s="1"/>
  <c r="O10" i="4" s="1"/>
  <c r="P10" i="4" s="1"/>
  <c r="G10" i="4"/>
  <c r="C10" i="4"/>
  <c r="L13" i="4"/>
  <c r="N13" i="4" s="1"/>
  <c r="O13" i="4" s="1"/>
  <c r="P13" i="4" s="1"/>
  <c r="G13" i="4"/>
  <c r="E13" i="4"/>
  <c r="C13" i="4"/>
  <c r="E17" i="4"/>
  <c r="I17" i="4"/>
  <c r="G17" i="4"/>
  <c r="E21" i="4"/>
  <c r="I21" i="4"/>
  <c r="G21" i="4"/>
  <c r="E25" i="4"/>
  <c r="I25" i="4"/>
  <c r="G25" i="4"/>
  <c r="L12" i="4"/>
  <c r="N12" i="4" s="1"/>
  <c r="O12" i="4" s="1"/>
  <c r="P12" i="4" s="1"/>
  <c r="G12" i="4"/>
  <c r="E12" i="4"/>
  <c r="C12" i="4"/>
  <c r="G5" i="4"/>
  <c r="C5" i="4"/>
  <c r="E7" i="4"/>
  <c r="G9" i="4"/>
  <c r="C9" i="4"/>
  <c r="L29" i="4"/>
  <c r="N29" i="4" s="1"/>
  <c r="O29" i="4" s="1"/>
  <c r="P29" i="4" s="1"/>
  <c r="L33" i="4"/>
  <c r="N33" i="4" s="1"/>
  <c r="O33" i="4" s="1"/>
  <c r="P33" i="4" s="1"/>
  <c r="L4" i="4"/>
  <c r="N4" i="4" s="1"/>
  <c r="O4" i="4" s="1"/>
  <c r="P4" i="4" s="1"/>
  <c r="G4" i="4"/>
  <c r="C4" i="4"/>
  <c r="E6" i="4"/>
  <c r="I7" i="4"/>
  <c r="L8" i="4"/>
  <c r="N8" i="4" s="1"/>
  <c r="O8" i="4" s="1"/>
  <c r="P8" i="4" s="1"/>
  <c r="G8" i="4"/>
  <c r="C8" i="4"/>
  <c r="E10" i="4"/>
  <c r="L11" i="4"/>
  <c r="N11" i="4" s="1"/>
  <c r="G11" i="4"/>
  <c r="C11" i="4"/>
  <c r="L17" i="4"/>
  <c r="N17" i="4" s="1"/>
  <c r="O17" i="4" s="1"/>
  <c r="P17" i="4" s="1"/>
  <c r="L21" i="4"/>
  <c r="N21" i="4" s="1"/>
  <c r="O21" i="4" s="1"/>
  <c r="P21" i="4" s="1"/>
  <c r="L25" i="4"/>
  <c r="N25" i="4" s="1"/>
  <c r="O25" i="4" s="1"/>
  <c r="P25" i="4" s="1"/>
  <c r="I43" i="4"/>
  <c r="K48" i="4"/>
  <c r="L48" i="4" s="1"/>
  <c r="M48" i="4" s="1"/>
  <c r="E43" i="4"/>
  <c r="G43" i="4"/>
  <c r="I14" i="4"/>
  <c r="G15" i="4"/>
  <c r="I18" i="4"/>
  <c r="G19" i="4"/>
  <c r="I22" i="4"/>
  <c r="G23" i="4"/>
  <c r="I26" i="4"/>
  <c r="O11" i="4" l="1"/>
  <c r="P11" i="4" s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10" i="1"/>
  <c r="D41" i="1" s="1"/>
  <c r="L10" i="1"/>
  <c r="K10" i="1"/>
  <c r="J10" i="1"/>
  <c r="L40" i="1"/>
  <c r="K40" i="1"/>
  <c r="J40" i="1"/>
  <c r="D40" i="1"/>
  <c r="K41" i="1" l="1"/>
  <c r="L41" i="1"/>
  <c r="J41" i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21" i="10"/>
  <c r="F27" i="1"/>
  <c r="K6" i="10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5" i="10"/>
  <c r="AD8" i="4"/>
  <c r="AE8" i="4"/>
  <c r="AD9" i="4"/>
  <c r="L9" i="4" s="1"/>
  <c r="N9" i="4" s="1"/>
  <c r="O9" i="4" s="1"/>
  <c r="P9" i="4" s="1"/>
  <c r="AE9" i="4"/>
  <c r="AD10" i="4"/>
  <c r="AE10" i="4"/>
  <c r="AD11" i="4"/>
  <c r="AE11" i="4"/>
  <c r="AD12" i="4"/>
  <c r="AE12" i="4"/>
  <c r="AD13" i="4"/>
  <c r="AE13" i="4"/>
  <c r="AD14" i="4"/>
  <c r="AE14" i="4"/>
  <c r="AD15" i="4"/>
  <c r="AE15" i="4"/>
  <c r="AD16" i="4"/>
  <c r="AE16" i="4"/>
  <c r="AD17" i="4"/>
  <c r="AE17" i="4"/>
  <c r="AD18" i="4"/>
  <c r="AE18" i="4"/>
  <c r="AD19" i="4"/>
  <c r="AE19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P35" i="4" s="1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AE7" i="4"/>
  <c r="AD7" i="4"/>
  <c r="AE6" i="4"/>
  <c r="AD6" i="4"/>
  <c r="AE5" i="4"/>
  <c r="AD5" i="4"/>
  <c r="AE4" i="4"/>
  <c r="AD4" i="4"/>
  <c r="Y40" i="1"/>
  <c r="M12" i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K2" i="10"/>
  <c r="K27" i="10"/>
  <c r="I27" i="10"/>
  <c r="F17" i="1"/>
  <c r="K9" i="10"/>
  <c r="F26" i="1"/>
  <c r="K18" i="10"/>
  <c r="F38" i="1"/>
  <c r="L36" i="4" l="1"/>
  <c r="N36" i="4" s="1"/>
  <c r="O36" i="4" s="1"/>
  <c r="P36" i="4" s="1"/>
  <c r="L30" i="4"/>
  <c r="N30" i="4" s="1"/>
  <c r="O30" i="4" s="1"/>
  <c r="P30" i="4" s="1"/>
  <c r="L24" i="4"/>
  <c r="N24" i="4" s="1"/>
  <c r="O24" i="4" s="1"/>
  <c r="P24" i="4" s="1"/>
  <c r="L18" i="4"/>
  <c r="N18" i="4" s="1"/>
  <c r="L5" i="4"/>
  <c r="N5" i="4" s="1"/>
  <c r="O5" i="4" s="1"/>
  <c r="P5" i="4" s="1"/>
  <c r="L32" i="4"/>
  <c r="N32" i="4" s="1"/>
  <c r="O32" i="4" s="1"/>
  <c r="P32" i="4" s="1"/>
  <c r="I22" i="10"/>
  <c r="I20" i="10"/>
  <c r="Z40" i="1"/>
  <c r="M39" i="1"/>
  <c r="M37" i="1"/>
  <c r="O37" i="1" s="1"/>
  <c r="M38" i="1"/>
  <c r="U38" i="1"/>
  <c r="I28" i="10"/>
  <c r="I29" i="10"/>
  <c r="M34" i="1"/>
  <c r="E26" i="10" s="1"/>
  <c r="M35" i="1"/>
  <c r="O35" i="1" s="1"/>
  <c r="I26" i="10"/>
  <c r="I25" i="10"/>
  <c r="M31" i="1"/>
  <c r="E23" i="10" s="1"/>
  <c r="M32" i="1"/>
  <c r="E24" i="10" s="1"/>
  <c r="I23" i="10"/>
  <c r="I21" i="10"/>
  <c r="I19" i="10"/>
  <c r="M27" i="1"/>
  <c r="E19" i="10" s="1"/>
  <c r="I18" i="10"/>
  <c r="I17" i="10"/>
  <c r="M22" i="1"/>
  <c r="E14" i="10" s="1"/>
  <c r="M17" i="1"/>
  <c r="E9" i="10" s="1"/>
  <c r="M15" i="1"/>
  <c r="O15" i="1" s="1"/>
  <c r="I10" i="10"/>
  <c r="I3" i="10"/>
  <c r="I8" i="10"/>
  <c r="I12" i="10"/>
  <c r="I6" i="10"/>
  <c r="I4" i="10"/>
  <c r="I9" i="10"/>
  <c r="I13" i="10"/>
  <c r="I7" i="10"/>
  <c r="I15" i="10"/>
  <c r="M10" i="1"/>
  <c r="O13" i="1"/>
  <c r="F12" i="1"/>
  <c r="F41" i="1" s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M14" i="1"/>
  <c r="O14" i="1" s="1"/>
  <c r="F24" i="1"/>
  <c r="K3" i="10"/>
  <c r="G44" i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E2" i="10" l="1"/>
  <c r="M41" i="1"/>
  <c r="O18" i="4"/>
  <c r="P18" i="4" s="1"/>
  <c r="N43" i="4"/>
  <c r="U24" i="1"/>
  <c r="O38" i="1"/>
  <c r="O22" i="1"/>
  <c r="O17" i="1"/>
  <c r="E29" i="10"/>
  <c r="O11" i="1"/>
  <c r="O27" i="1"/>
  <c r="O31" i="1"/>
  <c r="E7" i="10"/>
  <c r="E6" i="10"/>
  <c r="G45" i="1"/>
  <c r="J45" i="1" s="1"/>
  <c r="L43" i="1" s="1"/>
  <c r="U26" i="1"/>
  <c r="U13" i="1"/>
  <c r="U20" i="1"/>
  <c r="U21" i="1"/>
  <c r="U15" i="1"/>
  <c r="U14" i="1"/>
  <c r="U22" i="1"/>
  <c r="U18" i="1"/>
  <c r="U16" i="1"/>
  <c r="U17" i="1"/>
  <c r="U19" i="1"/>
  <c r="U12" i="1"/>
  <c r="O39" i="1"/>
  <c r="O40" i="1"/>
  <c r="U40" i="1"/>
  <c r="U39" i="1"/>
  <c r="U36" i="1"/>
  <c r="U37" i="1"/>
  <c r="O34" i="1"/>
  <c r="U35" i="1"/>
  <c r="E25" i="10"/>
  <c r="U34" i="1"/>
  <c r="U33" i="1"/>
  <c r="U30" i="1"/>
  <c r="U31" i="1"/>
  <c r="U32" i="1"/>
  <c r="U29" i="1"/>
  <c r="U28" i="1"/>
  <c r="U27" i="1"/>
  <c r="U25" i="1"/>
  <c r="U23" i="1"/>
  <c r="E18" i="10"/>
  <c r="O32" i="1"/>
  <c r="O29" i="1"/>
  <c r="O23" i="1"/>
  <c r="O10" i="1"/>
  <c r="O36" i="1"/>
  <c r="E27" i="10"/>
  <c r="G13" i="10"/>
  <c r="O13" i="10" s="1"/>
  <c r="G5" i="10"/>
  <c r="O5" i="10" s="1"/>
  <c r="O30" i="1"/>
  <c r="E22" i="10"/>
  <c r="O43" i="4" l="1"/>
  <c r="K47" i="4"/>
  <c r="G4" i="10"/>
  <c r="O4" i="10" s="1"/>
  <c r="G10" i="10"/>
  <c r="O10" i="10" s="1"/>
  <c r="U10" i="1"/>
  <c r="G17" i="10"/>
  <c r="O17" i="10" s="1"/>
  <c r="U11" i="1"/>
  <c r="G18" i="10"/>
  <c r="O18" i="10" s="1"/>
  <c r="G28" i="10"/>
  <c r="O28" i="10" s="1"/>
  <c r="G14" i="10"/>
  <c r="O14" i="10" s="1"/>
  <c r="G22" i="10"/>
  <c r="G11" i="10"/>
  <c r="O11" i="10" s="1"/>
  <c r="G29" i="10"/>
  <c r="O29" i="10" s="1"/>
  <c r="G21" i="10"/>
  <c r="O21" i="10" s="1"/>
  <c r="G15" i="10"/>
  <c r="O15" i="10" s="1"/>
  <c r="G6" i="10"/>
  <c r="O6" i="10" s="1"/>
  <c r="G7" i="10"/>
  <c r="O7" i="10" s="1"/>
  <c r="G12" i="10"/>
  <c r="O12" i="10" s="1"/>
  <c r="G3" i="10"/>
  <c r="O3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G27" i="10"/>
  <c r="O27" i="10" s="1"/>
  <c r="G24" i="10"/>
  <c r="O24" i="10" s="1"/>
  <c r="G23" i="10"/>
  <c r="O23" i="10" s="1"/>
  <c r="W41" i="1" l="1"/>
  <c r="U41" i="1"/>
  <c r="L47" i="4"/>
  <c r="P43" i="4"/>
  <c r="M47" i="4" s="1"/>
  <c r="G2" i="10"/>
  <c r="O2" i="10" s="1"/>
  <c r="G47" i="1"/>
  <c r="J47" i="1" s="1"/>
  <c r="L47" i="1" s="1"/>
</calcChain>
</file>

<file path=xl/sharedStrings.xml><?xml version="1.0" encoding="utf-8"?>
<sst xmlns="http://schemas.openxmlformats.org/spreadsheetml/2006/main" count="122" uniqueCount="82">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</sst>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165" fontId="19" fillId="0" borderId="6" xfId="0" applyNumberFormat="1" applyFont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7" xfId="0" applyFont="1" applyFill="1" applyBorder="1" applyAlignment="1">
      <alignment horizontal="center" vertical="center" wrapText="1"/>
    </xf>
    <xf numFmtId="0" fontId="26" fillId="17" borderId="45" xfId="0" applyFont="1" applyFill="1" applyBorder="1" applyAlignment="1">
      <alignment horizontal="center" vertical="center" wrapText="1"/>
    </xf>
    <xf numFmtId="2" fontId="7" fillId="17" borderId="21" xfId="0" applyNumberFormat="1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26" fillId="17" borderId="46" xfId="0" applyFont="1" applyFill="1" applyBorder="1" applyAlignment="1">
      <alignment horizontal="center" vertical="center" wrapText="1"/>
    </xf>
    <xf numFmtId="0" fontId="26" fillId="17" borderId="16" xfId="0" applyFont="1" applyFill="1" applyBorder="1" applyAlignment="1">
      <alignment horizontal="center" vertical="center" wrapText="1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24" fillId="0" borderId="47" xfId="0" applyFont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3 2" xfId="3"/>
  </cellStyles>
  <dxfs count="9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43497</c:v>
                </c:pt>
                <c:pt idx="1">
                  <c:v>43498</c:v>
                </c:pt>
                <c:pt idx="2">
                  <c:v>43499</c:v>
                </c:pt>
                <c:pt idx="3">
                  <c:v>43500</c:v>
                </c:pt>
                <c:pt idx="4">
                  <c:v>43501</c:v>
                </c:pt>
                <c:pt idx="5">
                  <c:v>43502</c:v>
                </c:pt>
                <c:pt idx="6">
                  <c:v>43503</c:v>
                </c:pt>
                <c:pt idx="7">
                  <c:v>43504</c:v>
                </c:pt>
                <c:pt idx="8">
                  <c:v>43505</c:v>
                </c:pt>
                <c:pt idx="9">
                  <c:v>43506</c:v>
                </c:pt>
                <c:pt idx="10">
                  <c:v>43507</c:v>
                </c:pt>
                <c:pt idx="11">
                  <c:v>43508</c:v>
                </c:pt>
                <c:pt idx="12">
                  <c:v>43509</c:v>
                </c:pt>
                <c:pt idx="13">
                  <c:v>43510</c:v>
                </c:pt>
                <c:pt idx="14">
                  <c:v>43511</c:v>
                </c:pt>
                <c:pt idx="15">
                  <c:v>43512</c:v>
                </c:pt>
                <c:pt idx="16">
                  <c:v>43513</c:v>
                </c:pt>
                <c:pt idx="17">
                  <c:v>43514</c:v>
                </c:pt>
                <c:pt idx="18">
                  <c:v>43515</c:v>
                </c:pt>
                <c:pt idx="19">
                  <c:v>43516</c:v>
                </c:pt>
                <c:pt idx="20">
                  <c:v>43517</c:v>
                </c:pt>
                <c:pt idx="21">
                  <c:v>43518</c:v>
                </c:pt>
                <c:pt idx="22">
                  <c:v>43519</c:v>
                </c:pt>
                <c:pt idx="23">
                  <c:v>43520</c:v>
                </c:pt>
                <c:pt idx="24">
                  <c:v>43521</c:v>
                </c:pt>
                <c:pt idx="25">
                  <c:v>43522</c:v>
                </c:pt>
                <c:pt idx="26">
                  <c:v>43523</c:v>
                </c:pt>
                <c:pt idx="27">
                  <c:v>43524</c:v>
                </c:pt>
                <c:pt idx="28">
                  <c:v>43525</c:v>
                </c:pt>
                <c:pt idx="29">
                  <c:v>43526</c:v>
                </c:pt>
                <c:pt idx="30">
                  <c:v>43527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260</c:v>
                </c:pt>
                <c:pt idx="1">
                  <c:v>290</c:v>
                </c:pt>
                <c:pt idx="2">
                  <c:v>290</c:v>
                </c:pt>
                <c:pt idx="3">
                  <c:v>370</c:v>
                </c:pt>
                <c:pt idx="4">
                  <c:v>320</c:v>
                </c:pt>
                <c:pt idx="5">
                  <c:v>330</c:v>
                </c:pt>
                <c:pt idx="6">
                  <c:v>350</c:v>
                </c:pt>
                <c:pt idx="7">
                  <c:v>310</c:v>
                </c:pt>
                <c:pt idx="8">
                  <c:v>440</c:v>
                </c:pt>
                <c:pt idx="9">
                  <c:v>350</c:v>
                </c:pt>
                <c:pt idx="10">
                  <c:v>330</c:v>
                </c:pt>
                <c:pt idx="11">
                  <c:v>380</c:v>
                </c:pt>
                <c:pt idx="12">
                  <c:v>350</c:v>
                </c:pt>
                <c:pt idx="13">
                  <c:v>410</c:v>
                </c:pt>
                <c:pt idx="14">
                  <c:v>350</c:v>
                </c:pt>
                <c:pt idx="15">
                  <c:v>460</c:v>
                </c:pt>
                <c:pt idx="16">
                  <c:v>370</c:v>
                </c:pt>
                <c:pt idx="17">
                  <c:v>420</c:v>
                </c:pt>
                <c:pt idx="18">
                  <c:v>370</c:v>
                </c:pt>
                <c:pt idx="19">
                  <c:v>370</c:v>
                </c:pt>
                <c:pt idx="20">
                  <c:v>410</c:v>
                </c:pt>
                <c:pt idx="21">
                  <c:v>340</c:v>
                </c:pt>
                <c:pt idx="22">
                  <c:v>450</c:v>
                </c:pt>
                <c:pt idx="23">
                  <c:v>440</c:v>
                </c:pt>
                <c:pt idx="24">
                  <c:v>440</c:v>
                </c:pt>
                <c:pt idx="25">
                  <c:v>400</c:v>
                </c:pt>
                <c:pt idx="26">
                  <c:v>400</c:v>
                </c:pt>
                <c:pt idx="27">
                  <c:v>380</c:v>
                </c:pt>
                <c:pt idx="28">
                  <c:v>420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94784"/>
        <c:axId val="96296320"/>
      </c:lineChart>
      <c:dateAx>
        <c:axId val="962947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96320"/>
        <c:crosses val="autoZero"/>
        <c:auto val="1"/>
        <c:lblOffset val="100"/>
        <c:baseTimeUnit val="days"/>
      </c:dateAx>
      <c:valAx>
        <c:axId val="9629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94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43497</c:v>
                </c:pt>
                <c:pt idx="1">
                  <c:v>43498</c:v>
                </c:pt>
                <c:pt idx="2">
                  <c:v>43499</c:v>
                </c:pt>
                <c:pt idx="3">
                  <c:v>43500</c:v>
                </c:pt>
                <c:pt idx="4">
                  <c:v>43501</c:v>
                </c:pt>
                <c:pt idx="5">
                  <c:v>43502</c:v>
                </c:pt>
                <c:pt idx="6">
                  <c:v>43503</c:v>
                </c:pt>
                <c:pt idx="7">
                  <c:v>43504</c:v>
                </c:pt>
                <c:pt idx="8">
                  <c:v>43505</c:v>
                </c:pt>
                <c:pt idx="9">
                  <c:v>43506</c:v>
                </c:pt>
                <c:pt idx="10">
                  <c:v>43507</c:v>
                </c:pt>
                <c:pt idx="11">
                  <c:v>43508</c:v>
                </c:pt>
                <c:pt idx="12">
                  <c:v>43509</c:v>
                </c:pt>
                <c:pt idx="13">
                  <c:v>43510</c:v>
                </c:pt>
                <c:pt idx="14">
                  <c:v>43511</c:v>
                </c:pt>
                <c:pt idx="15">
                  <c:v>43512</c:v>
                </c:pt>
                <c:pt idx="16">
                  <c:v>43513</c:v>
                </c:pt>
                <c:pt idx="17">
                  <c:v>43514</c:v>
                </c:pt>
                <c:pt idx="18">
                  <c:v>43515</c:v>
                </c:pt>
                <c:pt idx="19">
                  <c:v>43516</c:v>
                </c:pt>
                <c:pt idx="20">
                  <c:v>43517</c:v>
                </c:pt>
                <c:pt idx="21">
                  <c:v>43518</c:v>
                </c:pt>
                <c:pt idx="22">
                  <c:v>43519</c:v>
                </c:pt>
                <c:pt idx="23">
                  <c:v>43520</c:v>
                </c:pt>
                <c:pt idx="24">
                  <c:v>43521</c:v>
                </c:pt>
                <c:pt idx="25">
                  <c:v>43522</c:v>
                </c:pt>
                <c:pt idx="26">
                  <c:v>43523</c:v>
                </c:pt>
                <c:pt idx="27">
                  <c:v>43524</c:v>
                </c:pt>
                <c:pt idx="28">
                  <c:v>43525</c:v>
                </c:pt>
                <c:pt idx="29">
                  <c:v>43526</c:v>
                </c:pt>
                <c:pt idx="30">
                  <c:v>43527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4091</c:v>
                </c:pt>
                <c:pt idx="1">
                  <c:v>3913</c:v>
                </c:pt>
                <c:pt idx="2">
                  <c:v>4337</c:v>
                </c:pt>
                <c:pt idx="3">
                  <c:v>4771</c:v>
                </c:pt>
                <c:pt idx="4">
                  <c:v>4760</c:v>
                </c:pt>
                <c:pt idx="5">
                  <c:v>4610</c:v>
                </c:pt>
                <c:pt idx="6">
                  <c:v>4565</c:v>
                </c:pt>
                <c:pt idx="7">
                  <c:v>4055</c:v>
                </c:pt>
                <c:pt idx="8">
                  <c:v>4251</c:v>
                </c:pt>
                <c:pt idx="9">
                  <c:v>4729</c:v>
                </c:pt>
                <c:pt idx="10">
                  <c:v>4149</c:v>
                </c:pt>
                <c:pt idx="11">
                  <c:v>4147</c:v>
                </c:pt>
                <c:pt idx="12">
                  <c:v>4054</c:v>
                </c:pt>
                <c:pt idx="13">
                  <c:v>4802</c:v>
                </c:pt>
                <c:pt idx="14">
                  <c:v>5332</c:v>
                </c:pt>
                <c:pt idx="15">
                  <c:v>4389</c:v>
                </c:pt>
                <c:pt idx="16">
                  <c:v>3923</c:v>
                </c:pt>
                <c:pt idx="17">
                  <c:v>4681</c:v>
                </c:pt>
                <c:pt idx="18">
                  <c:v>4399</c:v>
                </c:pt>
                <c:pt idx="19">
                  <c:v>4277</c:v>
                </c:pt>
                <c:pt idx="20">
                  <c:v>4387</c:v>
                </c:pt>
                <c:pt idx="21">
                  <c:v>4348</c:v>
                </c:pt>
                <c:pt idx="22">
                  <c:v>4405</c:v>
                </c:pt>
                <c:pt idx="23">
                  <c:v>4823</c:v>
                </c:pt>
                <c:pt idx="24">
                  <c:v>5113</c:v>
                </c:pt>
                <c:pt idx="25">
                  <c:v>5226</c:v>
                </c:pt>
                <c:pt idx="26">
                  <c:v>5353</c:v>
                </c:pt>
                <c:pt idx="27">
                  <c:v>5006</c:v>
                </c:pt>
                <c:pt idx="28">
                  <c:v>4947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43497</c:v>
                </c:pt>
                <c:pt idx="1">
                  <c:v>43498</c:v>
                </c:pt>
                <c:pt idx="2">
                  <c:v>43499</c:v>
                </c:pt>
                <c:pt idx="3">
                  <c:v>43500</c:v>
                </c:pt>
                <c:pt idx="4">
                  <c:v>43501</c:v>
                </c:pt>
                <c:pt idx="5">
                  <c:v>43502</c:v>
                </c:pt>
                <c:pt idx="6">
                  <c:v>43503</c:v>
                </c:pt>
                <c:pt idx="7">
                  <c:v>43504</c:v>
                </c:pt>
                <c:pt idx="8">
                  <c:v>43505</c:v>
                </c:pt>
                <c:pt idx="9">
                  <c:v>43506</c:v>
                </c:pt>
                <c:pt idx="10">
                  <c:v>43507</c:v>
                </c:pt>
                <c:pt idx="11">
                  <c:v>43508</c:v>
                </c:pt>
                <c:pt idx="12">
                  <c:v>43509</c:v>
                </c:pt>
                <c:pt idx="13">
                  <c:v>43510</c:v>
                </c:pt>
                <c:pt idx="14">
                  <c:v>43511</c:v>
                </c:pt>
                <c:pt idx="15">
                  <c:v>43512</c:v>
                </c:pt>
                <c:pt idx="16">
                  <c:v>43513</c:v>
                </c:pt>
                <c:pt idx="17">
                  <c:v>43514</c:v>
                </c:pt>
                <c:pt idx="18">
                  <c:v>43515</c:v>
                </c:pt>
                <c:pt idx="19">
                  <c:v>43516</c:v>
                </c:pt>
                <c:pt idx="20">
                  <c:v>43517</c:v>
                </c:pt>
                <c:pt idx="21">
                  <c:v>43518</c:v>
                </c:pt>
                <c:pt idx="22">
                  <c:v>43519</c:v>
                </c:pt>
                <c:pt idx="23">
                  <c:v>43520</c:v>
                </c:pt>
                <c:pt idx="24">
                  <c:v>43521</c:v>
                </c:pt>
                <c:pt idx="25">
                  <c:v>43522</c:v>
                </c:pt>
                <c:pt idx="26">
                  <c:v>43523</c:v>
                </c:pt>
                <c:pt idx="27">
                  <c:v>43524</c:v>
                </c:pt>
                <c:pt idx="28">
                  <c:v>43525</c:v>
                </c:pt>
                <c:pt idx="29">
                  <c:v>43526</c:v>
                </c:pt>
                <c:pt idx="30">
                  <c:v>43527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5953</c:v>
                </c:pt>
                <c:pt idx="1">
                  <c:v>5980</c:v>
                </c:pt>
                <c:pt idx="2">
                  <c:v>6419</c:v>
                </c:pt>
                <c:pt idx="3">
                  <c:v>7231</c:v>
                </c:pt>
                <c:pt idx="4">
                  <c:v>7167</c:v>
                </c:pt>
                <c:pt idx="5">
                  <c:v>7145</c:v>
                </c:pt>
                <c:pt idx="6">
                  <c:v>7035</c:v>
                </c:pt>
                <c:pt idx="7">
                  <c:v>6392</c:v>
                </c:pt>
                <c:pt idx="8">
                  <c:v>6293</c:v>
                </c:pt>
                <c:pt idx="9">
                  <c:v>6361</c:v>
                </c:pt>
                <c:pt idx="10">
                  <c:v>6450</c:v>
                </c:pt>
                <c:pt idx="11">
                  <c:v>6289</c:v>
                </c:pt>
                <c:pt idx="12">
                  <c:v>6343</c:v>
                </c:pt>
                <c:pt idx="13">
                  <c:v>6792</c:v>
                </c:pt>
                <c:pt idx="14">
                  <c:v>7039</c:v>
                </c:pt>
                <c:pt idx="15">
                  <c:v>6846</c:v>
                </c:pt>
                <c:pt idx="16">
                  <c:v>6682</c:v>
                </c:pt>
                <c:pt idx="17">
                  <c:v>6775</c:v>
                </c:pt>
                <c:pt idx="18">
                  <c:v>6628</c:v>
                </c:pt>
                <c:pt idx="19">
                  <c:v>6603</c:v>
                </c:pt>
                <c:pt idx="20">
                  <c:v>7177</c:v>
                </c:pt>
                <c:pt idx="21">
                  <c:v>7183</c:v>
                </c:pt>
                <c:pt idx="22">
                  <c:v>8245</c:v>
                </c:pt>
                <c:pt idx="23">
                  <c:v>8358</c:v>
                </c:pt>
                <c:pt idx="24">
                  <c:v>7700</c:v>
                </c:pt>
                <c:pt idx="25">
                  <c:v>8428</c:v>
                </c:pt>
                <c:pt idx="26">
                  <c:v>9798</c:v>
                </c:pt>
                <c:pt idx="27">
                  <c:v>9894</c:v>
                </c:pt>
                <c:pt idx="28">
                  <c:v>7679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43497</c:v>
                </c:pt>
                <c:pt idx="1">
                  <c:v>43498</c:v>
                </c:pt>
                <c:pt idx="2">
                  <c:v>43499</c:v>
                </c:pt>
                <c:pt idx="3">
                  <c:v>43500</c:v>
                </c:pt>
                <c:pt idx="4">
                  <c:v>43501</c:v>
                </c:pt>
                <c:pt idx="5">
                  <c:v>43502</c:v>
                </c:pt>
                <c:pt idx="6">
                  <c:v>43503</c:v>
                </c:pt>
                <c:pt idx="7">
                  <c:v>43504</c:v>
                </c:pt>
                <c:pt idx="8">
                  <c:v>43505</c:v>
                </c:pt>
                <c:pt idx="9">
                  <c:v>43506</c:v>
                </c:pt>
                <c:pt idx="10">
                  <c:v>43507</c:v>
                </c:pt>
                <c:pt idx="11">
                  <c:v>43508</c:v>
                </c:pt>
                <c:pt idx="12">
                  <c:v>43509</c:v>
                </c:pt>
                <c:pt idx="13">
                  <c:v>43510</c:v>
                </c:pt>
                <c:pt idx="14">
                  <c:v>43511</c:v>
                </c:pt>
                <c:pt idx="15">
                  <c:v>43512</c:v>
                </c:pt>
                <c:pt idx="16">
                  <c:v>43513</c:v>
                </c:pt>
                <c:pt idx="17">
                  <c:v>43514</c:v>
                </c:pt>
                <c:pt idx="18">
                  <c:v>43515</c:v>
                </c:pt>
                <c:pt idx="19">
                  <c:v>43516</c:v>
                </c:pt>
                <c:pt idx="20">
                  <c:v>43517</c:v>
                </c:pt>
                <c:pt idx="21">
                  <c:v>43518</c:v>
                </c:pt>
                <c:pt idx="22">
                  <c:v>43519</c:v>
                </c:pt>
                <c:pt idx="23">
                  <c:v>43520</c:v>
                </c:pt>
                <c:pt idx="24">
                  <c:v>43521</c:v>
                </c:pt>
                <c:pt idx="25">
                  <c:v>43522</c:v>
                </c:pt>
                <c:pt idx="26">
                  <c:v>43523</c:v>
                </c:pt>
                <c:pt idx="27">
                  <c:v>43524</c:v>
                </c:pt>
                <c:pt idx="28">
                  <c:v>43525</c:v>
                </c:pt>
                <c:pt idx="29">
                  <c:v>43526</c:v>
                </c:pt>
                <c:pt idx="30">
                  <c:v>43527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2753</c:v>
                </c:pt>
                <c:pt idx="1">
                  <c:v>2802</c:v>
                </c:pt>
                <c:pt idx="2">
                  <c:v>3216</c:v>
                </c:pt>
                <c:pt idx="3">
                  <c:v>3344</c:v>
                </c:pt>
                <c:pt idx="4">
                  <c:v>3171</c:v>
                </c:pt>
                <c:pt idx="5">
                  <c:v>3226</c:v>
                </c:pt>
                <c:pt idx="6">
                  <c:v>3217</c:v>
                </c:pt>
                <c:pt idx="7">
                  <c:v>2951</c:v>
                </c:pt>
                <c:pt idx="8">
                  <c:v>2839</c:v>
                </c:pt>
                <c:pt idx="9">
                  <c:v>2955</c:v>
                </c:pt>
                <c:pt idx="10">
                  <c:v>3059</c:v>
                </c:pt>
                <c:pt idx="11">
                  <c:v>2839</c:v>
                </c:pt>
                <c:pt idx="12">
                  <c:v>2844</c:v>
                </c:pt>
                <c:pt idx="13">
                  <c:v>3081</c:v>
                </c:pt>
                <c:pt idx="14">
                  <c:v>3529</c:v>
                </c:pt>
                <c:pt idx="15">
                  <c:v>3277</c:v>
                </c:pt>
                <c:pt idx="16">
                  <c:v>3136</c:v>
                </c:pt>
                <c:pt idx="17">
                  <c:v>3145</c:v>
                </c:pt>
                <c:pt idx="18">
                  <c:v>3347</c:v>
                </c:pt>
                <c:pt idx="19">
                  <c:v>3487</c:v>
                </c:pt>
                <c:pt idx="20">
                  <c:v>2901</c:v>
                </c:pt>
                <c:pt idx="21">
                  <c:v>3458</c:v>
                </c:pt>
                <c:pt idx="22">
                  <c:v>3737</c:v>
                </c:pt>
                <c:pt idx="23">
                  <c:v>3842</c:v>
                </c:pt>
                <c:pt idx="24">
                  <c:v>4278</c:v>
                </c:pt>
                <c:pt idx="25">
                  <c:v>3132</c:v>
                </c:pt>
                <c:pt idx="26">
                  <c:v>3715</c:v>
                </c:pt>
                <c:pt idx="27">
                  <c:v>3433</c:v>
                </c:pt>
                <c:pt idx="28">
                  <c:v>3829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67008"/>
        <c:axId val="104668544"/>
      </c:lineChart>
      <c:dateAx>
        <c:axId val="104667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68544"/>
        <c:crosses val="autoZero"/>
        <c:auto val="1"/>
        <c:lblOffset val="100"/>
        <c:baseTimeUnit val="days"/>
      </c:dateAx>
      <c:valAx>
        <c:axId val="1046685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6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43496</c:v>
                </c:pt>
                <c:pt idx="1">
                  <c:v>43497</c:v>
                </c:pt>
                <c:pt idx="2">
                  <c:v>43498</c:v>
                </c:pt>
                <c:pt idx="3">
                  <c:v>43499</c:v>
                </c:pt>
                <c:pt idx="4">
                  <c:v>43500</c:v>
                </c:pt>
                <c:pt idx="5">
                  <c:v>43501</c:v>
                </c:pt>
                <c:pt idx="6">
                  <c:v>43502</c:v>
                </c:pt>
                <c:pt idx="7">
                  <c:v>43503</c:v>
                </c:pt>
                <c:pt idx="8">
                  <c:v>43504</c:v>
                </c:pt>
                <c:pt idx="9">
                  <c:v>43505</c:v>
                </c:pt>
                <c:pt idx="10">
                  <c:v>43506</c:v>
                </c:pt>
                <c:pt idx="11">
                  <c:v>43507</c:v>
                </c:pt>
                <c:pt idx="12">
                  <c:v>43508</c:v>
                </c:pt>
                <c:pt idx="13">
                  <c:v>43509</c:v>
                </c:pt>
                <c:pt idx="14">
                  <c:v>43510</c:v>
                </c:pt>
                <c:pt idx="15">
                  <c:v>43511</c:v>
                </c:pt>
                <c:pt idx="16">
                  <c:v>43512</c:v>
                </c:pt>
                <c:pt idx="17">
                  <c:v>43513</c:v>
                </c:pt>
                <c:pt idx="18">
                  <c:v>43514</c:v>
                </c:pt>
                <c:pt idx="19">
                  <c:v>43515</c:v>
                </c:pt>
                <c:pt idx="20">
                  <c:v>43516</c:v>
                </c:pt>
                <c:pt idx="21">
                  <c:v>43517</c:v>
                </c:pt>
                <c:pt idx="22">
                  <c:v>43518</c:v>
                </c:pt>
                <c:pt idx="23">
                  <c:v>43519</c:v>
                </c:pt>
                <c:pt idx="24">
                  <c:v>43520</c:v>
                </c:pt>
                <c:pt idx="25">
                  <c:v>43521</c:v>
                </c:pt>
                <c:pt idx="26">
                  <c:v>43522</c:v>
                </c:pt>
                <c:pt idx="27">
                  <c:v>43523</c:v>
                </c:pt>
                <c:pt idx="28">
                  <c:v>43524</c:v>
                </c:pt>
                <c:pt idx="29">
                  <c:v>43525</c:v>
                </c:pt>
                <c:pt idx="30">
                  <c:v>43526</c:v>
                </c:pt>
                <c:pt idx="31">
                  <c:v>43527</c:v>
                </c:pt>
                <c:pt idx="32">
                  <c:v>43528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482.3</c:v>
                </c:pt>
                <c:pt idx="1">
                  <c:v>742</c:v>
                </c:pt>
                <c:pt idx="2">
                  <c:v>593.6</c:v>
                </c:pt>
                <c:pt idx="3">
                  <c:v>482.3</c:v>
                </c:pt>
                <c:pt idx="4">
                  <c:v>742</c:v>
                </c:pt>
                <c:pt idx="5">
                  <c:v>927.5</c:v>
                </c:pt>
                <c:pt idx="6">
                  <c:v>1446.9</c:v>
                </c:pt>
                <c:pt idx="7">
                  <c:v>630.70000000000005</c:v>
                </c:pt>
                <c:pt idx="8">
                  <c:v>1150.1000000000001</c:v>
                </c:pt>
                <c:pt idx="9">
                  <c:v>556.5</c:v>
                </c:pt>
                <c:pt idx="10">
                  <c:v>742</c:v>
                </c:pt>
                <c:pt idx="11">
                  <c:v>667.80000000000007</c:v>
                </c:pt>
                <c:pt idx="12">
                  <c:v>853.30000000000007</c:v>
                </c:pt>
                <c:pt idx="13">
                  <c:v>667.80000000000007</c:v>
                </c:pt>
                <c:pt idx="14">
                  <c:v>371</c:v>
                </c:pt>
                <c:pt idx="15">
                  <c:v>630.70000000000005</c:v>
                </c:pt>
                <c:pt idx="16">
                  <c:v>779.1</c:v>
                </c:pt>
                <c:pt idx="17">
                  <c:v>890.40000000000009</c:v>
                </c:pt>
                <c:pt idx="18">
                  <c:v>2374.4</c:v>
                </c:pt>
                <c:pt idx="19">
                  <c:v>2337.3000000000002</c:v>
                </c:pt>
                <c:pt idx="20">
                  <c:v>2003.4</c:v>
                </c:pt>
                <c:pt idx="21">
                  <c:v>2114.7000000000003</c:v>
                </c:pt>
                <c:pt idx="22">
                  <c:v>1409.8000000000002</c:v>
                </c:pt>
                <c:pt idx="23">
                  <c:v>1929.2</c:v>
                </c:pt>
                <c:pt idx="24">
                  <c:v>2448.6</c:v>
                </c:pt>
                <c:pt idx="25">
                  <c:v>1817.9</c:v>
                </c:pt>
                <c:pt idx="26">
                  <c:v>964.6</c:v>
                </c:pt>
                <c:pt idx="27">
                  <c:v>1038.8</c:v>
                </c:pt>
                <c:pt idx="28">
                  <c:v>1113</c:v>
                </c:pt>
                <c:pt idx="29">
                  <c:v>1150.1000000000001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06048"/>
        <c:axId val="104707584"/>
      </c:lineChart>
      <c:dateAx>
        <c:axId val="1047060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7584"/>
        <c:crosses val="autoZero"/>
        <c:auto val="1"/>
        <c:lblOffset val="100"/>
        <c:baseTimeUnit val="days"/>
      </c:dateAx>
      <c:valAx>
        <c:axId val="1047075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J23" sqref="J23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97" customFormat="1" ht="60.75" thickBot="1" x14ac:dyDescent="0.3">
      <c r="A1" s="98" t="s">
        <v>63</v>
      </c>
      <c r="B1" s="98" t="s">
        <v>64</v>
      </c>
      <c r="C1" s="98" t="s">
        <v>65</v>
      </c>
      <c r="D1" s="98" t="s">
        <v>66</v>
      </c>
      <c r="E1" s="99" t="s">
        <v>67</v>
      </c>
      <c r="F1" s="99" t="s">
        <v>77</v>
      </c>
      <c r="G1" s="99" t="s">
        <v>68</v>
      </c>
      <c r="H1" s="99" t="s">
        <v>69</v>
      </c>
      <c r="I1" s="100" t="s">
        <v>73</v>
      </c>
      <c r="J1" s="100" t="s">
        <v>78</v>
      </c>
      <c r="K1" s="99" t="s">
        <v>70</v>
      </c>
      <c r="L1" s="99" t="s">
        <v>79</v>
      </c>
      <c r="M1" s="99" t="s">
        <v>71</v>
      </c>
      <c r="N1" s="99" t="s">
        <v>72</v>
      </c>
      <c r="O1" s="114" t="s">
        <v>76</v>
      </c>
    </row>
    <row r="2" spans="1:15" x14ac:dyDescent="0.2">
      <c r="A2" s="102" t="s">
        <v>74</v>
      </c>
      <c r="B2">
        <v>1</v>
      </c>
      <c r="C2">
        <v>2</v>
      </c>
      <c r="D2" s="115">
        <v>2019</v>
      </c>
      <c r="E2" s="101">
        <f>'Consommation du 01.02 au 28.02'!M10</f>
        <v>12994</v>
      </c>
      <c r="F2" s="101">
        <v>1.002</v>
      </c>
      <c r="G2" s="101">
        <f>'Consommation du 01.02 au 28.02'!U10</f>
        <v>742</v>
      </c>
      <c r="H2" s="101">
        <v>9.65</v>
      </c>
      <c r="I2" s="101">
        <f>'Consommation du 01.02 au 28.02'!Y10*1000</f>
        <v>15949.999999998909</v>
      </c>
      <c r="J2" s="101">
        <v>0.53</v>
      </c>
      <c r="K2" s="101">
        <f>'Consommation du 01.02 au 28.02'!D10</f>
        <v>310</v>
      </c>
      <c r="L2" s="101">
        <v>12.67</v>
      </c>
      <c r="M2" s="115">
        <f>'Consommation du 01.02 au 28.02'!AC10</f>
        <v>56</v>
      </c>
      <c r="N2" s="115">
        <v>107</v>
      </c>
      <c r="O2" s="101">
        <f>E2*F2+G2*H2+I2*J2+K2*L2</f>
        <v>32561.487999999423</v>
      </c>
    </row>
    <row r="3" spans="1:15" x14ac:dyDescent="0.2">
      <c r="A3" s="102" t="s">
        <v>74</v>
      </c>
      <c r="B3">
        <f>B2+1</f>
        <v>2</v>
      </c>
      <c r="C3">
        <v>2</v>
      </c>
      <c r="D3" s="115">
        <v>2019</v>
      </c>
      <c r="E3" s="101">
        <f>'Consommation du 01.02 au 28.02'!M11</f>
        <v>12797</v>
      </c>
      <c r="F3" s="101">
        <v>1.002</v>
      </c>
      <c r="G3" s="101">
        <f>'Consommation du 01.02 au 28.02'!U11</f>
        <v>742</v>
      </c>
      <c r="H3" s="101">
        <v>9.65</v>
      </c>
      <c r="I3" s="101">
        <f>'Consommation du 01.02 au 28.02'!Y11*1000</f>
        <v>16610.000000000582</v>
      </c>
      <c r="J3" s="101">
        <v>0.53</v>
      </c>
      <c r="K3" s="101">
        <f>'Consommation du 01.02 au 28.02'!D11</f>
        <v>260</v>
      </c>
      <c r="L3" s="101">
        <v>12.67</v>
      </c>
      <c r="M3" s="115">
        <f>'Consommation du 01.02 au 28.02'!AC11</f>
        <v>72</v>
      </c>
      <c r="N3" s="115">
        <v>147</v>
      </c>
      <c r="O3" s="101">
        <f t="shared" ref="O3:O29" si="0">E3*F3+G3*H3+I3*J3+K3*L3</f>
        <v>32080.394000000309</v>
      </c>
    </row>
    <row r="4" spans="1:15" x14ac:dyDescent="0.2">
      <c r="A4" s="102" t="s">
        <v>74</v>
      </c>
      <c r="B4">
        <f t="shared" ref="B4:B32" si="1">B3+1</f>
        <v>3</v>
      </c>
      <c r="C4">
        <v>2</v>
      </c>
      <c r="D4" s="115">
        <v>2019</v>
      </c>
      <c r="E4" s="101">
        <f>'Consommation du 01.02 au 28.02'!M12</f>
        <v>12695</v>
      </c>
      <c r="F4" s="101">
        <v>1.002</v>
      </c>
      <c r="G4" s="101">
        <f>'Consommation du 01.02 au 28.02'!U12</f>
        <v>593.6</v>
      </c>
      <c r="H4" s="101">
        <v>9.65</v>
      </c>
      <c r="I4" s="101">
        <f>'Consommation du 01.02 au 28.02'!Y12*1000</f>
        <v>16420.000000000073</v>
      </c>
      <c r="J4" s="101">
        <v>0.53</v>
      </c>
      <c r="K4" s="101">
        <f>'Consommation du 01.02 au 28.02'!D12</f>
        <v>290</v>
      </c>
      <c r="L4" s="101">
        <v>12.67</v>
      </c>
      <c r="M4" s="115">
        <f>'Consommation du 01.02 au 28.02'!AC12</f>
        <v>71</v>
      </c>
      <c r="N4" s="115">
        <v>144</v>
      </c>
      <c r="O4" s="101">
        <f t="shared" si="0"/>
        <v>30825.530000000039</v>
      </c>
    </row>
    <row r="5" spans="1:15" x14ac:dyDescent="0.2">
      <c r="A5" s="102" t="s">
        <v>74</v>
      </c>
      <c r="B5">
        <f t="shared" si="1"/>
        <v>4</v>
      </c>
      <c r="C5">
        <v>2</v>
      </c>
      <c r="D5" s="115">
        <v>2019</v>
      </c>
      <c r="E5" s="101">
        <f>'Consommation du 01.02 au 28.02'!M13</f>
        <v>13972</v>
      </c>
      <c r="F5" s="101">
        <v>1.002</v>
      </c>
      <c r="G5" s="101">
        <f>'Consommation du 01.02 au 28.02'!U13</f>
        <v>482.3</v>
      </c>
      <c r="H5" s="101">
        <v>9.65</v>
      </c>
      <c r="I5" s="101">
        <f>'Consommation du 01.02 au 28.02'!Y13*1000</f>
        <v>14920.000000000073</v>
      </c>
      <c r="J5" s="101">
        <v>0.53</v>
      </c>
      <c r="K5" s="101">
        <f>'Consommation du 01.02 au 28.02'!D13</f>
        <v>290</v>
      </c>
      <c r="L5" s="101">
        <v>12.67</v>
      </c>
      <c r="M5" s="115">
        <f>'Consommation du 01.02 au 28.02'!AC13</f>
        <v>58</v>
      </c>
      <c r="N5" s="115">
        <v>113</v>
      </c>
      <c r="O5" s="101">
        <f t="shared" si="0"/>
        <v>30236.039000000037</v>
      </c>
    </row>
    <row r="6" spans="1:15" x14ac:dyDescent="0.2">
      <c r="A6" s="102" t="s">
        <v>74</v>
      </c>
      <c r="B6">
        <f t="shared" si="1"/>
        <v>5</v>
      </c>
      <c r="C6">
        <v>2</v>
      </c>
      <c r="D6" s="115">
        <v>2019</v>
      </c>
      <c r="E6" s="101">
        <f>'Consommation du 01.02 au 28.02'!M14</f>
        <v>15346</v>
      </c>
      <c r="F6" s="101">
        <v>1.002</v>
      </c>
      <c r="G6" s="101">
        <f>'Consommation du 01.02 au 28.02'!U14</f>
        <v>742</v>
      </c>
      <c r="H6" s="101">
        <v>9.65</v>
      </c>
      <c r="I6" s="101">
        <f>'Consommation du 01.02 au 28.02'!Y14*1000</f>
        <v>11770.000000000437</v>
      </c>
      <c r="J6" s="101">
        <v>0.53</v>
      </c>
      <c r="K6" s="101">
        <f>'Consommation du 01.02 au 28.02'!D14</f>
        <v>370</v>
      </c>
      <c r="L6" s="101">
        <v>12.67</v>
      </c>
      <c r="M6" s="115">
        <f>'Consommation du 01.02 au 28.02'!AC14</f>
        <v>74</v>
      </c>
      <c r="N6" s="115">
        <v>142</v>
      </c>
      <c r="O6" s="101">
        <f t="shared" si="0"/>
        <v>33462.992000000231</v>
      </c>
    </row>
    <row r="7" spans="1:15" x14ac:dyDescent="0.2">
      <c r="A7" s="102" t="s">
        <v>74</v>
      </c>
      <c r="B7">
        <f t="shared" si="1"/>
        <v>6</v>
      </c>
      <c r="C7">
        <v>2</v>
      </c>
      <c r="D7" s="115">
        <v>2019</v>
      </c>
      <c r="E7" s="101">
        <f>'Consommation du 01.02 au 28.02'!M15</f>
        <v>15098</v>
      </c>
      <c r="F7" s="101">
        <v>1.002</v>
      </c>
      <c r="G7" s="101">
        <f>'Consommation du 01.02 au 28.02'!U15</f>
        <v>927.5</v>
      </c>
      <c r="H7" s="101">
        <v>9.65</v>
      </c>
      <c r="I7" s="101">
        <f>'Consommation du 01.02 au 28.02'!Y15*1000</f>
        <v>11840.000000000146</v>
      </c>
      <c r="J7" s="101">
        <v>0.53</v>
      </c>
      <c r="K7" s="101">
        <f>'Consommation du 01.02 au 28.02'!D15</f>
        <v>320</v>
      </c>
      <c r="L7" s="101">
        <v>12.67</v>
      </c>
      <c r="M7" s="115">
        <f>'Consommation du 01.02 au 28.02'!AC15</f>
        <v>101</v>
      </c>
      <c r="N7" s="115">
        <v>192</v>
      </c>
      <c r="O7" s="101">
        <f t="shared" si="0"/>
        <v>34408.171000000075</v>
      </c>
    </row>
    <row r="8" spans="1:15" x14ac:dyDescent="0.2">
      <c r="A8" s="102" t="s">
        <v>74</v>
      </c>
      <c r="B8">
        <f t="shared" si="1"/>
        <v>7</v>
      </c>
      <c r="C8">
        <v>2</v>
      </c>
      <c r="D8" s="115">
        <v>2019</v>
      </c>
      <c r="E8" s="101">
        <f>'Consommation du 01.02 au 28.02'!M16</f>
        <v>14981</v>
      </c>
      <c r="F8" s="101">
        <v>1.002</v>
      </c>
      <c r="G8" s="101">
        <f>'Consommation du 01.02 au 28.02'!U16</f>
        <v>1446.9</v>
      </c>
      <c r="H8" s="101">
        <v>9.65</v>
      </c>
      <c r="I8" s="101">
        <f>'Consommation du 01.02 au 28.02'!Y16*1000</f>
        <v>16840.000000000146</v>
      </c>
      <c r="J8" s="101">
        <v>0.53</v>
      </c>
      <c r="K8" s="101">
        <f>'Consommation du 01.02 au 28.02'!D16</f>
        <v>330</v>
      </c>
      <c r="L8" s="101">
        <v>12.67</v>
      </c>
      <c r="M8" s="115">
        <f>'Consommation du 01.02 au 28.02'!AC16</f>
        <v>101</v>
      </c>
      <c r="N8" s="115">
        <v>190</v>
      </c>
      <c r="O8" s="101">
        <f t="shared" si="0"/>
        <v>42079.847000000074</v>
      </c>
    </row>
    <row r="9" spans="1:15" x14ac:dyDescent="0.2">
      <c r="A9" s="102" t="s">
        <v>74</v>
      </c>
      <c r="B9">
        <f t="shared" si="1"/>
        <v>8</v>
      </c>
      <c r="C9">
        <v>2</v>
      </c>
      <c r="D9" s="115">
        <v>2019</v>
      </c>
      <c r="E9" s="101">
        <f>'Consommation du 01.02 au 28.02'!M17</f>
        <v>14817</v>
      </c>
      <c r="F9" s="101">
        <v>1.002</v>
      </c>
      <c r="G9" s="101">
        <f>'Consommation du 01.02 au 28.02'!U17</f>
        <v>630.70000000000005</v>
      </c>
      <c r="H9" s="101">
        <v>9.65</v>
      </c>
      <c r="I9" s="101">
        <f>'Consommation du 01.02 au 28.02'!Y17*1000</f>
        <v>15090.000000000146</v>
      </c>
      <c r="J9" s="101">
        <v>0.53</v>
      </c>
      <c r="K9" s="101">
        <f>'Consommation du 01.02 au 28.02'!D17</f>
        <v>350</v>
      </c>
      <c r="L9" s="101">
        <v>12.67</v>
      </c>
      <c r="M9" s="115">
        <f>'Consommation du 01.02 au 28.02'!AC17</f>
        <v>134</v>
      </c>
      <c r="N9" s="115">
        <v>249</v>
      </c>
      <c r="O9" s="101">
        <f t="shared" si="0"/>
        <v>33365.08900000008</v>
      </c>
    </row>
    <row r="10" spans="1:15" x14ac:dyDescent="0.2">
      <c r="A10" s="102" t="s">
        <v>74</v>
      </c>
      <c r="B10">
        <f t="shared" si="1"/>
        <v>9</v>
      </c>
      <c r="C10">
        <v>2</v>
      </c>
      <c r="D10" s="115">
        <v>2019</v>
      </c>
      <c r="E10" s="101">
        <f>'Consommation du 01.02 au 28.02'!M18</f>
        <v>13398</v>
      </c>
      <c r="F10" s="101">
        <v>1.002</v>
      </c>
      <c r="G10" s="101">
        <f>'Consommation du 01.02 au 28.02'!U18</f>
        <v>1150.1000000000001</v>
      </c>
      <c r="H10" s="101">
        <v>9.65</v>
      </c>
      <c r="I10" s="101">
        <f>'Consommation du 01.02 au 28.02'!Y18*1000</f>
        <v>16589.999999998327</v>
      </c>
      <c r="J10" s="101">
        <v>0.53</v>
      </c>
      <c r="K10" s="101">
        <f>'Consommation du 01.02 au 28.02'!D18</f>
        <v>310</v>
      </c>
      <c r="L10" s="101">
        <v>12.67</v>
      </c>
      <c r="M10" s="115">
        <f>'Consommation du 01.02 au 28.02'!AC18</f>
        <v>131</v>
      </c>
      <c r="N10" s="115">
        <v>231</v>
      </c>
      <c r="O10" s="101">
        <f t="shared" si="0"/>
        <v>37243.660999999112</v>
      </c>
    </row>
    <row r="11" spans="1:15" x14ac:dyDescent="0.2">
      <c r="A11" s="102" t="s">
        <v>74</v>
      </c>
      <c r="B11">
        <f t="shared" si="1"/>
        <v>10</v>
      </c>
      <c r="C11">
        <v>2</v>
      </c>
      <c r="D11" s="115">
        <v>2019</v>
      </c>
      <c r="E11" s="101">
        <f>'Consommation du 01.02 au 28.02'!M19</f>
        <v>13383</v>
      </c>
      <c r="F11" s="101">
        <v>1.002</v>
      </c>
      <c r="G11" s="101">
        <f>'Consommation du 01.02 au 28.02'!U19</f>
        <v>556.5</v>
      </c>
      <c r="H11" s="101">
        <v>9.65</v>
      </c>
      <c r="I11" s="101">
        <f>'Consommation du 01.02 au 28.02'!Y19*1000</f>
        <v>18810.00000000131</v>
      </c>
      <c r="J11" s="101">
        <v>0.53</v>
      </c>
      <c r="K11" s="101">
        <f>'Consommation du 01.02 au 28.02'!D19</f>
        <v>440</v>
      </c>
      <c r="L11" s="101">
        <v>12.67</v>
      </c>
      <c r="M11" s="115">
        <f>'Consommation du 01.02 au 28.02'!AC19</f>
        <v>101</v>
      </c>
      <c r="N11" s="115">
        <v>191</v>
      </c>
      <c r="O11" s="101">
        <f t="shared" si="0"/>
        <v>34324.091000000699</v>
      </c>
    </row>
    <row r="12" spans="1:15" x14ac:dyDescent="0.2">
      <c r="A12" s="102" t="s">
        <v>74</v>
      </c>
      <c r="B12">
        <f t="shared" si="1"/>
        <v>11</v>
      </c>
      <c r="C12">
        <v>2</v>
      </c>
      <c r="D12" s="115">
        <v>2019</v>
      </c>
      <c r="E12" s="101">
        <f>'Consommation du 01.02 au 28.02'!M20</f>
        <v>14045</v>
      </c>
      <c r="F12" s="101">
        <v>1.002</v>
      </c>
      <c r="G12" s="101">
        <f>'Consommation du 01.02 au 28.02'!U20</f>
        <v>742</v>
      </c>
      <c r="H12" s="101">
        <v>9.65</v>
      </c>
      <c r="I12" s="101">
        <f>'Consommation du 01.02 au 28.02'!Y20*1000</f>
        <v>16680.000000000291</v>
      </c>
      <c r="J12" s="101">
        <v>0.53</v>
      </c>
      <c r="K12" s="101">
        <f>'Consommation du 01.02 au 28.02'!D20</f>
        <v>350</v>
      </c>
      <c r="L12" s="101">
        <v>12.67</v>
      </c>
      <c r="M12" s="115">
        <f>'Consommation du 01.02 au 28.02'!AC20</f>
        <v>91</v>
      </c>
      <c r="N12" s="115">
        <v>170</v>
      </c>
      <c r="O12" s="101">
        <f t="shared" si="0"/>
        <v>34508.290000000154</v>
      </c>
    </row>
    <row r="13" spans="1:15" x14ac:dyDescent="0.2">
      <c r="A13" s="102" t="s">
        <v>74</v>
      </c>
      <c r="B13">
        <f t="shared" si="1"/>
        <v>12</v>
      </c>
      <c r="C13">
        <v>2</v>
      </c>
      <c r="D13" s="115">
        <v>2019</v>
      </c>
      <c r="E13" s="101">
        <f>'Consommation du 01.02 au 28.02'!M21</f>
        <v>13658</v>
      </c>
      <c r="F13" s="101">
        <v>1.002</v>
      </c>
      <c r="G13" s="101">
        <f>'Consommation du 01.02 au 28.02'!U21</f>
        <v>667.80000000000007</v>
      </c>
      <c r="H13" s="101">
        <v>9.65</v>
      </c>
      <c r="I13" s="101">
        <f>'Consommation du 01.02 au 28.02'!Y21*1000</f>
        <v>16239.999999999782</v>
      </c>
      <c r="J13" s="101">
        <v>0.53</v>
      </c>
      <c r="K13" s="101">
        <f>'Consommation du 01.02 au 28.02'!D21</f>
        <v>330</v>
      </c>
      <c r="L13" s="101">
        <v>12.67</v>
      </c>
      <c r="M13" s="115">
        <f>'Consommation du 01.02 au 28.02'!AC21</f>
        <v>74</v>
      </c>
      <c r="N13" s="115">
        <v>154</v>
      </c>
      <c r="O13" s="101">
        <f t="shared" si="0"/>
        <v>32917.885999999889</v>
      </c>
    </row>
    <row r="14" spans="1:15" x14ac:dyDescent="0.2">
      <c r="A14" s="102" t="s">
        <v>74</v>
      </c>
      <c r="B14">
        <f t="shared" si="1"/>
        <v>13</v>
      </c>
      <c r="C14">
        <v>2</v>
      </c>
      <c r="D14" s="115">
        <v>2019</v>
      </c>
      <c r="E14" s="101">
        <f>'Consommation du 01.02 au 28.02'!M22</f>
        <v>13275</v>
      </c>
      <c r="F14" s="101">
        <v>1.002</v>
      </c>
      <c r="G14" s="101">
        <f>'Consommation du 01.02 au 28.02'!U22</f>
        <v>853.30000000000007</v>
      </c>
      <c r="H14" s="101">
        <v>9.65</v>
      </c>
      <c r="I14" s="101">
        <f>'Consommation du 01.02 au 28.02'!Y22*1000</f>
        <v>17010.000000000218</v>
      </c>
      <c r="J14" s="101">
        <v>0.53</v>
      </c>
      <c r="K14" s="101">
        <f>'Consommation du 01.02 au 28.02'!D22</f>
        <v>380</v>
      </c>
      <c r="L14" s="101">
        <v>12.67</v>
      </c>
      <c r="M14" s="115">
        <f>'Consommation du 01.02 au 28.02'!AC22</f>
        <v>85</v>
      </c>
      <c r="N14" s="115">
        <v>172</v>
      </c>
      <c r="O14" s="101">
        <f t="shared" si="0"/>
        <v>35365.795000000115</v>
      </c>
    </row>
    <row r="15" spans="1:15" x14ac:dyDescent="0.2">
      <c r="A15" s="102" t="s">
        <v>74</v>
      </c>
      <c r="B15">
        <f t="shared" si="1"/>
        <v>14</v>
      </c>
      <c r="C15">
        <v>2</v>
      </c>
      <c r="D15" s="115">
        <v>2019</v>
      </c>
      <c r="E15" s="101">
        <f>'Consommation du 01.02 au 28.02'!M23</f>
        <v>13241</v>
      </c>
      <c r="F15" s="101">
        <v>1.002</v>
      </c>
      <c r="G15" s="101">
        <f>'Consommation du 01.02 au 28.02'!U23</f>
        <v>667.80000000000007</v>
      </c>
      <c r="H15" s="101">
        <v>9.65</v>
      </c>
      <c r="I15" s="101">
        <f>'Consommation du 01.02 au 28.02'!Y23*1000</f>
        <v>14339.999999998327</v>
      </c>
      <c r="J15" s="101">
        <v>0.53</v>
      </c>
      <c r="K15" s="101">
        <f>'Consommation du 01.02 au 28.02'!D23</f>
        <v>350</v>
      </c>
      <c r="L15" s="101">
        <v>12.67</v>
      </c>
      <c r="M15" s="115">
        <f>'Consommation du 01.02 au 28.02'!AC23</f>
        <v>120</v>
      </c>
      <c r="N15" s="115">
        <v>242</v>
      </c>
      <c r="O15" s="101">
        <f t="shared" si="0"/>
        <v>31746.451999999113</v>
      </c>
    </row>
    <row r="16" spans="1:15" ht="13.5" customHeight="1" x14ac:dyDescent="0.2">
      <c r="A16" s="102" t="s">
        <v>74</v>
      </c>
      <c r="B16">
        <f t="shared" si="1"/>
        <v>15</v>
      </c>
      <c r="C16">
        <v>2</v>
      </c>
      <c r="D16" s="115">
        <v>2019</v>
      </c>
      <c r="E16" s="101">
        <f>'Consommation du 01.02 au 28.02'!M24</f>
        <v>14675</v>
      </c>
      <c r="F16" s="101">
        <v>1.002</v>
      </c>
      <c r="G16" s="101">
        <f>'Consommation du 01.02 au 28.02'!U24</f>
        <v>371</v>
      </c>
      <c r="H16" s="101">
        <v>9.65</v>
      </c>
      <c r="I16" s="101">
        <f>'Consommation du 01.02 au 28.02'!Y24*1000</f>
        <v>17340.000000000146</v>
      </c>
      <c r="J16" s="101">
        <v>0.53</v>
      </c>
      <c r="K16" s="101">
        <f>'Consommation du 01.02 au 28.02'!D24</f>
        <v>410</v>
      </c>
      <c r="L16" s="101">
        <v>12.67</v>
      </c>
      <c r="M16" s="115">
        <f>'Consommation du 01.02 au 28.02'!AC24</f>
        <v>130</v>
      </c>
      <c r="N16" s="115">
        <v>272</v>
      </c>
      <c r="O16" s="101">
        <f t="shared" si="0"/>
        <v>32669.400000000078</v>
      </c>
    </row>
    <row r="17" spans="1:15" x14ac:dyDescent="0.2">
      <c r="A17" s="102" t="s">
        <v>74</v>
      </c>
      <c r="B17">
        <f t="shared" si="1"/>
        <v>16</v>
      </c>
      <c r="C17">
        <v>2</v>
      </c>
      <c r="D17" s="115">
        <v>2019</v>
      </c>
      <c r="E17" s="101">
        <f>'Consommation du 01.02 au 28.02'!M25</f>
        <v>15900</v>
      </c>
      <c r="F17" s="101">
        <v>1.002</v>
      </c>
      <c r="G17" s="101">
        <f>'Consommation du 01.02 au 28.02'!U25</f>
        <v>630.70000000000005</v>
      </c>
      <c r="H17" s="101">
        <v>9.65</v>
      </c>
      <c r="I17" s="101">
        <f>'Consommation du 01.02 au 28.02'!Y25*1000</f>
        <v>16350.000000000364</v>
      </c>
      <c r="J17" s="101">
        <v>0.53</v>
      </c>
      <c r="K17" s="101">
        <f>'Consommation du 01.02 au 28.02'!D25</f>
        <v>350</v>
      </c>
      <c r="L17" s="101">
        <v>12.67</v>
      </c>
      <c r="M17" s="115">
        <f>'Consommation du 01.02 au 28.02'!AC25</f>
        <v>130</v>
      </c>
      <c r="N17" s="115">
        <v>299</v>
      </c>
      <c r="O17" s="101">
        <f t="shared" si="0"/>
        <v>35118.055000000197</v>
      </c>
    </row>
    <row r="18" spans="1:15" x14ac:dyDescent="0.2">
      <c r="A18" s="102" t="s">
        <v>74</v>
      </c>
      <c r="B18">
        <f t="shared" si="1"/>
        <v>17</v>
      </c>
      <c r="C18">
        <v>2</v>
      </c>
      <c r="D18" s="115">
        <v>2019</v>
      </c>
      <c r="E18" s="101">
        <f>'Consommation du 01.02 au 28.02'!M26</f>
        <v>14512</v>
      </c>
      <c r="F18" s="101">
        <v>1.002</v>
      </c>
      <c r="G18" s="101">
        <f>'Consommation du 01.02 au 28.02'!U26</f>
        <v>779.1</v>
      </c>
      <c r="H18" s="101">
        <v>9.65</v>
      </c>
      <c r="I18" s="101">
        <f>'Consommation du 01.02 au 28.02'!Y26*1000</f>
        <v>14530.000000000655</v>
      </c>
      <c r="J18" s="101">
        <v>0.53</v>
      </c>
      <c r="K18" s="101">
        <f>'Consommation du 01.02 au 28.02'!D26</f>
        <v>460</v>
      </c>
      <c r="L18" s="101">
        <v>12.67</v>
      </c>
      <c r="M18" s="115">
        <f>'Consommation du 01.02 au 28.02'!AC26</f>
        <v>136</v>
      </c>
      <c r="N18" s="115">
        <v>321</v>
      </c>
      <c r="O18" s="101">
        <f t="shared" si="0"/>
        <v>35588.439000000348</v>
      </c>
    </row>
    <row r="19" spans="1:15" x14ac:dyDescent="0.2">
      <c r="A19" s="102" t="s">
        <v>74</v>
      </c>
      <c r="B19">
        <f t="shared" si="1"/>
        <v>18</v>
      </c>
      <c r="C19">
        <v>2</v>
      </c>
      <c r="D19" s="115">
        <v>2019</v>
      </c>
      <c r="E19" s="101">
        <f>'Consommation du 01.02 au 28.02'!M27</f>
        <v>13741</v>
      </c>
      <c r="F19" s="101">
        <v>1.002</v>
      </c>
      <c r="G19" s="101">
        <f>'Consommation du 01.02 au 28.02'!U27</f>
        <v>890.40000000000009</v>
      </c>
      <c r="H19" s="101">
        <v>9.65</v>
      </c>
      <c r="I19" s="101">
        <f>'Consommation du 01.02 au 28.02'!Y27*1000</f>
        <v>2850.0000000003638</v>
      </c>
      <c r="J19" s="101">
        <v>0.53</v>
      </c>
      <c r="K19" s="101">
        <f>'Consommation du 01.02 au 28.02'!D27</f>
        <v>370</v>
      </c>
      <c r="L19" s="101">
        <v>12.67</v>
      </c>
      <c r="M19" s="115">
        <f>'Consommation du 01.02 au 28.02'!AC27</f>
        <v>127</v>
      </c>
      <c r="N19" s="115">
        <v>297</v>
      </c>
      <c r="O19" s="101">
        <f t="shared" si="0"/>
        <v>28559.242000000195</v>
      </c>
    </row>
    <row r="20" spans="1:15" x14ac:dyDescent="0.2">
      <c r="A20" s="102" t="s">
        <v>74</v>
      </c>
      <c r="B20">
        <f t="shared" si="1"/>
        <v>19</v>
      </c>
      <c r="C20">
        <v>2</v>
      </c>
      <c r="D20" s="115">
        <v>2019</v>
      </c>
      <c r="E20" s="101">
        <f>'Consommation du 01.02 au 28.02'!M28</f>
        <v>14601</v>
      </c>
      <c r="F20" s="101">
        <v>1.002</v>
      </c>
      <c r="G20" s="101">
        <f>'Consommation du 01.02 au 28.02'!U28</f>
        <v>2374.4</v>
      </c>
      <c r="H20" s="101">
        <v>9.65</v>
      </c>
      <c r="I20" s="101">
        <f>'Consommation du 01.02 au 28.02'!Y28*1000</f>
        <v>0</v>
      </c>
      <c r="J20" s="101">
        <v>0.53</v>
      </c>
      <c r="K20" s="101">
        <f>'Consommation du 01.02 au 28.02'!D28</f>
        <v>420</v>
      </c>
      <c r="L20" s="101">
        <v>12.67</v>
      </c>
      <c r="M20" s="115">
        <f>'Consommation du 01.02 au 28.02'!AC28</f>
        <v>124</v>
      </c>
      <c r="N20" s="115">
        <v>293</v>
      </c>
      <c r="O20" s="101">
        <f t="shared" si="0"/>
        <v>42864.562000000005</v>
      </c>
    </row>
    <row r="21" spans="1:15" x14ac:dyDescent="0.2">
      <c r="A21" s="102" t="s">
        <v>74</v>
      </c>
      <c r="B21">
        <f t="shared" si="1"/>
        <v>20</v>
      </c>
      <c r="C21">
        <v>2</v>
      </c>
      <c r="D21" s="115">
        <v>2019</v>
      </c>
      <c r="E21" s="101">
        <f>'Consommation du 01.02 au 28.02'!M29</f>
        <v>14374</v>
      </c>
      <c r="F21" s="101">
        <v>1.002</v>
      </c>
      <c r="G21" s="101">
        <f>'Consommation du 01.02 au 28.02'!U29</f>
        <v>2337.3000000000002</v>
      </c>
      <c r="H21" s="101">
        <v>9.65</v>
      </c>
      <c r="I21" s="101">
        <f>'Consommation du 01.02 au 28.02'!Y29*1000</f>
        <v>0</v>
      </c>
      <c r="J21" s="101">
        <v>0.53</v>
      </c>
      <c r="K21" s="101">
        <f>'Consommation du 01.02 au 28.02'!D29</f>
        <v>370</v>
      </c>
      <c r="L21" s="101">
        <v>12.67</v>
      </c>
      <c r="M21" s="115">
        <f>'Consommation du 01.02 au 28.02'!AC29</f>
        <v>117</v>
      </c>
      <c r="N21" s="115">
        <v>285</v>
      </c>
      <c r="O21" s="101">
        <f t="shared" si="0"/>
        <v>41645.593000000001</v>
      </c>
    </row>
    <row r="22" spans="1:15" x14ac:dyDescent="0.2">
      <c r="A22" s="102" t="s">
        <v>74</v>
      </c>
      <c r="B22">
        <f t="shared" si="1"/>
        <v>21</v>
      </c>
      <c r="C22">
        <v>2</v>
      </c>
      <c r="D22" s="115">
        <v>2019</v>
      </c>
      <c r="E22" s="101">
        <f>'Consommation du 01.02 au 28.02'!M30</f>
        <v>14367</v>
      </c>
      <c r="F22" s="101">
        <v>1.002</v>
      </c>
      <c r="G22" s="101">
        <f>'Consommation du 01.02 au 28.02'!U30</f>
        <v>2003.4</v>
      </c>
      <c r="H22" s="101">
        <v>9.65</v>
      </c>
      <c r="I22" s="101">
        <f>'Consommation du 01.02 au 28.02'!Y30*1000</f>
        <v>0</v>
      </c>
      <c r="J22" s="101">
        <v>0.53</v>
      </c>
      <c r="K22" s="101">
        <f>'Consommation du 01.02 au 28.02'!D30</f>
        <v>370</v>
      </c>
      <c r="L22" s="101">
        <v>12.67</v>
      </c>
      <c r="M22" s="115">
        <f>'Consommation du 01.02 au 28.02'!AC30</f>
        <v>116</v>
      </c>
      <c r="N22" s="115">
        <v>293</v>
      </c>
      <c r="O22" s="101">
        <f t="shared" si="0"/>
        <v>38416.444000000003</v>
      </c>
    </row>
    <row r="23" spans="1:15" x14ac:dyDescent="0.2">
      <c r="A23" s="102" t="s">
        <v>74</v>
      </c>
      <c r="B23">
        <f t="shared" si="1"/>
        <v>22</v>
      </c>
      <c r="C23">
        <v>2</v>
      </c>
      <c r="D23" s="115">
        <v>2019</v>
      </c>
      <c r="E23" s="101">
        <f>'Consommation du 01.02 au 28.02'!M31</f>
        <v>14465</v>
      </c>
      <c r="F23" s="101">
        <v>1.002</v>
      </c>
      <c r="G23" s="101">
        <f>'Consommation du 01.02 au 28.02'!U31</f>
        <v>2114.7000000000003</v>
      </c>
      <c r="H23" s="101">
        <v>9.65</v>
      </c>
      <c r="I23" s="101">
        <f>'Consommation du 01.02 au 28.02'!Y31*1000</f>
        <v>0</v>
      </c>
      <c r="J23" s="101">
        <v>0.53</v>
      </c>
      <c r="K23" s="101">
        <f>'Consommation du 01.02 au 28.02'!D31</f>
        <v>410</v>
      </c>
      <c r="L23" s="101">
        <v>12.67</v>
      </c>
      <c r="M23" s="115">
        <f>'Consommation du 01.02 au 28.02'!AC31</f>
        <v>139</v>
      </c>
      <c r="N23" s="115">
        <v>316</v>
      </c>
      <c r="O23" s="101">
        <f t="shared" si="0"/>
        <v>40095.485000000001</v>
      </c>
    </row>
    <row r="24" spans="1:15" x14ac:dyDescent="0.2">
      <c r="A24" s="102" t="s">
        <v>74</v>
      </c>
      <c r="B24">
        <f t="shared" si="1"/>
        <v>23</v>
      </c>
      <c r="C24">
        <v>2</v>
      </c>
      <c r="D24" s="115">
        <v>2019</v>
      </c>
      <c r="E24" s="101">
        <f>'Consommation du 01.02 au 28.02'!M32</f>
        <v>14989</v>
      </c>
      <c r="F24" s="101">
        <v>1.002</v>
      </c>
      <c r="G24" s="101">
        <f>'Consommation du 01.02 au 28.02'!U32</f>
        <v>1409.8000000000002</v>
      </c>
      <c r="H24" s="101">
        <v>9.65</v>
      </c>
      <c r="I24" s="101">
        <f>'Consommation du 01.02 au 28.02'!Y32*1000</f>
        <v>0</v>
      </c>
      <c r="J24" s="101">
        <v>0.53</v>
      </c>
      <c r="K24" s="101">
        <f>'Consommation du 01.02 au 28.02'!D32</f>
        <v>340</v>
      </c>
      <c r="L24" s="101">
        <v>12.67</v>
      </c>
      <c r="M24" s="115">
        <f>'Consommation du 01.02 au 28.02'!AC32</f>
        <v>127</v>
      </c>
      <c r="N24">
        <v>269</v>
      </c>
      <c r="O24" s="101">
        <f t="shared" si="0"/>
        <v>32931.348000000005</v>
      </c>
    </row>
    <row r="25" spans="1:15" x14ac:dyDescent="0.2">
      <c r="A25" s="102" t="s">
        <v>74</v>
      </c>
      <c r="B25">
        <f t="shared" si="1"/>
        <v>24</v>
      </c>
      <c r="C25">
        <v>2</v>
      </c>
      <c r="D25" s="115">
        <v>2019</v>
      </c>
      <c r="E25" s="101">
        <f>'Consommation du 01.02 au 28.02'!M33</f>
        <v>16387</v>
      </c>
      <c r="F25" s="101">
        <v>1.002</v>
      </c>
      <c r="G25" s="101">
        <f>'Consommation du 01.02 au 28.02'!U33</f>
        <v>1929.2</v>
      </c>
      <c r="H25" s="101">
        <v>9.65</v>
      </c>
      <c r="I25" s="101">
        <f>'Consommation du 01.02 au 28.02'!Y33*1000</f>
        <v>0</v>
      </c>
      <c r="J25" s="101">
        <v>0.53</v>
      </c>
      <c r="K25" s="101">
        <f>'Consommation du 01.02 au 28.02'!D33</f>
        <v>450</v>
      </c>
      <c r="L25" s="101">
        <v>12.67</v>
      </c>
      <c r="M25" s="115">
        <f>'Consommation du 01.02 au 28.02'!AC33</f>
        <v>116</v>
      </c>
      <c r="N25" s="115">
        <v>219</v>
      </c>
      <c r="O25" s="101">
        <f t="shared" si="0"/>
        <v>40738.054000000004</v>
      </c>
    </row>
    <row r="26" spans="1:15" x14ac:dyDescent="0.2">
      <c r="A26" s="102" t="s">
        <v>74</v>
      </c>
      <c r="B26">
        <f>B25+1</f>
        <v>25</v>
      </c>
      <c r="C26">
        <v>2</v>
      </c>
      <c r="D26" s="115">
        <v>2019</v>
      </c>
      <c r="E26" s="101">
        <f>'Consommation du 01.02 au 28.02'!M34</f>
        <v>17023</v>
      </c>
      <c r="F26" s="101">
        <v>1.002</v>
      </c>
      <c r="G26" s="101">
        <f>'Consommation du 01.02 au 28.02'!U34</f>
        <v>2448.6</v>
      </c>
      <c r="H26" s="101">
        <v>9.65</v>
      </c>
      <c r="I26" s="101">
        <f>'Consommation du 01.02 au 28.02'!Y34*1000</f>
        <v>0</v>
      </c>
      <c r="J26" s="101">
        <v>0.53</v>
      </c>
      <c r="K26" s="101">
        <f>'Consommation du 01.02 au 28.02'!D34</f>
        <v>440</v>
      </c>
      <c r="L26" s="101">
        <v>12.67</v>
      </c>
      <c r="M26" s="115">
        <f>'Consommation du 01.02 au 28.02'!AC34</f>
        <v>108</v>
      </c>
      <c r="N26" s="115">
        <v>191</v>
      </c>
      <c r="O26" s="101">
        <f t="shared" si="0"/>
        <v>46260.836000000003</v>
      </c>
    </row>
    <row r="27" spans="1:15" x14ac:dyDescent="0.2">
      <c r="A27" s="102" t="s">
        <v>74</v>
      </c>
      <c r="B27">
        <f t="shared" si="1"/>
        <v>26</v>
      </c>
      <c r="C27">
        <v>2</v>
      </c>
      <c r="D27" s="115">
        <v>2019</v>
      </c>
      <c r="E27" s="101">
        <f>'Consommation du 01.02 au 28.02'!M35</f>
        <v>17091</v>
      </c>
      <c r="F27" s="101">
        <v>1.002</v>
      </c>
      <c r="G27" s="101">
        <f>'Consommation du 01.02 au 28.02'!U35</f>
        <v>1817.9</v>
      </c>
      <c r="H27" s="101">
        <v>9.65</v>
      </c>
      <c r="I27" s="101">
        <f>'Consommation du 01.02 au 28.02'!Y35*1000</f>
        <v>3409.9999999998545</v>
      </c>
      <c r="J27" s="101">
        <v>0.53</v>
      </c>
      <c r="K27" s="101">
        <f>'Consommation du 01.02 au 28.02'!D35</f>
        <v>440</v>
      </c>
      <c r="L27" s="101">
        <v>12.67</v>
      </c>
      <c r="M27" s="115">
        <f>'Consommation du 01.02 au 28.02'!AC35</f>
        <v>132</v>
      </c>
      <c r="N27" s="115">
        <v>180</v>
      </c>
      <c r="O27" s="101">
        <f t="shared" si="0"/>
        <v>42050.016999999927</v>
      </c>
    </row>
    <row r="28" spans="1:15" x14ac:dyDescent="0.2">
      <c r="A28" s="102" t="s">
        <v>74</v>
      </c>
      <c r="B28">
        <f t="shared" si="1"/>
        <v>27</v>
      </c>
      <c r="C28">
        <v>2</v>
      </c>
      <c r="D28" s="115">
        <v>2019</v>
      </c>
      <c r="E28" s="101">
        <f>'Consommation du 01.02 au 28.02'!M36</f>
        <v>16786</v>
      </c>
      <c r="F28" s="101">
        <v>1.002</v>
      </c>
      <c r="G28" s="101">
        <f>'Consommation du 01.02 au 28.02'!U36</f>
        <v>964.6</v>
      </c>
      <c r="H28" s="101">
        <v>9.65</v>
      </c>
      <c r="I28" s="101">
        <f>'Consommation du 01.02 au 28.02'!Y36*1000</f>
        <v>8829.9999999999272</v>
      </c>
      <c r="J28" s="101">
        <v>0.53</v>
      </c>
      <c r="K28" s="101">
        <f>'Consommation du 01.02 au 28.02'!D36</f>
        <v>400</v>
      </c>
      <c r="L28" s="101">
        <v>12.67</v>
      </c>
      <c r="M28" s="115">
        <f>'Consommation du 01.02 au 28.02'!AC36</f>
        <v>131</v>
      </c>
      <c r="N28" s="115">
        <v>177</v>
      </c>
      <c r="O28" s="101">
        <f t="shared" si="0"/>
        <v>35875.861999999965</v>
      </c>
    </row>
    <row r="29" spans="1:15" x14ac:dyDescent="0.2">
      <c r="A29" s="102" t="s">
        <v>74</v>
      </c>
      <c r="B29">
        <f t="shared" si="1"/>
        <v>28</v>
      </c>
      <c r="C29">
        <v>2</v>
      </c>
      <c r="D29" s="115">
        <v>2019</v>
      </c>
      <c r="E29" s="101">
        <f>'Consommation du 01.02 au 28.02'!M37</f>
        <v>18866</v>
      </c>
      <c r="F29" s="101">
        <v>1.002</v>
      </c>
      <c r="G29" s="101">
        <f>'Consommation du 01.02 au 28.02'!U37</f>
        <v>1038.8</v>
      </c>
      <c r="H29" s="101">
        <v>9.65</v>
      </c>
      <c r="I29" s="101">
        <f>'Consommation du 01.02 au 28.02'!Y37*1000</f>
        <v>9219.9999999993452</v>
      </c>
      <c r="J29" s="101">
        <v>0.53</v>
      </c>
      <c r="K29" s="101">
        <f>'Consommation du 01.02 au 28.02'!D37</f>
        <v>400</v>
      </c>
      <c r="L29" s="101">
        <v>12.67</v>
      </c>
      <c r="M29" s="115">
        <f>'Consommation du 01.02 au 28.02'!AC37</f>
        <v>137</v>
      </c>
      <c r="N29" s="115">
        <v>202</v>
      </c>
      <c r="O29" s="101">
        <f t="shared" si="0"/>
        <v>38882.751999999658</v>
      </c>
    </row>
    <row r="30" spans="1:15" x14ac:dyDescent="0.2">
      <c r="A30" s="102"/>
      <c r="D30" s="115"/>
      <c r="E30" s="101"/>
      <c r="F30" s="101"/>
      <c r="G30" s="101"/>
      <c r="H30" s="101"/>
      <c r="I30" s="101"/>
      <c r="J30" s="101"/>
      <c r="K30" s="101"/>
      <c r="L30" s="101"/>
      <c r="M30" s="115"/>
      <c r="N30" s="115"/>
      <c r="O30" s="101"/>
    </row>
    <row r="31" spans="1:15" x14ac:dyDescent="0.2">
      <c r="A31" s="102"/>
      <c r="D31" s="115"/>
      <c r="E31" s="101"/>
      <c r="F31" s="101"/>
      <c r="G31" s="101"/>
      <c r="H31" s="101"/>
      <c r="I31" s="101"/>
      <c r="J31" s="101"/>
      <c r="K31" s="101"/>
      <c r="L31" s="101"/>
      <c r="M31" s="115"/>
      <c r="O31" s="101"/>
    </row>
    <row r="32" spans="1:15" x14ac:dyDescent="0.2">
      <c r="A32" s="102"/>
      <c r="D32" s="115"/>
      <c r="E32" s="101"/>
      <c r="F32" s="101"/>
      <c r="G32" s="101"/>
      <c r="H32" s="101"/>
      <c r="I32" s="101"/>
      <c r="J32" s="101"/>
      <c r="K32" s="101"/>
      <c r="L32" s="101"/>
      <c r="M32" s="115"/>
      <c r="O32" s="101"/>
    </row>
    <row r="33" spans="4:14" x14ac:dyDescent="0.2"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</row>
    <row r="34" spans="4:14" x14ac:dyDescent="0.2"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</row>
    <row r="35" spans="4:14" x14ac:dyDescent="0.2"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</row>
    <row r="36" spans="4:14" x14ac:dyDescent="0.2"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</row>
    <row r="37" spans="4:14" x14ac:dyDescent="0.2"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</row>
    <row r="38" spans="4:14" x14ac:dyDescent="0.2"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</row>
    <row r="39" spans="4:14" x14ac:dyDescent="0.2"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</row>
    <row r="40" spans="4:14" x14ac:dyDescent="0.2"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39" zoomScale="55" zoomScaleNormal="55" zoomScaleSheetLayoutView="50" workbookViewId="0">
      <selection activeCell="F48" sqref="F4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09"/>
      <c r="B2" s="210"/>
      <c r="C2" s="210"/>
      <c r="D2" s="210"/>
      <c r="E2" s="210"/>
      <c r="F2" s="211"/>
      <c r="G2" s="198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200"/>
      <c r="AD2" s="174"/>
      <c r="AE2" s="174"/>
      <c r="AF2" s="174"/>
      <c r="AJ2" s="56"/>
    </row>
    <row r="3" spans="1:37" ht="1.5" customHeight="1" x14ac:dyDescent="0.2"/>
    <row r="4" spans="1:37" ht="39" hidden="1" customHeight="1" x14ac:dyDescent="0.2">
      <c r="A4" s="212"/>
      <c r="B4" s="212"/>
      <c r="C4" s="21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12"/>
      <c r="B5" s="212"/>
      <c r="C5" s="212"/>
      <c r="D5" s="6"/>
      <c r="E5" s="6"/>
      <c r="F5" s="6"/>
      <c r="G5" s="6"/>
      <c r="H5" s="6"/>
      <c r="I5" s="6"/>
      <c r="J5" s="6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2"/>
      <c r="AC5" s="12"/>
      <c r="AE5" s="51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4"/>
      <c r="E7" s="154"/>
      <c r="F7" s="154"/>
      <c r="G7" s="154"/>
      <c r="H7" s="154"/>
      <c r="I7" s="154"/>
      <c r="J7" s="154"/>
      <c r="K7" s="154"/>
      <c r="L7" s="155"/>
      <c r="M7" s="155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4"/>
      <c r="AC7" s="14"/>
      <c r="AI7" s="6"/>
      <c r="AJ7" s="6"/>
      <c r="AK7" s="6"/>
    </row>
    <row r="8" spans="1:37" ht="2.25" customHeight="1" thickBot="1" x14ac:dyDescent="0.25">
      <c r="A8" s="154"/>
      <c r="B8" s="214" t="s">
        <v>1</v>
      </c>
      <c r="C8" s="4"/>
      <c r="D8" s="215" t="s">
        <v>4</v>
      </c>
      <c r="E8" s="5"/>
      <c r="F8" s="201" t="s">
        <v>12</v>
      </c>
      <c r="G8" s="202"/>
      <c r="H8" s="203"/>
      <c r="I8" s="5"/>
      <c r="J8" s="158" t="s">
        <v>3</v>
      </c>
      <c r="K8" s="158"/>
      <c r="L8" s="158"/>
      <c r="M8" s="158" t="s">
        <v>2</v>
      </c>
      <c r="N8" s="5"/>
      <c r="O8" s="207" t="s">
        <v>12</v>
      </c>
      <c r="P8" s="5"/>
      <c r="Q8" s="207" t="s">
        <v>5</v>
      </c>
      <c r="R8" s="5"/>
      <c r="S8" s="207" t="s">
        <v>6</v>
      </c>
      <c r="T8" s="5"/>
      <c r="U8" s="156" t="s">
        <v>39</v>
      </c>
      <c r="V8" s="5"/>
      <c r="W8" s="207" t="s">
        <v>12</v>
      </c>
      <c r="X8" s="64"/>
      <c r="Y8" s="64"/>
      <c r="Z8" s="64"/>
      <c r="AA8" s="219"/>
      <c r="AB8" s="217" t="s">
        <v>80</v>
      </c>
      <c r="AC8" s="207" t="s">
        <v>75</v>
      </c>
      <c r="AD8" s="224" t="s">
        <v>54</v>
      </c>
      <c r="AE8" s="222" t="s">
        <v>59</v>
      </c>
      <c r="AF8" s="222" t="s">
        <v>60</v>
      </c>
      <c r="AG8" s="220" t="s">
        <v>61</v>
      </c>
      <c r="AH8" s="220" t="s">
        <v>62</v>
      </c>
      <c r="AI8" s="68"/>
      <c r="AJ8" s="68"/>
      <c r="AK8" s="68"/>
    </row>
    <row r="9" spans="1:37" ht="116.25" customHeight="1" thickBot="1" x14ac:dyDescent="0.25">
      <c r="A9" s="154"/>
      <c r="B9" s="214"/>
      <c r="C9" s="4"/>
      <c r="D9" s="216"/>
      <c r="E9" s="5"/>
      <c r="F9" s="204"/>
      <c r="G9" s="205"/>
      <c r="H9" s="206"/>
      <c r="I9" s="5"/>
      <c r="J9" s="80" t="s">
        <v>7</v>
      </c>
      <c r="K9" s="80" t="s">
        <v>8</v>
      </c>
      <c r="L9" s="80" t="s">
        <v>9</v>
      </c>
      <c r="M9" s="158"/>
      <c r="N9" s="5"/>
      <c r="O9" s="208"/>
      <c r="P9" s="5"/>
      <c r="Q9" s="208"/>
      <c r="R9" s="5"/>
      <c r="S9" s="208"/>
      <c r="T9" s="5"/>
      <c r="U9" s="157"/>
      <c r="V9" s="5"/>
      <c r="W9" s="208"/>
      <c r="X9" s="125" t="s">
        <v>81</v>
      </c>
      <c r="Y9" s="94" t="s">
        <v>55</v>
      </c>
      <c r="Z9" s="95" t="s">
        <v>56</v>
      </c>
      <c r="AA9" s="219"/>
      <c r="AB9" s="218"/>
      <c r="AC9" s="213"/>
      <c r="AD9" s="225"/>
      <c r="AE9" s="223"/>
      <c r="AF9" s="223"/>
      <c r="AG9" s="221"/>
      <c r="AH9" s="221"/>
      <c r="AI9" s="96"/>
      <c r="AJ9" s="69"/>
      <c r="AK9" s="69"/>
    </row>
    <row r="10" spans="1:37" ht="32.25" customHeight="1" thickBot="1" x14ac:dyDescent="0.25">
      <c r="A10" s="14"/>
      <c r="B10" s="7">
        <v>43497</v>
      </c>
      <c r="C10" s="8"/>
      <c r="D10" s="103">
        <f>'Suivi EAU-ELEC'!C15</f>
        <v>310</v>
      </c>
      <c r="E10" s="104"/>
      <c r="F10" s="148">
        <f>D10*12.67</f>
        <v>3927.7</v>
      </c>
      <c r="G10" s="148"/>
      <c r="H10" s="149"/>
      <c r="I10" s="86"/>
      <c r="J10" s="110">
        <f>'Suivi EAU-ELEC'!E15</f>
        <v>3857</v>
      </c>
      <c r="K10" s="111">
        <f>'Suivi EAU-ELEC'!G15</f>
        <v>6317</v>
      </c>
      <c r="L10" s="111">
        <f>'Suivi EAU-ELEC'!I15</f>
        <v>2820</v>
      </c>
      <c r="M10" s="112">
        <f>L10+K10+J10</f>
        <v>12994</v>
      </c>
      <c r="N10" s="86"/>
      <c r="O10" s="89">
        <f>M10*1.002</f>
        <v>13019.987999999999</v>
      </c>
      <c r="P10" s="85"/>
      <c r="Q10" s="84"/>
      <c r="R10" s="83"/>
      <c r="S10" s="84"/>
      <c r="T10" s="91"/>
      <c r="U10" s="90">
        <f>'Suvi Gaz'!O11</f>
        <v>742</v>
      </c>
      <c r="V10" s="86"/>
      <c r="W10" s="89">
        <f>U10*9.65</f>
        <v>7160.3</v>
      </c>
      <c r="X10" s="279">
        <v>12533.6</v>
      </c>
      <c r="Y10" s="280">
        <f t="shared" ref="Y10:Y39" si="0">IF(X11&lt;X10,0,X11-X10)</f>
        <v>15.949999999998909</v>
      </c>
      <c r="Z10" s="93">
        <f t="shared" ref="Z10:Z39" si="1">Y10*0.84*1000</f>
        <v>13397.999999999083</v>
      </c>
      <c r="AA10" s="86"/>
      <c r="AB10" s="116">
        <v>16</v>
      </c>
      <c r="AC10" s="117">
        <v>56</v>
      </c>
      <c r="AD10" s="118">
        <v>0.47060000000000002</v>
      </c>
      <c r="AE10" s="137">
        <v>28</v>
      </c>
      <c r="AF10" s="140">
        <v>28</v>
      </c>
      <c r="AG10" s="119">
        <v>29</v>
      </c>
      <c r="AH10" s="141">
        <v>29</v>
      </c>
      <c r="AI10" s="65"/>
      <c r="AJ10" s="72"/>
      <c r="AK10" s="65"/>
    </row>
    <row r="11" spans="1:37" ht="32.25" customHeight="1" thickBot="1" x14ac:dyDescent="0.25">
      <c r="A11" s="14"/>
      <c r="B11" s="7">
        <f>B10+1</f>
        <v>43498</v>
      </c>
      <c r="C11" s="8"/>
      <c r="D11" s="103">
        <f>'Suivi EAU-ELEC'!C16</f>
        <v>260</v>
      </c>
      <c r="E11" s="83"/>
      <c r="F11" s="148">
        <f t="shared" ref="F11:F40" si="2">D11*12.67</f>
        <v>3294.2</v>
      </c>
      <c r="G11" s="148"/>
      <c r="H11" s="149"/>
      <c r="I11" s="86"/>
      <c r="J11" s="110">
        <f>'Suivi EAU-ELEC'!E16</f>
        <v>4091</v>
      </c>
      <c r="K11" s="111">
        <f>'Suivi EAU-ELEC'!G16</f>
        <v>5953</v>
      </c>
      <c r="L11" s="111">
        <f>'Suivi EAU-ELEC'!I16</f>
        <v>2753</v>
      </c>
      <c r="M11" s="112">
        <f t="shared" ref="M11:M40" si="3">L11+K11+J11</f>
        <v>12797</v>
      </c>
      <c r="N11" s="86"/>
      <c r="O11" s="89">
        <f t="shared" ref="O11:O40" si="4">M11*1.002</f>
        <v>12822.593999999999</v>
      </c>
      <c r="P11" s="85"/>
      <c r="Q11" s="84"/>
      <c r="R11" s="83"/>
      <c r="S11" s="84"/>
      <c r="T11" s="91"/>
      <c r="U11" s="90">
        <f>'Suvi Gaz'!O11</f>
        <v>742</v>
      </c>
      <c r="V11" s="86"/>
      <c r="W11" s="89">
        <f t="shared" ref="W11:W40" si="5">U11*9.65</f>
        <v>7160.3</v>
      </c>
      <c r="X11" s="281">
        <v>12549.55</v>
      </c>
      <c r="Y11" s="282">
        <f t="shared" si="0"/>
        <v>16.610000000000582</v>
      </c>
      <c r="Z11" s="93">
        <f t="shared" si="1"/>
        <v>13952.400000000489</v>
      </c>
      <c r="AA11" s="86"/>
      <c r="AB11" s="108">
        <v>11</v>
      </c>
      <c r="AC11" s="122">
        <v>72</v>
      </c>
      <c r="AD11" s="118">
        <v>0.55810000000000004</v>
      </c>
      <c r="AE11" s="129">
        <v>28</v>
      </c>
      <c r="AF11" s="123">
        <v>28.5</v>
      </c>
      <c r="AG11" s="127">
        <v>29</v>
      </c>
      <c r="AH11" s="128">
        <v>29</v>
      </c>
      <c r="AI11" s="138"/>
      <c r="AJ11" s="72"/>
      <c r="AK11" s="65"/>
    </row>
    <row r="12" spans="1:37" s="13" customFormat="1" ht="32.25" customHeight="1" thickBot="1" x14ac:dyDescent="0.25">
      <c r="A12" s="5"/>
      <c r="B12" s="7">
        <f t="shared" ref="B12:B40" si="6">B11+1</f>
        <v>43499</v>
      </c>
      <c r="C12" s="8"/>
      <c r="D12" s="103">
        <f>'Suivi EAU-ELEC'!C17</f>
        <v>290</v>
      </c>
      <c r="E12" s="83"/>
      <c r="F12" s="148">
        <f t="shared" si="2"/>
        <v>3674.3</v>
      </c>
      <c r="G12" s="148"/>
      <c r="H12" s="149"/>
      <c r="I12" s="86"/>
      <c r="J12" s="110">
        <f>'Suivi EAU-ELEC'!E17</f>
        <v>3913</v>
      </c>
      <c r="K12" s="111">
        <f>'Suivi EAU-ELEC'!G17</f>
        <v>5980</v>
      </c>
      <c r="L12" s="111">
        <f>'Suivi EAU-ELEC'!I17</f>
        <v>2802</v>
      </c>
      <c r="M12" s="112">
        <f t="shared" si="3"/>
        <v>12695</v>
      </c>
      <c r="N12" s="86"/>
      <c r="O12" s="89">
        <f t="shared" si="4"/>
        <v>12720.39</v>
      </c>
      <c r="P12" s="85"/>
      <c r="Q12" s="84"/>
      <c r="R12" s="83"/>
      <c r="S12" s="84"/>
      <c r="T12" s="91"/>
      <c r="U12" s="90">
        <f>'Suvi Gaz'!O12</f>
        <v>593.6</v>
      </c>
      <c r="V12" s="87"/>
      <c r="W12" s="89">
        <f t="shared" si="5"/>
        <v>5728.2400000000007</v>
      </c>
      <c r="X12" s="130">
        <v>12566.16</v>
      </c>
      <c r="Y12" s="283">
        <f t="shared" si="0"/>
        <v>16.420000000000073</v>
      </c>
      <c r="Z12" s="93">
        <f t="shared" si="1"/>
        <v>13792.800000000059</v>
      </c>
      <c r="AA12" s="86"/>
      <c r="AB12" s="108">
        <v>12</v>
      </c>
      <c r="AC12" s="122">
        <v>71</v>
      </c>
      <c r="AD12" s="118">
        <v>0.5726</v>
      </c>
      <c r="AE12" s="129">
        <v>28</v>
      </c>
      <c r="AF12" s="123">
        <v>28.5</v>
      </c>
      <c r="AG12" s="127">
        <v>29</v>
      </c>
      <c r="AH12" s="128">
        <v>29.5</v>
      </c>
      <c r="AI12" s="65"/>
      <c r="AJ12" s="72"/>
      <c r="AK12" s="65"/>
    </row>
    <row r="13" spans="1:37" ht="32.25" customHeight="1" thickBot="1" x14ac:dyDescent="0.25">
      <c r="A13" s="5"/>
      <c r="B13" s="7">
        <f t="shared" si="6"/>
        <v>43500</v>
      </c>
      <c r="C13" s="8"/>
      <c r="D13" s="103">
        <f>'Suivi EAU-ELEC'!C18</f>
        <v>290</v>
      </c>
      <c r="E13" s="83"/>
      <c r="F13" s="148">
        <f t="shared" si="2"/>
        <v>3674.3</v>
      </c>
      <c r="G13" s="148"/>
      <c r="H13" s="149"/>
      <c r="I13" s="86"/>
      <c r="J13" s="110">
        <f>'Suivi EAU-ELEC'!E18</f>
        <v>4337</v>
      </c>
      <c r="K13" s="111">
        <f>'Suivi EAU-ELEC'!G18</f>
        <v>6419</v>
      </c>
      <c r="L13" s="111">
        <f>'Suivi EAU-ELEC'!I18</f>
        <v>3216</v>
      </c>
      <c r="M13" s="112">
        <f t="shared" si="3"/>
        <v>13972</v>
      </c>
      <c r="N13" s="86"/>
      <c r="O13" s="89">
        <f t="shared" si="4"/>
        <v>13999.944</v>
      </c>
      <c r="P13" s="85"/>
      <c r="Q13" s="84"/>
      <c r="R13" s="83"/>
      <c r="S13" s="84"/>
      <c r="T13" s="91"/>
      <c r="U13" s="90">
        <f>'Suvi Gaz'!O13</f>
        <v>482.3</v>
      </c>
      <c r="V13" s="87"/>
      <c r="W13" s="89">
        <f t="shared" si="5"/>
        <v>4654.1950000000006</v>
      </c>
      <c r="X13" s="130">
        <v>12582.58</v>
      </c>
      <c r="Y13" s="284">
        <f t="shared" si="0"/>
        <v>14.920000000000073</v>
      </c>
      <c r="Z13" s="93">
        <f t="shared" si="1"/>
        <v>12532.800000000061</v>
      </c>
      <c r="AA13" s="86"/>
      <c r="AB13" s="108">
        <v>13</v>
      </c>
      <c r="AC13" s="122">
        <v>58</v>
      </c>
      <c r="AD13" s="118">
        <v>0.48330000000000001</v>
      </c>
      <c r="AE13" s="129">
        <v>28</v>
      </c>
      <c r="AF13" s="123">
        <v>29</v>
      </c>
      <c r="AG13" s="127">
        <v>28.5</v>
      </c>
      <c r="AH13" s="128">
        <v>29</v>
      </c>
      <c r="AI13" s="65"/>
      <c r="AJ13" s="72"/>
      <c r="AK13" s="65"/>
    </row>
    <row r="14" spans="1:37" ht="32.25" customHeight="1" thickBot="1" x14ac:dyDescent="0.25">
      <c r="A14" s="5"/>
      <c r="B14" s="7">
        <f t="shared" si="6"/>
        <v>43501</v>
      </c>
      <c r="C14" s="8"/>
      <c r="D14" s="103">
        <f>'Suivi EAU-ELEC'!C19</f>
        <v>370</v>
      </c>
      <c r="E14" s="105"/>
      <c r="F14" s="148">
        <f t="shared" si="2"/>
        <v>4687.8999999999996</v>
      </c>
      <c r="G14" s="148"/>
      <c r="H14" s="149"/>
      <c r="I14" s="87"/>
      <c r="J14" s="110">
        <f>'Suivi EAU-ELEC'!E19</f>
        <v>4771</v>
      </c>
      <c r="K14" s="111">
        <f>'Suivi EAU-ELEC'!G19</f>
        <v>7231</v>
      </c>
      <c r="L14" s="111">
        <f>'Suivi EAU-ELEC'!I19</f>
        <v>3344</v>
      </c>
      <c r="M14" s="112">
        <f t="shared" si="3"/>
        <v>15346</v>
      </c>
      <c r="N14" s="86"/>
      <c r="O14" s="89">
        <f t="shared" si="4"/>
        <v>15376.692000000001</v>
      </c>
      <c r="P14" s="85"/>
      <c r="Q14" s="84"/>
      <c r="R14" s="83"/>
      <c r="S14" s="84"/>
      <c r="T14" s="91"/>
      <c r="U14" s="90">
        <f>'Suvi Gaz'!O14</f>
        <v>742</v>
      </c>
      <c r="V14" s="87"/>
      <c r="W14" s="89">
        <f t="shared" si="5"/>
        <v>7160.3</v>
      </c>
      <c r="X14" s="130">
        <v>12597.5</v>
      </c>
      <c r="Y14" s="284">
        <f t="shared" si="0"/>
        <v>11.770000000000437</v>
      </c>
      <c r="Z14" s="93">
        <f t="shared" si="1"/>
        <v>9886.8000000003667</v>
      </c>
      <c r="AA14" s="86"/>
      <c r="AB14" s="108">
        <v>19</v>
      </c>
      <c r="AC14" s="122">
        <v>74</v>
      </c>
      <c r="AD14" s="118">
        <v>0.60160000000000002</v>
      </c>
      <c r="AE14" s="129">
        <v>28</v>
      </c>
      <c r="AF14" s="123">
        <v>28.4</v>
      </c>
      <c r="AG14" s="127">
        <v>29</v>
      </c>
      <c r="AH14" s="128">
        <v>29.6</v>
      </c>
      <c r="AI14" s="65"/>
      <c r="AJ14" s="72"/>
      <c r="AK14" s="65"/>
    </row>
    <row r="15" spans="1:37" ht="32.25" customHeight="1" thickBot="1" x14ac:dyDescent="0.25">
      <c r="A15" s="5"/>
      <c r="B15" s="7">
        <f t="shared" si="6"/>
        <v>43502</v>
      </c>
      <c r="C15" s="8"/>
      <c r="D15" s="103">
        <f>'Suivi EAU-ELEC'!C20</f>
        <v>320</v>
      </c>
      <c r="E15" s="83"/>
      <c r="F15" s="148">
        <f t="shared" si="2"/>
        <v>4054.4</v>
      </c>
      <c r="G15" s="148"/>
      <c r="H15" s="149"/>
      <c r="I15" s="86"/>
      <c r="J15" s="110">
        <f>'Suivi EAU-ELEC'!E20</f>
        <v>4760</v>
      </c>
      <c r="K15" s="111">
        <f>'Suivi EAU-ELEC'!G20</f>
        <v>7167</v>
      </c>
      <c r="L15" s="111">
        <f>'Suivi EAU-ELEC'!I20</f>
        <v>3171</v>
      </c>
      <c r="M15" s="112">
        <f t="shared" si="3"/>
        <v>15098</v>
      </c>
      <c r="N15" s="86"/>
      <c r="O15" s="89">
        <f t="shared" si="4"/>
        <v>15128.196</v>
      </c>
      <c r="P15" s="85"/>
      <c r="Q15" s="84"/>
      <c r="R15" s="83"/>
      <c r="S15" s="84"/>
      <c r="T15" s="91"/>
      <c r="U15" s="90">
        <f>'Suvi Gaz'!O15</f>
        <v>927.5</v>
      </c>
      <c r="V15" s="87"/>
      <c r="W15" s="89">
        <f t="shared" si="5"/>
        <v>8950.375</v>
      </c>
      <c r="X15" s="130">
        <v>12609.27</v>
      </c>
      <c r="Y15" s="284">
        <f t="shared" si="0"/>
        <v>11.840000000000146</v>
      </c>
      <c r="Z15" s="93">
        <f t="shared" si="1"/>
        <v>9945.6000000001222</v>
      </c>
      <c r="AA15" s="86"/>
      <c r="AB15" s="108">
        <v>17</v>
      </c>
      <c r="AC15" s="122">
        <v>101</v>
      </c>
      <c r="AD15" s="118">
        <v>0.78290000000000004</v>
      </c>
      <c r="AE15" s="129">
        <v>28</v>
      </c>
      <c r="AF15" s="123">
        <v>29</v>
      </c>
      <c r="AG15" s="127">
        <v>28.8</v>
      </c>
      <c r="AH15" s="128">
        <v>29</v>
      </c>
      <c r="AI15" s="65"/>
      <c r="AJ15" s="72"/>
      <c r="AK15" s="65"/>
    </row>
    <row r="16" spans="1:37" ht="32.25" customHeight="1" thickBot="1" x14ac:dyDescent="0.25">
      <c r="A16" s="5"/>
      <c r="B16" s="7">
        <f t="shared" si="6"/>
        <v>43503</v>
      </c>
      <c r="C16" s="8"/>
      <c r="D16" s="103">
        <f>'Suivi EAU-ELEC'!C21</f>
        <v>330</v>
      </c>
      <c r="E16" s="105"/>
      <c r="F16" s="148">
        <f t="shared" si="2"/>
        <v>4181.1000000000004</v>
      </c>
      <c r="G16" s="148"/>
      <c r="H16" s="149"/>
      <c r="I16" s="87"/>
      <c r="J16" s="110">
        <f>'Suivi EAU-ELEC'!E21</f>
        <v>4610</v>
      </c>
      <c r="K16" s="111">
        <f>'Suivi EAU-ELEC'!G21</f>
        <v>7145</v>
      </c>
      <c r="L16" s="111">
        <f>'Suivi EAU-ELEC'!I21</f>
        <v>3226</v>
      </c>
      <c r="M16" s="112">
        <f t="shared" si="3"/>
        <v>14981</v>
      </c>
      <c r="N16" s="86"/>
      <c r="O16" s="89">
        <f t="shared" si="4"/>
        <v>15010.962</v>
      </c>
      <c r="P16" s="85"/>
      <c r="Q16" s="84"/>
      <c r="R16" s="83"/>
      <c r="S16" s="84"/>
      <c r="T16" s="91"/>
      <c r="U16" s="90">
        <f>'Suvi Gaz'!O16</f>
        <v>1446.9</v>
      </c>
      <c r="V16" s="87"/>
      <c r="W16" s="89">
        <f t="shared" si="5"/>
        <v>13962.585000000001</v>
      </c>
      <c r="X16" s="130">
        <v>12621.11</v>
      </c>
      <c r="Y16" s="284">
        <f t="shared" si="0"/>
        <v>16.840000000000146</v>
      </c>
      <c r="Z16" s="93">
        <f t="shared" si="1"/>
        <v>14145.600000000122</v>
      </c>
      <c r="AA16" s="86"/>
      <c r="AB16" s="108">
        <v>19</v>
      </c>
      <c r="AC16" s="122">
        <v>101</v>
      </c>
      <c r="AD16" s="118">
        <v>0.74809999999999999</v>
      </c>
      <c r="AE16" s="129">
        <v>28.5</v>
      </c>
      <c r="AF16" s="123">
        <v>29</v>
      </c>
      <c r="AG16" s="127">
        <v>30</v>
      </c>
      <c r="AH16" s="128">
        <v>31</v>
      </c>
      <c r="AI16" s="65"/>
      <c r="AJ16" s="72"/>
      <c r="AK16" s="65"/>
    </row>
    <row r="17" spans="1:37" ht="32.25" customHeight="1" thickBot="1" x14ac:dyDescent="0.25">
      <c r="A17" s="5"/>
      <c r="B17" s="7">
        <f t="shared" si="6"/>
        <v>43504</v>
      </c>
      <c r="C17" s="8"/>
      <c r="D17" s="103">
        <f>'Suivi EAU-ELEC'!C22</f>
        <v>350</v>
      </c>
      <c r="E17" s="105"/>
      <c r="F17" s="148">
        <f t="shared" si="2"/>
        <v>4434.5</v>
      </c>
      <c r="G17" s="148"/>
      <c r="H17" s="149"/>
      <c r="I17" s="87"/>
      <c r="J17" s="110">
        <f>'Suivi EAU-ELEC'!E22</f>
        <v>4565</v>
      </c>
      <c r="K17" s="111">
        <f>'Suivi EAU-ELEC'!G22</f>
        <v>7035</v>
      </c>
      <c r="L17" s="111">
        <f>'Suivi EAU-ELEC'!I22</f>
        <v>3217</v>
      </c>
      <c r="M17" s="112">
        <f t="shared" si="3"/>
        <v>14817</v>
      </c>
      <c r="N17" s="86"/>
      <c r="O17" s="89">
        <f t="shared" si="4"/>
        <v>14846.634</v>
      </c>
      <c r="P17" s="85"/>
      <c r="Q17" s="84"/>
      <c r="R17" s="83"/>
      <c r="S17" s="84"/>
      <c r="T17" s="91"/>
      <c r="U17" s="90">
        <f>'Suvi Gaz'!O17</f>
        <v>630.70000000000005</v>
      </c>
      <c r="V17" s="87"/>
      <c r="W17" s="89">
        <f t="shared" si="5"/>
        <v>6086.255000000001</v>
      </c>
      <c r="X17" s="130">
        <v>12637.95</v>
      </c>
      <c r="Y17" s="284">
        <f t="shared" si="0"/>
        <v>15.090000000000146</v>
      </c>
      <c r="Z17" s="93">
        <f t="shared" si="1"/>
        <v>12675.600000000122</v>
      </c>
      <c r="AA17" s="92"/>
      <c r="AB17" s="108">
        <v>19</v>
      </c>
      <c r="AC17" s="122">
        <v>134</v>
      </c>
      <c r="AD17" s="118">
        <v>0.97809999999999997</v>
      </c>
      <c r="AE17" s="129">
        <v>29</v>
      </c>
      <c r="AF17" s="123">
        <v>30</v>
      </c>
      <c r="AG17" s="127">
        <v>30</v>
      </c>
      <c r="AH17" s="128">
        <v>31</v>
      </c>
      <c r="AI17" s="65"/>
      <c r="AJ17" s="72"/>
      <c r="AK17" s="65"/>
    </row>
    <row r="18" spans="1:37" ht="32.25" customHeight="1" thickBot="1" x14ac:dyDescent="0.25">
      <c r="A18" s="5"/>
      <c r="B18" s="7">
        <f t="shared" si="6"/>
        <v>43505</v>
      </c>
      <c r="C18" s="8"/>
      <c r="D18" s="103">
        <f>'Suivi EAU-ELEC'!C23</f>
        <v>310</v>
      </c>
      <c r="E18" s="105"/>
      <c r="F18" s="148">
        <f t="shared" si="2"/>
        <v>3927.7</v>
      </c>
      <c r="G18" s="148"/>
      <c r="H18" s="149"/>
      <c r="I18" s="87"/>
      <c r="J18" s="110">
        <f>'Suivi EAU-ELEC'!E23</f>
        <v>4055</v>
      </c>
      <c r="K18" s="111">
        <f>'Suivi EAU-ELEC'!G23</f>
        <v>6392</v>
      </c>
      <c r="L18" s="111">
        <f>'Suivi EAU-ELEC'!I23</f>
        <v>2951</v>
      </c>
      <c r="M18" s="112">
        <f t="shared" si="3"/>
        <v>13398</v>
      </c>
      <c r="N18" s="86"/>
      <c r="O18" s="89">
        <f t="shared" si="4"/>
        <v>13424.796</v>
      </c>
      <c r="P18" s="85"/>
      <c r="Q18" s="84"/>
      <c r="R18" s="83"/>
      <c r="S18" s="84"/>
      <c r="T18" s="91"/>
      <c r="U18" s="90">
        <f>'Suvi Gaz'!O18</f>
        <v>1150.1000000000001</v>
      </c>
      <c r="V18" s="87"/>
      <c r="W18" s="89">
        <f t="shared" si="5"/>
        <v>11098.465000000002</v>
      </c>
      <c r="X18" s="130">
        <v>12653.04</v>
      </c>
      <c r="Y18" s="284">
        <f t="shared" si="0"/>
        <v>16.589999999998327</v>
      </c>
      <c r="Z18" s="93">
        <f t="shared" si="1"/>
        <v>13935.599999998594</v>
      </c>
      <c r="AA18" s="92"/>
      <c r="AB18" s="108">
        <v>20</v>
      </c>
      <c r="AC18" s="122">
        <v>131</v>
      </c>
      <c r="AD18" s="118">
        <v>0.97040000000000004</v>
      </c>
      <c r="AE18" s="129">
        <v>29</v>
      </c>
      <c r="AF18" s="123">
        <v>30</v>
      </c>
      <c r="AG18" s="127">
        <v>29.8</v>
      </c>
      <c r="AH18" s="128">
        <v>31</v>
      </c>
      <c r="AI18" s="65"/>
      <c r="AJ18" s="72"/>
      <c r="AK18" s="65"/>
    </row>
    <row r="19" spans="1:37" ht="32.25" customHeight="1" thickBot="1" x14ac:dyDescent="0.25">
      <c r="A19" s="5"/>
      <c r="B19" s="7">
        <f t="shared" si="6"/>
        <v>43506</v>
      </c>
      <c r="C19" s="8"/>
      <c r="D19" s="103">
        <f>'Suivi EAU-ELEC'!C24</f>
        <v>440</v>
      </c>
      <c r="E19" s="105"/>
      <c r="F19" s="148">
        <f t="shared" si="2"/>
        <v>5574.8</v>
      </c>
      <c r="G19" s="148"/>
      <c r="H19" s="149"/>
      <c r="I19" s="87"/>
      <c r="J19" s="110">
        <f>'Suivi EAU-ELEC'!E24</f>
        <v>4251</v>
      </c>
      <c r="K19" s="111">
        <f>'Suivi EAU-ELEC'!G24</f>
        <v>6293</v>
      </c>
      <c r="L19" s="111">
        <f>'Suivi EAU-ELEC'!I24</f>
        <v>2839</v>
      </c>
      <c r="M19" s="112">
        <f t="shared" si="3"/>
        <v>13383</v>
      </c>
      <c r="N19" s="86"/>
      <c r="O19" s="89">
        <f t="shared" si="4"/>
        <v>13409.766</v>
      </c>
      <c r="P19" s="85"/>
      <c r="Q19" s="84"/>
      <c r="R19" s="83"/>
      <c r="S19" s="84"/>
      <c r="T19" s="91"/>
      <c r="U19" s="90">
        <f>'Suvi Gaz'!O19</f>
        <v>556.5</v>
      </c>
      <c r="V19" s="87"/>
      <c r="W19" s="89">
        <f t="shared" si="5"/>
        <v>5370.2250000000004</v>
      </c>
      <c r="X19" s="130">
        <v>12669.63</v>
      </c>
      <c r="Y19" s="284">
        <f t="shared" si="0"/>
        <v>18.81000000000131</v>
      </c>
      <c r="Z19" s="93">
        <f t="shared" si="1"/>
        <v>15800.4000000011</v>
      </c>
      <c r="AA19" s="92"/>
      <c r="AB19" s="108">
        <v>21</v>
      </c>
      <c r="AC19" s="122">
        <v>101</v>
      </c>
      <c r="AD19" s="118">
        <v>0.80159999999999998</v>
      </c>
      <c r="AE19" s="129">
        <v>29</v>
      </c>
      <c r="AF19" s="123">
        <v>30</v>
      </c>
      <c r="AG19" s="127">
        <v>29.5</v>
      </c>
      <c r="AH19" s="128">
        <v>30.5</v>
      </c>
      <c r="AI19" s="65"/>
      <c r="AJ19" s="72"/>
      <c r="AK19" s="65"/>
    </row>
    <row r="20" spans="1:37" ht="32.25" customHeight="1" thickBot="1" x14ac:dyDescent="0.25">
      <c r="A20" s="5"/>
      <c r="B20" s="7">
        <f>B19+1</f>
        <v>43507</v>
      </c>
      <c r="C20" s="8"/>
      <c r="D20" s="103">
        <f>'Suivi EAU-ELEC'!C25</f>
        <v>350</v>
      </c>
      <c r="E20" s="105"/>
      <c r="F20" s="148">
        <f t="shared" si="2"/>
        <v>4434.5</v>
      </c>
      <c r="G20" s="148"/>
      <c r="H20" s="149"/>
      <c r="I20" s="87"/>
      <c r="J20" s="110">
        <f>'Suivi EAU-ELEC'!E25</f>
        <v>4729</v>
      </c>
      <c r="K20" s="111">
        <f>'Suivi EAU-ELEC'!G25</f>
        <v>6361</v>
      </c>
      <c r="L20" s="111">
        <f>'Suivi EAU-ELEC'!I25</f>
        <v>2955</v>
      </c>
      <c r="M20" s="112">
        <f t="shared" si="3"/>
        <v>14045</v>
      </c>
      <c r="N20" s="86"/>
      <c r="O20" s="89">
        <f t="shared" si="4"/>
        <v>14073.09</v>
      </c>
      <c r="P20" s="85"/>
      <c r="Q20" s="84"/>
      <c r="R20" s="83"/>
      <c r="S20" s="84"/>
      <c r="T20" s="91"/>
      <c r="U20" s="90">
        <f>'Suvi Gaz'!O20</f>
        <v>742</v>
      </c>
      <c r="V20" s="87"/>
      <c r="W20" s="89">
        <f t="shared" si="5"/>
        <v>7160.3</v>
      </c>
      <c r="X20" s="130">
        <v>12688.44</v>
      </c>
      <c r="Y20" s="284">
        <f t="shared" si="0"/>
        <v>16.680000000000291</v>
      </c>
      <c r="Z20" s="93">
        <f t="shared" si="1"/>
        <v>14011.200000000244</v>
      </c>
      <c r="AA20" s="92">
        <v>14</v>
      </c>
      <c r="AB20" s="108">
        <v>22</v>
      </c>
      <c r="AC20" s="122">
        <v>91</v>
      </c>
      <c r="AD20" s="118">
        <v>0.71650000000000003</v>
      </c>
      <c r="AE20" s="129">
        <v>29</v>
      </c>
      <c r="AF20" s="123">
        <v>30</v>
      </c>
      <c r="AG20" s="127">
        <v>29</v>
      </c>
      <c r="AH20" s="128">
        <v>30</v>
      </c>
      <c r="AI20" s="65"/>
      <c r="AJ20" s="72"/>
      <c r="AK20" s="65"/>
    </row>
    <row r="21" spans="1:37" ht="32.25" customHeight="1" thickBot="1" x14ac:dyDescent="0.25">
      <c r="A21" s="5"/>
      <c r="B21" s="7">
        <f t="shared" si="6"/>
        <v>43508</v>
      </c>
      <c r="C21" s="8"/>
      <c r="D21" s="103">
        <f>'Suivi EAU-ELEC'!C26</f>
        <v>330</v>
      </c>
      <c r="E21" s="105"/>
      <c r="F21" s="148">
        <f t="shared" si="2"/>
        <v>4181.1000000000004</v>
      </c>
      <c r="G21" s="148"/>
      <c r="H21" s="149"/>
      <c r="I21" s="87"/>
      <c r="J21" s="110">
        <f>'Suivi EAU-ELEC'!E26</f>
        <v>4149</v>
      </c>
      <c r="K21" s="111">
        <f>'Suivi EAU-ELEC'!G26</f>
        <v>6450</v>
      </c>
      <c r="L21" s="111">
        <f>'Suivi EAU-ELEC'!I26</f>
        <v>3059</v>
      </c>
      <c r="M21" s="112">
        <f t="shared" si="3"/>
        <v>13658</v>
      </c>
      <c r="N21" s="86"/>
      <c r="O21" s="89">
        <f t="shared" si="4"/>
        <v>13685.316000000001</v>
      </c>
      <c r="P21" s="85"/>
      <c r="Q21" s="84"/>
      <c r="R21" s="83"/>
      <c r="S21" s="84"/>
      <c r="T21" s="91"/>
      <c r="U21" s="90">
        <f>'Suvi Gaz'!O21</f>
        <v>667.80000000000007</v>
      </c>
      <c r="V21" s="87"/>
      <c r="W21" s="89">
        <f t="shared" si="5"/>
        <v>6444.2700000000013</v>
      </c>
      <c r="X21" s="130">
        <v>12705.12</v>
      </c>
      <c r="Y21" s="284">
        <f t="shared" si="0"/>
        <v>16.239999999999782</v>
      </c>
      <c r="Z21" s="93">
        <f t="shared" si="1"/>
        <v>13641.599999999815</v>
      </c>
      <c r="AA21" s="92">
        <v>14</v>
      </c>
      <c r="AB21" s="108">
        <v>22</v>
      </c>
      <c r="AC21" s="122">
        <v>74</v>
      </c>
      <c r="AD21" s="118">
        <v>0.5968</v>
      </c>
      <c r="AE21" s="129">
        <v>29</v>
      </c>
      <c r="AF21" s="123">
        <v>29</v>
      </c>
      <c r="AG21" s="127">
        <v>29</v>
      </c>
      <c r="AH21" s="128">
        <v>30</v>
      </c>
      <c r="AI21" s="65"/>
      <c r="AJ21" s="72"/>
      <c r="AK21" s="65"/>
    </row>
    <row r="22" spans="1:37" ht="32.25" customHeight="1" thickBot="1" x14ac:dyDescent="0.25">
      <c r="A22" s="5"/>
      <c r="B22" s="7">
        <f t="shared" si="6"/>
        <v>43509</v>
      </c>
      <c r="C22" s="8"/>
      <c r="D22" s="103">
        <f>'Suivi EAU-ELEC'!C27</f>
        <v>380</v>
      </c>
      <c r="E22" s="105"/>
      <c r="F22" s="148">
        <f t="shared" si="2"/>
        <v>4814.6000000000004</v>
      </c>
      <c r="G22" s="148"/>
      <c r="H22" s="149"/>
      <c r="I22" s="87"/>
      <c r="J22" s="110">
        <f>'Suivi EAU-ELEC'!E27</f>
        <v>4147</v>
      </c>
      <c r="K22" s="111">
        <f>'Suivi EAU-ELEC'!G27</f>
        <v>6289</v>
      </c>
      <c r="L22" s="111">
        <f>'Suivi EAU-ELEC'!I27</f>
        <v>2839</v>
      </c>
      <c r="M22" s="112">
        <f t="shared" si="3"/>
        <v>13275</v>
      </c>
      <c r="N22" s="86"/>
      <c r="O22" s="89">
        <f t="shared" si="4"/>
        <v>13301.55</v>
      </c>
      <c r="P22" s="85"/>
      <c r="Q22" s="84"/>
      <c r="R22" s="83"/>
      <c r="S22" s="84"/>
      <c r="T22" s="91"/>
      <c r="U22" s="90">
        <f>'Suvi Gaz'!O22</f>
        <v>853.30000000000007</v>
      </c>
      <c r="V22" s="87"/>
      <c r="W22" s="89">
        <f t="shared" si="5"/>
        <v>8234.3450000000012</v>
      </c>
      <c r="X22" s="130">
        <v>12721.36</v>
      </c>
      <c r="Y22" s="284">
        <f t="shared" si="0"/>
        <v>17.010000000000218</v>
      </c>
      <c r="Z22" s="93">
        <f t="shared" si="1"/>
        <v>14288.400000000182</v>
      </c>
      <c r="AA22" s="87"/>
      <c r="AB22" s="108">
        <v>23</v>
      </c>
      <c r="AC22" s="122">
        <v>85</v>
      </c>
      <c r="AD22" s="118">
        <v>0.65380000000000005</v>
      </c>
      <c r="AE22" s="129">
        <v>29</v>
      </c>
      <c r="AF22" s="123">
        <v>29</v>
      </c>
      <c r="AG22" s="127">
        <v>29</v>
      </c>
      <c r="AH22" s="128">
        <v>30</v>
      </c>
      <c r="AI22" s="65"/>
      <c r="AJ22" s="72"/>
      <c r="AK22" s="65"/>
    </row>
    <row r="23" spans="1:37" ht="32.25" customHeight="1" thickBot="1" x14ac:dyDescent="0.25">
      <c r="A23" s="5"/>
      <c r="B23" s="7">
        <f>B22+1</f>
        <v>43510</v>
      </c>
      <c r="C23" s="8"/>
      <c r="D23" s="103">
        <f>'Suivi EAU-ELEC'!C28</f>
        <v>350</v>
      </c>
      <c r="E23" s="105"/>
      <c r="F23" s="148">
        <f t="shared" si="2"/>
        <v>4434.5</v>
      </c>
      <c r="G23" s="148"/>
      <c r="H23" s="149"/>
      <c r="I23" s="87"/>
      <c r="J23" s="110">
        <f>'Suivi EAU-ELEC'!E28</f>
        <v>4054</v>
      </c>
      <c r="K23" s="111">
        <f>'Suivi EAU-ELEC'!G28</f>
        <v>6343</v>
      </c>
      <c r="L23" s="111">
        <f>'Suivi EAU-ELEC'!I28</f>
        <v>2844</v>
      </c>
      <c r="M23" s="112">
        <f t="shared" si="3"/>
        <v>13241</v>
      </c>
      <c r="N23" s="86"/>
      <c r="O23" s="89">
        <f t="shared" si="4"/>
        <v>13267.482</v>
      </c>
      <c r="P23" s="85"/>
      <c r="Q23" s="84"/>
      <c r="R23" s="83"/>
      <c r="S23" s="84"/>
      <c r="T23" s="91"/>
      <c r="U23" s="90">
        <f>'Suvi Gaz'!O23</f>
        <v>667.80000000000007</v>
      </c>
      <c r="V23" s="87"/>
      <c r="W23" s="89">
        <f t="shared" si="5"/>
        <v>6444.2700000000013</v>
      </c>
      <c r="X23" s="130">
        <v>12738.37</v>
      </c>
      <c r="Y23" s="284">
        <f t="shared" si="0"/>
        <v>14.339999999998327</v>
      </c>
      <c r="Z23" s="93">
        <f t="shared" si="1"/>
        <v>12045.599999998594</v>
      </c>
      <c r="AA23" s="87"/>
      <c r="AB23" s="108">
        <v>21</v>
      </c>
      <c r="AC23" s="122">
        <v>120</v>
      </c>
      <c r="AD23" s="118">
        <v>0.88239999999999996</v>
      </c>
      <c r="AE23" s="129">
        <v>28.5</v>
      </c>
      <c r="AF23" s="123">
        <v>29.5</v>
      </c>
      <c r="AG23" s="127">
        <v>28.5</v>
      </c>
      <c r="AH23" s="128">
        <v>30</v>
      </c>
      <c r="AI23" s="65"/>
      <c r="AJ23" s="72"/>
      <c r="AK23" s="65"/>
    </row>
    <row r="24" spans="1:37" ht="32.25" customHeight="1" thickBot="1" x14ac:dyDescent="0.25">
      <c r="A24" s="5"/>
      <c r="B24" s="7">
        <f t="shared" si="6"/>
        <v>43511</v>
      </c>
      <c r="C24" s="8"/>
      <c r="D24" s="103">
        <f>'Suivi EAU-ELEC'!C29</f>
        <v>410</v>
      </c>
      <c r="E24" s="105"/>
      <c r="F24" s="148">
        <f t="shared" si="2"/>
        <v>5194.7</v>
      </c>
      <c r="G24" s="148"/>
      <c r="H24" s="149"/>
      <c r="I24" s="87"/>
      <c r="J24" s="110">
        <f>'Suivi EAU-ELEC'!E29</f>
        <v>4802</v>
      </c>
      <c r="K24" s="111">
        <f>'Suivi EAU-ELEC'!G29</f>
        <v>6792</v>
      </c>
      <c r="L24" s="111">
        <f>'Suivi EAU-ELEC'!I29</f>
        <v>3081</v>
      </c>
      <c r="M24" s="112">
        <f t="shared" si="3"/>
        <v>14675</v>
      </c>
      <c r="N24" s="86"/>
      <c r="O24" s="89">
        <f t="shared" si="4"/>
        <v>14704.35</v>
      </c>
      <c r="P24" s="85"/>
      <c r="Q24" s="84"/>
      <c r="R24" s="83"/>
      <c r="S24" s="84"/>
      <c r="T24" s="91"/>
      <c r="U24" s="90">
        <f>'Suvi Gaz'!O24</f>
        <v>371</v>
      </c>
      <c r="V24" s="87"/>
      <c r="W24" s="89">
        <f t="shared" si="5"/>
        <v>3580.15</v>
      </c>
      <c r="X24" s="130">
        <v>12752.71</v>
      </c>
      <c r="Y24" s="284">
        <f t="shared" si="0"/>
        <v>17.340000000000146</v>
      </c>
      <c r="Z24" s="93">
        <f t="shared" si="1"/>
        <v>14565.600000000122</v>
      </c>
      <c r="AA24" s="87"/>
      <c r="AB24" s="108">
        <v>20</v>
      </c>
      <c r="AC24" s="122">
        <v>130</v>
      </c>
      <c r="AD24" s="118">
        <v>0.94889999999999997</v>
      </c>
      <c r="AE24" s="129">
        <v>29</v>
      </c>
      <c r="AF24" s="123">
        <v>30</v>
      </c>
      <c r="AG24" s="127">
        <v>29</v>
      </c>
      <c r="AH24" s="128">
        <v>30</v>
      </c>
      <c r="AI24" s="65"/>
      <c r="AJ24" s="72"/>
      <c r="AK24" s="65"/>
    </row>
    <row r="25" spans="1:37" ht="32.25" customHeight="1" thickBot="1" x14ac:dyDescent="0.25">
      <c r="A25" s="5"/>
      <c r="B25" s="7">
        <f t="shared" si="6"/>
        <v>43512</v>
      </c>
      <c r="C25" s="8"/>
      <c r="D25" s="103">
        <f>'Suivi EAU-ELEC'!C30</f>
        <v>350</v>
      </c>
      <c r="E25" s="105"/>
      <c r="F25" s="148">
        <f t="shared" si="2"/>
        <v>4434.5</v>
      </c>
      <c r="G25" s="148"/>
      <c r="H25" s="149"/>
      <c r="I25" s="87"/>
      <c r="J25" s="110">
        <f>'Suivi EAU-ELEC'!E30</f>
        <v>5332</v>
      </c>
      <c r="K25" s="111">
        <f>'Suivi EAU-ELEC'!G30</f>
        <v>7039</v>
      </c>
      <c r="L25" s="111">
        <f>'Suivi EAU-ELEC'!I30</f>
        <v>3529</v>
      </c>
      <c r="M25" s="112">
        <f t="shared" si="3"/>
        <v>15900</v>
      </c>
      <c r="N25" s="86"/>
      <c r="O25" s="89">
        <f t="shared" si="4"/>
        <v>15931.8</v>
      </c>
      <c r="P25" s="85"/>
      <c r="Q25" s="84"/>
      <c r="R25" s="83"/>
      <c r="S25" s="84"/>
      <c r="T25" s="91"/>
      <c r="U25" s="90">
        <f>'Suvi Gaz'!O25</f>
        <v>630.70000000000005</v>
      </c>
      <c r="V25" s="87"/>
      <c r="W25" s="89">
        <f t="shared" si="5"/>
        <v>6086.255000000001</v>
      </c>
      <c r="X25" s="130">
        <v>12770.05</v>
      </c>
      <c r="Y25" s="284">
        <f t="shared" si="0"/>
        <v>16.350000000000364</v>
      </c>
      <c r="Z25" s="93">
        <f t="shared" si="1"/>
        <v>13734.000000000306</v>
      </c>
      <c r="AA25" s="87"/>
      <c r="AB25" s="108">
        <v>14</v>
      </c>
      <c r="AC25" s="122">
        <v>130</v>
      </c>
      <c r="AD25" s="118">
        <v>0.94889999999999997</v>
      </c>
      <c r="AE25" s="129">
        <v>28</v>
      </c>
      <c r="AF25" s="123">
        <v>29</v>
      </c>
      <c r="AG25" s="127">
        <v>28</v>
      </c>
      <c r="AH25" s="128">
        <v>29</v>
      </c>
      <c r="AI25" s="65"/>
      <c r="AJ25" s="72"/>
      <c r="AK25" s="65"/>
    </row>
    <row r="26" spans="1:37" ht="32.25" customHeight="1" thickBot="1" x14ac:dyDescent="0.25">
      <c r="A26" s="5"/>
      <c r="B26" s="7">
        <f t="shared" si="6"/>
        <v>43513</v>
      </c>
      <c r="C26" s="8"/>
      <c r="D26" s="103">
        <f>'Suivi EAU-ELEC'!C31</f>
        <v>460</v>
      </c>
      <c r="E26" s="106"/>
      <c r="F26" s="148">
        <f t="shared" si="2"/>
        <v>5828.2</v>
      </c>
      <c r="G26" s="148"/>
      <c r="H26" s="149"/>
      <c r="I26" s="87"/>
      <c r="J26" s="110">
        <f>'Suivi EAU-ELEC'!E31</f>
        <v>4389</v>
      </c>
      <c r="K26" s="111">
        <f>'Suivi EAU-ELEC'!G31</f>
        <v>6846</v>
      </c>
      <c r="L26" s="111">
        <f>'Suivi EAU-ELEC'!I31</f>
        <v>3277</v>
      </c>
      <c r="M26" s="112">
        <f t="shared" si="3"/>
        <v>14512</v>
      </c>
      <c r="N26" s="86"/>
      <c r="O26" s="89">
        <f t="shared" si="4"/>
        <v>14541.023999999999</v>
      </c>
      <c r="P26" s="85"/>
      <c r="Q26" s="84"/>
      <c r="R26" s="83"/>
      <c r="S26" s="84"/>
      <c r="T26" s="91"/>
      <c r="U26" s="90">
        <f>'Suvi Gaz'!O26</f>
        <v>779.1</v>
      </c>
      <c r="V26" s="88"/>
      <c r="W26" s="89">
        <f t="shared" si="5"/>
        <v>7518.3150000000005</v>
      </c>
      <c r="X26" s="130">
        <v>12786.4</v>
      </c>
      <c r="Y26" s="284">
        <f t="shared" si="0"/>
        <v>14.530000000000655</v>
      </c>
      <c r="Z26" s="93">
        <f t="shared" si="1"/>
        <v>12205.20000000055</v>
      </c>
      <c r="AA26" s="88"/>
      <c r="AB26" s="108">
        <v>16</v>
      </c>
      <c r="AC26" s="122">
        <v>136</v>
      </c>
      <c r="AD26" s="118">
        <v>0.98550000000000004</v>
      </c>
      <c r="AE26" s="129">
        <v>28</v>
      </c>
      <c r="AF26" s="123">
        <v>29</v>
      </c>
      <c r="AG26" s="127">
        <v>28</v>
      </c>
      <c r="AH26" s="128">
        <v>28.5</v>
      </c>
      <c r="AI26" s="65"/>
      <c r="AJ26" s="72"/>
      <c r="AK26" s="65"/>
    </row>
    <row r="27" spans="1:37" ht="32.25" customHeight="1" thickBot="1" x14ac:dyDescent="0.25">
      <c r="A27" s="5"/>
      <c r="B27" s="7">
        <f>B26+1</f>
        <v>43514</v>
      </c>
      <c r="C27" s="8"/>
      <c r="D27" s="103">
        <f>'Suivi EAU-ELEC'!C32</f>
        <v>370</v>
      </c>
      <c r="E27" s="106"/>
      <c r="F27" s="148">
        <f t="shared" si="2"/>
        <v>4687.8999999999996</v>
      </c>
      <c r="G27" s="148"/>
      <c r="H27" s="149"/>
      <c r="I27" s="87"/>
      <c r="J27" s="110">
        <f>'Suivi EAU-ELEC'!E32</f>
        <v>3923</v>
      </c>
      <c r="K27" s="111">
        <f>'Suivi EAU-ELEC'!G32</f>
        <v>6682</v>
      </c>
      <c r="L27" s="111">
        <f>'Suivi EAU-ELEC'!I32</f>
        <v>3136</v>
      </c>
      <c r="M27" s="112">
        <f t="shared" si="3"/>
        <v>13741</v>
      </c>
      <c r="N27" s="86"/>
      <c r="O27" s="89">
        <f>M27*1.002</f>
        <v>13768.482</v>
      </c>
      <c r="P27" s="85"/>
      <c r="Q27" s="84"/>
      <c r="R27" s="83"/>
      <c r="S27" s="84"/>
      <c r="T27" s="91"/>
      <c r="U27" s="90">
        <f>'Suvi Gaz'!O27</f>
        <v>890.40000000000009</v>
      </c>
      <c r="V27" s="88"/>
      <c r="W27" s="89">
        <f t="shared" si="5"/>
        <v>8592.36</v>
      </c>
      <c r="X27" s="130">
        <v>12800.93</v>
      </c>
      <c r="Y27" s="284">
        <f t="shared" si="0"/>
        <v>2.8500000000003638</v>
      </c>
      <c r="Z27" s="93">
        <f t="shared" si="1"/>
        <v>2394.0000000003056</v>
      </c>
      <c r="AA27" s="88"/>
      <c r="AB27" s="108">
        <v>16</v>
      </c>
      <c r="AC27" s="122">
        <v>127</v>
      </c>
      <c r="AD27" s="118">
        <v>0.91369999999999996</v>
      </c>
      <c r="AE27" s="129">
        <v>28</v>
      </c>
      <c r="AF27" s="123">
        <v>28</v>
      </c>
      <c r="AG27" s="127">
        <v>27</v>
      </c>
      <c r="AH27" s="128">
        <v>27</v>
      </c>
      <c r="AI27" s="65"/>
      <c r="AJ27" s="72"/>
      <c r="AK27" s="65"/>
    </row>
    <row r="28" spans="1:37" ht="32.25" customHeight="1" thickBot="1" x14ac:dyDescent="0.25">
      <c r="A28" s="5"/>
      <c r="B28" s="7">
        <f t="shared" si="6"/>
        <v>43515</v>
      </c>
      <c r="C28" s="8"/>
      <c r="D28" s="103">
        <f>'Suivi EAU-ELEC'!C33</f>
        <v>420</v>
      </c>
      <c r="E28" s="106"/>
      <c r="F28" s="148">
        <f t="shared" si="2"/>
        <v>5321.4</v>
      </c>
      <c r="G28" s="148"/>
      <c r="H28" s="149"/>
      <c r="I28" s="88"/>
      <c r="J28" s="110">
        <f>'Suivi EAU-ELEC'!E33</f>
        <v>4681</v>
      </c>
      <c r="K28" s="111">
        <f>'Suivi EAU-ELEC'!G33</f>
        <v>6775</v>
      </c>
      <c r="L28" s="111">
        <f>'Suivi EAU-ELEC'!I33</f>
        <v>3145</v>
      </c>
      <c r="M28" s="112">
        <f t="shared" si="3"/>
        <v>14601</v>
      </c>
      <c r="N28" s="86"/>
      <c r="O28" s="89">
        <f t="shared" si="4"/>
        <v>14630.201999999999</v>
      </c>
      <c r="P28" s="85"/>
      <c r="Q28" s="84"/>
      <c r="R28" s="83"/>
      <c r="S28" s="84"/>
      <c r="T28" s="91"/>
      <c r="U28" s="90">
        <f>'Suvi Gaz'!O28</f>
        <v>2374.4</v>
      </c>
      <c r="V28" s="88"/>
      <c r="W28" s="89">
        <f t="shared" si="5"/>
        <v>22912.960000000003</v>
      </c>
      <c r="X28" s="130">
        <v>12803.78</v>
      </c>
      <c r="Y28" s="284">
        <f t="shared" si="0"/>
        <v>0</v>
      </c>
      <c r="Z28" s="93">
        <f t="shared" si="1"/>
        <v>0</v>
      </c>
      <c r="AA28" s="88"/>
      <c r="AB28" s="108">
        <v>13</v>
      </c>
      <c r="AC28" s="122">
        <v>124</v>
      </c>
      <c r="AD28" s="118">
        <v>0.93230000000000002</v>
      </c>
      <c r="AE28" s="129">
        <v>27</v>
      </c>
      <c r="AF28" s="123">
        <v>27</v>
      </c>
      <c r="AG28" s="127">
        <v>27</v>
      </c>
      <c r="AH28" s="128">
        <v>27</v>
      </c>
      <c r="AI28" s="65"/>
      <c r="AJ28" s="72"/>
      <c r="AK28" s="65"/>
    </row>
    <row r="29" spans="1:37" ht="32.25" customHeight="1" thickBot="1" x14ac:dyDescent="0.25">
      <c r="A29" s="5"/>
      <c r="B29" s="7">
        <f t="shared" si="6"/>
        <v>43516</v>
      </c>
      <c r="C29" s="8"/>
      <c r="D29" s="103">
        <f>'Suivi EAU-ELEC'!C34</f>
        <v>370</v>
      </c>
      <c r="E29" s="106"/>
      <c r="F29" s="148">
        <f t="shared" si="2"/>
        <v>4687.8999999999996</v>
      </c>
      <c r="G29" s="148"/>
      <c r="H29" s="149"/>
      <c r="I29" s="88"/>
      <c r="J29" s="110">
        <f>'Suivi EAU-ELEC'!E34</f>
        <v>4399</v>
      </c>
      <c r="K29" s="111">
        <f>'Suivi EAU-ELEC'!G34</f>
        <v>6628</v>
      </c>
      <c r="L29" s="111">
        <f>'Suivi EAU-ELEC'!I34</f>
        <v>3347</v>
      </c>
      <c r="M29" s="112">
        <f t="shared" si="3"/>
        <v>14374</v>
      </c>
      <c r="N29" s="86"/>
      <c r="O29" s="89">
        <f t="shared" si="4"/>
        <v>14402.748</v>
      </c>
      <c r="P29" s="85"/>
      <c r="Q29" s="84"/>
      <c r="R29" s="83"/>
      <c r="S29" s="84"/>
      <c r="T29" s="91"/>
      <c r="U29" s="90">
        <f>'Suvi Gaz'!O29</f>
        <v>2337.3000000000002</v>
      </c>
      <c r="V29" s="88"/>
      <c r="W29" s="89">
        <f t="shared" si="5"/>
        <v>22554.945000000003</v>
      </c>
      <c r="X29" s="130">
        <v>12803.78</v>
      </c>
      <c r="Y29" s="284">
        <f t="shared" si="0"/>
        <v>0</v>
      </c>
      <c r="Z29" s="93">
        <f t="shared" si="1"/>
        <v>0</v>
      </c>
      <c r="AA29" s="88"/>
      <c r="AB29" s="108">
        <v>17</v>
      </c>
      <c r="AC29" s="122">
        <v>117</v>
      </c>
      <c r="AD29" s="118">
        <v>0.8478</v>
      </c>
      <c r="AE29" s="129">
        <v>27</v>
      </c>
      <c r="AF29" s="123">
        <v>28</v>
      </c>
      <c r="AG29" s="127">
        <v>28</v>
      </c>
      <c r="AH29" s="128">
        <v>28.5</v>
      </c>
      <c r="AI29" s="65"/>
      <c r="AJ29" s="72"/>
      <c r="AK29" s="65"/>
    </row>
    <row r="30" spans="1:37" s="61" customFormat="1" ht="32.25" customHeight="1" thickBot="1" x14ac:dyDescent="0.25">
      <c r="A30" s="58"/>
      <c r="B30" s="59">
        <f t="shared" si="6"/>
        <v>43517</v>
      </c>
      <c r="C30" s="60"/>
      <c r="D30" s="103">
        <f>'Suivi EAU-ELEC'!C35</f>
        <v>370</v>
      </c>
      <c r="E30" s="106"/>
      <c r="F30" s="148">
        <f t="shared" si="2"/>
        <v>4687.8999999999996</v>
      </c>
      <c r="G30" s="148"/>
      <c r="H30" s="149"/>
      <c r="I30" s="88"/>
      <c r="J30" s="110">
        <f>'Suivi EAU-ELEC'!E35</f>
        <v>4277</v>
      </c>
      <c r="K30" s="111">
        <f>'Suivi EAU-ELEC'!G35</f>
        <v>6603</v>
      </c>
      <c r="L30" s="111">
        <f>'Suivi EAU-ELEC'!I35</f>
        <v>3487</v>
      </c>
      <c r="M30" s="112">
        <f t="shared" si="3"/>
        <v>14367</v>
      </c>
      <c r="N30" s="86"/>
      <c r="O30" s="89">
        <f t="shared" si="4"/>
        <v>14395.734</v>
      </c>
      <c r="P30" s="85"/>
      <c r="Q30" s="84"/>
      <c r="R30" s="83"/>
      <c r="S30" s="84"/>
      <c r="T30" s="91"/>
      <c r="U30" s="90">
        <f>'Suvi Gaz'!O30</f>
        <v>2003.4</v>
      </c>
      <c r="V30" s="88"/>
      <c r="W30" s="89">
        <f t="shared" si="5"/>
        <v>19332.810000000001</v>
      </c>
      <c r="X30" s="130">
        <v>12803.78</v>
      </c>
      <c r="Y30" s="284">
        <f t="shared" si="0"/>
        <v>0</v>
      </c>
      <c r="Z30" s="93">
        <f t="shared" si="1"/>
        <v>0</v>
      </c>
      <c r="AA30" s="88"/>
      <c r="AB30" s="108">
        <v>20</v>
      </c>
      <c r="AC30" s="122">
        <v>116</v>
      </c>
      <c r="AD30" s="118">
        <v>0.85929999999999995</v>
      </c>
      <c r="AE30" s="129">
        <v>28</v>
      </c>
      <c r="AF30" s="123">
        <v>29</v>
      </c>
      <c r="AG30" s="127">
        <v>29</v>
      </c>
      <c r="AH30" s="128">
        <v>30</v>
      </c>
      <c r="AI30" s="65"/>
      <c r="AJ30" s="72"/>
      <c r="AK30" s="65"/>
    </row>
    <row r="31" spans="1:37" ht="32.25" customHeight="1" thickBot="1" x14ac:dyDescent="0.25">
      <c r="A31" s="5"/>
      <c r="B31" s="57">
        <f t="shared" si="6"/>
        <v>43518</v>
      </c>
      <c r="C31" s="8"/>
      <c r="D31" s="103">
        <f>'Suivi EAU-ELEC'!C36</f>
        <v>410</v>
      </c>
      <c r="E31" s="83"/>
      <c r="F31" s="148">
        <f t="shared" si="2"/>
        <v>5194.7</v>
      </c>
      <c r="G31" s="148"/>
      <c r="H31" s="149"/>
      <c r="I31" s="86"/>
      <c r="J31" s="110">
        <f>'Suivi EAU-ELEC'!E36</f>
        <v>4387</v>
      </c>
      <c r="K31" s="111">
        <f>'Suivi EAU-ELEC'!G36</f>
        <v>7177</v>
      </c>
      <c r="L31" s="111">
        <f>'Suivi EAU-ELEC'!I36</f>
        <v>2901</v>
      </c>
      <c r="M31" s="112">
        <f t="shared" si="3"/>
        <v>14465</v>
      </c>
      <c r="N31" s="86"/>
      <c r="O31" s="89">
        <f t="shared" si="4"/>
        <v>14493.93</v>
      </c>
      <c r="P31" s="85"/>
      <c r="Q31" s="84"/>
      <c r="R31" s="83"/>
      <c r="S31" s="84"/>
      <c r="T31" s="91"/>
      <c r="U31" s="90">
        <f>'Suvi Gaz'!O31</f>
        <v>2114.7000000000003</v>
      </c>
      <c r="V31" s="86"/>
      <c r="W31" s="89">
        <f t="shared" si="5"/>
        <v>20406.855000000003</v>
      </c>
      <c r="X31" s="130">
        <v>12803.78</v>
      </c>
      <c r="Y31" s="284">
        <f t="shared" si="0"/>
        <v>0</v>
      </c>
      <c r="Z31" s="93">
        <f t="shared" si="1"/>
        <v>0</v>
      </c>
      <c r="AA31" s="86"/>
      <c r="AB31" s="108">
        <v>22</v>
      </c>
      <c r="AC31" s="122">
        <v>139</v>
      </c>
      <c r="AD31" s="118">
        <v>1</v>
      </c>
      <c r="AE31" s="129">
        <v>28</v>
      </c>
      <c r="AF31" s="123">
        <v>29</v>
      </c>
      <c r="AG31" s="127">
        <v>29</v>
      </c>
      <c r="AH31" s="128">
        <v>30</v>
      </c>
      <c r="AI31" s="65"/>
      <c r="AJ31" s="72"/>
      <c r="AK31" s="65"/>
    </row>
    <row r="32" spans="1:37" ht="32.25" customHeight="1" thickBot="1" x14ac:dyDescent="0.25">
      <c r="A32" s="5"/>
      <c r="B32" s="7">
        <f t="shared" si="6"/>
        <v>43519</v>
      </c>
      <c r="C32" s="8"/>
      <c r="D32" s="103">
        <f>'Suivi EAU-ELEC'!C37</f>
        <v>340</v>
      </c>
      <c r="E32" s="83"/>
      <c r="F32" s="148">
        <f t="shared" si="2"/>
        <v>4307.8</v>
      </c>
      <c r="G32" s="148"/>
      <c r="H32" s="149"/>
      <c r="I32" s="86"/>
      <c r="J32" s="110">
        <f>'Suivi EAU-ELEC'!E37</f>
        <v>4348</v>
      </c>
      <c r="K32" s="111">
        <f>'Suivi EAU-ELEC'!G37</f>
        <v>7183</v>
      </c>
      <c r="L32" s="111">
        <f>'Suivi EAU-ELEC'!I37</f>
        <v>3458</v>
      </c>
      <c r="M32" s="112">
        <f t="shared" si="3"/>
        <v>14989</v>
      </c>
      <c r="N32" s="86"/>
      <c r="O32" s="89">
        <f t="shared" si="4"/>
        <v>15018.977999999999</v>
      </c>
      <c r="P32" s="85"/>
      <c r="Q32" s="84"/>
      <c r="R32" s="83"/>
      <c r="S32" s="84"/>
      <c r="T32" s="91"/>
      <c r="U32" s="90">
        <f>'Suvi Gaz'!O32</f>
        <v>1409.8000000000002</v>
      </c>
      <c r="V32" s="86"/>
      <c r="W32" s="89">
        <f t="shared" si="5"/>
        <v>13604.570000000002</v>
      </c>
      <c r="X32" s="130">
        <v>12803.78</v>
      </c>
      <c r="Y32" s="284">
        <f t="shared" si="0"/>
        <v>0</v>
      </c>
      <c r="Z32" s="93">
        <f t="shared" si="1"/>
        <v>0</v>
      </c>
      <c r="AA32" s="86"/>
      <c r="AB32" s="108">
        <v>24</v>
      </c>
      <c r="AC32" s="122">
        <v>127</v>
      </c>
      <c r="AD32" s="118">
        <v>0.94069999999999998</v>
      </c>
      <c r="AE32" s="142">
        <v>29</v>
      </c>
      <c r="AF32" s="143">
        <v>30</v>
      </c>
      <c r="AG32" s="127">
        <v>30</v>
      </c>
      <c r="AH32" s="128">
        <v>31</v>
      </c>
      <c r="AI32" s="65"/>
      <c r="AJ32" s="72"/>
      <c r="AK32" s="65"/>
    </row>
    <row r="33" spans="1:37" ht="32.25" customHeight="1" thickBot="1" x14ac:dyDescent="0.25">
      <c r="A33" s="5"/>
      <c r="B33" s="7">
        <f t="shared" si="6"/>
        <v>43520</v>
      </c>
      <c r="C33" s="8"/>
      <c r="D33" s="103">
        <f>'Suivi EAU-ELEC'!C38</f>
        <v>450</v>
      </c>
      <c r="E33" s="83"/>
      <c r="F33" s="148">
        <f t="shared" si="2"/>
        <v>5701.5</v>
      </c>
      <c r="G33" s="148"/>
      <c r="H33" s="149"/>
      <c r="I33" s="86"/>
      <c r="J33" s="110">
        <f>'Suivi EAU-ELEC'!E38</f>
        <v>4405</v>
      </c>
      <c r="K33" s="111">
        <f>'Suivi EAU-ELEC'!G38</f>
        <v>8245</v>
      </c>
      <c r="L33" s="111">
        <f>'Suivi EAU-ELEC'!I38</f>
        <v>3737</v>
      </c>
      <c r="M33" s="112">
        <f t="shared" si="3"/>
        <v>16387</v>
      </c>
      <c r="N33" s="86"/>
      <c r="O33" s="89">
        <f t="shared" si="4"/>
        <v>16419.774000000001</v>
      </c>
      <c r="P33" s="85"/>
      <c r="Q33" s="84"/>
      <c r="R33" s="83"/>
      <c r="S33" s="84"/>
      <c r="T33" s="91"/>
      <c r="U33" s="90">
        <f>'Suvi Gaz'!O33</f>
        <v>1929.2</v>
      </c>
      <c r="V33" s="86"/>
      <c r="W33" s="89">
        <f t="shared" si="5"/>
        <v>18616.780000000002</v>
      </c>
      <c r="X33" s="130">
        <v>12803.78</v>
      </c>
      <c r="Y33" s="284">
        <f t="shared" si="0"/>
        <v>0</v>
      </c>
      <c r="Z33" s="93">
        <f t="shared" si="1"/>
        <v>0</v>
      </c>
      <c r="AA33" s="86"/>
      <c r="AB33" s="108">
        <v>23</v>
      </c>
      <c r="AC33" s="122">
        <v>116</v>
      </c>
      <c r="AD33" s="118">
        <v>0.86570000000000003</v>
      </c>
      <c r="AE33" s="142">
        <v>29</v>
      </c>
      <c r="AF33" s="143">
        <v>30</v>
      </c>
      <c r="AG33" s="127">
        <v>29.5</v>
      </c>
      <c r="AH33" s="128">
        <v>30</v>
      </c>
      <c r="AI33" s="65"/>
      <c r="AJ33" s="72"/>
      <c r="AK33" s="65"/>
    </row>
    <row r="34" spans="1:37" ht="32.25" customHeight="1" thickBot="1" x14ac:dyDescent="0.25">
      <c r="A34" s="63"/>
      <c r="B34" s="7">
        <f t="shared" si="6"/>
        <v>43521</v>
      </c>
      <c r="C34" s="8"/>
      <c r="D34" s="103">
        <f>'Suivi EAU-ELEC'!C39</f>
        <v>440</v>
      </c>
      <c r="E34" s="83"/>
      <c r="F34" s="148">
        <f t="shared" si="2"/>
        <v>5574.8</v>
      </c>
      <c r="G34" s="148"/>
      <c r="H34" s="149"/>
      <c r="I34" s="86"/>
      <c r="J34" s="110">
        <f>'Suivi EAU-ELEC'!E39</f>
        <v>4823</v>
      </c>
      <c r="K34" s="111">
        <f>'Suivi EAU-ELEC'!G39</f>
        <v>8358</v>
      </c>
      <c r="L34" s="111">
        <f>'Suivi EAU-ELEC'!I39</f>
        <v>3842</v>
      </c>
      <c r="M34" s="112">
        <f t="shared" si="3"/>
        <v>17023</v>
      </c>
      <c r="N34" s="86"/>
      <c r="O34" s="89">
        <f t="shared" si="4"/>
        <v>17057.045999999998</v>
      </c>
      <c r="P34" s="85"/>
      <c r="Q34" s="84"/>
      <c r="R34" s="83"/>
      <c r="S34" s="84"/>
      <c r="T34" s="91"/>
      <c r="U34" s="90">
        <f>'Suvi Gaz'!O34</f>
        <v>2448.6</v>
      </c>
      <c r="V34" s="86"/>
      <c r="W34" s="89">
        <f t="shared" si="5"/>
        <v>23628.99</v>
      </c>
      <c r="X34" s="130">
        <v>12803.78</v>
      </c>
      <c r="Y34" s="284">
        <f t="shared" si="0"/>
        <v>0</v>
      </c>
      <c r="Z34" s="93">
        <f t="shared" si="1"/>
        <v>0</v>
      </c>
      <c r="AA34" s="86"/>
      <c r="AB34" s="108">
        <v>24</v>
      </c>
      <c r="AC34" s="122">
        <v>108</v>
      </c>
      <c r="AD34" s="118">
        <v>0.86399999999999999</v>
      </c>
      <c r="AE34" s="142">
        <v>29.5</v>
      </c>
      <c r="AF34" s="143">
        <v>30</v>
      </c>
      <c r="AG34" s="127">
        <v>28.5</v>
      </c>
      <c r="AH34" s="128">
        <v>25</v>
      </c>
      <c r="AI34" s="65"/>
      <c r="AJ34" s="72"/>
      <c r="AK34" s="65"/>
    </row>
    <row r="35" spans="1:37" ht="32.25" customHeight="1" thickBot="1" x14ac:dyDescent="0.25">
      <c r="A35" s="5"/>
      <c r="B35" s="7">
        <f t="shared" si="6"/>
        <v>43522</v>
      </c>
      <c r="C35" s="8"/>
      <c r="D35" s="103">
        <f>'Suivi EAU-ELEC'!C40</f>
        <v>440</v>
      </c>
      <c r="E35" s="83"/>
      <c r="F35" s="148">
        <f t="shared" si="2"/>
        <v>5574.8</v>
      </c>
      <c r="G35" s="148"/>
      <c r="H35" s="149"/>
      <c r="I35" s="86"/>
      <c r="J35" s="110">
        <f>'Suivi EAU-ELEC'!E40</f>
        <v>5113</v>
      </c>
      <c r="K35" s="111">
        <f>'Suivi EAU-ELEC'!G40</f>
        <v>7700</v>
      </c>
      <c r="L35" s="111">
        <f>'Suivi EAU-ELEC'!I40</f>
        <v>4278</v>
      </c>
      <c r="M35" s="112">
        <f t="shared" si="3"/>
        <v>17091</v>
      </c>
      <c r="N35" s="86"/>
      <c r="O35" s="89">
        <f t="shared" si="4"/>
        <v>17125.182000000001</v>
      </c>
      <c r="P35" s="85"/>
      <c r="Q35" s="84"/>
      <c r="R35" s="83"/>
      <c r="S35" s="84"/>
      <c r="T35" s="91"/>
      <c r="U35" s="90">
        <f>'Suvi Gaz'!O35</f>
        <v>1817.9</v>
      </c>
      <c r="V35" s="86"/>
      <c r="W35" s="89">
        <f t="shared" si="5"/>
        <v>17542.735000000001</v>
      </c>
      <c r="X35" s="130">
        <v>12803.78</v>
      </c>
      <c r="Y35" s="284">
        <f t="shared" si="0"/>
        <v>3.4099999999998545</v>
      </c>
      <c r="Z35" s="93">
        <f t="shared" si="1"/>
        <v>2864.3999999998778</v>
      </c>
      <c r="AA35" s="86"/>
      <c r="AB35" s="108">
        <v>24</v>
      </c>
      <c r="AC35" s="122">
        <v>132</v>
      </c>
      <c r="AD35" s="118">
        <v>0.9496</v>
      </c>
      <c r="AE35" s="142">
        <v>28</v>
      </c>
      <c r="AF35" s="143">
        <v>29</v>
      </c>
      <c r="AG35" s="127">
        <v>29</v>
      </c>
      <c r="AH35" s="128">
        <v>29</v>
      </c>
      <c r="AI35" s="65"/>
      <c r="AJ35" s="72"/>
      <c r="AK35" s="65"/>
    </row>
    <row r="36" spans="1:37" ht="32.25" customHeight="1" thickBot="1" x14ac:dyDescent="0.25">
      <c r="A36" s="5"/>
      <c r="B36" s="7">
        <f t="shared" si="6"/>
        <v>43523</v>
      </c>
      <c r="C36" s="8"/>
      <c r="D36" s="103">
        <f>'Suivi EAU-ELEC'!C41</f>
        <v>400</v>
      </c>
      <c r="E36" s="83"/>
      <c r="F36" s="148">
        <f t="shared" si="2"/>
        <v>5068</v>
      </c>
      <c r="G36" s="148"/>
      <c r="H36" s="149"/>
      <c r="I36" s="86"/>
      <c r="J36" s="110">
        <f>'Suivi EAU-ELEC'!E41</f>
        <v>5226</v>
      </c>
      <c r="K36" s="111">
        <f>'Suivi EAU-ELEC'!G41</f>
        <v>8428</v>
      </c>
      <c r="L36" s="111">
        <f>'Suivi EAU-ELEC'!I41</f>
        <v>3132</v>
      </c>
      <c r="M36" s="112">
        <f t="shared" si="3"/>
        <v>16786</v>
      </c>
      <c r="N36" s="86"/>
      <c r="O36" s="89">
        <f t="shared" si="4"/>
        <v>16819.572</v>
      </c>
      <c r="P36" s="85"/>
      <c r="Q36" s="84"/>
      <c r="R36" s="83"/>
      <c r="S36" s="84"/>
      <c r="T36" s="91"/>
      <c r="U36" s="90">
        <f>'Suvi Gaz'!O36</f>
        <v>964.6</v>
      </c>
      <c r="V36" s="86"/>
      <c r="W36" s="89">
        <f t="shared" si="5"/>
        <v>9308.3900000000012</v>
      </c>
      <c r="X36" s="130">
        <v>12807.19</v>
      </c>
      <c r="Y36" s="284">
        <f t="shared" si="0"/>
        <v>8.8299999999999272</v>
      </c>
      <c r="Z36" s="93">
        <f t="shared" si="1"/>
        <v>7417.1999999999389</v>
      </c>
      <c r="AA36" s="86"/>
      <c r="AB36" s="108">
        <v>22</v>
      </c>
      <c r="AC36" s="122">
        <v>131</v>
      </c>
      <c r="AD36" s="118">
        <v>0.94930000000000003</v>
      </c>
      <c r="AE36" s="129">
        <v>29</v>
      </c>
      <c r="AF36" s="123">
        <v>29</v>
      </c>
      <c r="AG36" s="127">
        <v>28.5</v>
      </c>
      <c r="AH36" s="128">
        <v>29</v>
      </c>
      <c r="AI36" s="65"/>
      <c r="AJ36" s="72"/>
      <c r="AK36" s="65"/>
    </row>
    <row r="37" spans="1:37" ht="32.25" customHeight="1" thickBot="1" x14ac:dyDescent="0.25">
      <c r="A37" s="5"/>
      <c r="B37" s="7">
        <f t="shared" si="6"/>
        <v>43524</v>
      </c>
      <c r="C37" s="8"/>
      <c r="D37" s="103">
        <f>'Suivi EAU-ELEC'!C42</f>
        <v>400</v>
      </c>
      <c r="E37" s="83"/>
      <c r="F37" s="148">
        <f t="shared" si="2"/>
        <v>5068</v>
      </c>
      <c r="G37" s="148"/>
      <c r="H37" s="149"/>
      <c r="I37" s="86"/>
      <c r="J37" s="110">
        <f>'Suivi EAU-ELEC'!E42</f>
        <v>5353</v>
      </c>
      <c r="K37" s="111">
        <f>'Suivi EAU-ELEC'!G42</f>
        <v>9798</v>
      </c>
      <c r="L37" s="111">
        <f>'Suivi EAU-ELEC'!I42</f>
        <v>3715</v>
      </c>
      <c r="M37" s="112">
        <f t="shared" si="3"/>
        <v>18866</v>
      </c>
      <c r="N37" s="86"/>
      <c r="O37" s="89">
        <f t="shared" si="4"/>
        <v>18903.732</v>
      </c>
      <c r="P37" s="85"/>
      <c r="Q37" s="84"/>
      <c r="R37" s="83"/>
      <c r="S37" s="84"/>
      <c r="T37" s="91"/>
      <c r="U37" s="90">
        <f>'Suvi Gaz'!O37</f>
        <v>1038.8</v>
      </c>
      <c r="V37" s="86"/>
      <c r="W37" s="89">
        <f t="shared" si="5"/>
        <v>10024.42</v>
      </c>
      <c r="X37" s="130">
        <v>12816.02</v>
      </c>
      <c r="Y37" s="284">
        <f t="shared" si="0"/>
        <v>9.2199999999993452</v>
      </c>
      <c r="Z37" s="93">
        <f t="shared" si="1"/>
        <v>7744.7999999994499</v>
      </c>
      <c r="AA37" s="86"/>
      <c r="AB37" s="108">
        <v>21</v>
      </c>
      <c r="AC37" s="122">
        <v>137</v>
      </c>
      <c r="AD37" s="118">
        <v>0.98560000000000003</v>
      </c>
      <c r="AE37" s="129">
        <v>29</v>
      </c>
      <c r="AF37" s="123">
        <v>29</v>
      </c>
      <c r="AG37" s="127">
        <v>28</v>
      </c>
      <c r="AH37" s="128">
        <v>28</v>
      </c>
      <c r="AI37" s="65"/>
      <c r="AJ37" s="72"/>
      <c r="AK37" s="65"/>
    </row>
    <row r="38" spans="1:37" ht="32.25" customHeight="1" thickBot="1" x14ac:dyDescent="0.25">
      <c r="A38" s="5"/>
      <c r="B38" s="7">
        <f t="shared" si="6"/>
        <v>43525</v>
      </c>
      <c r="C38" s="8"/>
      <c r="D38" s="103">
        <f>'Suivi EAU-ELEC'!C43</f>
        <v>380</v>
      </c>
      <c r="E38" s="83"/>
      <c r="F38" s="148">
        <f t="shared" si="2"/>
        <v>4814.6000000000004</v>
      </c>
      <c r="G38" s="148"/>
      <c r="H38" s="149"/>
      <c r="I38" s="86"/>
      <c r="J38" s="110">
        <f>'Suivi EAU-ELEC'!E43</f>
        <v>5006</v>
      </c>
      <c r="K38" s="111">
        <f>'Suivi EAU-ELEC'!G43</f>
        <v>9894</v>
      </c>
      <c r="L38" s="111">
        <f>'Suivi EAU-ELEC'!I43</f>
        <v>3433</v>
      </c>
      <c r="M38" s="112">
        <f t="shared" si="3"/>
        <v>18333</v>
      </c>
      <c r="N38" s="86"/>
      <c r="O38" s="89">
        <f t="shared" si="4"/>
        <v>18369.666000000001</v>
      </c>
      <c r="P38" s="85"/>
      <c r="Q38" s="84"/>
      <c r="R38" s="83"/>
      <c r="S38" s="84"/>
      <c r="T38" s="91"/>
      <c r="U38" s="90">
        <f>'Suvi Gaz'!O38</f>
        <v>1113</v>
      </c>
      <c r="V38" s="86"/>
      <c r="W38" s="89">
        <f t="shared" si="5"/>
        <v>10740.45</v>
      </c>
      <c r="X38" s="130">
        <v>12825.24</v>
      </c>
      <c r="Y38" s="284">
        <f t="shared" si="0"/>
        <v>8.8500000000003638</v>
      </c>
      <c r="Z38" s="93">
        <f t="shared" si="1"/>
        <v>7434.0000000003056</v>
      </c>
      <c r="AA38" s="86"/>
      <c r="AB38" s="108">
        <v>20</v>
      </c>
      <c r="AC38" s="122">
        <v>132</v>
      </c>
      <c r="AD38" s="118">
        <v>0.95650000000000002</v>
      </c>
      <c r="AE38" s="129">
        <v>29.5</v>
      </c>
      <c r="AF38" s="120">
        <v>30</v>
      </c>
      <c r="AG38" s="127">
        <v>26</v>
      </c>
      <c r="AH38" s="128">
        <v>28</v>
      </c>
      <c r="AI38" s="65"/>
      <c r="AJ38" s="72"/>
      <c r="AK38" s="65"/>
    </row>
    <row r="39" spans="1:37" ht="32.25" customHeight="1" thickBot="1" x14ac:dyDescent="0.25">
      <c r="A39" s="5"/>
      <c r="B39" s="7">
        <f t="shared" si="6"/>
        <v>43526</v>
      </c>
      <c r="C39" s="8"/>
      <c r="D39" s="103">
        <f>'Suivi EAU-ELEC'!C44</f>
        <v>420</v>
      </c>
      <c r="E39" s="83"/>
      <c r="F39" s="148">
        <f t="shared" si="2"/>
        <v>5321.4</v>
      </c>
      <c r="G39" s="148"/>
      <c r="H39" s="149"/>
      <c r="I39" s="86"/>
      <c r="J39" s="110">
        <f>'Suivi EAU-ELEC'!E44</f>
        <v>4947</v>
      </c>
      <c r="K39" s="111">
        <f>'Suivi EAU-ELEC'!G44</f>
        <v>7679</v>
      </c>
      <c r="L39" s="111">
        <f>'Suivi EAU-ELEC'!I44</f>
        <v>3829</v>
      </c>
      <c r="M39" s="112">
        <f t="shared" si="3"/>
        <v>16455</v>
      </c>
      <c r="N39" s="86"/>
      <c r="O39" s="89">
        <f t="shared" si="4"/>
        <v>16487.91</v>
      </c>
      <c r="P39" s="85"/>
      <c r="Q39" s="84"/>
      <c r="R39" s="83"/>
      <c r="S39" s="84"/>
      <c r="T39" s="91"/>
      <c r="U39" s="90">
        <f>'Suvi Gaz'!O39</f>
        <v>1150.1000000000001</v>
      </c>
      <c r="V39" s="86"/>
      <c r="W39" s="89">
        <f t="shared" si="5"/>
        <v>11098.465000000002</v>
      </c>
      <c r="X39" s="130">
        <v>12834.09</v>
      </c>
      <c r="Y39" s="284">
        <f t="shared" si="0"/>
        <v>0</v>
      </c>
      <c r="Z39" s="93">
        <f t="shared" si="1"/>
        <v>0</v>
      </c>
      <c r="AA39" s="86"/>
      <c r="AB39" s="108">
        <v>21</v>
      </c>
      <c r="AC39" s="122">
        <v>132</v>
      </c>
      <c r="AD39" s="118">
        <v>0.97060000000000002</v>
      </c>
      <c r="AE39" s="129">
        <v>29</v>
      </c>
      <c r="AF39" s="123">
        <v>30</v>
      </c>
      <c r="AG39" s="127">
        <v>26</v>
      </c>
      <c r="AH39" s="128">
        <v>27.5</v>
      </c>
      <c r="AI39" s="65"/>
      <c r="AJ39" s="72"/>
      <c r="AK39" s="65"/>
    </row>
    <row r="40" spans="1:37" ht="32.25" customHeight="1" thickBot="1" x14ac:dyDescent="0.25">
      <c r="A40" s="5"/>
      <c r="B40" s="7">
        <f t="shared" si="6"/>
        <v>43527</v>
      </c>
      <c r="C40" s="8"/>
      <c r="D40" s="103">
        <f>'Suivi EAU-ELEC'!C45</f>
        <v>0</v>
      </c>
      <c r="E40" s="107"/>
      <c r="F40" s="148">
        <f t="shared" si="2"/>
        <v>0</v>
      </c>
      <c r="G40" s="148"/>
      <c r="H40" s="149"/>
      <c r="I40" s="86"/>
      <c r="J40" s="110">
        <f>'Suivi EAU-ELEC'!E45</f>
        <v>0</v>
      </c>
      <c r="K40" s="111">
        <f>'Suivi EAU-ELEC'!G45</f>
        <v>0</v>
      </c>
      <c r="L40" s="111">
        <f>'Suivi EAU-ELEC'!I45</f>
        <v>0</v>
      </c>
      <c r="M40" s="112">
        <f t="shared" si="3"/>
        <v>0</v>
      </c>
      <c r="N40" s="86"/>
      <c r="O40" s="89">
        <f t="shared" si="4"/>
        <v>0</v>
      </c>
      <c r="P40" s="85"/>
      <c r="Q40" s="84"/>
      <c r="R40" s="83"/>
      <c r="S40" s="84"/>
      <c r="T40" s="91"/>
      <c r="U40" s="90">
        <f>'Suvi Gaz'!O40</f>
        <v>0</v>
      </c>
      <c r="V40" s="86"/>
      <c r="W40" s="89">
        <f t="shared" si="5"/>
        <v>0</v>
      </c>
      <c r="X40" s="126"/>
      <c r="Y40" s="113">
        <f t="shared" ref="Y11:Y40" si="7">IF(X41&lt;X40,0,X41-X40)</f>
        <v>0</v>
      </c>
      <c r="Z40" s="93">
        <f t="shared" ref="Z11:Z40" si="8">Y40*0.53*1000</f>
        <v>0</v>
      </c>
      <c r="AA40" s="86"/>
      <c r="AB40" s="116"/>
      <c r="AC40" s="117"/>
      <c r="AD40" s="124"/>
      <c r="AE40" s="136"/>
      <c r="AF40" s="140"/>
      <c r="AG40" s="119"/>
      <c r="AH40" s="141"/>
      <c r="AI40" s="65"/>
      <c r="AJ40" s="72"/>
      <c r="AK40" s="65"/>
    </row>
    <row r="41" spans="1:37" ht="44.25" customHeight="1" thickBot="1" x14ac:dyDescent="0.25">
      <c r="A41" s="5"/>
      <c r="B41" s="53"/>
      <c r="C41" s="15"/>
      <c r="D41" s="81">
        <f>SUM(D10:D37)</f>
        <v>10310</v>
      </c>
      <c r="E41" s="1"/>
      <c r="F41" s="165">
        <f>SUM(F10:H37)</f>
        <v>130627.69999999997</v>
      </c>
      <c r="G41" s="166"/>
      <c r="H41" s="167"/>
      <c r="I41" s="1"/>
      <c r="J41" s="81">
        <f>SUM(J10:J37)</f>
        <v>125747</v>
      </c>
      <c r="K41" s="81">
        <f t="shared" ref="K41:M41" si="9">SUM(K10:K37)</f>
        <v>195629</v>
      </c>
      <c r="L41" s="81">
        <f t="shared" si="9"/>
        <v>90101</v>
      </c>
      <c r="M41" s="81">
        <f t="shared" si="9"/>
        <v>411477</v>
      </c>
      <c r="N41" s="27"/>
      <c r="O41" s="165">
        <v>385768</v>
      </c>
      <c r="P41" s="166"/>
      <c r="Q41" s="167"/>
      <c r="R41" s="27"/>
      <c r="S41" s="82">
        <f>SUM(S10:S40)</f>
        <v>0</v>
      </c>
      <c r="T41" s="27"/>
      <c r="U41" s="81">
        <f t="shared" ref="U41" si="10">SUM(U10:U37)</f>
        <v>32054.399999999998</v>
      </c>
      <c r="V41" s="27"/>
      <c r="W41" s="81">
        <f t="shared" ref="W41" si="11">SUM(W10:W37)</f>
        <v>309324.96000000002</v>
      </c>
      <c r="X41" s="121"/>
      <c r="Y41" s="81">
        <f t="shared" ref="Y41:Z41" si="12">SUM(Y10:Y37)</f>
        <v>291.63999999999942</v>
      </c>
      <c r="Z41" s="81">
        <f t="shared" si="12"/>
        <v>244977.59999999945</v>
      </c>
      <c r="AA41" s="1"/>
      <c r="AB41" s="275"/>
      <c r="AC41" s="276"/>
      <c r="AD41" s="277"/>
      <c r="AE41" s="274"/>
      <c r="AF41" s="274"/>
      <c r="AG41" s="278"/>
      <c r="AH41" s="278"/>
      <c r="AI41" s="139"/>
      <c r="AJ41" s="66"/>
      <c r="AK41" s="6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61"/>
      <c r="G42" s="161"/>
      <c r="H42" s="16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09"/>
      <c r="AI42" s="67"/>
      <c r="AJ42" s="67"/>
      <c r="AK42" s="67"/>
    </row>
    <row r="43" spans="1:37" s="22" customFormat="1" ht="36.75" customHeight="1" thickBot="1" x14ac:dyDescent="0.25">
      <c r="A43" s="168" t="s">
        <v>10</v>
      </c>
      <c r="B43" s="169"/>
      <c r="C43" s="170"/>
      <c r="D43" s="19" t="s">
        <v>7</v>
      </c>
      <c r="E43" s="46"/>
      <c r="F43" s="20">
        <v>1.002</v>
      </c>
      <c r="G43" s="150">
        <f>J41</f>
        <v>125747</v>
      </c>
      <c r="H43" s="151"/>
      <c r="I43" s="152"/>
      <c r="J43" s="159">
        <f>G43*F43</f>
        <v>125998.49400000001</v>
      </c>
      <c r="K43" s="160"/>
      <c r="L43" s="189">
        <f>J43+J44+J45</f>
        <v>412299.95399999997</v>
      </c>
      <c r="M43" s="190"/>
      <c r="N43" s="190"/>
      <c r="O43" s="190"/>
      <c r="P43" s="190"/>
      <c r="Q43" s="190"/>
      <c r="R43" s="190"/>
      <c r="S43" s="190"/>
      <c r="T43" s="190"/>
      <c r="U43" s="191"/>
      <c r="V43" s="9"/>
      <c r="W43" s="9"/>
      <c r="X43" s="2"/>
      <c r="Y43" s="9"/>
      <c r="Z43" s="9"/>
      <c r="AA43" s="21"/>
      <c r="AB43" s="9"/>
      <c r="AC43" s="55"/>
      <c r="AD43" s="9"/>
      <c r="AG43" s="13"/>
      <c r="AH43" s="109"/>
      <c r="AJ43" s="70"/>
      <c r="AK43" s="70"/>
    </row>
    <row r="44" spans="1:37" s="22" customFormat="1" ht="36.75" customHeight="1" thickBot="1" x14ac:dyDescent="0.25">
      <c r="A44" s="171"/>
      <c r="B44" s="172"/>
      <c r="C44" s="173"/>
      <c r="D44" s="17" t="s">
        <v>8</v>
      </c>
      <c r="E44" s="46"/>
      <c r="F44" s="20">
        <v>1.002</v>
      </c>
      <c r="G44" s="150">
        <f>K41</f>
        <v>195629</v>
      </c>
      <c r="H44" s="151"/>
      <c r="I44" s="152"/>
      <c r="J44" s="159">
        <f>G44*F44</f>
        <v>196020.258</v>
      </c>
      <c r="K44" s="160"/>
      <c r="L44" s="192"/>
      <c r="M44" s="193"/>
      <c r="N44" s="193"/>
      <c r="O44" s="193"/>
      <c r="P44" s="193"/>
      <c r="Q44" s="193"/>
      <c r="R44" s="193"/>
      <c r="S44" s="193"/>
      <c r="T44" s="193"/>
      <c r="U44" s="19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0"/>
    </row>
    <row r="45" spans="1:37" s="22" customFormat="1" ht="36.75" customHeight="1" thickBot="1" x14ac:dyDescent="0.25">
      <c r="A45" s="171"/>
      <c r="B45" s="172"/>
      <c r="C45" s="173"/>
      <c r="D45" s="23" t="s">
        <v>9</v>
      </c>
      <c r="E45" s="47"/>
      <c r="F45" s="20">
        <v>1.002</v>
      </c>
      <c r="G45" s="150">
        <f>L41</f>
        <v>90101</v>
      </c>
      <c r="H45" s="151"/>
      <c r="I45" s="152"/>
      <c r="J45" s="159">
        <f>G45*F45</f>
        <v>90281.202000000005</v>
      </c>
      <c r="K45" s="160"/>
      <c r="L45" s="195"/>
      <c r="M45" s="196"/>
      <c r="N45" s="196"/>
      <c r="O45" s="196"/>
      <c r="P45" s="196"/>
      <c r="Q45" s="196"/>
      <c r="R45" s="196"/>
      <c r="S45" s="196"/>
      <c r="T45" s="196"/>
      <c r="U45" s="19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0"/>
    </row>
    <row r="46" spans="1:37" s="25" customFormat="1" ht="59.25" customHeight="1" thickBot="1" x14ac:dyDescent="0.25">
      <c r="A46" s="162" t="s">
        <v>11</v>
      </c>
      <c r="B46" s="163"/>
      <c r="C46" s="163"/>
      <c r="D46" s="164"/>
      <c r="E46" s="46"/>
      <c r="F46" s="24">
        <v>12.67</v>
      </c>
      <c r="G46" s="162">
        <f>D41</f>
        <v>10310</v>
      </c>
      <c r="H46" s="163"/>
      <c r="I46" s="164"/>
      <c r="J46" s="175">
        <f>G46*F46</f>
        <v>130627.7</v>
      </c>
      <c r="K46" s="176"/>
      <c r="L46" s="183">
        <f>J46</f>
        <v>130627.7</v>
      </c>
      <c r="M46" s="184"/>
      <c r="N46" s="184"/>
      <c r="O46" s="184"/>
      <c r="P46" s="184"/>
      <c r="Q46" s="184"/>
      <c r="R46" s="184"/>
      <c r="S46" s="184"/>
      <c r="T46" s="184"/>
      <c r="U46" s="18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1"/>
    </row>
    <row r="47" spans="1:37" s="25" customFormat="1" ht="69.75" customHeight="1" thickBot="1" x14ac:dyDescent="0.25">
      <c r="A47" s="180" t="s">
        <v>13</v>
      </c>
      <c r="B47" s="181"/>
      <c r="C47" s="181"/>
      <c r="D47" s="182"/>
      <c r="E47" s="46"/>
      <c r="F47" s="288">
        <v>9.65</v>
      </c>
      <c r="G47" s="177">
        <f>U41</f>
        <v>32054.399999999998</v>
      </c>
      <c r="H47" s="178"/>
      <c r="I47" s="179"/>
      <c r="J47" s="177">
        <f>G47*F47</f>
        <v>309324.95999999996</v>
      </c>
      <c r="K47" s="179"/>
      <c r="L47" s="186">
        <f>J47</f>
        <v>309324.95999999996</v>
      </c>
      <c r="M47" s="187"/>
      <c r="N47" s="187"/>
      <c r="O47" s="187"/>
      <c r="P47" s="187"/>
      <c r="Q47" s="187"/>
      <c r="R47" s="187"/>
      <c r="S47" s="187"/>
      <c r="T47" s="187"/>
      <c r="U47" s="188"/>
      <c r="V47" s="9"/>
      <c r="W47" s="9"/>
      <c r="X47" s="9"/>
      <c r="Y47" s="9"/>
      <c r="Z47" s="9"/>
      <c r="AA47" s="21"/>
      <c r="AB47" s="9"/>
      <c r="AC47" s="21"/>
      <c r="AD47" s="28"/>
      <c r="AE47" s="9"/>
      <c r="AF47" s="21"/>
      <c r="AG47" s="9"/>
      <c r="AH47" s="9"/>
      <c r="AK47" s="71"/>
    </row>
    <row r="48" spans="1:37" s="18" customFormat="1" ht="27" customHeight="1" x14ac:dyDescent="0.2">
      <c r="A48" s="2"/>
      <c r="B48" s="2"/>
      <c r="C48" s="2"/>
      <c r="D48" s="2"/>
      <c r="E48" s="29"/>
      <c r="F48" s="29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8"/>
      <c r="S48" s="28"/>
      <c r="T48" s="28"/>
      <c r="U48" s="28"/>
      <c r="V48" s="16"/>
      <c r="W48" s="28"/>
      <c r="X48" s="28"/>
      <c r="Y48" s="28"/>
      <c r="Z48" s="28"/>
      <c r="AA48" s="2"/>
      <c r="AB48" s="28"/>
      <c r="AC48" s="2"/>
      <c r="AD48" s="6"/>
      <c r="AE48" s="28"/>
      <c r="AF48" s="2"/>
      <c r="AG48" s="28"/>
      <c r="AH48" s="9"/>
      <c r="AK48" s="6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8"/>
      <c r="AK50" s="6"/>
    </row>
    <row r="51" spans="2:37" ht="18.75" customHeight="1" x14ac:dyDescent="0.2">
      <c r="AH51" s="6"/>
      <c r="AK51" s="68"/>
    </row>
    <row r="52" spans="2:37" x14ac:dyDescent="0.2">
      <c r="AH52" s="13"/>
      <c r="AK52" s="68"/>
    </row>
    <row r="53" spans="2:37" x14ac:dyDescent="0.2">
      <c r="AK53" s="68"/>
    </row>
    <row r="54" spans="2:37" x14ac:dyDescent="0.2">
      <c r="AK54" s="68"/>
    </row>
    <row r="55" spans="2:37" ht="39" customHeight="1" x14ac:dyDescent="0.2"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K55" s="68"/>
    </row>
    <row r="56" spans="2:37" x14ac:dyDescent="0.2">
      <c r="AK56" s="68"/>
    </row>
    <row r="57" spans="2:37" x14ac:dyDescent="0.2">
      <c r="AK57" s="68"/>
    </row>
    <row r="58" spans="2:37" x14ac:dyDescent="0.2">
      <c r="AK58" s="68"/>
    </row>
    <row r="59" spans="2:37" x14ac:dyDescent="0.2">
      <c r="AK59" s="68"/>
    </row>
    <row r="60" spans="2:37" x14ac:dyDescent="0.2">
      <c r="AK60" s="68"/>
    </row>
    <row r="61" spans="2:37" x14ac:dyDescent="0.2">
      <c r="AK61" s="68"/>
    </row>
    <row r="62" spans="2:37" x14ac:dyDescent="0.2">
      <c r="AK62" s="68"/>
    </row>
    <row r="63" spans="2:37" x14ac:dyDescent="0.2">
      <c r="AK63" s="68"/>
    </row>
    <row r="64" spans="2:37" x14ac:dyDescent="0.2">
      <c r="AK64" s="68"/>
    </row>
    <row r="65" spans="37:37" x14ac:dyDescent="0.2">
      <c r="AK65" s="68"/>
    </row>
    <row r="66" spans="37:37" x14ac:dyDescent="0.2">
      <c r="AK66" s="68"/>
    </row>
    <row r="67" spans="37:37" x14ac:dyDescent="0.2">
      <c r="AK67" s="68"/>
    </row>
    <row r="68" spans="37:37" x14ac:dyDescent="0.2">
      <c r="AK68" s="68"/>
    </row>
    <row r="69" spans="37:37" x14ac:dyDescent="0.2">
      <c r="AK69" s="68"/>
    </row>
    <row r="70" spans="37:37" x14ac:dyDescent="0.2">
      <c r="AK70" s="68"/>
    </row>
    <row r="71" spans="37:37" x14ac:dyDescent="0.2">
      <c r="AK71" s="68"/>
    </row>
    <row r="72" spans="37:37" x14ac:dyDescent="0.2">
      <c r="AK72" s="68"/>
    </row>
    <row r="73" spans="37:37" x14ac:dyDescent="0.2">
      <c r="AK73" s="68"/>
    </row>
    <row r="74" spans="37:37" x14ac:dyDescent="0.2">
      <c r="AK74" s="68"/>
    </row>
    <row r="75" spans="37:37" x14ac:dyDescent="0.2">
      <c r="AK75" s="68"/>
    </row>
    <row r="76" spans="37:37" x14ac:dyDescent="0.2">
      <c r="AK76" s="68"/>
    </row>
    <row r="77" spans="37:37" x14ac:dyDescent="0.2">
      <c r="AK77" s="68"/>
    </row>
    <row r="78" spans="37:37" x14ac:dyDescent="0.2">
      <c r="AK78" s="68"/>
    </row>
    <row r="79" spans="37:37" x14ac:dyDescent="0.2">
      <c r="AK79" s="68"/>
    </row>
    <row r="80" spans="37:37" x14ac:dyDescent="0.2">
      <c r="AK80" s="68"/>
    </row>
    <row r="81" spans="37:37" x14ac:dyDescent="0.2">
      <c r="AK81" s="68"/>
    </row>
    <row r="82" spans="37:37" x14ac:dyDescent="0.2">
      <c r="AK82" s="68"/>
    </row>
    <row r="83" spans="37:37" x14ac:dyDescent="0.2">
      <c r="AK83" s="68"/>
    </row>
    <row r="84" spans="37:37" x14ac:dyDescent="0.2">
      <c r="AK84" s="68"/>
    </row>
    <row r="85" spans="37:37" x14ac:dyDescent="0.2">
      <c r="AK85" s="68"/>
    </row>
    <row r="86" spans="37:37" x14ac:dyDescent="0.2">
      <c r="AK86" s="68"/>
    </row>
    <row r="87" spans="37:37" x14ac:dyDescent="0.2">
      <c r="AK87" s="68"/>
    </row>
    <row r="88" spans="37:37" x14ac:dyDescent="0.2">
      <c r="AK88" s="68"/>
    </row>
    <row r="89" spans="37:37" x14ac:dyDescent="0.2">
      <c r="AK89" s="68"/>
    </row>
    <row r="90" spans="37:37" x14ac:dyDescent="0.2">
      <c r="AK90" s="68"/>
    </row>
    <row r="91" spans="37:37" x14ac:dyDescent="0.2">
      <c r="AK91" s="68"/>
    </row>
    <row r="92" spans="37:37" x14ac:dyDescent="0.2">
      <c r="AK92" s="68"/>
    </row>
    <row r="93" spans="37:37" x14ac:dyDescent="0.2">
      <c r="AK93" s="68"/>
    </row>
    <row r="94" spans="37:37" x14ac:dyDescent="0.2">
      <c r="AK94" s="68"/>
    </row>
    <row r="95" spans="37:37" x14ac:dyDescent="0.2">
      <c r="AK95" s="68"/>
    </row>
    <row r="96" spans="37:37" x14ac:dyDescent="0.2">
      <c r="AK96" s="68"/>
    </row>
    <row r="97" spans="37:37" x14ac:dyDescent="0.2">
      <c r="AK97" s="68"/>
    </row>
    <row r="98" spans="37:37" x14ac:dyDescent="0.2">
      <c r="AK98" s="68"/>
    </row>
    <row r="99" spans="37:37" x14ac:dyDescent="0.2">
      <c r="AK99" s="68"/>
    </row>
    <row r="100" spans="37:37" x14ac:dyDescent="0.2">
      <c r="AK100" s="68"/>
    </row>
    <row r="101" spans="37:37" x14ac:dyDescent="0.2">
      <c r="AK101" s="68"/>
    </row>
    <row r="102" spans="37:37" x14ac:dyDescent="0.2">
      <c r="AK102" s="68"/>
    </row>
    <row r="103" spans="37:37" x14ac:dyDescent="0.2">
      <c r="AK103" s="68"/>
    </row>
    <row r="104" spans="37:37" x14ac:dyDescent="0.2">
      <c r="AK104" s="68"/>
    </row>
    <row r="105" spans="37:37" x14ac:dyDescent="0.2">
      <c r="AK105" s="68"/>
    </row>
    <row r="106" spans="37:37" x14ac:dyDescent="0.2">
      <c r="AK106" s="68"/>
    </row>
    <row r="107" spans="37:37" x14ac:dyDescent="0.2">
      <c r="AK107" s="68"/>
    </row>
    <row r="108" spans="37:37" x14ac:dyDescent="0.2">
      <c r="AK108" s="68"/>
    </row>
    <row r="109" spans="37:37" x14ac:dyDescent="0.2">
      <c r="AK109" s="68"/>
    </row>
    <row r="110" spans="37:37" x14ac:dyDescent="0.2">
      <c r="AK110" s="68"/>
    </row>
    <row r="111" spans="37:37" x14ac:dyDescent="0.2">
      <c r="AK111" s="68"/>
    </row>
    <row r="112" spans="37:37" x14ac:dyDescent="0.2">
      <c r="AK112" s="68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G37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defaultColWidth="11.42578125" defaultRowHeight="15" x14ac:dyDescent="0.3"/>
  <cols>
    <col min="1" max="1" width="18.7109375" style="30" customWidth="1"/>
    <col min="2" max="3" width="9.5703125" style="31" customWidth="1"/>
    <col min="4" max="4" width="9.85546875" style="31" customWidth="1"/>
    <col min="5" max="5" width="8.85546875" style="31" customWidth="1"/>
    <col min="6" max="6" width="11.42578125" style="31" customWidth="1"/>
    <col min="7" max="7" width="8.85546875" style="31" customWidth="1"/>
    <col min="8" max="9" width="9.85546875" style="31" customWidth="1"/>
    <col min="10" max="10" width="16.140625" style="31" customWidth="1"/>
    <col min="11" max="11" width="17.28515625" style="31" customWidth="1"/>
    <col min="12" max="12" width="14.28515625" style="31" customWidth="1"/>
    <col min="13" max="13" width="16.28515625" style="31" customWidth="1"/>
    <col min="14" max="14" width="14.140625" style="31" customWidth="1"/>
    <col min="15" max="15" width="14.42578125" style="31" customWidth="1"/>
    <col min="16" max="16" width="15.85546875" style="31" customWidth="1"/>
    <col min="17" max="17" width="11.28515625" style="31" customWidth="1"/>
    <col min="18" max="18" width="8.42578125" style="31" customWidth="1"/>
    <col min="19" max="19" width="9.85546875" style="31" customWidth="1"/>
    <col min="20" max="20" width="11.28515625" style="31" customWidth="1"/>
    <col min="21" max="21" width="8.42578125" style="31" customWidth="1"/>
    <col min="22" max="22" width="9.85546875" style="31" customWidth="1"/>
    <col min="23" max="23" width="11.28515625" style="31" customWidth="1"/>
    <col min="24" max="24" width="8.42578125" style="31" customWidth="1"/>
    <col min="25" max="25" width="9.85546875" style="31" customWidth="1"/>
    <col min="26" max="26" width="11.28515625" style="31" customWidth="1"/>
    <col min="27" max="27" width="8.42578125" style="31" customWidth="1"/>
    <col min="28" max="28" width="9.85546875" style="31" customWidth="1"/>
    <col min="29" max="29" width="15.28515625" style="32" customWidth="1"/>
    <col min="30" max="30" width="20.140625" style="31" customWidth="1"/>
    <col min="31" max="31" width="24.5703125" style="31" customWidth="1"/>
    <col min="32" max="16384" width="11.42578125" style="31"/>
  </cols>
  <sheetData>
    <row r="1" spans="1:31" ht="62.25" customHeight="1" thickBot="1" x14ac:dyDescent="0.35">
      <c r="A1" s="226" t="s">
        <v>0</v>
      </c>
      <c r="B1" s="226"/>
      <c r="C1" s="227"/>
      <c r="D1" s="228" t="s">
        <v>57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30"/>
      <c r="AA1" s="231"/>
      <c r="AB1" s="232"/>
      <c r="AC1" s="232"/>
    </row>
    <row r="2" spans="1:31" ht="41.25" customHeight="1" thickBot="1" x14ac:dyDescent="0.4">
      <c r="A2" s="73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6"/>
      <c r="Q2" s="233">
        <v>803</v>
      </c>
      <c r="R2" s="234"/>
      <c r="S2" s="234"/>
      <c r="T2" s="234">
        <v>519</v>
      </c>
      <c r="U2" s="234"/>
      <c r="V2" s="234"/>
      <c r="W2" s="234">
        <v>800</v>
      </c>
      <c r="X2" s="234"/>
      <c r="Y2" s="234"/>
      <c r="Z2" s="234">
        <v>802</v>
      </c>
      <c r="AA2" s="234"/>
      <c r="AB2" s="237"/>
      <c r="AC2" s="33"/>
    </row>
    <row r="3" spans="1:31" ht="50.25" customHeight="1" thickBot="1" x14ac:dyDescent="0.35">
      <c r="B3" s="36" t="s">
        <v>50</v>
      </c>
      <c r="C3" s="37" t="s">
        <v>14</v>
      </c>
      <c r="D3" s="36" t="s">
        <v>51</v>
      </c>
      <c r="E3" s="37" t="s">
        <v>15</v>
      </c>
      <c r="F3" s="36" t="s">
        <v>52</v>
      </c>
      <c r="G3" s="37" t="s">
        <v>16</v>
      </c>
      <c r="H3" s="36" t="s">
        <v>53</v>
      </c>
      <c r="I3" s="37" t="s">
        <v>17</v>
      </c>
      <c r="J3" s="38" t="s">
        <v>18</v>
      </c>
      <c r="K3" s="38" t="s">
        <v>19</v>
      </c>
      <c r="L3" s="38" t="s">
        <v>20</v>
      </c>
      <c r="M3" s="38" t="s">
        <v>21</v>
      </c>
      <c r="N3" s="38" t="s">
        <v>22</v>
      </c>
      <c r="O3" s="39" t="s">
        <v>23</v>
      </c>
      <c r="P3" s="39" t="s">
        <v>24</v>
      </c>
      <c r="Q3" s="48" t="s">
        <v>25</v>
      </c>
      <c r="R3" s="48" t="s">
        <v>26</v>
      </c>
      <c r="S3" s="48" t="s">
        <v>27</v>
      </c>
      <c r="T3" s="49" t="s">
        <v>28</v>
      </c>
      <c r="U3" s="49" t="s">
        <v>26</v>
      </c>
      <c r="V3" s="49" t="s">
        <v>27</v>
      </c>
      <c r="W3" s="49" t="s">
        <v>29</v>
      </c>
      <c r="X3" s="49" t="s">
        <v>26</v>
      </c>
      <c r="Y3" s="49" t="s">
        <v>27</v>
      </c>
      <c r="Z3" s="49" t="s">
        <v>30</v>
      </c>
      <c r="AA3" s="49" t="s">
        <v>26</v>
      </c>
      <c r="AB3" s="50" t="s">
        <v>27</v>
      </c>
      <c r="AC3" s="77" t="s">
        <v>31</v>
      </c>
      <c r="AD3" s="76" t="s">
        <v>32</v>
      </c>
      <c r="AE3" s="75" t="s">
        <v>33</v>
      </c>
    </row>
    <row r="4" spans="1:31" ht="32.25" customHeight="1" x14ac:dyDescent="0.3">
      <c r="A4" s="34">
        <v>43490</v>
      </c>
      <c r="B4" s="131">
        <v>43</v>
      </c>
      <c r="C4" s="132">
        <f t="shared" ref="C4:C41" si="0">IF(AC4&gt;0,((B4-R4)+(S4-B5)),IF(B5=0, ,(B4-B5)))</f>
        <v>6</v>
      </c>
      <c r="D4" s="131">
        <v>47</v>
      </c>
      <c r="E4" s="132">
        <f t="shared" ref="E4:E41" si="1">IF(AC4&gt;0,((D4-U4)+(V4-D5)),IF(D5=0, ,(D4-D5)))</f>
        <v>7</v>
      </c>
      <c r="F4" s="131">
        <v>41</v>
      </c>
      <c r="G4" s="132">
        <f t="shared" ref="G4:G41" si="2">IF(AC4&gt;0,((F4-X4)+(Y4-F5)),IF(F5=0, ,(F4-F5)))</f>
        <v>6</v>
      </c>
      <c r="H4" s="131">
        <v>42</v>
      </c>
      <c r="I4" s="132">
        <f t="shared" ref="I4:I43" si="3">IF(AC4&gt;0,((H4-AA4)+(AB4-H5)),IF(H5=0, ,(H4-H5)))</f>
        <v>2</v>
      </c>
      <c r="J4" s="132">
        <f t="shared" ref="J4:J42" si="4">B4+D4+F4+H4</f>
        <v>173</v>
      </c>
      <c r="K4" s="132">
        <f t="shared" ref="K4:K11" si="5">J4/4</f>
        <v>43.25</v>
      </c>
      <c r="L4" s="132">
        <f t="shared" ref="L4:L42" si="6">IF(AC4&gt;0,((K4-AD4)+(AE4-K5)),IF(K5=0, ,(K4-K5)))</f>
        <v>5.25</v>
      </c>
      <c r="M4" s="132">
        <f t="shared" ref="M4:M11" si="7">7000*4</f>
        <v>28000</v>
      </c>
      <c r="N4" s="132">
        <f t="shared" ref="N4:N42" si="8">L4*M4/100</f>
        <v>1470</v>
      </c>
      <c r="O4" s="132">
        <f t="shared" ref="O4:O43" si="9">N4*0.53</f>
        <v>779.1</v>
      </c>
      <c r="P4" s="35">
        <f t="shared" ref="P4:P43" si="10">O4*9.65</f>
        <v>7518.3150000000005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>
        <f t="shared" ref="AC4:AC43" si="11">Q4+T4+W4+Z4</f>
        <v>0</v>
      </c>
      <c r="AD4" s="74">
        <f t="shared" ref="AD4:AE7" si="12">(R4+U4+X4+AA4)/4</f>
        <v>0</v>
      </c>
      <c r="AE4" s="74">
        <f t="shared" si="12"/>
        <v>0</v>
      </c>
    </row>
    <row r="5" spans="1:31" ht="32.25" customHeight="1" x14ac:dyDescent="0.3">
      <c r="A5" s="34">
        <v>43491</v>
      </c>
      <c r="B5" s="131">
        <v>37</v>
      </c>
      <c r="C5" s="132">
        <f t="shared" si="0"/>
        <v>3</v>
      </c>
      <c r="D5" s="131">
        <v>40</v>
      </c>
      <c r="E5" s="132">
        <f t="shared" si="1"/>
        <v>5</v>
      </c>
      <c r="F5" s="131">
        <v>35</v>
      </c>
      <c r="G5" s="132">
        <f t="shared" si="2"/>
        <v>3</v>
      </c>
      <c r="H5" s="131">
        <v>40</v>
      </c>
      <c r="I5" s="132">
        <f t="shared" si="3"/>
        <v>8</v>
      </c>
      <c r="J5" s="132">
        <f t="shared" si="4"/>
        <v>152</v>
      </c>
      <c r="K5" s="132">
        <f t="shared" si="5"/>
        <v>38</v>
      </c>
      <c r="L5" s="132">
        <f t="shared" si="6"/>
        <v>4.75</v>
      </c>
      <c r="M5" s="132">
        <f t="shared" si="7"/>
        <v>28000</v>
      </c>
      <c r="N5" s="132">
        <f t="shared" si="8"/>
        <v>1330</v>
      </c>
      <c r="O5" s="132">
        <f t="shared" si="9"/>
        <v>704.90000000000009</v>
      </c>
      <c r="P5" s="35">
        <f t="shared" si="10"/>
        <v>6802.2850000000008</v>
      </c>
      <c r="Q5" s="132">
        <v>2626</v>
      </c>
      <c r="R5" s="132">
        <v>34</v>
      </c>
      <c r="S5" s="132">
        <v>65</v>
      </c>
      <c r="T5" s="132">
        <v>2620</v>
      </c>
      <c r="U5" s="132">
        <v>33</v>
      </c>
      <c r="V5" s="132">
        <v>63</v>
      </c>
      <c r="W5" s="132">
        <v>2599</v>
      </c>
      <c r="X5" s="132">
        <v>38</v>
      </c>
      <c r="Y5" s="132">
        <v>68</v>
      </c>
      <c r="Z5" s="132">
        <v>2606</v>
      </c>
      <c r="AA5" s="132">
        <v>35</v>
      </c>
      <c r="AB5" s="132">
        <v>65</v>
      </c>
      <c r="AC5" s="132">
        <f t="shared" si="11"/>
        <v>10451</v>
      </c>
      <c r="AD5" s="74">
        <f t="shared" si="12"/>
        <v>35</v>
      </c>
      <c r="AE5" s="74">
        <f t="shared" si="12"/>
        <v>65.25</v>
      </c>
    </row>
    <row r="6" spans="1:31" ht="32.25" customHeight="1" x14ac:dyDescent="0.3">
      <c r="A6" s="34">
        <v>43492</v>
      </c>
      <c r="B6" s="131">
        <v>65</v>
      </c>
      <c r="C6" s="132">
        <f t="shared" si="0"/>
        <v>7</v>
      </c>
      <c r="D6" s="131">
        <v>65</v>
      </c>
      <c r="E6" s="132">
        <f t="shared" si="1"/>
        <v>4</v>
      </c>
      <c r="F6" s="131">
        <v>62</v>
      </c>
      <c r="G6" s="132">
        <f t="shared" si="2"/>
        <v>7</v>
      </c>
      <c r="H6" s="131">
        <v>62</v>
      </c>
      <c r="I6" s="132">
        <f t="shared" si="3"/>
        <v>6</v>
      </c>
      <c r="J6" s="132">
        <f t="shared" si="4"/>
        <v>254</v>
      </c>
      <c r="K6" s="132">
        <f t="shared" si="5"/>
        <v>63.5</v>
      </c>
      <c r="L6" s="132">
        <f t="shared" si="6"/>
        <v>6</v>
      </c>
      <c r="M6" s="132">
        <f t="shared" si="7"/>
        <v>28000</v>
      </c>
      <c r="N6" s="132">
        <f t="shared" si="8"/>
        <v>1680</v>
      </c>
      <c r="O6" s="132">
        <f t="shared" si="9"/>
        <v>890.40000000000009</v>
      </c>
      <c r="P6" s="35">
        <f t="shared" si="10"/>
        <v>8592.36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>
        <f t="shared" si="11"/>
        <v>0</v>
      </c>
      <c r="AD6" s="74">
        <f t="shared" si="12"/>
        <v>0</v>
      </c>
      <c r="AE6" s="74">
        <f t="shared" si="12"/>
        <v>0</v>
      </c>
    </row>
    <row r="7" spans="1:31" ht="32.25" customHeight="1" x14ac:dyDescent="0.3">
      <c r="A7" s="34">
        <v>43493</v>
      </c>
      <c r="B7" s="131">
        <v>58</v>
      </c>
      <c r="C7" s="132">
        <f t="shared" si="0"/>
        <v>6</v>
      </c>
      <c r="D7" s="131">
        <v>61</v>
      </c>
      <c r="E7" s="132">
        <f t="shared" si="1"/>
        <v>6</v>
      </c>
      <c r="F7" s="131">
        <v>55</v>
      </c>
      <c r="G7" s="132">
        <f t="shared" si="2"/>
        <v>6</v>
      </c>
      <c r="H7" s="131">
        <v>56</v>
      </c>
      <c r="I7" s="132">
        <f t="shared" si="3"/>
        <v>6</v>
      </c>
      <c r="J7" s="132">
        <f t="shared" si="4"/>
        <v>230</v>
      </c>
      <c r="K7" s="132">
        <f t="shared" si="5"/>
        <v>57.5</v>
      </c>
      <c r="L7" s="132">
        <f t="shared" si="6"/>
        <v>6</v>
      </c>
      <c r="M7" s="132">
        <f t="shared" si="7"/>
        <v>28000</v>
      </c>
      <c r="N7" s="132">
        <f t="shared" si="8"/>
        <v>1680</v>
      </c>
      <c r="O7" s="132">
        <f t="shared" si="9"/>
        <v>890.40000000000009</v>
      </c>
      <c r="P7" s="35">
        <f t="shared" si="10"/>
        <v>8592.36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>
        <f t="shared" si="11"/>
        <v>0</v>
      </c>
      <c r="AD7" s="74">
        <f t="shared" si="12"/>
        <v>0</v>
      </c>
      <c r="AE7" s="74">
        <f t="shared" si="12"/>
        <v>0</v>
      </c>
    </row>
    <row r="8" spans="1:31" ht="32.25" customHeight="1" x14ac:dyDescent="0.3">
      <c r="A8" s="34">
        <v>43494</v>
      </c>
      <c r="B8" s="131">
        <v>52</v>
      </c>
      <c r="C8" s="132">
        <f t="shared" si="0"/>
        <v>6</v>
      </c>
      <c r="D8" s="131">
        <v>55</v>
      </c>
      <c r="E8" s="132">
        <f t="shared" si="1"/>
        <v>5</v>
      </c>
      <c r="F8" s="131">
        <v>49</v>
      </c>
      <c r="G8" s="132">
        <f t="shared" si="2"/>
        <v>5</v>
      </c>
      <c r="H8" s="131">
        <v>50</v>
      </c>
      <c r="I8" s="132">
        <f t="shared" si="3"/>
        <v>5</v>
      </c>
      <c r="J8" s="132">
        <f t="shared" si="4"/>
        <v>206</v>
      </c>
      <c r="K8" s="132">
        <f t="shared" si="5"/>
        <v>51.5</v>
      </c>
      <c r="L8" s="132">
        <f t="shared" si="6"/>
        <v>5.25</v>
      </c>
      <c r="M8" s="132">
        <f t="shared" si="7"/>
        <v>28000</v>
      </c>
      <c r="N8" s="132">
        <f t="shared" si="8"/>
        <v>1470</v>
      </c>
      <c r="O8" s="132">
        <f t="shared" si="9"/>
        <v>779.1</v>
      </c>
      <c r="P8" s="35">
        <f t="shared" si="10"/>
        <v>7518.3150000000005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>
        <f t="shared" si="11"/>
        <v>0</v>
      </c>
      <c r="AD8" s="74">
        <f t="shared" ref="AD8:AD42" si="13">(R8+U8+X8+AA8)/4</f>
        <v>0</v>
      </c>
      <c r="AE8" s="74">
        <f t="shared" ref="AE8:AE42" si="14">(S8+V8+Y8+AB8)/4</f>
        <v>0</v>
      </c>
    </row>
    <row r="9" spans="1:31" ht="32.25" customHeight="1" x14ac:dyDescent="0.3">
      <c r="A9" s="34">
        <v>43495</v>
      </c>
      <c r="B9" s="131">
        <v>46</v>
      </c>
      <c r="C9" s="132">
        <f t="shared" si="0"/>
        <v>3</v>
      </c>
      <c r="D9" s="131">
        <v>50</v>
      </c>
      <c r="E9" s="132">
        <f t="shared" si="1"/>
        <v>5</v>
      </c>
      <c r="F9" s="131">
        <v>44</v>
      </c>
      <c r="G9" s="132">
        <f t="shared" si="2"/>
        <v>9</v>
      </c>
      <c r="H9" s="131">
        <v>45</v>
      </c>
      <c r="I9" s="132">
        <f t="shared" si="3"/>
        <v>7</v>
      </c>
      <c r="J9" s="132">
        <f t="shared" si="4"/>
        <v>185</v>
      </c>
      <c r="K9" s="132">
        <f t="shared" si="5"/>
        <v>46.25</v>
      </c>
      <c r="L9" s="132">
        <f t="shared" si="6"/>
        <v>6</v>
      </c>
      <c r="M9" s="132">
        <f t="shared" si="7"/>
        <v>28000</v>
      </c>
      <c r="N9" s="132">
        <f t="shared" si="8"/>
        <v>1680</v>
      </c>
      <c r="O9" s="132">
        <f t="shared" si="9"/>
        <v>890.40000000000009</v>
      </c>
      <c r="P9" s="35">
        <f t="shared" si="10"/>
        <v>8592.36</v>
      </c>
      <c r="Q9" s="132">
        <v>3299</v>
      </c>
      <c r="R9" s="132">
        <v>45</v>
      </c>
      <c r="S9" s="132">
        <v>85</v>
      </c>
      <c r="T9" s="132">
        <v>3205</v>
      </c>
      <c r="U9" s="132">
        <v>45</v>
      </c>
      <c r="V9" s="132">
        <v>85</v>
      </c>
      <c r="W9" s="132">
        <v>3405</v>
      </c>
      <c r="X9" s="132">
        <v>40</v>
      </c>
      <c r="Y9" s="132">
        <v>85</v>
      </c>
      <c r="Z9" s="132">
        <v>3403</v>
      </c>
      <c r="AA9" s="132">
        <v>42</v>
      </c>
      <c r="AB9" s="132">
        <v>85</v>
      </c>
      <c r="AC9" s="132">
        <f t="shared" si="11"/>
        <v>13312</v>
      </c>
      <c r="AD9" s="74">
        <f t="shared" si="13"/>
        <v>43</v>
      </c>
      <c r="AE9" s="74">
        <f t="shared" si="14"/>
        <v>85</v>
      </c>
    </row>
    <row r="10" spans="1:31" ht="32.25" customHeight="1" x14ac:dyDescent="0.3">
      <c r="A10" s="34">
        <v>43496</v>
      </c>
      <c r="B10" s="131">
        <v>83</v>
      </c>
      <c r="C10" s="132">
        <f t="shared" si="0"/>
        <v>3</v>
      </c>
      <c r="D10" s="131">
        <v>85</v>
      </c>
      <c r="E10" s="132">
        <f t="shared" si="1"/>
        <v>5</v>
      </c>
      <c r="F10" s="131">
        <v>80</v>
      </c>
      <c r="G10" s="132">
        <f t="shared" si="2"/>
        <v>2</v>
      </c>
      <c r="H10" s="131">
        <v>81</v>
      </c>
      <c r="I10" s="132">
        <f t="shared" si="3"/>
        <v>3</v>
      </c>
      <c r="J10" s="132">
        <f t="shared" si="4"/>
        <v>329</v>
      </c>
      <c r="K10" s="132">
        <f t="shared" si="5"/>
        <v>82.25</v>
      </c>
      <c r="L10" s="132">
        <f t="shared" si="6"/>
        <v>3.25</v>
      </c>
      <c r="M10" s="132">
        <f t="shared" si="7"/>
        <v>28000</v>
      </c>
      <c r="N10" s="132">
        <f t="shared" si="8"/>
        <v>910</v>
      </c>
      <c r="O10" s="132">
        <f t="shared" si="9"/>
        <v>482.3</v>
      </c>
      <c r="P10" s="35">
        <f t="shared" si="10"/>
        <v>4654.1950000000006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>
        <f t="shared" si="11"/>
        <v>0</v>
      </c>
      <c r="AD10" s="74">
        <f t="shared" si="13"/>
        <v>0</v>
      </c>
      <c r="AE10" s="74">
        <f t="shared" si="14"/>
        <v>0</v>
      </c>
    </row>
    <row r="11" spans="1:31" ht="32.25" customHeight="1" x14ac:dyDescent="0.3">
      <c r="A11" s="34">
        <v>43497</v>
      </c>
      <c r="B11" s="131">
        <v>80</v>
      </c>
      <c r="C11" s="132">
        <f t="shared" si="0"/>
        <v>6</v>
      </c>
      <c r="D11" s="131">
        <v>80</v>
      </c>
      <c r="E11" s="132">
        <f t="shared" si="1"/>
        <v>4</v>
      </c>
      <c r="F11" s="131">
        <v>78</v>
      </c>
      <c r="G11" s="132">
        <f t="shared" si="2"/>
        <v>4</v>
      </c>
      <c r="H11" s="131">
        <v>78</v>
      </c>
      <c r="I11" s="132">
        <f t="shared" si="3"/>
        <v>6</v>
      </c>
      <c r="J11" s="132">
        <f t="shared" si="4"/>
        <v>316</v>
      </c>
      <c r="K11" s="132">
        <f t="shared" si="5"/>
        <v>79</v>
      </c>
      <c r="L11" s="132">
        <f t="shared" si="6"/>
        <v>5</v>
      </c>
      <c r="M11" s="132">
        <f t="shared" si="7"/>
        <v>28000</v>
      </c>
      <c r="N11" s="132">
        <f t="shared" si="8"/>
        <v>1400</v>
      </c>
      <c r="O11" s="132">
        <f t="shared" si="9"/>
        <v>742</v>
      </c>
      <c r="P11" s="35">
        <f t="shared" si="10"/>
        <v>7160.3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>
        <f t="shared" si="11"/>
        <v>0</v>
      </c>
      <c r="AD11" s="74">
        <f t="shared" si="13"/>
        <v>0</v>
      </c>
      <c r="AE11" s="74">
        <f t="shared" si="14"/>
        <v>0</v>
      </c>
    </row>
    <row r="12" spans="1:31" ht="32.25" customHeight="1" x14ac:dyDescent="0.3">
      <c r="A12" s="34">
        <v>43498</v>
      </c>
      <c r="B12" s="131">
        <v>74</v>
      </c>
      <c r="C12" s="132">
        <f t="shared" si="0"/>
        <v>4</v>
      </c>
      <c r="D12" s="131">
        <v>76</v>
      </c>
      <c r="E12" s="132">
        <f t="shared" si="1"/>
        <v>5</v>
      </c>
      <c r="F12" s="131">
        <v>74</v>
      </c>
      <c r="G12" s="132">
        <f t="shared" si="2"/>
        <v>5</v>
      </c>
      <c r="H12" s="131">
        <v>72</v>
      </c>
      <c r="I12" s="132">
        <f t="shared" si="3"/>
        <v>2</v>
      </c>
      <c r="J12" s="132">
        <f t="shared" si="4"/>
        <v>296</v>
      </c>
      <c r="K12" s="132">
        <f>J12/4</f>
        <v>74</v>
      </c>
      <c r="L12" s="132">
        <f t="shared" si="6"/>
        <v>4</v>
      </c>
      <c r="M12" s="132">
        <f>7000*4</f>
        <v>28000</v>
      </c>
      <c r="N12" s="132">
        <f t="shared" si="8"/>
        <v>1120</v>
      </c>
      <c r="O12" s="132">
        <f t="shared" si="9"/>
        <v>593.6</v>
      </c>
      <c r="P12" s="35">
        <f t="shared" si="10"/>
        <v>5728.2400000000007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>
        <f t="shared" si="11"/>
        <v>0</v>
      </c>
      <c r="AD12" s="74">
        <f t="shared" si="13"/>
        <v>0</v>
      </c>
      <c r="AE12" s="74">
        <f t="shared" si="14"/>
        <v>0</v>
      </c>
    </row>
    <row r="13" spans="1:31" ht="32.25" customHeight="1" x14ac:dyDescent="0.3">
      <c r="A13" s="34">
        <v>43499</v>
      </c>
      <c r="B13" s="131">
        <v>70</v>
      </c>
      <c r="C13" s="132">
        <f t="shared" si="0"/>
        <v>2</v>
      </c>
      <c r="D13" s="131">
        <v>71</v>
      </c>
      <c r="E13" s="132">
        <f t="shared" si="1"/>
        <v>2</v>
      </c>
      <c r="F13" s="131">
        <v>69</v>
      </c>
      <c r="G13" s="132">
        <f t="shared" si="2"/>
        <v>5</v>
      </c>
      <c r="H13" s="131">
        <v>70</v>
      </c>
      <c r="I13" s="132">
        <f t="shared" si="3"/>
        <v>4</v>
      </c>
      <c r="J13" s="132">
        <f t="shared" si="4"/>
        <v>280</v>
      </c>
      <c r="K13" s="132">
        <f t="shared" ref="K13:K42" si="15">J13/4</f>
        <v>70</v>
      </c>
      <c r="L13" s="132">
        <f t="shared" si="6"/>
        <v>3.25</v>
      </c>
      <c r="M13" s="132">
        <f t="shared" ref="M13:M42" si="16">7000*4</f>
        <v>28000</v>
      </c>
      <c r="N13" s="132">
        <f t="shared" si="8"/>
        <v>910</v>
      </c>
      <c r="O13" s="132">
        <f t="shared" si="9"/>
        <v>482.3</v>
      </c>
      <c r="P13" s="35">
        <f t="shared" si="10"/>
        <v>4654.1950000000006</v>
      </c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>
        <f t="shared" si="11"/>
        <v>0</v>
      </c>
      <c r="AD13" s="74">
        <f t="shared" si="13"/>
        <v>0</v>
      </c>
      <c r="AE13" s="74">
        <f t="shared" si="14"/>
        <v>0</v>
      </c>
    </row>
    <row r="14" spans="1:31" ht="32.25" customHeight="1" x14ac:dyDescent="0.3">
      <c r="A14" s="34">
        <v>43500</v>
      </c>
      <c r="B14" s="131">
        <v>68</v>
      </c>
      <c r="C14" s="132">
        <f t="shared" si="0"/>
        <v>6</v>
      </c>
      <c r="D14" s="131">
        <v>69</v>
      </c>
      <c r="E14" s="132">
        <f t="shared" si="1"/>
        <v>5</v>
      </c>
      <c r="F14" s="131">
        <v>64</v>
      </c>
      <c r="G14" s="132">
        <f t="shared" si="2"/>
        <v>4</v>
      </c>
      <c r="H14" s="131">
        <v>66</v>
      </c>
      <c r="I14" s="132">
        <f t="shared" si="3"/>
        <v>5</v>
      </c>
      <c r="J14" s="132">
        <f t="shared" si="4"/>
        <v>267</v>
      </c>
      <c r="K14" s="132">
        <f t="shared" si="15"/>
        <v>66.75</v>
      </c>
      <c r="L14" s="132">
        <f t="shared" si="6"/>
        <v>5</v>
      </c>
      <c r="M14" s="132">
        <f t="shared" si="16"/>
        <v>28000</v>
      </c>
      <c r="N14" s="132">
        <f t="shared" si="8"/>
        <v>1400</v>
      </c>
      <c r="O14" s="132">
        <f t="shared" si="9"/>
        <v>742</v>
      </c>
      <c r="P14" s="35">
        <f t="shared" si="10"/>
        <v>7160.3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>
        <f t="shared" si="11"/>
        <v>0</v>
      </c>
      <c r="AD14" s="74">
        <f t="shared" si="13"/>
        <v>0</v>
      </c>
      <c r="AE14" s="74">
        <f t="shared" si="14"/>
        <v>0</v>
      </c>
    </row>
    <row r="15" spans="1:31" ht="32.25" customHeight="1" x14ac:dyDescent="0.3">
      <c r="A15" s="34">
        <v>43501</v>
      </c>
      <c r="B15" s="131">
        <v>62</v>
      </c>
      <c r="C15" s="132">
        <f t="shared" si="0"/>
        <v>5</v>
      </c>
      <c r="D15" s="131">
        <v>64</v>
      </c>
      <c r="E15" s="132">
        <f t="shared" si="1"/>
        <v>4</v>
      </c>
      <c r="F15" s="131">
        <v>60</v>
      </c>
      <c r="G15" s="132">
        <f t="shared" si="2"/>
        <v>9</v>
      </c>
      <c r="H15" s="131">
        <v>61</v>
      </c>
      <c r="I15" s="132">
        <f t="shared" si="3"/>
        <v>7</v>
      </c>
      <c r="J15" s="132">
        <f t="shared" si="4"/>
        <v>247</v>
      </c>
      <c r="K15" s="132">
        <f t="shared" si="15"/>
        <v>61.75</v>
      </c>
      <c r="L15" s="132">
        <f t="shared" si="6"/>
        <v>6.25</v>
      </c>
      <c r="M15" s="132">
        <f t="shared" si="16"/>
        <v>28000</v>
      </c>
      <c r="N15" s="132">
        <f t="shared" si="8"/>
        <v>1750</v>
      </c>
      <c r="O15" s="132">
        <f t="shared" si="9"/>
        <v>927.5</v>
      </c>
      <c r="P15" s="35">
        <f t="shared" si="10"/>
        <v>8950.375</v>
      </c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>
        <f t="shared" si="11"/>
        <v>0</v>
      </c>
      <c r="AD15" s="74">
        <f t="shared" si="13"/>
        <v>0</v>
      </c>
      <c r="AE15" s="74">
        <f t="shared" si="14"/>
        <v>0</v>
      </c>
    </row>
    <row r="16" spans="1:31" ht="32.25" customHeight="1" x14ac:dyDescent="0.3">
      <c r="A16" s="34">
        <v>43502</v>
      </c>
      <c r="B16" s="131">
        <v>57</v>
      </c>
      <c r="C16" s="132">
        <f t="shared" si="0"/>
        <v>11</v>
      </c>
      <c r="D16" s="131">
        <v>60</v>
      </c>
      <c r="E16" s="132">
        <f t="shared" si="1"/>
        <v>10</v>
      </c>
      <c r="F16" s="131">
        <v>51</v>
      </c>
      <c r="G16" s="132">
        <f t="shared" si="2"/>
        <v>9</v>
      </c>
      <c r="H16" s="131">
        <v>54</v>
      </c>
      <c r="I16" s="132">
        <f t="shared" si="3"/>
        <v>9</v>
      </c>
      <c r="J16" s="132">
        <f t="shared" si="4"/>
        <v>222</v>
      </c>
      <c r="K16" s="132">
        <f t="shared" si="15"/>
        <v>55.5</v>
      </c>
      <c r="L16" s="132">
        <f t="shared" si="6"/>
        <v>9.75</v>
      </c>
      <c r="M16" s="132">
        <f t="shared" si="16"/>
        <v>28000</v>
      </c>
      <c r="N16" s="132">
        <f t="shared" si="8"/>
        <v>2730</v>
      </c>
      <c r="O16" s="132">
        <f t="shared" si="9"/>
        <v>1446.9</v>
      </c>
      <c r="P16" s="35">
        <f t="shared" si="10"/>
        <v>13962.585000000001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>
        <f t="shared" si="11"/>
        <v>0</v>
      </c>
      <c r="AD16" s="74">
        <f t="shared" si="13"/>
        <v>0</v>
      </c>
      <c r="AE16" s="74">
        <f t="shared" si="14"/>
        <v>0</v>
      </c>
    </row>
    <row r="17" spans="1:31" ht="32.25" customHeight="1" x14ac:dyDescent="0.3">
      <c r="A17" s="34">
        <v>43503</v>
      </c>
      <c r="B17" s="131">
        <v>46</v>
      </c>
      <c r="C17" s="132">
        <f t="shared" si="0"/>
        <v>5</v>
      </c>
      <c r="D17" s="131">
        <v>50</v>
      </c>
      <c r="E17" s="132">
        <f t="shared" si="1"/>
        <v>5</v>
      </c>
      <c r="F17" s="131">
        <v>42</v>
      </c>
      <c r="G17" s="132">
        <f t="shared" si="2"/>
        <v>2</v>
      </c>
      <c r="H17" s="131">
        <v>45</v>
      </c>
      <c r="I17" s="132">
        <f t="shared" si="3"/>
        <v>5</v>
      </c>
      <c r="J17" s="132">
        <f t="shared" si="4"/>
        <v>183</v>
      </c>
      <c r="K17" s="132">
        <f t="shared" si="15"/>
        <v>45.75</v>
      </c>
      <c r="L17" s="132">
        <f t="shared" si="6"/>
        <v>4.25</v>
      </c>
      <c r="M17" s="132">
        <f t="shared" si="16"/>
        <v>28000</v>
      </c>
      <c r="N17" s="132">
        <f t="shared" si="8"/>
        <v>1190</v>
      </c>
      <c r="O17" s="132">
        <f t="shared" si="9"/>
        <v>630.70000000000005</v>
      </c>
      <c r="P17" s="35">
        <f t="shared" si="10"/>
        <v>6086.255000000001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>
        <f t="shared" si="11"/>
        <v>0</v>
      </c>
      <c r="AD17" s="74">
        <f t="shared" si="13"/>
        <v>0</v>
      </c>
      <c r="AE17" s="74">
        <f t="shared" si="14"/>
        <v>0</v>
      </c>
    </row>
    <row r="18" spans="1:31" ht="32.25" customHeight="1" x14ac:dyDescent="0.3">
      <c r="A18" s="34">
        <v>43504</v>
      </c>
      <c r="B18" s="131">
        <v>41</v>
      </c>
      <c r="C18" s="132">
        <f t="shared" si="0"/>
        <v>8</v>
      </c>
      <c r="D18" s="131">
        <v>45</v>
      </c>
      <c r="E18" s="132">
        <f t="shared" si="1"/>
        <v>10</v>
      </c>
      <c r="F18" s="131">
        <v>40</v>
      </c>
      <c r="G18" s="132">
        <f t="shared" si="2"/>
        <v>10</v>
      </c>
      <c r="H18" s="131">
        <v>40</v>
      </c>
      <c r="I18" s="132">
        <f t="shared" si="3"/>
        <v>3</v>
      </c>
      <c r="J18" s="132">
        <f t="shared" si="4"/>
        <v>166</v>
      </c>
      <c r="K18" s="132">
        <f t="shared" si="15"/>
        <v>41.5</v>
      </c>
      <c r="L18" s="132">
        <f t="shared" si="6"/>
        <v>7.75</v>
      </c>
      <c r="M18" s="132">
        <f t="shared" si="16"/>
        <v>28000</v>
      </c>
      <c r="N18" s="132">
        <f t="shared" si="8"/>
        <v>2170</v>
      </c>
      <c r="O18" s="132">
        <f t="shared" si="9"/>
        <v>1150.1000000000001</v>
      </c>
      <c r="P18" s="35">
        <f t="shared" si="10"/>
        <v>11098.465000000002</v>
      </c>
      <c r="Q18" s="132">
        <v>3501</v>
      </c>
      <c r="R18" s="132">
        <v>40</v>
      </c>
      <c r="S18" s="132">
        <v>85</v>
      </c>
      <c r="T18" s="132">
        <v>3514</v>
      </c>
      <c r="U18" s="132">
        <v>40</v>
      </c>
      <c r="V18" s="132">
        <v>85</v>
      </c>
      <c r="W18" s="132">
        <v>3499</v>
      </c>
      <c r="X18" s="132">
        <v>40</v>
      </c>
      <c r="Y18" s="132">
        <v>85</v>
      </c>
      <c r="Z18" s="132">
        <v>1752</v>
      </c>
      <c r="AA18" s="132">
        <v>37</v>
      </c>
      <c r="AB18" s="132">
        <v>70</v>
      </c>
      <c r="AC18" s="132">
        <f t="shared" si="11"/>
        <v>12266</v>
      </c>
      <c r="AD18" s="74">
        <f t="shared" si="13"/>
        <v>39.25</v>
      </c>
      <c r="AE18" s="74">
        <f t="shared" si="14"/>
        <v>81.25</v>
      </c>
    </row>
    <row r="19" spans="1:31" ht="32.25" customHeight="1" x14ac:dyDescent="0.3">
      <c r="A19" s="34">
        <v>43505</v>
      </c>
      <c r="B19" s="131">
        <v>78</v>
      </c>
      <c r="C19" s="132">
        <f t="shared" si="0"/>
        <v>5</v>
      </c>
      <c r="D19" s="131">
        <v>80</v>
      </c>
      <c r="E19" s="132">
        <f t="shared" si="1"/>
        <v>5</v>
      </c>
      <c r="F19" s="131">
        <v>75</v>
      </c>
      <c r="G19" s="132">
        <f t="shared" si="2"/>
        <v>5</v>
      </c>
      <c r="H19" s="131">
        <v>70</v>
      </c>
      <c r="I19" s="132">
        <f t="shared" si="3"/>
        <v>0</v>
      </c>
      <c r="J19" s="132">
        <f t="shared" si="4"/>
        <v>303</v>
      </c>
      <c r="K19" s="132">
        <f t="shared" si="15"/>
        <v>75.75</v>
      </c>
      <c r="L19" s="132">
        <f t="shared" si="6"/>
        <v>3.75</v>
      </c>
      <c r="M19" s="132">
        <f t="shared" si="16"/>
        <v>28000</v>
      </c>
      <c r="N19" s="132">
        <f t="shared" si="8"/>
        <v>1050</v>
      </c>
      <c r="O19" s="132">
        <f t="shared" si="9"/>
        <v>556.5</v>
      </c>
      <c r="P19" s="35">
        <f t="shared" si="10"/>
        <v>5370.2250000000004</v>
      </c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>
        <f t="shared" si="11"/>
        <v>0</v>
      </c>
      <c r="AD19" s="74">
        <f t="shared" si="13"/>
        <v>0</v>
      </c>
      <c r="AE19" s="74">
        <f t="shared" si="14"/>
        <v>0</v>
      </c>
    </row>
    <row r="20" spans="1:31" ht="32.25" customHeight="1" x14ac:dyDescent="0.3">
      <c r="A20" s="34">
        <v>43506</v>
      </c>
      <c r="B20" s="131">
        <v>73</v>
      </c>
      <c r="C20" s="132">
        <f t="shared" si="0"/>
        <v>6</v>
      </c>
      <c r="D20" s="131">
        <v>75</v>
      </c>
      <c r="E20" s="132">
        <f t="shared" si="1"/>
        <v>5</v>
      </c>
      <c r="F20" s="131">
        <v>70</v>
      </c>
      <c r="G20" s="132">
        <f t="shared" si="2"/>
        <v>5</v>
      </c>
      <c r="H20" s="131">
        <v>70</v>
      </c>
      <c r="I20" s="132">
        <f t="shared" si="3"/>
        <v>4</v>
      </c>
      <c r="J20" s="132">
        <f t="shared" si="4"/>
        <v>288</v>
      </c>
      <c r="K20" s="132">
        <f t="shared" si="15"/>
        <v>72</v>
      </c>
      <c r="L20" s="132">
        <f t="shared" si="6"/>
        <v>5</v>
      </c>
      <c r="M20" s="132">
        <f t="shared" si="16"/>
        <v>28000</v>
      </c>
      <c r="N20" s="132">
        <f t="shared" si="8"/>
        <v>1400</v>
      </c>
      <c r="O20" s="132">
        <f t="shared" si="9"/>
        <v>742</v>
      </c>
      <c r="P20" s="35">
        <f t="shared" si="10"/>
        <v>7160.3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>
        <f t="shared" si="11"/>
        <v>0</v>
      </c>
      <c r="AD20" s="74">
        <f t="shared" si="13"/>
        <v>0</v>
      </c>
      <c r="AE20" s="74">
        <f t="shared" si="14"/>
        <v>0</v>
      </c>
    </row>
    <row r="21" spans="1:31" ht="32.25" customHeight="1" x14ac:dyDescent="0.3">
      <c r="A21" s="34">
        <v>43507</v>
      </c>
      <c r="B21" s="131">
        <v>67</v>
      </c>
      <c r="C21" s="132">
        <f t="shared" si="0"/>
        <v>4</v>
      </c>
      <c r="D21" s="131">
        <v>70</v>
      </c>
      <c r="E21" s="132">
        <f t="shared" si="1"/>
        <v>5</v>
      </c>
      <c r="F21" s="131">
        <v>65</v>
      </c>
      <c r="G21" s="132">
        <f t="shared" si="2"/>
        <v>4</v>
      </c>
      <c r="H21" s="131">
        <v>66</v>
      </c>
      <c r="I21" s="132">
        <f t="shared" si="3"/>
        <v>5</v>
      </c>
      <c r="J21" s="132">
        <f t="shared" si="4"/>
        <v>268</v>
      </c>
      <c r="K21" s="132">
        <f t="shared" si="15"/>
        <v>67</v>
      </c>
      <c r="L21" s="132">
        <f t="shared" si="6"/>
        <v>4.5</v>
      </c>
      <c r="M21" s="132">
        <f t="shared" si="16"/>
        <v>28000</v>
      </c>
      <c r="N21" s="132">
        <f t="shared" si="8"/>
        <v>1260</v>
      </c>
      <c r="O21" s="132">
        <f t="shared" si="9"/>
        <v>667.80000000000007</v>
      </c>
      <c r="P21" s="35">
        <f t="shared" si="10"/>
        <v>6444.2700000000013</v>
      </c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>
        <f t="shared" si="11"/>
        <v>0</v>
      </c>
      <c r="AD21" s="74">
        <f t="shared" si="13"/>
        <v>0</v>
      </c>
      <c r="AE21" s="74">
        <f t="shared" si="14"/>
        <v>0</v>
      </c>
    </row>
    <row r="22" spans="1:31" ht="32.25" customHeight="1" x14ac:dyDescent="0.3">
      <c r="A22" s="34">
        <v>43508</v>
      </c>
      <c r="B22" s="131">
        <v>63</v>
      </c>
      <c r="C22" s="132">
        <f t="shared" si="0"/>
        <v>6</v>
      </c>
      <c r="D22" s="131">
        <v>65</v>
      </c>
      <c r="E22" s="132">
        <f t="shared" si="1"/>
        <v>5</v>
      </c>
      <c r="F22" s="131">
        <v>61</v>
      </c>
      <c r="G22" s="132">
        <f t="shared" si="2"/>
        <v>6</v>
      </c>
      <c r="H22" s="131">
        <v>61</v>
      </c>
      <c r="I22" s="132">
        <f t="shared" si="3"/>
        <v>6</v>
      </c>
      <c r="J22" s="132">
        <f t="shared" si="4"/>
        <v>250</v>
      </c>
      <c r="K22" s="132">
        <f t="shared" si="15"/>
        <v>62.5</v>
      </c>
      <c r="L22" s="132">
        <f t="shared" si="6"/>
        <v>5.75</v>
      </c>
      <c r="M22" s="132">
        <f t="shared" si="16"/>
        <v>28000</v>
      </c>
      <c r="N22" s="132">
        <f t="shared" si="8"/>
        <v>1610</v>
      </c>
      <c r="O22" s="132">
        <f t="shared" si="9"/>
        <v>853.30000000000007</v>
      </c>
      <c r="P22" s="35">
        <f t="shared" si="10"/>
        <v>8234.3450000000012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>
        <f t="shared" si="11"/>
        <v>0</v>
      </c>
      <c r="AD22" s="74">
        <f t="shared" si="13"/>
        <v>0</v>
      </c>
      <c r="AE22" s="74">
        <f t="shared" si="14"/>
        <v>0</v>
      </c>
    </row>
    <row r="23" spans="1:31" ht="32.25" customHeight="1" x14ac:dyDescent="0.3">
      <c r="A23" s="34">
        <v>43509</v>
      </c>
      <c r="B23" s="131">
        <v>57</v>
      </c>
      <c r="C23" s="132">
        <f t="shared" si="0"/>
        <v>4</v>
      </c>
      <c r="D23" s="131">
        <v>60</v>
      </c>
      <c r="E23" s="132">
        <f t="shared" si="1"/>
        <v>4</v>
      </c>
      <c r="F23" s="131">
        <v>55</v>
      </c>
      <c r="G23" s="132">
        <f t="shared" si="2"/>
        <v>6</v>
      </c>
      <c r="H23" s="131">
        <v>55</v>
      </c>
      <c r="I23" s="132">
        <f t="shared" si="3"/>
        <v>4</v>
      </c>
      <c r="J23" s="132">
        <f t="shared" si="4"/>
        <v>227</v>
      </c>
      <c r="K23" s="132">
        <f t="shared" si="15"/>
        <v>56.75</v>
      </c>
      <c r="L23" s="132">
        <f t="shared" si="6"/>
        <v>4.5</v>
      </c>
      <c r="M23" s="132">
        <f t="shared" si="16"/>
        <v>28000</v>
      </c>
      <c r="N23" s="132">
        <f t="shared" si="8"/>
        <v>1260</v>
      </c>
      <c r="O23" s="132">
        <f t="shared" si="9"/>
        <v>667.80000000000007</v>
      </c>
      <c r="P23" s="35">
        <f t="shared" si="10"/>
        <v>6444.2700000000013</v>
      </c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>
        <f t="shared" si="11"/>
        <v>0</v>
      </c>
      <c r="AD23" s="74">
        <f t="shared" si="13"/>
        <v>0</v>
      </c>
      <c r="AE23" s="74">
        <f t="shared" si="14"/>
        <v>0</v>
      </c>
    </row>
    <row r="24" spans="1:31" ht="32.25" customHeight="1" x14ac:dyDescent="0.3">
      <c r="A24" s="34">
        <v>43510</v>
      </c>
      <c r="B24" s="131">
        <v>53</v>
      </c>
      <c r="C24" s="132">
        <f t="shared" si="0"/>
        <v>3</v>
      </c>
      <c r="D24" s="131">
        <v>56</v>
      </c>
      <c r="E24" s="132">
        <f t="shared" si="1"/>
        <v>2</v>
      </c>
      <c r="F24" s="131">
        <v>49</v>
      </c>
      <c r="G24" s="132">
        <f t="shared" si="2"/>
        <v>4</v>
      </c>
      <c r="H24" s="131">
        <v>51</v>
      </c>
      <c r="I24" s="132">
        <f t="shared" si="3"/>
        <v>1</v>
      </c>
      <c r="J24" s="132">
        <f t="shared" si="4"/>
        <v>209</v>
      </c>
      <c r="K24" s="132">
        <f t="shared" si="15"/>
        <v>52.25</v>
      </c>
      <c r="L24" s="132">
        <f t="shared" si="6"/>
        <v>2.5</v>
      </c>
      <c r="M24" s="132">
        <f t="shared" si="16"/>
        <v>28000</v>
      </c>
      <c r="N24" s="132">
        <f t="shared" si="8"/>
        <v>700</v>
      </c>
      <c r="O24" s="132">
        <f t="shared" si="9"/>
        <v>371</v>
      </c>
      <c r="P24" s="35">
        <f t="shared" si="10"/>
        <v>3580.15</v>
      </c>
      <c r="Q24" s="132">
        <v>3001</v>
      </c>
      <c r="R24" s="132">
        <v>50</v>
      </c>
      <c r="S24" s="132">
        <v>85</v>
      </c>
      <c r="T24" s="132">
        <v>2850</v>
      </c>
      <c r="U24" s="132">
        <v>55</v>
      </c>
      <c r="V24" s="132">
        <v>87</v>
      </c>
      <c r="W24" s="132">
        <v>3020</v>
      </c>
      <c r="X24" s="132">
        <v>48</v>
      </c>
      <c r="Y24" s="132">
        <v>87</v>
      </c>
      <c r="Z24" s="132">
        <v>2551</v>
      </c>
      <c r="AA24" s="132">
        <v>50</v>
      </c>
      <c r="AB24" s="132">
        <v>85</v>
      </c>
      <c r="AC24" s="132">
        <f t="shared" si="11"/>
        <v>11422</v>
      </c>
      <c r="AD24" s="74">
        <f t="shared" si="13"/>
        <v>50.75</v>
      </c>
      <c r="AE24" s="74">
        <f t="shared" si="14"/>
        <v>86</v>
      </c>
    </row>
    <row r="25" spans="1:31" ht="32.25" customHeight="1" x14ac:dyDescent="0.3">
      <c r="A25" s="34">
        <v>43511</v>
      </c>
      <c r="B25" s="131">
        <v>85</v>
      </c>
      <c r="C25" s="132">
        <f t="shared" si="0"/>
        <v>5</v>
      </c>
      <c r="D25" s="131">
        <v>86</v>
      </c>
      <c r="E25" s="132">
        <f t="shared" si="1"/>
        <v>3</v>
      </c>
      <c r="F25" s="131">
        <v>84</v>
      </c>
      <c r="G25" s="132">
        <f t="shared" si="2"/>
        <v>4</v>
      </c>
      <c r="H25" s="131">
        <v>85</v>
      </c>
      <c r="I25" s="132">
        <f t="shared" si="3"/>
        <v>5</v>
      </c>
      <c r="J25" s="132">
        <f t="shared" si="4"/>
        <v>340</v>
      </c>
      <c r="K25" s="132">
        <f t="shared" si="15"/>
        <v>85</v>
      </c>
      <c r="L25" s="132">
        <f t="shared" si="6"/>
        <v>4.25</v>
      </c>
      <c r="M25" s="132">
        <f t="shared" si="16"/>
        <v>28000</v>
      </c>
      <c r="N25" s="132">
        <f t="shared" si="8"/>
        <v>1190</v>
      </c>
      <c r="O25" s="132">
        <f t="shared" si="9"/>
        <v>630.70000000000005</v>
      </c>
      <c r="P25" s="35">
        <f t="shared" si="10"/>
        <v>6086.255000000001</v>
      </c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>
        <f t="shared" si="11"/>
        <v>0</v>
      </c>
      <c r="AD25" s="74">
        <f t="shared" si="13"/>
        <v>0</v>
      </c>
      <c r="AE25" s="74">
        <f t="shared" si="14"/>
        <v>0</v>
      </c>
    </row>
    <row r="26" spans="1:31" ht="32.25" customHeight="1" x14ac:dyDescent="0.3">
      <c r="A26" s="34">
        <v>43512</v>
      </c>
      <c r="B26" s="131">
        <v>80</v>
      </c>
      <c r="C26" s="132">
        <f t="shared" si="0"/>
        <v>3</v>
      </c>
      <c r="D26" s="131">
        <v>83</v>
      </c>
      <c r="E26" s="132">
        <f t="shared" si="1"/>
        <v>4</v>
      </c>
      <c r="F26" s="131">
        <v>80</v>
      </c>
      <c r="G26" s="132">
        <f t="shared" si="2"/>
        <v>7</v>
      </c>
      <c r="H26" s="131">
        <v>80</v>
      </c>
      <c r="I26" s="132">
        <f t="shared" si="3"/>
        <v>7</v>
      </c>
      <c r="J26" s="132">
        <f t="shared" si="4"/>
        <v>323</v>
      </c>
      <c r="K26" s="132">
        <f t="shared" si="15"/>
        <v>80.75</v>
      </c>
      <c r="L26" s="132">
        <f t="shared" si="6"/>
        <v>5.25</v>
      </c>
      <c r="M26" s="132">
        <f t="shared" si="16"/>
        <v>28000</v>
      </c>
      <c r="N26" s="132">
        <f t="shared" si="8"/>
        <v>1470</v>
      </c>
      <c r="O26" s="132">
        <f t="shared" si="9"/>
        <v>779.1</v>
      </c>
      <c r="P26" s="35">
        <f t="shared" si="10"/>
        <v>7518.3150000000005</v>
      </c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>
        <f t="shared" si="11"/>
        <v>0</v>
      </c>
      <c r="AD26" s="74">
        <f t="shared" si="13"/>
        <v>0</v>
      </c>
      <c r="AE26" s="74">
        <f t="shared" si="14"/>
        <v>0</v>
      </c>
    </row>
    <row r="27" spans="1:31" ht="32.25" customHeight="1" x14ac:dyDescent="0.3">
      <c r="A27" s="34">
        <v>43513</v>
      </c>
      <c r="B27" s="131">
        <v>77</v>
      </c>
      <c r="C27" s="132">
        <f t="shared" si="0"/>
        <v>7</v>
      </c>
      <c r="D27" s="131">
        <v>79</v>
      </c>
      <c r="E27" s="132">
        <f t="shared" si="1"/>
        <v>6</v>
      </c>
      <c r="F27" s="131">
        <v>73</v>
      </c>
      <c r="G27" s="132">
        <f t="shared" si="2"/>
        <v>7</v>
      </c>
      <c r="H27" s="131">
        <v>73</v>
      </c>
      <c r="I27" s="132">
        <f t="shared" si="3"/>
        <v>4</v>
      </c>
      <c r="J27" s="132">
        <f t="shared" si="4"/>
        <v>302</v>
      </c>
      <c r="K27" s="132">
        <f t="shared" si="15"/>
        <v>75.5</v>
      </c>
      <c r="L27" s="132">
        <f t="shared" si="6"/>
        <v>6</v>
      </c>
      <c r="M27" s="132">
        <f t="shared" si="16"/>
        <v>28000</v>
      </c>
      <c r="N27" s="132">
        <f t="shared" si="8"/>
        <v>1680</v>
      </c>
      <c r="O27" s="132">
        <f t="shared" si="9"/>
        <v>890.40000000000009</v>
      </c>
      <c r="P27" s="35">
        <f t="shared" si="10"/>
        <v>8592.36</v>
      </c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>
        <f t="shared" si="11"/>
        <v>0</v>
      </c>
      <c r="AD27" s="74">
        <f t="shared" si="13"/>
        <v>0</v>
      </c>
      <c r="AE27" s="74">
        <f t="shared" si="14"/>
        <v>0</v>
      </c>
    </row>
    <row r="28" spans="1:31" ht="32.25" customHeight="1" x14ac:dyDescent="0.3">
      <c r="A28" s="34">
        <v>43514</v>
      </c>
      <c r="B28" s="131">
        <v>70</v>
      </c>
      <c r="C28" s="132">
        <f t="shared" si="0"/>
        <v>15</v>
      </c>
      <c r="D28" s="131">
        <v>73</v>
      </c>
      <c r="E28" s="132">
        <f t="shared" si="1"/>
        <v>15</v>
      </c>
      <c r="F28" s="131">
        <v>66</v>
      </c>
      <c r="G28" s="132">
        <f t="shared" si="2"/>
        <v>16</v>
      </c>
      <c r="H28" s="131">
        <v>69</v>
      </c>
      <c r="I28" s="132">
        <f t="shared" si="3"/>
        <v>18</v>
      </c>
      <c r="J28" s="132">
        <f t="shared" si="4"/>
        <v>278</v>
      </c>
      <c r="K28" s="132">
        <f t="shared" si="15"/>
        <v>69.5</v>
      </c>
      <c r="L28" s="132">
        <f t="shared" si="6"/>
        <v>16</v>
      </c>
      <c r="M28" s="132">
        <f t="shared" si="16"/>
        <v>28000</v>
      </c>
      <c r="N28" s="132">
        <f t="shared" si="8"/>
        <v>4480</v>
      </c>
      <c r="O28" s="132">
        <f t="shared" si="9"/>
        <v>2374.4</v>
      </c>
      <c r="P28" s="35">
        <f t="shared" si="10"/>
        <v>22912.960000000003</v>
      </c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>
        <f t="shared" si="11"/>
        <v>0</v>
      </c>
      <c r="AD28" s="74">
        <f t="shared" si="13"/>
        <v>0</v>
      </c>
      <c r="AE28" s="74">
        <f t="shared" si="14"/>
        <v>0</v>
      </c>
    </row>
    <row r="29" spans="1:31" ht="32.25" customHeight="1" x14ac:dyDescent="0.3">
      <c r="A29" s="34">
        <v>43515</v>
      </c>
      <c r="B29" s="131">
        <v>55</v>
      </c>
      <c r="C29" s="132">
        <f t="shared" si="0"/>
        <v>17</v>
      </c>
      <c r="D29" s="131">
        <v>58</v>
      </c>
      <c r="E29" s="132">
        <f t="shared" si="1"/>
        <v>18</v>
      </c>
      <c r="F29" s="131">
        <v>50</v>
      </c>
      <c r="G29" s="132">
        <f t="shared" si="2"/>
        <v>15</v>
      </c>
      <c r="H29" s="131">
        <v>51</v>
      </c>
      <c r="I29" s="132">
        <f t="shared" si="3"/>
        <v>13</v>
      </c>
      <c r="J29" s="132">
        <f t="shared" si="4"/>
        <v>214</v>
      </c>
      <c r="K29" s="132">
        <f t="shared" si="15"/>
        <v>53.5</v>
      </c>
      <c r="L29" s="132">
        <f t="shared" si="6"/>
        <v>15.75</v>
      </c>
      <c r="M29" s="132">
        <f t="shared" si="16"/>
        <v>28000</v>
      </c>
      <c r="N29" s="132">
        <f t="shared" si="8"/>
        <v>4410</v>
      </c>
      <c r="O29" s="132">
        <f t="shared" si="9"/>
        <v>2337.3000000000002</v>
      </c>
      <c r="P29" s="35">
        <f t="shared" si="10"/>
        <v>22554.945000000003</v>
      </c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>
        <f t="shared" si="11"/>
        <v>0</v>
      </c>
      <c r="AD29" s="74">
        <f t="shared" si="13"/>
        <v>0</v>
      </c>
      <c r="AE29" s="74">
        <f t="shared" si="14"/>
        <v>0</v>
      </c>
    </row>
    <row r="30" spans="1:31" ht="32.25" customHeight="1" x14ac:dyDescent="0.3">
      <c r="A30" s="34">
        <v>43516</v>
      </c>
      <c r="B30" s="131">
        <v>38</v>
      </c>
      <c r="C30" s="132">
        <f t="shared" si="0"/>
        <v>31</v>
      </c>
      <c r="D30" s="131">
        <v>40</v>
      </c>
      <c r="E30" s="132">
        <f t="shared" si="1"/>
        <v>25</v>
      </c>
      <c r="F30" s="131">
        <v>35</v>
      </c>
      <c r="G30" s="132">
        <f t="shared" si="2"/>
        <v>1</v>
      </c>
      <c r="H30" s="131">
        <v>38</v>
      </c>
      <c r="I30" s="132">
        <f t="shared" si="3"/>
        <v>-3</v>
      </c>
      <c r="J30" s="132">
        <f t="shared" si="4"/>
        <v>151</v>
      </c>
      <c r="K30" s="132">
        <f t="shared" si="15"/>
        <v>37.75</v>
      </c>
      <c r="L30" s="132">
        <f t="shared" si="6"/>
        <v>13.5</v>
      </c>
      <c r="M30" s="132">
        <f t="shared" si="16"/>
        <v>28000</v>
      </c>
      <c r="N30" s="132">
        <f t="shared" si="8"/>
        <v>3780</v>
      </c>
      <c r="O30" s="132">
        <f t="shared" si="9"/>
        <v>2003.4</v>
      </c>
      <c r="P30" s="35">
        <f t="shared" si="10"/>
        <v>19332.810000000001</v>
      </c>
      <c r="Q30" s="132">
        <v>5100</v>
      </c>
      <c r="R30" s="132">
        <v>30</v>
      </c>
      <c r="S30" s="132">
        <v>85</v>
      </c>
      <c r="T30" s="132">
        <v>3920</v>
      </c>
      <c r="U30" s="132">
        <v>35</v>
      </c>
      <c r="V30" s="132">
        <v>85</v>
      </c>
      <c r="W30" s="132">
        <v>1997</v>
      </c>
      <c r="X30" s="132">
        <v>30</v>
      </c>
      <c r="Y30" s="132">
        <v>56</v>
      </c>
      <c r="Z30" s="132"/>
      <c r="AA30" s="132"/>
      <c r="AB30" s="132"/>
      <c r="AC30" s="132">
        <f t="shared" si="11"/>
        <v>11017</v>
      </c>
      <c r="AD30" s="74">
        <f t="shared" si="13"/>
        <v>23.75</v>
      </c>
      <c r="AE30" s="74">
        <f t="shared" si="14"/>
        <v>56.5</v>
      </c>
    </row>
    <row r="31" spans="1:31" ht="32.25" customHeight="1" x14ac:dyDescent="0.3">
      <c r="A31" s="34">
        <v>43517</v>
      </c>
      <c r="B31" s="131">
        <v>62</v>
      </c>
      <c r="C31" s="132">
        <f t="shared" si="0"/>
        <v>20</v>
      </c>
      <c r="D31" s="131">
        <v>65</v>
      </c>
      <c r="E31" s="132">
        <f t="shared" si="1"/>
        <v>16</v>
      </c>
      <c r="F31" s="131">
        <v>60</v>
      </c>
      <c r="G31" s="132">
        <f t="shared" si="2"/>
        <v>20</v>
      </c>
      <c r="H31" s="131">
        <v>41</v>
      </c>
      <c r="I31" s="132">
        <f t="shared" si="3"/>
        <v>1</v>
      </c>
      <c r="J31" s="132">
        <f t="shared" si="4"/>
        <v>228</v>
      </c>
      <c r="K31" s="132">
        <f t="shared" si="15"/>
        <v>57</v>
      </c>
      <c r="L31" s="132">
        <f t="shared" si="6"/>
        <v>14.25</v>
      </c>
      <c r="M31" s="132">
        <f t="shared" si="16"/>
        <v>28000</v>
      </c>
      <c r="N31" s="132">
        <f t="shared" si="8"/>
        <v>3990</v>
      </c>
      <c r="O31" s="132">
        <f t="shared" si="9"/>
        <v>2114.7000000000003</v>
      </c>
      <c r="P31" s="35">
        <f t="shared" si="10"/>
        <v>20406.855000000003</v>
      </c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>
        <f t="shared" si="11"/>
        <v>0</v>
      </c>
      <c r="AD31" s="74">
        <f t="shared" si="13"/>
        <v>0</v>
      </c>
      <c r="AE31" s="74">
        <f t="shared" si="14"/>
        <v>0</v>
      </c>
    </row>
    <row r="32" spans="1:31" ht="32.25" customHeight="1" x14ac:dyDescent="0.3">
      <c r="A32" s="34">
        <v>43518</v>
      </c>
      <c r="B32" s="131">
        <v>42</v>
      </c>
      <c r="C32" s="132">
        <f t="shared" si="0"/>
        <v>11</v>
      </c>
      <c r="D32" s="131">
        <v>49</v>
      </c>
      <c r="E32" s="132">
        <f t="shared" si="1"/>
        <v>16</v>
      </c>
      <c r="F32" s="131">
        <v>40</v>
      </c>
      <c r="G32" s="132">
        <f t="shared" si="2"/>
        <v>6</v>
      </c>
      <c r="H32" s="131">
        <v>40</v>
      </c>
      <c r="I32" s="132">
        <f t="shared" si="3"/>
        <v>5</v>
      </c>
      <c r="J32" s="132">
        <f t="shared" si="4"/>
        <v>171</v>
      </c>
      <c r="K32" s="132">
        <f t="shared" si="15"/>
        <v>42.75</v>
      </c>
      <c r="L32" s="132">
        <f t="shared" si="6"/>
        <v>9.5</v>
      </c>
      <c r="M32" s="132">
        <f t="shared" si="16"/>
        <v>28000</v>
      </c>
      <c r="N32" s="132">
        <f t="shared" si="8"/>
        <v>2660</v>
      </c>
      <c r="O32" s="132">
        <f t="shared" si="9"/>
        <v>1409.8000000000002</v>
      </c>
      <c r="P32" s="35">
        <f t="shared" si="10"/>
        <v>13604.570000000002</v>
      </c>
      <c r="Q32" s="132">
        <v>2722</v>
      </c>
      <c r="R32" s="132">
        <v>47</v>
      </c>
      <c r="S32" s="132">
        <v>82</v>
      </c>
      <c r="T32" s="132">
        <v>2645</v>
      </c>
      <c r="U32" s="132">
        <v>50</v>
      </c>
      <c r="V32" s="132">
        <v>85</v>
      </c>
      <c r="W32" s="132">
        <v>2741</v>
      </c>
      <c r="X32" s="132">
        <v>37</v>
      </c>
      <c r="Y32" s="132">
        <v>65</v>
      </c>
      <c r="Z32" s="132">
        <v>2731</v>
      </c>
      <c r="AA32" s="132">
        <v>35</v>
      </c>
      <c r="AB32" s="132">
        <v>60</v>
      </c>
      <c r="AC32" s="132">
        <f t="shared" si="11"/>
        <v>10839</v>
      </c>
      <c r="AD32" s="74">
        <f t="shared" si="13"/>
        <v>42.25</v>
      </c>
      <c r="AE32" s="74">
        <f t="shared" si="14"/>
        <v>73</v>
      </c>
    </row>
    <row r="33" spans="1:31" ht="32.25" customHeight="1" x14ac:dyDescent="0.3">
      <c r="A33" s="34">
        <v>43519</v>
      </c>
      <c r="B33" s="131">
        <v>66</v>
      </c>
      <c r="C33" s="132">
        <f t="shared" si="0"/>
        <v>16</v>
      </c>
      <c r="D33" s="131">
        <v>68</v>
      </c>
      <c r="E33" s="132">
        <f t="shared" si="1"/>
        <v>12</v>
      </c>
      <c r="F33" s="131">
        <v>62</v>
      </c>
      <c r="G33" s="132">
        <f t="shared" si="2"/>
        <v>13</v>
      </c>
      <c r="H33" s="131">
        <v>60</v>
      </c>
      <c r="I33" s="132">
        <f t="shared" si="3"/>
        <v>11</v>
      </c>
      <c r="J33" s="132">
        <f t="shared" si="4"/>
        <v>256</v>
      </c>
      <c r="K33" s="132">
        <f t="shared" si="15"/>
        <v>64</v>
      </c>
      <c r="L33" s="132">
        <f t="shared" si="6"/>
        <v>13</v>
      </c>
      <c r="M33" s="132">
        <f t="shared" si="16"/>
        <v>28000</v>
      </c>
      <c r="N33" s="132">
        <f t="shared" si="8"/>
        <v>3640</v>
      </c>
      <c r="O33" s="132">
        <f t="shared" si="9"/>
        <v>1929.2</v>
      </c>
      <c r="P33" s="35">
        <f t="shared" si="10"/>
        <v>18616.780000000002</v>
      </c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>
        <f t="shared" si="11"/>
        <v>0</v>
      </c>
      <c r="AD33" s="74">
        <f t="shared" si="13"/>
        <v>0</v>
      </c>
      <c r="AE33" s="74">
        <f t="shared" si="14"/>
        <v>0</v>
      </c>
    </row>
    <row r="34" spans="1:31" ht="32.25" customHeight="1" x14ac:dyDescent="0.3">
      <c r="A34" s="34">
        <v>43520</v>
      </c>
      <c r="B34" s="131">
        <v>50</v>
      </c>
      <c r="C34" s="132">
        <f t="shared" si="0"/>
        <v>16</v>
      </c>
      <c r="D34" s="131">
        <v>56</v>
      </c>
      <c r="E34" s="132">
        <f t="shared" si="1"/>
        <v>17</v>
      </c>
      <c r="F34" s="131">
        <v>49</v>
      </c>
      <c r="G34" s="132">
        <f t="shared" si="2"/>
        <v>16</v>
      </c>
      <c r="H34" s="131">
        <v>49</v>
      </c>
      <c r="I34" s="132">
        <f t="shared" si="3"/>
        <v>17</v>
      </c>
      <c r="J34" s="132">
        <f t="shared" si="4"/>
        <v>204</v>
      </c>
      <c r="K34" s="132">
        <f t="shared" si="15"/>
        <v>51</v>
      </c>
      <c r="L34" s="132">
        <f t="shared" si="6"/>
        <v>16.5</v>
      </c>
      <c r="M34" s="132">
        <f t="shared" si="16"/>
        <v>28000</v>
      </c>
      <c r="N34" s="132">
        <f t="shared" si="8"/>
        <v>4620</v>
      </c>
      <c r="O34" s="132">
        <f t="shared" si="9"/>
        <v>2448.6</v>
      </c>
      <c r="P34" s="35">
        <f t="shared" si="10"/>
        <v>23628.99</v>
      </c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>
        <f t="shared" si="11"/>
        <v>0</v>
      </c>
      <c r="AD34" s="74">
        <f t="shared" si="13"/>
        <v>0</v>
      </c>
      <c r="AE34" s="74">
        <f t="shared" si="14"/>
        <v>0</v>
      </c>
    </row>
    <row r="35" spans="1:31" ht="32.25" customHeight="1" x14ac:dyDescent="0.3">
      <c r="A35" s="34">
        <v>43521</v>
      </c>
      <c r="B35" s="131">
        <v>34</v>
      </c>
      <c r="C35" s="132">
        <f t="shared" si="0"/>
        <v>15</v>
      </c>
      <c r="D35" s="131">
        <v>39</v>
      </c>
      <c r="E35" s="132">
        <f t="shared" si="1"/>
        <v>12</v>
      </c>
      <c r="F35" s="131">
        <v>33</v>
      </c>
      <c r="G35" s="132">
        <f t="shared" si="2"/>
        <v>12</v>
      </c>
      <c r="H35" s="131">
        <v>32</v>
      </c>
      <c r="I35" s="132">
        <f t="shared" si="3"/>
        <v>10</v>
      </c>
      <c r="J35" s="132">
        <f t="shared" si="4"/>
        <v>138</v>
      </c>
      <c r="K35" s="132">
        <f t="shared" si="15"/>
        <v>34.5</v>
      </c>
      <c r="L35" s="132">
        <f t="shared" si="6"/>
        <v>12.25</v>
      </c>
      <c r="M35" s="132">
        <f t="shared" si="16"/>
        <v>28000</v>
      </c>
      <c r="N35" s="132">
        <f t="shared" si="8"/>
        <v>3430</v>
      </c>
      <c r="O35" s="132">
        <f t="shared" si="9"/>
        <v>1817.9</v>
      </c>
      <c r="P35" s="35">
        <f t="shared" si="10"/>
        <v>17542.735000000001</v>
      </c>
      <c r="Q35" s="132">
        <v>1302</v>
      </c>
      <c r="R35" s="132">
        <v>27</v>
      </c>
      <c r="S35" s="132">
        <v>45</v>
      </c>
      <c r="T35" s="132">
        <v>1300</v>
      </c>
      <c r="U35" s="132">
        <v>35</v>
      </c>
      <c r="V35" s="132">
        <v>50</v>
      </c>
      <c r="W35" s="132">
        <v>1300</v>
      </c>
      <c r="X35" s="132">
        <v>30</v>
      </c>
      <c r="Y35" s="132">
        <v>45</v>
      </c>
      <c r="Z35" s="132">
        <v>1301</v>
      </c>
      <c r="AA35" s="132">
        <v>27</v>
      </c>
      <c r="AB35" s="132">
        <v>40</v>
      </c>
      <c r="AC35" s="132">
        <f t="shared" si="11"/>
        <v>5203</v>
      </c>
      <c r="AD35" s="74">
        <f t="shared" si="13"/>
        <v>29.75</v>
      </c>
      <c r="AE35" s="74">
        <f t="shared" si="14"/>
        <v>45</v>
      </c>
    </row>
    <row r="36" spans="1:31" ht="32.25" customHeight="1" x14ac:dyDescent="0.3">
      <c r="A36" s="34">
        <v>43522</v>
      </c>
      <c r="B36" s="131">
        <v>37</v>
      </c>
      <c r="C36" s="132">
        <f t="shared" si="0"/>
        <v>7</v>
      </c>
      <c r="D36" s="131">
        <v>42</v>
      </c>
      <c r="E36" s="132">
        <f t="shared" si="1"/>
        <v>7</v>
      </c>
      <c r="F36" s="131">
        <v>36</v>
      </c>
      <c r="G36" s="132">
        <f t="shared" si="2"/>
        <v>5</v>
      </c>
      <c r="H36" s="131">
        <v>35</v>
      </c>
      <c r="I36" s="132">
        <f t="shared" si="3"/>
        <v>7</v>
      </c>
      <c r="J36" s="132">
        <f t="shared" si="4"/>
        <v>150</v>
      </c>
      <c r="K36" s="132">
        <f t="shared" si="15"/>
        <v>37.5</v>
      </c>
      <c r="L36" s="132">
        <f t="shared" si="6"/>
        <v>6.5</v>
      </c>
      <c r="M36" s="132">
        <f t="shared" si="16"/>
        <v>28000</v>
      </c>
      <c r="N36" s="132">
        <f t="shared" si="8"/>
        <v>1820</v>
      </c>
      <c r="O36" s="132">
        <f t="shared" si="9"/>
        <v>964.6</v>
      </c>
      <c r="P36" s="35">
        <f t="shared" si="10"/>
        <v>9308.3900000000012</v>
      </c>
      <c r="Q36" s="132">
        <v>3620</v>
      </c>
      <c r="R36" s="132">
        <v>36</v>
      </c>
      <c r="S36" s="132">
        <v>83</v>
      </c>
      <c r="T36" s="132">
        <v>4616</v>
      </c>
      <c r="U36" s="132">
        <v>40</v>
      </c>
      <c r="V36" s="132">
        <v>85</v>
      </c>
      <c r="W36" s="132">
        <v>3270</v>
      </c>
      <c r="X36" s="132">
        <v>42</v>
      </c>
      <c r="Y36" s="132">
        <v>85</v>
      </c>
      <c r="Z36" s="132">
        <v>3564</v>
      </c>
      <c r="AA36" s="132">
        <v>39</v>
      </c>
      <c r="AB36" s="132">
        <v>85</v>
      </c>
      <c r="AC36" s="132">
        <f t="shared" si="11"/>
        <v>15070</v>
      </c>
      <c r="AD36" s="74">
        <f t="shared" si="13"/>
        <v>39.25</v>
      </c>
      <c r="AE36" s="74">
        <f t="shared" si="14"/>
        <v>84.5</v>
      </c>
    </row>
    <row r="37" spans="1:31" ht="32.25" customHeight="1" x14ac:dyDescent="0.3">
      <c r="A37" s="34">
        <v>43523</v>
      </c>
      <c r="B37" s="131">
        <v>77</v>
      </c>
      <c r="C37" s="132">
        <f t="shared" si="0"/>
        <v>7</v>
      </c>
      <c r="D37" s="131">
        <v>80</v>
      </c>
      <c r="E37" s="132">
        <f t="shared" si="1"/>
        <v>8</v>
      </c>
      <c r="F37" s="131">
        <v>74</v>
      </c>
      <c r="G37" s="132">
        <f t="shared" si="2"/>
        <v>7</v>
      </c>
      <c r="H37" s="131">
        <v>74</v>
      </c>
      <c r="I37" s="132">
        <f t="shared" si="3"/>
        <v>6</v>
      </c>
      <c r="J37" s="132">
        <f t="shared" si="4"/>
        <v>305</v>
      </c>
      <c r="K37" s="132">
        <f t="shared" si="15"/>
        <v>76.25</v>
      </c>
      <c r="L37" s="132">
        <f t="shared" si="6"/>
        <v>7</v>
      </c>
      <c r="M37" s="132">
        <f t="shared" si="16"/>
        <v>28000</v>
      </c>
      <c r="N37" s="132">
        <f t="shared" si="8"/>
        <v>1960</v>
      </c>
      <c r="O37" s="132">
        <f t="shared" si="9"/>
        <v>1038.8</v>
      </c>
      <c r="P37" s="35">
        <f t="shared" si="10"/>
        <v>10024.42</v>
      </c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>
        <f t="shared" si="11"/>
        <v>0</v>
      </c>
      <c r="AD37" s="74">
        <f t="shared" si="13"/>
        <v>0</v>
      </c>
      <c r="AE37" s="74">
        <f t="shared" si="14"/>
        <v>0</v>
      </c>
    </row>
    <row r="38" spans="1:31" ht="32.25" customHeight="1" x14ac:dyDescent="0.3">
      <c r="A38" s="34">
        <v>43524</v>
      </c>
      <c r="B38" s="131">
        <v>70</v>
      </c>
      <c r="C38" s="132">
        <f t="shared" si="0"/>
        <v>8</v>
      </c>
      <c r="D38" s="131">
        <v>72</v>
      </c>
      <c r="E38" s="132">
        <f t="shared" si="1"/>
        <v>7</v>
      </c>
      <c r="F38" s="131">
        <v>67</v>
      </c>
      <c r="G38" s="132">
        <f t="shared" si="2"/>
        <v>8</v>
      </c>
      <c r="H38" s="131">
        <v>68</v>
      </c>
      <c r="I38" s="132">
        <f t="shared" si="3"/>
        <v>7</v>
      </c>
      <c r="J38" s="132">
        <f t="shared" si="4"/>
        <v>277</v>
      </c>
      <c r="K38" s="132">
        <f t="shared" si="15"/>
        <v>69.25</v>
      </c>
      <c r="L38" s="132">
        <f t="shared" si="6"/>
        <v>7.5</v>
      </c>
      <c r="M38" s="132">
        <f t="shared" si="16"/>
        <v>28000</v>
      </c>
      <c r="N38" s="132">
        <f t="shared" si="8"/>
        <v>2100</v>
      </c>
      <c r="O38" s="132">
        <f t="shared" si="9"/>
        <v>1113</v>
      </c>
      <c r="P38" s="35">
        <f t="shared" si="10"/>
        <v>10740.45</v>
      </c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>
        <f t="shared" si="11"/>
        <v>0</v>
      </c>
      <c r="AD38" s="74">
        <f t="shared" si="13"/>
        <v>0</v>
      </c>
      <c r="AE38" s="74">
        <f t="shared" si="14"/>
        <v>0</v>
      </c>
    </row>
    <row r="39" spans="1:31" ht="32.25" customHeight="1" x14ac:dyDescent="0.3">
      <c r="A39" s="34">
        <v>43525</v>
      </c>
      <c r="B39" s="131">
        <v>62</v>
      </c>
      <c r="C39" s="132">
        <f t="shared" si="0"/>
        <v>8</v>
      </c>
      <c r="D39" s="131">
        <v>65</v>
      </c>
      <c r="E39" s="132">
        <f t="shared" si="1"/>
        <v>6</v>
      </c>
      <c r="F39" s="131">
        <v>59</v>
      </c>
      <c r="G39" s="132">
        <f t="shared" si="2"/>
        <v>9</v>
      </c>
      <c r="H39" s="131">
        <v>61</v>
      </c>
      <c r="I39" s="132">
        <f t="shared" si="3"/>
        <v>8</v>
      </c>
      <c r="J39" s="132">
        <f t="shared" si="4"/>
        <v>247</v>
      </c>
      <c r="K39" s="132">
        <f t="shared" si="15"/>
        <v>61.75</v>
      </c>
      <c r="L39" s="132">
        <f t="shared" si="6"/>
        <v>7.75</v>
      </c>
      <c r="M39" s="132">
        <f t="shared" si="16"/>
        <v>28000</v>
      </c>
      <c r="N39" s="132">
        <f t="shared" si="8"/>
        <v>2170</v>
      </c>
      <c r="O39" s="132">
        <f t="shared" si="9"/>
        <v>1150.1000000000001</v>
      </c>
      <c r="P39" s="35">
        <f t="shared" si="10"/>
        <v>11098.465000000002</v>
      </c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>
        <f t="shared" si="11"/>
        <v>0</v>
      </c>
      <c r="AD39" s="74">
        <f t="shared" si="13"/>
        <v>0</v>
      </c>
      <c r="AE39" s="74">
        <f t="shared" si="14"/>
        <v>0</v>
      </c>
    </row>
    <row r="40" spans="1:31" ht="32.25" customHeight="1" x14ac:dyDescent="0.3">
      <c r="A40" s="34">
        <v>43526</v>
      </c>
      <c r="B40" s="131">
        <v>54</v>
      </c>
      <c r="C40" s="132">
        <f t="shared" si="0"/>
        <v>0</v>
      </c>
      <c r="D40" s="131">
        <v>59</v>
      </c>
      <c r="E40" s="132">
        <f t="shared" si="1"/>
        <v>0</v>
      </c>
      <c r="F40" s="131">
        <v>50</v>
      </c>
      <c r="G40" s="132">
        <f t="shared" si="2"/>
        <v>0</v>
      </c>
      <c r="H40" s="131">
        <v>53</v>
      </c>
      <c r="I40" s="132">
        <f t="shared" si="3"/>
        <v>0</v>
      </c>
      <c r="J40" s="132">
        <f t="shared" si="4"/>
        <v>216</v>
      </c>
      <c r="K40" s="132">
        <f t="shared" si="15"/>
        <v>54</v>
      </c>
      <c r="L40" s="132">
        <f t="shared" si="6"/>
        <v>0</v>
      </c>
      <c r="M40" s="132">
        <f t="shared" si="16"/>
        <v>28000</v>
      </c>
      <c r="N40" s="132">
        <f t="shared" si="8"/>
        <v>0</v>
      </c>
      <c r="O40" s="132">
        <f t="shared" si="9"/>
        <v>0</v>
      </c>
      <c r="P40" s="35">
        <f t="shared" si="10"/>
        <v>0</v>
      </c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>
        <f t="shared" si="11"/>
        <v>0</v>
      </c>
      <c r="AD40" s="74">
        <f t="shared" si="13"/>
        <v>0</v>
      </c>
      <c r="AE40" s="74">
        <f t="shared" si="14"/>
        <v>0</v>
      </c>
    </row>
    <row r="41" spans="1:31" ht="32.25" customHeight="1" x14ac:dyDescent="0.3">
      <c r="A41" s="34">
        <v>43527</v>
      </c>
      <c r="B41" s="131"/>
      <c r="C41" s="132">
        <f t="shared" si="0"/>
        <v>0</v>
      </c>
      <c r="D41" s="131"/>
      <c r="E41" s="132">
        <f t="shared" si="1"/>
        <v>0</v>
      </c>
      <c r="F41" s="131"/>
      <c r="G41" s="132">
        <f t="shared" si="2"/>
        <v>0</v>
      </c>
      <c r="H41" s="131"/>
      <c r="I41" s="132">
        <f t="shared" si="3"/>
        <v>0</v>
      </c>
      <c r="J41" s="132">
        <f t="shared" si="4"/>
        <v>0</v>
      </c>
      <c r="K41" s="132">
        <f t="shared" si="15"/>
        <v>0</v>
      </c>
      <c r="L41" s="132">
        <f t="shared" si="6"/>
        <v>0</v>
      </c>
      <c r="M41" s="132">
        <f t="shared" si="16"/>
        <v>28000</v>
      </c>
      <c r="N41" s="132">
        <f t="shared" si="8"/>
        <v>0</v>
      </c>
      <c r="O41" s="132">
        <f t="shared" si="9"/>
        <v>0</v>
      </c>
      <c r="P41" s="35">
        <f t="shared" si="10"/>
        <v>0</v>
      </c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>
        <f t="shared" si="11"/>
        <v>0</v>
      </c>
      <c r="AD41" s="74">
        <f t="shared" si="13"/>
        <v>0</v>
      </c>
      <c r="AE41" s="74">
        <f t="shared" si="14"/>
        <v>0</v>
      </c>
    </row>
    <row r="42" spans="1:31" ht="32.25" customHeight="1" x14ac:dyDescent="0.3">
      <c r="A42" s="34">
        <v>43528</v>
      </c>
      <c r="B42" s="131"/>
      <c r="C42" s="132">
        <f>IF(AC42&gt;0,((B42-R42)+(S42-B43)),IF(B43=0, ,(B42-B43)))</f>
        <v>0</v>
      </c>
      <c r="D42" s="131"/>
      <c r="E42" s="132">
        <f>IF(AC42&gt;0,((D42-U42)+(V42-D43)),IF(D43=0, ,(D42-D43)))</f>
        <v>0</v>
      </c>
      <c r="F42" s="131"/>
      <c r="G42" s="132">
        <f>IF(AC42&gt;0,((F42-X42)+(Y42-F43)),IF(F43=0, ,(F42-F43)))</f>
        <v>0</v>
      </c>
      <c r="H42" s="131"/>
      <c r="I42" s="132">
        <f t="shared" si="3"/>
        <v>0</v>
      </c>
      <c r="J42" s="132">
        <f t="shared" si="4"/>
        <v>0</v>
      </c>
      <c r="K42" s="132">
        <f t="shared" si="15"/>
        <v>0</v>
      </c>
      <c r="L42" s="132">
        <f t="shared" si="6"/>
        <v>0</v>
      </c>
      <c r="M42" s="132">
        <f t="shared" si="16"/>
        <v>28000</v>
      </c>
      <c r="N42" s="132">
        <f t="shared" si="8"/>
        <v>0</v>
      </c>
      <c r="O42" s="132">
        <f t="shared" si="9"/>
        <v>0</v>
      </c>
      <c r="P42" s="35">
        <f t="shared" si="10"/>
        <v>0</v>
      </c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>
        <f t="shared" si="11"/>
        <v>0</v>
      </c>
      <c r="AD42" s="74">
        <f t="shared" si="13"/>
        <v>0</v>
      </c>
      <c r="AE42" s="74">
        <f t="shared" si="14"/>
        <v>0</v>
      </c>
    </row>
    <row r="43" spans="1:31" ht="32.25" customHeight="1" thickBot="1" x14ac:dyDescent="0.35">
      <c r="B43" s="131"/>
      <c r="C43" s="132">
        <f>IF(AC43&gt;0,((B43-R43)+(S43-B44)),IF(B44=0, ,(B43-B44)))</f>
        <v>0</v>
      </c>
      <c r="D43" s="131"/>
      <c r="E43" s="132">
        <f>IF(AC43&gt;0,((D43-U43)+(V43-D44)),IF(D44=0, ,(D43-D44)))</f>
        <v>0</v>
      </c>
      <c r="F43" s="131"/>
      <c r="G43" s="132">
        <f>IF(AC43&gt;0,((F43-X43)+(Y43-F44)),IF(F44=0, ,(F43-F44)))</f>
        <v>0</v>
      </c>
      <c r="H43" s="131"/>
      <c r="I43" s="132">
        <f t="shared" si="3"/>
        <v>0</v>
      </c>
      <c r="J43" s="32"/>
      <c r="K43" s="32"/>
      <c r="L43" s="32"/>
      <c r="M43" s="32"/>
      <c r="N43" s="132">
        <f>SUM(N11:N38)</f>
        <v>61180</v>
      </c>
      <c r="O43" s="132">
        <f t="shared" si="9"/>
        <v>32425.4</v>
      </c>
      <c r="P43" s="35">
        <f t="shared" si="10"/>
        <v>312905.11000000004</v>
      </c>
      <c r="Q43" s="285">
        <f>SUM(Q11:Q38)</f>
        <v>19246</v>
      </c>
      <c r="R43" s="285"/>
      <c r="S43" s="286"/>
      <c r="T43" s="285">
        <f>SUM(T11:T38)</f>
        <v>18845</v>
      </c>
      <c r="U43" s="285"/>
      <c r="V43" s="286"/>
      <c r="W43" s="285">
        <f>SUM(W11:W38)</f>
        <v>15827</v>
      </c>
      <c r="X43" s="285"/>
      <c r="Y43" s="286"/>
      <c r="Z43" s="285">
        <f>SUM(Z11:Z38)</f>
        <v>11899</v>
      </c>
      <c r="AA43" s="285"/>
      <c r="AB43" s="286"/>
      <c r="AC43" s="132">
        <f t="shared" si="11"/>
        <v>65817</v>
      </c>
      <c r="AD43" s="32"/>
      <c r="AE43" s="32"/>
    </row>
    <row r="44" spans="1:31" ht="35.25" customHeight="1" thickBot="1" x14ac:dyDescent="0.35">
      <c r="B44" s="241"/>
      <c r="C44" s="242"/>
      <c r="D44" s="242"/>
      <c r="E44" s="242"/>
      <c r="F44" s="242"/>
      <c r="G44" s="242"/>
      <c r="H44" s="242"/>
      <c r="I44" s="243"/>
      <c r="J44" s="32"/>
      <c r="K44" s="32"/>
      <c r="L44" s="32"/>
      <c r="M44" s="32"/>
      <c r="N44" s="32"/>
      <c r="O44" s="32"/>
      <c r="P44" s="32"/>
      <c r="Q44" s="244">
        <f>Q43+T43+W43+Z43</f>
        <v>65817</v>
      </c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6"/>
      <c r="AC44" s="132">
        <f>Q44+T44+W44+Z44</f>
        <v>65817</v>
      </c>
      <c r="AD44" s="32"/>
      <c r="AE44" s="32"/>
    </row>
    <row r="45" spans="1:31" ht="7.5" customHeight="1" thickBot="1" x14ac:dyDescent="0.35"/>
    <row r="46" spans="1:31" ht="51" customHeight="1" thickBot="1" x14ac:dyDescent="0.35">
      <c r="H46" s="32"/>
      <c r="I46" s="32"/>
      <c r="J46" s="32"/>
      <c r="K46" s="144" t="s">
        <v>34</v>
      </c>
      <c r="L46" s="145" t="s">
        <v>35</v>
      </c>
      <c r="M46" s="145" t="s">
        <v>36</v>
      </c>
    </row>
    <row r="47" spans="1:31" ht="48" customHeight="1" thickBot="1" x14ac:dyDescent="0.35">
      <c r="H47" s="247" t="s">
        <v>37</v>
      </c>
      <c r="I47" s="248"/>
      <c r="J47" s="249"/>
      <c r="K47" s="146">
        <f>N43</f>
        <v>61180</v>
      </c>
      <c r="L47" s="147">
        <f>O43</f>
        <v>32425.4</v>
      </c>
      <c r="M47" s="147">
        <f>P43</f>
        <v>312905.11000000004</v>
      </c>
    </row>
    <row r="48" spans="1:31" ht="54.75" customHeight="1" thickBot="1" x14ac:dyDescent="0.35">
      <c r="H48" s="238" t="s">
        <v>38</v>
      </c>
      <c r="I48" s="239"/>
      <c r="J48" s="240"/>
      <c r="K48" s="144">
        <f>AC43</f>
        <v>65817</v>
      </c>
      <c r="L48" s="145">
        <f>K48*0.53</f>
        <v>34883.01</v>
      </c>
      <c r="M48" s="145">
        <f>L48*9.65</f>
        <v>336621.04650000005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9" activePane="bottomRight" state="frozen"/>
      <selection pane="topRight" activeCell="B1" sqref="B1"/>
      <selection pane="bottomLeft" activeCell="A9" sqref="A9"/>
      <selection pane="bottomRight" activeCell="B50" sqref="B50"/>
    </sheetView>
  </sheetViews>
  <sheetFormatPr defaultColWidth="11.42578125" defaultRowHeight="12.75" x14ac:dyDescent="0.2"/>
  <cols>
    <col min="1" max="1" width="16.7109375" style="4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68"/>
      <c r="B1" s="269"/>
      <c r="C1" s="251" t="s">
        <v>58</v>
      </c>
      <c r="D1" s="252"/>
      <c r="E1" s="252"/>
      <c r="F1" s="252"/>
      <c r="G1" s="253"/>
      <c r="H1" s="260"/>
      <c r="I1" s="261"/>
      <c r="J1" s="43"/>
      <c r="K1" s="41"/>
      <c r="L1" s="41"/>
    </row>
    <row r="2" spans="1:20" ht="16.5" customHeight="1" x14ac:dyDescent="0.2">
      <c r="A2" s="270"/>
      <c r="B2" s="271"/>
      <c r="C2" s="254"/>
      <c r="D2" s="255"/>
      <c r="E2" s="255"/>
      <c r="F2" s="255"/>
      <c r="G2" s="256"/>
      <c r="H2" s="262"/>
      <c r="I2" s="263"/>
      <c r="J2" s="43"/>
      <c r="K2" s="41"/>
      <c r="L2" s="41"/>
    </row>
    <row r="3" spans="1:20" ht="48" customHeight="1" thickBot="1" x14ac:dyDescent="0.25">
      <c r="A3" s="272"/>
      <c r="B3" s="273"/>
      <c r="C3" s="257"/>
      <c r="D3" s="258"/>
      <c r="E3" s="258"/>
      <c r="F3" s="258"/>
      <c r="G3" s="259"/>
      <c r="H3" s="264"/>
      <c r="I3" s="265"/>
      <c r="J3" s="43"/>
      <c r="K3" s="41"/>
      <c r="L3" s="41"/>
      <c r="M3" s="41"/>
      <c r="N3" s="41"/>
      <c r="O3" s="41"/>
      <c r="P3" s="41"/>
      <c r="Q3" s="41"/>
      <c r="R3" s="41"/>
      <c r="S3" s="41"/>
      <c r="T3" s="41"/>
    </row>
    <row r="6" spans="1:20" ht="10.5" customHeight="1" thickBot="1" x14ac:dyDescent="0.25"/>
    <row r="7" spans="1:20" ht="16.5" customHeight="1" thickTop="1" thickBot="1" x14ac:dyDescent="0.25">
      <c r="A7" s="250" t="s">
        <v>1</v>
      </c>
      <c r="B7" s="266" t="s">
        <v>42</v>
      </c>
      <c r="C7" s="266"/>
      <c r="D7" s="267" t="s">
        <v>43</v>
      </c>
      <c r="E7" s="267"/>
      <c r="F7" s="267"/>
      <c r="G7" s="267"/>
      <c r="H7" s="267"/>
      <c r="I7" s="267"/>
    </row>
    <row r="8" spans="1:20" s="26" customFormat="1" ht="28.5" customHeight="1" thickTop="1" thickBot="1" x14ac:dyDescent="0.25">
      <c r="A8" s="250"/>
      <c r="B8" s="45" t="s">
        <v>40</v>
      </c>
      <c r="C8" s="45" t="s">
        <v>41</v>
      </c>
      <c r="D8" s="44" t="s">
        <v>44</v>
      </c>
      <c r="E8" s="44" t="s">
        <v>49</v>
      </c>
      <c r="F8" s="44" t="s">
        <v>45</v>
      </c>
      <c r="G8" s="44" t="s">
        <v>46</v>
      </c>
      <c r="H8" s="44" t="s">
        <v>47</v>
      </c>
      <c r="I8" s="44" t="s">
        <v>48</v>
      </c>
    </row>
    <row r="9" spans="1:20" ht="21" thickTop="1" thickBot="1" x14ac:dyDescent="0.35">
      <c r="A9" s="52">
        <v>43490</v>
      </c>
      <c r="B9" s="133">
        <v>101623</v>
      </c>
      <c r="C9" s="134">
        <f t="shared" ref="C9:C15" si="0">IF(B10&lt;B9,0,B10-B9)*10</f>
        <v>320</v>
      </c>
      <c r="D9" s="135">
        <v>16045022</v>
      </c>
      <c r="E9" s="134">
        <f t="shared" ref="E9:E15" si="1">IF(D10&lt;D9,0,D10-D9)</f>
        <v>3786</v>
      </c>
      <c r="F9" s="135">
        <v>28966072</v>
      </c>
      <c r="G9" s="134">
        <f t="shared" ref="G9:G15" si="2">IF(F10&lt;F9,0,F10-F9)</f>
        <v>6799</v>
      </c>
      <c r="H9" s="135">
        <v>12880553</v>
      </c>
      <c r="I9" s="134">
        <f t="shared" ref="I9:I46" si="3">IF(H10&lt;H9,0,H10-H9)</f>
        <v>2912</v>
      </c>
    </row>
    <row r="10" spans="1:20" ht="21" thickTop="1" thickBot="1" x14ac:dyDescent="0.35">
      <c r="A10" s="52">
        <f>A9+1</f>
        <v>43491</v>
      </c>
      <c r="B10" s="133">
        <v>101655</v>
      </c>
      <c r="C10" s="134">
        <f t="shared" si="0"/>
        <v>310</v>
      </c>
      <c r="D10" s="135">
        <v>16048808</v>
      </c>
      <c r="E10" s="134">
        <f t="shared" si="1"/>
        <v>4098</v>
      </c>
      <c r="F10" s="135">
        <v>28972871</v>
      </c>
      <c r="G10" s="134">
        <f t="shared" si="2"/>
        <v>6046</v>
      </c>
      <c r="H10" s="135">
        <v>12883465</v>
      </c>
      <c r="I10" s="134">
        <f t="shared" si="3"/>
        <v>2763</v>
      </c>
    </row>
    <row r="11" spans="1:20" ht="21" thickTop="1" thickBot="1" x14ac:dyDescent="0.35">
      <c r="A11" s="52">
        <f t="shared" ref="A11:A47" si="4">A10+1</f>
        <v>43492</v>
      </c>
      <c r="B11" s="133">
        <v>101686</v>
      </c>
      <c r="C11" s="134">
        <f t="shared" si="0"/>
        <v>300</v>
      </c>
      <c r="D11" s="135">
        <v>16052906</v>
      </c>
      <c r="E11" s="134">
        <f t="shared" si="1"/>
        <v>3972</v>
      </c>
      <c r="F11" s="135">
        <v>28978917</v>
      </c>
      <c r="G11" s="134">
        <f t="shared" si="2"/>
        <v>6075</v>
      </c>
      <c r="H11" s="135">
        <v>12886228</v>
      </c>
      <c r="I11" s="134">
        <f t="shared" si="3"/>
        <v>2636</v>
      </c>
    </row>
    <row r="12" spans="1:20" ht="21" thickTop="1" thickBot="1" x14ac:dyDescent="0.35">
      <c r="A12" s="52">
        <f t="shared" si="4"/>
        <v>43493</v>
      </c>
      <c r="B12" s="133">
        <v>101716</v>
      </c>
      <c r="C12" s="134">
        <f t="shared" si="0"/>
        <v>340</v>
      </c>
      <c r="D12" s="135">
        <v>16056878</v>
      </c>
      <c r="E12" s="134">
        <f t="shared" si="1"/>
        <v>4606</v>
      </c>
      <c r="F12" s="135">
        <v>28984992</v>
      </c>
      <c r="G12" s="134">
        <f t="shared" si="2"/>
        <v>6072</v>
      </c>
      <c r="H12" s="135">
        <v>12888864</v>
      </c>
      <c r="I12" s="134">
        <f t="shared" si="3"/>
        <v>2642</v>
      </c>
    </row>
    <row r="13" spans="1:20" ht="21" thickTop="1" thickBot="1" x14ac:dyDescent="0.35">
      <c r="A13" s="52">
        <f t="shared" si="4"/>
        <v>43494</v>
      </c>
      <c r="B13" s="133">
        <v>101750</v>
      </c>
      <c r="C13" s="134">
        <f t="shared" si="0"/>
        <v>300</v>
      </c>
      <c r="D13" s="135">
        <v>16061484</v>
      </c>
      <c r="E13" s="134">
        <f t="shared" si="1"/>
        <v>3534</v>
      </c>
      <c r="F13" s="135">
        <v>28991064</v>
      </c>
      <c r="G13" s="134">
        <f t="shared" si="2"/>
        <v>5963</v>
      </c>
      <c r="H13" s="135">
        <v>12891506</v>
      </c>
      <c r="I13" s="134">
        <f t="shared" si="3"/>
        <v>2763</v>
      </c>
    </row>
    <row r="14" spans="1:20" ht="21" thickTop="1" thickBot="1" x14ac:dyDescent="0.35">
      <c r="A14" s="52">
        <f t="shared" si="4"/>
        <v>43495</v>
      </c>
      <c r="B14" s="133">
        <v>101780</v>
      </c>
      <c r="C14" s="134">
        <f t="shared" si="0"/>
        <v>300</v>
      </c>
      <c r="D14" s="135">
        <v>16065018</v>
      </c>
      <c r="E14" s="134">
        <f t="shared" si="1"/>
        <v>3365</v>
      </c>
      <c r="F14" s="135">
        <v>28997027</v>
      </c>
      <c r="G14" s="134">
        <f t="shared" si="2"/>
        <v>6122</v>
      </c>
      <c r="H14" s="135">
        <v>12894269</v>
      </c>
      <c r="I14" s="134">
        <f t="shared" si="3"/>
        <v>2740</v>
      </c>
    </row>
    <row r="15" spans="1:20" ht="21" thickTop="1" thickBot="1" x14ac:dyDescent="0.35">
      <c r="A15" s="52">
        <f t="shared" si="4"/>
        <v>43496</v>
      </c>
      <c r="B15" s="133">
        <v>101810</v>
      </c>
      <c r="C15" s="134">
        <f t="shared" si="0"/>
        <v>310</v>
      </c>
      <c r="D15" s="135">
        <v>16068383</v>
      </c>
      <c r="E15" s="134">
        <f t="shared" si="1"/>
        <v>3857</v>
      </c>
      <c r="F15" s="135">
        <v>29003149</v>
      </c>
      <c r="G15" s="134">
        <f t="shared" si="2"/>
        <v>6317</v>
      </c>
      <c r="H15" s="135">
        <v>12897009</v>
      </c>
      <c r="I15" s="134">
        <f t="shared" si="3"/>
        <v>2820</v>
      </c>
    </row>
    <row r="16" spans="1:20" ht="21" thickTop="1" thickBot="1" x14ac:dyDescent="0.35">
      <c r="A16" s="52">
        <f t="shared" si="4"/>
        <v>43497</v>
      </c>
      <c r="B16" s="133">
        <v>101841</v>
      </c>
      <c r="C16" s="134">
        <f>IF(B17&lt;B16,0,B17-B16)*10</f>
        <v>260</v>
      </c>
      <c r="D16" s="135">
        <v>16072240</v>
      </c>
      <c r="E16" s="134">
        <f>IF(D17&lt;D16,0,D17-D16)</f>
        <v>4091</v>
      </c>
      <c r="F16" s="135">
        <v>29009466</v>
      </c>
      <c r="G16" s="134">
        <f>IF(F17&lt;F16,0,F17-F16)</f>
        <v>5953</v>
      </c>
      <c r="H16" s="135">
        <v>12899829</v>
      </c>
      <c r="I16" s="134">
        <f t="shared" si="3"/>
        <v>2753</v>
      </c>
    </row>
    <row r="17" spans="1:9" ht="21" thickTop="1" thickBot="1" x14ac:dyDescent="0.35">
      <c r="A17" s="52">
        <f t="shared" si="4"/>
        <v>43498</v>
      </c>
      <c r="B17" s="133">
        <v>101867</v>
      </c>
      <c r="C17" s="134">
        <f t="shared" ref="C17:C46" si="5">IF(B18&lt;B17,0,B18-B17)*10</f>
        <v>290</v>
      </c>
      <c r="D17" s="135">
        <v>16076331</v>
      </c>
      <c r="E17" s="134">
        <f>IF(D18&lt;D17,0,D18-D17)</f>
        <v>3913</v>
      </c>
      <c r="F17" s="135">
        <v>29015419</v>
      </c>
      <c r="G17" s="134">
        <f t="shared" ref="G17:G46" si="6">IF(F18&lt;F17,0,F18-F17)</f>
        <v>5980</v>
      </c>
      <c r="H17" s="135">
        <v>12902582</v>
      </c>
      <c r="I17" s="134">
        <f t="shared" si="3"/>
        <v>2802</v>
      </c>
    </row>
    <row r="18" spans="1:9" ht="21" thickTop="1" thickBot="1" x14ac:dyDescent="0.35">
      <c r="A18" s="52">
        <f t="shared" si="4"/>
        <v>43499</v>
      </c>
      <c r="B18" s="133">
        <v>101896</v>
      </c>
      <c r="C18" s="134">
        <f t="shared" si="5"/>
        <v>290</v>
      </c>
      <c r="D18" s="135">
        <v>16080244</v>
      </c>
      <c r="E18" s="134">
        <f>IF(D19&lt;D18,0,D19-D18)</f>
        <v>4337</v>
      </c>
      <c r="F18" s="135">
        <v>29021399</v>
      </c>
      <c r="G18" s="134">
        <f t="shared" si="6"/>
        <v>6419</v>
      </c>
      <c r="H18" s="135">
        <v>12905384</v>
      </c>
      <c r="I18" s="134">
        <f t="shared" si="3"/>
        <v>3216</v>
      </c>
    </row>
    <row r="19" spans="1:9" ht="21" thickTop="1" thickBot="1" x14ac:dyDescent="0.35">
      <c r="A19" s="52">
        <f t="shared" si="4"/>
        <v>43500</v>
      </c>
      <c r="B19" s="133">
        <v>101925</v>
      </c>
      <c r="C19" s="134">
        <f t="shared" si="5"/>
        <v>370</v>
      </c>
      <c r="D19" s="135">
        <v>16084581</v>
      </c>
      <c r="E19" s="134">
        <f t="shared" ref="E19:E46" si="7">IF(D20&lt;D19,0,D20-D19)</f>
        <v>4771</v>
      </c>
      <c r="F19" s="135">
        <v>29027818</v>
      </c>
      <c r="G19" s="134">
        <f t="shared" si="6"/>
        <v>7231</v>
      </c>
      <c r="H19" s="135">
        <v>12908600</v>
      </c>
      <c r="I19" s="134">
        <f t="shared" si="3"/>
        <v>3344</v>
      </c>
    </row>
    <row r="20" spans="1:9" ht="21" thickTop="1" thickBot="1" x14ac:dyDescent="0.35">
      <c r="A20" s="52">
        <f t="shared" si="4"/>
        <v>43501</v>
      </c>
      <c r="B20" s="133">
        <v>101962</v>
      </c>
      <c r="C20" s="134">
        <f t="shared" si="5"/>
        <v>320</v>
      </c>
      <c r="D20" s="135">
        <v>16089352</v>
      </c>
      <c r="E20" s="134">
        <f t="shared" si="7"/>
        <v>4760</v>
      </c>
      <c r="F20" s="135">
        <v>29035049</v>
      </c>
      <c r="G20" s="134">
        <f t="shared" si="6"/>
        <v>7167</v>
      </c>
      <c r="H20" s="135">
        <v>12911944</v>
      </c>
      <c r="I20" s="134">
        <f t="shared" si="3"/>
        <v>3171</v>
      </c>
    </row>
    <row r="21" spans="1:9" ht="21" thickTop="1" thickBot="1" x14ac:dyDescent="0.35">
      <c r="A21" s="52">
        <f t="shared" si="4"/>
        <v>43502</v>
      </c>
      <c r="B21" s="133">
        <v>101994</v>
      </c>
      <c r="C21" s="134">
        <f t="shared" si="5"/>
        <v>330</v>
      </c>
      <c r="D21" s="135">
        <v>16094112</v>
      </c>
      <c r="E21" s="134">
        <f t="shared" si="7"/>
        <v>4610</v>
      </c>
      <c r="F21" s="135">
        <v>29042216</v>
      </c>
      <c r="G21" s="134">
        <f t="shared" si="6"/>
        <v>7145</v>
      </c>
      <c r="H21" s="135">
        <v>12915115</v>
      </c>
      <c r="I21" s="134">
        <f t="shared" si="3"/>
        <v>3226</v>
      </c>
    </row>
    <row r="22" spans="1:9" ht="21" thickTop="1" thickBot="1" x14ac:dyDescent="0.35">
      <c r="A22" s="52">
        <f t="shared" si="4"/>
        <v>43503</v>
      </c>
      <c r="B22" s="133">
        <v>102027</v>
      </c>
      <c r="C22" s="134">
        <f t="shared" si="5"/>
        <v>350</v>
      </c>
      <c r="D22" s="135">
        <v>16098722</v>
      </c>
      <c r="E22" s="134">
        <f t="shared" si="7"/>
        <v>4565</v>
      </c>
      <c r="F22" s="135">
        <v>29049361</v>
      </c>
      <c r="G22" s="134">
        <f t="shared" si="6"/>
        <v>7035</v>
      </c>
      <c r="H22" s="135">
        <v>12918341</v>
      </c>
      <c r="I22" s="134">
        <f t="shared" si="3"/>
        <v>3217</v>
      </c>
    </row>
    <row r="23" spans="1:9" ht="21" thickTop="1" thickBot="1" x14ac:dyDescent="0.35">
      <c r="A23" s="52">
        <f t="shared" si="4"/>
        <v>43504</v>
      </c>
      <c r="B23" s="133">
        <v>102062</v>
      </c>
      <c r="C23" s="134">
        <f t="shared" si="5"/>
        <v>310</v>
      </c>
      <c r="D23" s="135">
        <v>16103287</v>
      </c>
      <c r="E23" s="134">
        <f t="shared" si="7"/>
        <v>4055</v>
      </c>
      <c r="F23" s="135">
        <v>29056396</v>
      </c>
      <c r="G23" s="134">
        <f t="shared" si="6"/>
        <v>6392</v>
      </c>
      <c r="H23" s="135">
        <v>12921558</v>
      </c>
      <c r="I23" s="134">
        <f t="shared" si="3"/>
        <v>2951</v>
      </c>
    </row>
    <row r="24" spans="1:9" ht="21" thickTop="1" thickBot="1" x14ac:dyDescent="0.35">
      <c r="A24" s="52">
        <f t="shared" si="4"/>
        <v>43505</v>
      </c>
      <c r="B24" s="133">
        <v>102093</v>
      </c>
      <c r="C24" s="134">
        <f t="shared" si="5"/>
        <v>440</v>
      </c>
      <c r="D24" s="135">
        <v>16107342</v>
      </c>
      <c r="E24" s="134">
        <f t="shared" si="7"/>
        <v>4251</v>
      </c>
      <c r="F24" s="135">
        <v>29062788</v>
      </c>
      <c r="G24" s="134">
        <f t="shared" si="6"/>
        <v>6293</v>
      </c>
      <c r="H24" s="135">
        <v>12924509</v>
      </c>
      <c r="I24" s="134">
        <f t="shared" si="3"/>
        <v>2839</v>
      </c>
    </row>
    <row r="25" spans="1:9" ht="21" thickTop="1" thickBot="1" x14ac:dyDescent="0.35">
      <c r="A25" s="52">
        <f t="shared" si="4"/>
        <v>43506</v>
      </c>
      <c r="B25" s="133">
        <v>102137</v>
      </c>
      <c r="C25" s="134">
        <f t="shared" si="5"/>
        <v>350</v>
      </c>
      <c r="D25" s="135">
        <v>16111593</v>
      </c>
      <c r="E25" s="134">
        <f t="shared" si="7"/>
        <v>4729</v>
      </c>
      <c r="F25" s="135">
        <v>29069081</v>
      </c>
      <c r="G25" s="134">
        <f t="shared" si="6"/>
        <v>6361</v>
      </c>
      <c r="H25" s="135">
        <v>12927348</v>
      </c>
      <c r="I25" s="134">
        <f t="shared" si="3"/>
        <v>2955</v>
      </c>
    </row>
    <row r="26" spans="1:9" ht="21" thickTop="1" thickBot="1" x14ac:dyDescent="0.35">
      <c r="A26" s="52">
        <f t="shared" si="4"/>
        <v>43507</v>
      </c>
      <c r="B26" s="133">
        <v>102172</v>
      </c>
      <c r="C26" s="134">
        <f t="shared" si="5"/>
        <v>330</v>
      </c>
      <c r="D26" s="135">
        <v>16116322</v>
      </c>
      <c r="E26" s="134">
        <f t="shared" si="7"/>
        <v>4149</v>
      </c>
      <c r="F26" s="135">
        <v>29075442</v>
      </c>
      <c r="G26" s="134">
        <f t="shared" si="6"/>
        <v>6450</v>
      </c>
      <c r="H26" s="135">
        <v>12930303</v>
      </c>
      <c r="I26" s="134">
        <f t="shared" si="3"/>
        <v>3059</v>
      </c>
    </row>
    <row r="27" spans="1:9" ht="21" thickTop="1" thickBot="1" x14ac:dyDescent="0.35">
      <c r="A27" s="52">
        <f t="shared" si="4"/>
        <v>43508</v>
      </c>
      <c r="B27" s="133">
        <v>102205</v>
      </c>
      <c r="C27" s="134">
        <f t="shared" si="5"/>
        <v>380</v>
      </c>
      <c r="D27" s="135">
        <v>16120471</v>
      </c>
      <c r="E27" s="134">
        <f t="shared" si="7"/>
        <v>4147</v>
      </c>
      <c r="F27" s="135">
        <v>29081892</v>
      </c>
      <c r="G27" s="134">
        <f t="shared" si="6"/>
        <v>6289</v>
      </c>
      <c r="H27" s="135">
        <v>12933362</v>
      </c>
      <c r="I27" s="134">
        <f t="shared" si="3"/>
        <v>2839</v>
      </c>
    </row>
    <row r="28" spans="1:9" ht="21" thickTop="1" thickBot="1" x14ac:dyDescent="0.35">
      <c r="A28" s="52">
        <f t="shared" si="4"/>
        <v>43509</v>
      </c>
      <c r="B28" s="133">
        <v>102243</v>
      </c>
      <c r="C28" s="134">
        <f t="shared" si="5"/>
        <v>350</v>
      </c>
      <c r="D28" s="135">
        <v>16124618</v>
      </c>
      <c r="E28" s="134">
        <f t="shared" si="7"/>
        <v>4054</v>
      </c>
      <c r="F28" s="135">
        <v>29088181</v>
      </c>
      <c r="G28" s="134">
        <f t="shared" si="6"/>
        <v>6343</v>
      </c>
      <c r="H28" s="135">
        <v>12936201</v>
      </c>
      <c r="I28" s="134">
        <f t="shared" si="3"/>
        <v>2844</v>
      </c>
    </row>
    <row r="29" spans="1:9" ht="21" thickTop="1" thickBot="1" x14ac:dyDescent="0.35">
      <c r="A29" s="52">
        <f t="shared" si="4"/>
        <v>43510</v>
      </c>
      <c r="B29" s="133">
        <v>102278</v>
      </c>
      <c r="C29" s="134">
        <f t="shared" si="5"/>
        <v>410</v>
      </c>
      <c r="D29" s="135">
        <v>16128672</v>
      </c>
      <c r="E29" s="134">
        <f t="shared" si="7"/>
        <v>4802</v>
      </c>
      <c r="F29" s="135">
        <v>29094524</v>
      </c>
      <c r="G29" s="134">
        <f t="shared" si="6"/>
        <v>6792</v>
      </c>
      <c r="H29" s="135">
        <v>12939045</v>
      </c>
      <c r="I29" s="134">
        <f t="shared" si="3"/>
        <v>3081</v>
      </c>
    </row>
    <row r="30" spans="1:9" ht="21" thickTop="1" thickBot="1" x14ac:dyDescent="0.35">
      <c r="A30" s="52">
        <f t="shared" si="4"/>
        <v>43511</v>
      </c>
      <c r="B30" s="133">
        <v>102319</v>
      </c>
      <c r="C30" s="134">
        <f t="shared" si="5"/>
        <v>350</v>
      </c>
      <c r="D30" s="135">
        <v>16133474</v>
      </c>
      <c r="E30" s="134">
        <f t="shared" si="7"/>
        <v>5332</v>
      </c>
      <c r="F30" s="135">
        <v>29101316</v>
      </c>
      <c r="G30" s="134">
        <f t="shared" si="6"/>
        <v>7039</v>
      </c>
      <c r="H30" s="135">
        <v>12942126</v>
      </c>
      <c r="I30" s="134">
        <f t="shared" si="3"/>
        <v>3529</v>
      </c>
    </row>
    <row r="31" spans="1:9" ht="21" thickTop="1" thickBot="1" x14ac:dyDescent="0.35">
      <c r="A31" s="52">
        <f>A30+1</f>
        <v>43512</v>
      </c>
      <c r="B31" s="133">
        <v>102354</v>
      </c>
      <c r="C31" s="134">
        <f t="shared" si="5"/>
        <v>460</v>
      </c>
      <c r="D31" s="135">
        <v>16138806</v>
      </c>
      <c r="E31" s="134">
        <f t="shared" si="7"/>
        <v>4389</v>
      </c>
      <c r="F31" s="135">
        <v>29108355</v>
      </c>
      <c r="G31" s="134">
        <f t="shared" si="6"/>
        <v>6846</v>
      </c>
      <c r="H31" s="135">
        <v>12945655</v>
      </c>
      <c r="I31" s="134">
        <f t="shared" si="3"/>
        <v>3277</v>
      </c>
    </row>
    <row r="32" spans="1:9" ht="21" thickTop="1" thickBot="1" x14ac:dyDescent="0.35">
      <c r="A32" s="52">
        <f t="shared" si="4"/>
        <v>43513</v>
      </c>
      <c r="B32" s="133">
        <v>102400</v>
      </c>
      <c r="C32" s="134">
        <f t="shared" si="5"/>
        <v>370</v>
      </c>
      <c r="D32" s="135">
        <v>16143195</v>
      </c>
      <c r="E32" s="134">
        <f t="shared" si="7"/>
        <v>3923</v>
      </c>
      <c r="F32" s="135">
        <v>29115201</v>
      </c>
      <c r="G32" s="134">
        <f t="shared" si="6"/>
        <v>6682</v>
      </c>
      <c r="H32" s="135">
        <v>12948932</v>
      </c>
      <c r="I32" s="134">
        <f t="shared" si="3"/>
        <v>3136</v>
      </c>
    </row>
    <row r="33" spans="1:9" ht="21" thickTop="1" thickBot="1" x14ac:dyDescent="0.35">
      <c r="A33" s="52">
        <f t="shared" si="4"/>
        <v>43514</v>
      </c>
      <c r="B33" s="133">
        <v>102437</v>
      </c>
      <c r="C33" s="134">
        <f t="shared" si="5"/>
        <v>420</v>
      </c>
      <c r="D33" s="135">
        <v>16147118</v>
      </c>
      <c r="E33" s="134">
        <f t="shared" si="7"/>
        <v>4681</v>
      </c>
      <c r="F33" s="135">
        <v>29121883</v>
      </c>
      <c r="G33" s="134">
        <f t="shared" si="6"/>
        <v>6775</v>
      </c>
      <c r="H33" s="135">
        <v>12952068</v>
      </c>
      <c r="I33" s="134">
        <f t="shared" si="3"/>
        <v>3145</v>
      </c>
    </row>
    <row r="34" spans="1:9" ht="21" thickTop="1" thickBot="1" x14ac:dyDescent="0.35">
      <c r="A34" s="52">
        <f t="shared" si="4"/>
        <v>43515</v>
      </c>
      <c r="B34" s="133">
        <v>102479</v>
      </c>
      <c r="C34" s="134">
        <f t="shared" si="5"/>
        <v>370</v>
      </c>
      <c r="D34" s="135">
        <v>16151799</v>
      </c>
      <c r="E34" s="134">
        <f t="shared" si="7"/>
        <v>4399</v>
      </c>
      <c r="F34" s="135">
        <v>29128658</v>
      </c>
      <c r="G34" s="134">
        <f t="shared" si="6"/>
        <v>6628</v>
      </c>
      <c r="H34" s="135">
        <v>12955213</v>
      </c>
      <c r="I34" s="134">
        <f t="shared" si="3"/>
        <v>3347</v>
      </c>
    </row>
    <row r="35" spans="1:9" ht="21" thickTop="1" thickBot="1" x14ac:dyDescent="0.35">
      <c r="A35" s="52">
        <f t="shared" si="4"/>
        <v>43516</v>
      </c>
      <c r="B35" s="133">
        <v>102516</v>
      </c>
      <c r="C35" s="134">
        <f t="shared" si="5"/>
        <v>370</v>
      </c>
      <c r="D35" s="135">
        <v>16156198</v>
      </c>
      <c r="E35" s="134">
        <f t="shared" si="7"/>
        <v>4277</v>
      </c>
      <c r="F35" s="135">
        <v>29135286</v>
      </c>
      <c r="G35" s="134">
        <f t="shared" si="6"/>
        <v>6603</v>
      </c>
      <c r="H35" s="135">
        <v>12958560</v>
      </c>
      <c r="I35" s="134">
        <f t="shared" si="3"/>
        <v>3487</v>
      </c>
    </row>
    <row r="36" spans="1:9" ht="21" thickTop="1" thickBot="1" x14ac:dyDescent="0.35">
      <c r="A36" s="52">
        <f t="shared" si="4"/>
        <v>43517</v>
      </c>
      <c r="B36" s="133">
        <v>102553</v>
      </c>
      <c r="C36" s="134">
        <f t="shared" si="5"/>
        <v>410</v>
      </c>
      <c r="D36" s="135">
        <v>16160475</v>
      </c>
      <c r="E36" s="134">
        <f t="shared" si="7"/>
        <v>4387</v>
      </c>
      <c r="F36" s="135">
        <v>29141889</v>
      </c>
      <c r="G36" s="134">
        <f t="shared" si="6"/>
        <v>7177</v>
      </c>
      <c r="H36" s="135">
        <v>12962047</v>
      </c>
      <c r="I36" s="134">
        <f t="shared" si="3"/>
        <v>2901</v>
      </c>
    </row>
    <row r="37" spans="1:9" ht="21" thickTop="1" thickBot="1" x14ac:dyDescent="0.35">
      <c r="A37" s="52">
        <f t="shared" si="4"/>
        <v>43518</v>
      </c>
      <c r="B37" s="133">
        <v>102594</v>
      </c>
      <c r="C37" s="134">
        <f t="shared" si="5"/>
        <v>340</v>
      </c>
      <c r="D37" s="135">
        <v>16164862</v>
      </c>
      <c r="E37" s="134">
        <f t="shared" si="7"/>
        <v>4348</v>
      </c>
      <c r="F37" s="135">
        <v>29149066</v>
      </c>
      <c r="G37" s="134">
        <f t="shared" si="6"/>
        <v>7183</v>
      </c>
      <c r="H37" s="135">
        <v>12964948</v>
      </c>
      <c r="I37" s="134">
        <f t="shared" si="3"/>
        <v>3458</v>
      </c>
    </row>
    <row r="38" spans="1:9" ht="21" thickTop="1" thickBot="1" x14ac:dyDescent="0.35">
      <c r="A38" s="52">
        <f t="shared" si="4"/>
        <v>43519</v>
      </c>
      <c r="B38" s="133">
        <v>102628</v>
      </c>
      <c r="C38" s="134">
        <f t="shared" si="5"/>
        <v>450</v>
      </c>
      <c r="D38" s="135">
        <v>16169210</v>
      </c>
      <c r="E38" s="134">
        <f t="shared" si="7"/>
        <v>4405</v>
      </c>
      <c r="F38" s="135">
        <v>29156249</v>
      </c>
      <c r="G38" s="134">
        <f t="shared" si="6"/>
        <v>8245</v>
      </c>
      <c r="H38" s="135">
        <v>12968406</v>
      </c>
      <c r="I38" s="134">
        <f t="shared" si="3"/>
        <v>3737</v>
      </c>
    </row>
    <row r="39" spans="1:9" ht="21" thickTop="1" thickBot="1" x14ac:dyDescent="0.35">
      <c r="A39" s="52">
        <f t="shared" si="4"/>
        <v>43520</v>
      </c>
      <c r="B39" s="133">
        <v>102673</v>
      </c>
      <c r="C39" s="134">
        <f t="shared" si="5"/>
        <v>440</v>
      </c>
      <c r="D39" s="135">
        <v>16173615</v>
      </c>
      <c r="E39" s="134">
        <f t="shared" si="7"/>
        <v>4823</v>
      </c>
      <c r="F39" s="135">
        <v>29164494</v>
      </c>
      <c r="G39" s="134">
        <f t="shared" si="6"/>
        <v>8358</v>
      </c>
      <c r="H39" s="135">
        <v>12972143</v>
      </c>
      <c r="I39" s="134">
        <f t="shared" si="3"/>
        <v>3842</v>
      </c>
    </row>
    <row r="40" spans="1:9" ht="21" thickTop="1" thickBot="1" x14ac:dyDescent="0.35">
      <c r="A40" s="52">
        <f t="shared" si="4"/>
        <v>43521</v>
      </c>
      <c r="B40" s="133">
        <v>102717</v>
      </c>
      <c r="C40" s="134">
        <f t="shared" si="5"/>
        <v>440</v>
      </c>
      <c r="D40" s="135">
        <v>16178438</v>
      </c>
      <c r="E40" s="134">
        <f t="shared" si="7"/>
        <v>5113</v>
      </c>
      <c r="F40" s="135">
        <v>29172852</v>
      </c>
      <c r="G40" s="134">
        <f t="shared" si="6"/>
        <v>7700</v>
      </c>
      <c r="H40" s="135">
        <v>12975985</v>
      </c>
      <c r="I40" s="134">
        <f t="shared" si="3"/>
        <v>4278</v>
      </c>
    </row>
    <row r="41" spans="1:9" ht="21" thickTop="1" thickBot="1" x14ac:dyDescent="0.35">
      <c r="A41" s="52">
        <f t="shared" si="4"/>
        <v>43522</v>
      </c>
      <c r="B41" s="133">
        <v>102761</v>
      </c>
      <c r="C41" s="134">
        <f t="shared" si="5"/>
        <v>400</v>
      </c>
      <c r="D41" s="135">
        <v>16183551</v>
      </c>
      <c r="E41" s="134">
        <f t="shared" si="7"/>
        <v>5226</v>
      </c>
      <c r="F41" s="135">
        <v>29180552</v>
      </c>
      <c r="G41" s="134">
        <f t="shared" si="6"/>
        <v>8428</v>
      </c>
      <c r="H41" s="135">
        <v>12980263</v>
      </c>
      <c r="I41" s="134">
        <f t="shared" si="3"/>
        <v>3132</v>
      </c>
    </row>
    <row r="42" spans="1:9" ht="21" thickTop="1" thickBot="1" x14ac:dyDescent="0.35">
      <c r="A42" s="52">
        <f t="shared" si="4"/>
        <v>43523</v>
      </c>
      <c r="B42" s="133">
        <v>102801</v>
      </c>
      <c r="C42" s="134">
        <f t="shared" si="5"/>
        <v>400</v>
      </c>
      <c r="D42" s="135">
        <v>16188777</v>
      </c>
      <c r="E42" s="134">
        <f t="shared" si="7"/>
        <v>5353</v>
      </c>
      <c r="F42" s="135">
        <v>29188980</v>
      </c>
      <c r="G42" s="134">
        <f t="shared" si="6"/>
        <v>9798</v>
      </c>
      <c r="H42" s="135">
        <v>12983395</v>
      </c>
      <c r="I42" s="134">
        <f t="shared" si="3"/>
        <v>3715</v>
      </c>
    </row>
    <row r="43" spans="1:9" ht="21" thickTop="1" thickBot="1" x14ac:dyDescent="0.35">
      <c r="A43" s="52">
        <f t="shared" si="4"/>
        <v>43524</v>
      </c>
      <c r="B43" s="133">
        <v>102841</v>
      </c>
      <c r="C43" s="134">
        <f t="shared" si="5"/>
        <v>380</v>
      </c>
      <c r="D43" s="135">
        <v>16194130</v>
      </c>
      <c r="E43" s="134">
        <f t="shared" si="7"/>
        <v>5006</v>
      </c>
      <c r="F43" s="135">
        <v>29198778</v>
      </c>
      <c r="G43" s="134">
        <f t="shared" si="6"/>
        <v>9894</v>
      </c>
      <c r="H43" s="135">
        <v>12987110</v>
      </c>
      <c r="I43" s="134">
        <f t="shared" si="3"/>
        <v>3433</v>
      </c>
    </row>
    <row r="44" spans="1:9" ht="21" thickTop="1" thickBot="1" x14ac:dyDescent="0.35">
      <c r="A44" s="52">
        <f t="shared" si="4"/>
        <v>43525</v>
      </c>
      <c r="B44" s="133">
        <v>102879</v>
      </c>
      <c r="C44" s="134">
        <f>IF(B45&lt;B44,0,B45-B44)*10</f>
        <v>420</v>
      </c>
      <c r="D44" s="135">
        <v>16199136</v>
      </c>
      <c r="E44" s="134">
        <f>IF(D45&lt;D44,0,D45-D44)</f>
        <v>4947</v>
      </c>
      <c r="F44" s="135">
        <v>29208672</v>
      </c>
      <c r="G44" s="134">
        <f>IF(F45&lt;F44,0,F45-F44)</f>
        <v>7679</v>
      </c>
      <c r="H44" s="135">
        <v>12990543</v>
      </c>
      <c r="I44" s="134">
        <f t="shared" si="3"/>
        <v>3829</v>
      </c>
    </row>
    <row r="45" spans="1:9" ht="21" thickTop="1" thickBot="1" x14ac:dyDescent="0.35">
      <c r="A45" s="52">
        <f t="shared" si="4"/>
        <v>43526</v>
      </c>
      <c r="B45" s="133">
        <v>102921</v>
      </c>
      <c r="C45" s="134">
        <f t="shared" si="5"/>
        <v>0</v>
      </c>
      <c r="D45" s="135">
        <v>16204083</v>
      </c>
      <c r="E45" s="134">
        <f t="shared" si="7"/>
        <v>0</v>
      </c>
      <c r="F45" s="135">
        <v>29216351</v>
      </c>
      <c r="G45" s="134">
        <f t="shared" si="6"/>
        <v>0</v>
      </c>
      <c r="H45" s="135">
        <v>12994372</v>
      </c>
      <c r="I45" s="134">
        <f t="shared" si="3"/>
        <v>0</v>
      </c>
    </row>
    <row r="46" spans="1:9" ht="21" thickTop="1" thickBot="1" x14ac:dyDescent="0.35">
      <c r="A46" s="52">
        <f t="shared" si="4"/>
        <v>43527</v>
      </c>
      <c r="B46" s="133"/>
      <c r="C46" s="134">
        <f t="shared" si="5"/>
        <v>0</v>
      </c>
      <c r="D46" s="135"/>
      <c r="E46" s="134">
        <f t="shared" si="7"/>
        <v>0</v>
      </c>
      <c r="F46" s="135"/>
      <c r="G46" s="134">
        <f t="shared" si="6"/>
        <v>0</v>
      </c>
      <c r="H46" s="135"/>
      <c r="I46" s="134">
        <f t="shared" si="3"/>
        <v>0</v>
      </c>
    </row>
    <row r="47" spans="1:9" ht="21" thickTop="1" thickBot="1" x14ac:dyDescent="0.35">
      <c r="A47" s="52">
        <f t="shared" si="4"/>
        <v>43528</v>
      </c>
      <c r="B47" s="133"/>
      <c r="C47" s="134">
        <f>IF(B48&lt;B47,0,B48-B47)*10</f>
        <v>0</v>
      </c>
      <c r="D47" s="135"/>
      <c r="E47" s="134">
        <f>IF(D48&lt;D47,0,D48-D47)</f>
        <v>0</v>
      </c>
      <c r="F47" s="135"/>
      <c r="G47" s="134">
        <f>IF(F48&lt;F47,0,F48-F47)</f>
        <v>0</v>
      </c>
      <c r="H47" s="135"/>
      <c r="I47" s="134">
        <f>IF(H48&lt;H47,0,H48-H47)</f>
        <v>0</v>
      </c>
    </row>
    <row r="48" spans="1:9" ht="21.75" customHeight="1" thickTop="1" thickBot="1" x14ac:dyDescent="0.35">
      <c r="A48" s="54"/>
      <c r="C48" s="62">
        <f>SUM(C16:C43)</f>
        <v>10380</v>
      </c>
      <c r="E48" s="62">
        <f>SUM(E16:E43)</f>
        <v>126896</v>
      </c>
      <c r="G48" s="287">
        <f>SUM(G16:G43)</f>
        <v>199206</v>
      </c>
      <c r="I48" s="62">
        <f>SUM(I16:I43)</f>
        <v>90714</v>
      </c>
    </row>
    <row r="49" spans="1:8" ht="24" customHeight="1" thickTop="1" x14ac:dyDescent="0.3">
      <c r="A49" s="54"/>
      <c r="F49" s="78"/>
      <c r="G49" s="79"/>
      <c r="H49" s="78"/>
    </row>
    <row r="50" spans="1:8" ht="19.5" x14ac:dyDescent="0.2">
      <c r="A50" s="42"/>
      <c r="F50" s="78"/>
      <c r="G50" s="79"/>
      <c r="H50" s="78"/>
    </row>
    <row r="51" spans="1:8" ht="19.5" x14ac:dyDescent="0.2">
      <c r="A51" s="42"/>
      <c r="F51" s="78"/>
      <c r="G51" s="79"/>
      <c r="H51" s="78"/>
    </row>
    <row r="52" spans="1:8" ht="19.5" x14ac:dyDescent="0.2">
      <c r="F52" s="78"/>
      <c r="G52" s="79"/>
      <c r="H52" s="78"/>
    </row>
    <row r="53" spans="1:8" ht="19.5" x14ac:dyDescent="0.2">
      <c r="F53" s="78"/>
      <c r="G53" s="79"/>
      <c r="H53" s="78"/>
    </row>
    <row r="54" spans="1:8" ht="19.5" x14ac:dyDescent="0.2">
      <c r="F54" s="78"/>
      <c r="G54" s="79"/>
      <c r="H54" s="78"/>
    </row>
    <row r="55" spans="1:8" ht="19.5" x14ac:dyDescent="0.2">
      <c r="F55" s="78"/>
      <c r="G55" s="79"/>
      <c r="H55" s="78"/>
    </row>
    <row r="56" spans="1:8" ht="19.5" x14ac:dyDescent="0.2">
      <c r="F56" s="78"/>
      <c r="G56" s="79"/>
      <c r="H56" s="78"/>
    </row>
    <row r="57" spans="1:8" ht="19.5" x14ac:dyDescent="0.2">
      <c r="F57" s="78"/>
      <c r="G57" s="79"/>
      <c r="H57" s="78"/>
    </row>
    <row r="58" spans="1:8" ht="19.5" x14ac:dyDescent="0.2">
      <c r="F58" s="78"/>
      <c r="G58" s="79">
        <f>IF(F59&lt;F58,0,F59-F58)</f>
        <v>0</v>
      </c>
      <c r="H58" s="78"/>
    </row>
    <row r="59" spans="1:8" x14ac:dyDescent="0.2">
      <c r="F59" s="78"/>
      <c r="G59" s="78"/>
      <c r="H59" s="78"/>
    </row>
    <row r="60" spans="1:8" x14ac:dyDescent="0.2">
      <c r="F60" s="78"/>
      <c r="G60" s="78"/>
      <c r="H60" s="78"/>
    </row>
    <row r="61" spans="1:8" x14ac:dyDescent="0.2">
      <c r="F61" s="78"/>
      <c r="G61" s="78"/>
      <c r="H61" s="7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94" priority="2941" stopIfTrue="1" operator="lessThanOrEqual">
      <formula>0</formula>
    </cfRule>
  </conditionalFormatting>
  <conditionalFormatting sqref="C48">
    <cfRule type="cellIs" dxfId="77" priority="39" stopIfTrue="1" operator="lessThanOrEqual">
      <formula>0</formula>
    </cfRule>
  </conditionalFormatting>
  <conditionalFormatting sqref="I48">
    <cfRule type="cellIs" dxfId="75" priority="38" stopIfTrue="1" operator="lessThanOrEqual">
      <formula>0</formula>
    </cfRule>
  </conditionalFormatting>
  <conditionalFormatting sqref="C48">
    <cfRule type="cellIs" dxfId="73" priority="37" stopIfTrue="1" operator="lessThanOrEqual">
      <formula>0</formula>
    </cfRule>
  </conditionalFormatting>
  <conditionalFormatting sqref="C48">
    <cfRule type="cellIs" dxfId="71" priority="36" stopIfTrue="1" operator="lessThanOrEqual">
      <formula>0</formula>
    </cfRule>
  </conditionalFormatting>
  <conditionalFormatting sqref="G48">
    <cfRule type="cellIs" dxfId="69" priority="35" stopIfTrue="1" operator="lessThanOrEqual">
      <formula>0</formula>
    </cfRule>
  </conditionalFormatting>
  <conditionalFormatting sqref="E48">
    <cfRule type="cellIs" dxfId="67" priority="34" stopIfTrue="1" operator="lessThanOrEqual">
      <formula>0</formula>
    </cfRule>
  </conditionalFormatting>
  <conditionalFormatting sqref="C48">
    <cfRule type="cellIs" dxfId="65" priority="33" stopIfTrue="1" operator="lessThanOrEqual">
      <formula>0</formula>
    </cfRule>
  </conditionalFormatting>
  <conditionalFormatting sqref="C47">
    <cfRule type="cellIs" dxfId="63" priority="32" stopIfTrue="1" operator="lessThanOrEqual">
      <formula>0</formula>
    </cfRule>
  </conditionalFormatting>
  <conditionalFormatting sqref="C47">
    <cfRule type="cellIs" dxfId="61" priority="31" stopIfTrue="1" operator="lessThanOrEqual">
      <formula>0</formula>
    </cfRule>
  </conditionalFormatting>
  <conditionalFormatting sqref="C47">
    <cfRule type="cellIs" dxfId="59" priority="30" stopIfTrue="1" operator="lessThanOrEqual">
      <formula>0</formula>
    </cfRule>
  </conditionalFormatting>
  <conditionalFormatting sqref="C47">
    <cfRule type="cellIs" dxfId="57" priority="29" stopIfTrue="1" operator="lessThanOrEqual">
      <formula>0</formula>
    </cfRule>
  </conditionalFormatting>
  <conditionalFormatting sqref="C14:C15 C17:C29 C34:C43 C45:C46">
    <cfRule type="cellIs" dxfId="55" priority="28" stopIfTrue="1" operator="lessThanOrEqual">
      <formula>0</formula>
    </cfRule>
  </conditionalFormatting>
  <conditionalFormatting sqref="C14:C15 C17:C29 C34:C43 C45:C46">
    <cfRule type="cellIs" dxfId="53" priority="27" stopIfTrue="1" operator="lessThanOrEqual">
      <formula>0</formula>
    </cfRule>
  </conditionalFormatting>
  <conditionalFormatting sqref="C14:C15 C17:C29 C34:C43 C45:C46">
    <cfRule type="cellIs" dxfId="51" priority="26" stopIfTrue="1" operator="lessThanOrEqual">
      <formula>0</formula>
    </cfRule>
  </conditionalFormatting>
  <conditionalFormatting sqref="C14:C15 C17:C29 C34:C43 C45:C46">
    <cfRule type="cellIs" dxfId="49" priority="25" stopIfTrue="1" operator="lessThanOrEqual">
      <formula>0</formula>
    </cfRule>
  </conditionalFormatting>
  <conditionalFormatting sqref="C9:C11">
    <cfRule type="cellIs" dxfId="47" priority="24" stopIfTrue="1" operator="lessThanOrEqual">
      <formula>0</formula>
    </cfRule>
  </conditionalFormatting>
  <conditionalFormatting sqref="C9:C11">
    <cfRule type="cellIs" dxfId="45" priority="23" stopIfTrue="1" operator="lessThanOrEqual">
      <formula>0</formula>
    </cfRule>
  </conditionalFormatting>
  <conditionalFormatting sqref="C9:C11">
    <cfRule type="cellIs" dxfId="43" priority="22" stopIfTrue="1" operator="lessThanOrEqual">
      <formula>0</formula>
    </cfRule>
  </conditionalFormatting>
  <conditionalFormatting sqref="C9:C11">
    <cfRule type="cellIs" dxfId="41" priority="21" stopIfTrue="1" operator="lessThanOrEqual">
      <formula>0</formula>
    </cfRule>
  </conditionalFormatting>
  <conditionalFormatting sqref="C13">
    <cfRule type="cellIs" dxfId="39" priority="20" stopIfTrue="1" operator="lessThanOrEqual">
      <formula>0</formula>
    </cfRule>
  </conditionalFormatting>
  <conditionalFormatting sqref="C13">
    <cfRule type="cellIs" dxfId="37" priority="19" stopIfTrue="1" operator="lessThanOrEqual">
      <formula>0</formula>
    </cfRule>
  </conditionalFormatting>
  <conditionalFormatting sqref="C13">
    <cfRule type="cellIs" dxfId="35" priority="18" stopIfTrue="1" operator="lessThanOrEqual">
      <formula>0</formula>
    </cfRule>
  </conditionalFormatting>
  <conditionalFormatting sqref="C13">
    <cfRule type="cellIs" dxfId="33" priority="17" stopIfTrue="1" operator="lessThanOrEqual">
      <formula>0</formula>
    </cfRule>
  </conditionalFormatting>
  <conditionalFormatting sqref="C12">
    <cfRule type="cellIs" dxfId="31" priority="16" stopIfTrue="1" operator="lessThanOrEqual">
      <formula>0</formula>
    </cfRule>
  </conditionalFormatting>
  <conditionalFormatting sqref="C12">
    <cfRule type="cellIs" dxfId="29" priority="15" stopIfTrue="1" operator="lessThanOrEqual">
      <formula>0</formula>
    </cfRule>
  </conditionalFormatting>
  <conditionalFormatting sqref="C12">
    <cfRule type="cellIs" dxfId="27" priority="14" stopIfTrue="1" operator="lessThanOrEqual">
      <formula>0</formula>
    </cfRule>
  </conditionalFormatting>
  <conditionalFormatting sqref="C12">
    <cfRule type="cellIs" dxfId="25" priority="13" stopIfTrue="1" operator="lessThanOrEqual">
      <formula>0</formula>
    </cfRule>
  </conditionalFormatting>
  <conditionalFormatting sqref="C16">
    <cfRule type="cellIs" dxfId="23" priority="12" stopIfTrue="1" operator="lessThanOrEqual">
      <formula>0</formula>
    </cfRule>
  </conditionalFormatting>
  <conditionalFormatting sqref="C16">
    <cfRule type="cellIs" dxfId="21" priority="11" stopIfTrue="1" operator="lessThanOrEqual">
      <formula>0</formula>
    </cfRule>
  </conditionalFormatting>
  <conditionalFormatting sqref="C16">
    <cfRule type="cellIs" dxfId="19" priority="10" stopIfTrue="1" operator="lessThanOrEqual">
      <formula>0</formula>
    </cfRule>
  </conditionalFormatting>
  <conditionalFormatting sqref="C16">
    <cfRule type="cellIs" dxfId="17" priority="9" stopIfTrue="1" operator="lessThanOrEqual">
      <formula>0</formula>
    </cfRule>
  </conditionalFormatting>
  <conditionalFormatting sqref="C30:C33">
    <cfRule type="cellIs" dxfId="15" priority="8" stopIfTrue="1" operator="lessThanOrEqual">
      <formula>0</formula>
    </cfRule>
  </conditionalFormatting>
  <conditionalFormatting sqref="C30:C33">
    <cfRule type="cellIs" dxfId="13" priority="7" stopIfTrue="1" operator="lessThanOrEqual">
      <formula>0</formula>
    </cfRule>
  </conditionalFormatting>
  <conditionalFormatting sqref="C30:C33">
    <cfRule type="cellIs" dxfId="11" priority="6" stopIfTrue="1" operator="lessThanOrEqual">
      <formula>0</formula>
    </cfRule>
  </conditionalFormatting>
  <conditionalFormatting sqref="C30:C33">
    <cfRule type="cellIs" dxfId="9" priority="5" stopIfTrue="1" operator="lessThanOrEqual">
      <formula>0</formula>
    </cfRule>
  </conditionalFormatting>
  <conditionalFormatting sqref="C44">
    <cfRule type="cellIs" dxfId="7" priority="4" stopIfTrue="1" operator="lessThanOrEqual">
      <formula>0</formula>
    </cfRule>
  </conditionalFormatting>
  <conditionalFormatting sqref="C44">
    <cfRule type="cellIs" dxfId="5" priority="3" stopIfTrue="1" operator="lessThanOrEqual">
      <formula>0</formula>
    </cfRule>
  </conditionalFormatting>
  <conditionalFormatting sqref="C44">
    <cfRule type="cellIs" dxfId="3" priority="2" stopIfTrue="1" operator="lessThanOrEqual">
      <formula>0</formula>
    </cfRule>
  </conditionalFormatting>
  <conditionalFormatting sqref="C4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28.02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2020-01-01T15:27:27Z</dcterms:modified>
</cp:coreProperties>
</file>