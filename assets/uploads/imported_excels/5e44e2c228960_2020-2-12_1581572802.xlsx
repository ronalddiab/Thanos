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 calcMode="manual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L19" i="3" l="1"/>
  <c r="K19" i="3"/>
  <c r="I19" i="3"/>
  <c r="G19" i="3"/>
  <c r="E19" i="3"/>
  <c r="J19" i="2"/>
  <c r="I19" i="2"/>
  <c r="H19" i="2"/>
  <c r="F19" i="2"/>
  <c r="E1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<sst xmlns="http://schemas.openxmlformats.org/spreadsheetml/2006/main" count="102" uniqueCount="37">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</sst>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M15" sqref="M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v>0</v>
      </c>
      <c r="F15" s="24">
        <v>0.11799999999999999</v>
      </c>
      <c r="G15" s="26">
        <v>0</v>
      </c>
      <c r="H15" s="24">
        <v>0.99</v>
      </c>
      <c r="I15" s="26">
        <v>0</v>
      </c>
      <c r="J15" s="24">
        <v>8.1000000000000003E-2</v>
      </c>
      <c r="K15" s="26">
        <v>0</v>
      </c>
      <c r="L15" s="26">
        <v>0</v>
      </c>
      <c r="M15" s="25">
        <v>4.393629424766913</v>
      </c>
      <c r="N15" s="52"/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0</v>
      </c>
      <c r="F16" s="24">
        <v>0.11799999999999999</v>
      </c>
      <c r="G16" s="26">
        <f>(('02 - 2020'!E21-'02 - 2020'!E20)+('02 - 2020'!F21-'02 - 2020'!F20)+('02 - 2020'!G21-'02 - 2020'!G20))*1.81</f>
        <v>0</v>
      </c>
      <c r="H16" s="24">
        <v>0.99</v>
      </c>
      <c r="I16" s="26">
        <f>'02 - 2020'!J21-'02 - 2020'!J20</f>
        <v>0</v>
      </c>
      <c r="J16" s="24">
        <v>8.1000000000000003E-2</v>
      </c>
      <c r="K16" s="26">
        <f>'02 - 2020'!H21-'02 - 2020'!H20</f>
        <v>0</v>
      </c>
      <c r="L16" s="26">
        <f>'02 - 2020'!I21-'02 - 2020'!I20</f>
        <v>0</v>
      </c>
      <c r="M16" s="25">
        <v>4.393629424766913</v>
      </c>
      <c r="N16" s="52"/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0</v>
      </c>
      <c r="F17" s="24">
        <v>0.11799999999999999</v>
      </c>
      <c r="G17" s="26">
        <f>(('02 - 2020'!E22-'02 - 2020'!E21)+('02 - 2020'!F22-'02 - 2020'!F21)+('02 - 2020'!G22-'02 - 2020'!G21))*1.81</f>
        <v>0</v>
      </c>
      <c r="H17" s="24">
        <v>0.99</v>
      </c>
      <c r="I17" s="26">
        <f>'02 - 2020'!J22-'02 - 2020'!J21</f>
        <v>0</v>
      </c>
      <c r="J17" s="24">
        <v>8.1000000000000003E-2</v>
      </c>
      <c r="K17" s="26">
        <f>'02 - 2020'!H22-'02 - 2020'!H21</f>
        <v>0</v>
      </c>
      <c r="L17" s="26">
        <f>'02 - 2020'!I22-'02 - 2020'!I21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0</v>
      </c>
      <c r="F18" s="24">
        <v>0.11799999999999999</v>
      </c>
      <c r="G18" s="26">
        <f>(('02 - 2020'!E23-'02 - 2020'!E22)+('02 - 2020'!F23-'02 - 2020'!F22)+('02 - 2020'!G23-'02 - 2020'!G22))*1.81</f>
        <v>0</v>
      </c>
      <c r="H18" s="24">
        <v>0.99</v>
      </c>
      <c r="I18" s="26">
        <f>'02 - 2020'!J23-'02 - 2020'!J22</f>
        <v>0</v>
      </c>
      <c r="J18" s="24">
        <v>8.1000000000000003E-2</v>
      </c>
      <c r="K18" s="26">
        <f>'02 - 2020'!H23-'02 - 2020'!H22</f>
        <v>0</v>
      </c>
      <c r="L18" s="26">
        <f>'02 - 2020'!I23-'02 - 2020'!I22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0</v>
      </c>
      <c r="F19" s="24">
        <v>0.11799999999999999</v>
      </c>
      <c r="G19" s="26">
        <f>(('02 - 2020'!E24-'02 - 2020'!E23)+('02 - 2020'!F24-'02 - 2020'!F23)+('02 - 2020'!G24-'02 - 2020'!G23))*1.81</f>
        <v>0</v>
      </c>
      <c r="H19" s="24">
        <v>0.99</v>
      </c>
      <c r="I19" s="26">
        <f>'02 - 2020'!J24-'02 - 2020'!J23</f>
        <v>0</v>
      </c>
      <c r="J19" s="24">
        <v>8.1000000000000003E-2</v>
      </c>
      <c r="K19" s="26">
        <f>'02 - 2020'!H24-'02 - 2020'!H23</f>
        <v>0</v>
      </c>
      <c r="L19" s="26">
        <f>'02 - 2020'!I24-'02 - 2020'!I23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0</v>
      </c>
      <c r="F20" s="24">
        <v>0.11799999999999999</v>
      </c>
      <c r="G20" s="26">
        <f>(('02 - 2020'!E25-'02 - 2020'!E24)+('02 - 2020'!F25-'02 - 2020'!F24)+('02 - 2020'!G25-'02 - 2020'!G24))*1.81</f>
        <v>0</v>
      </c>
      <c r="H20" s="24">
        <v>0.99</v>
      </c>
      <c r="I20" s="26">
        <f>'02 - 2020'!J25-'02 - 2020'!J24</f>
        <v>0</v>
      </c>
      <c r="J20" s="24">
        <v>8.1000000000000003E-2</v>
      </c>
      <c r="K20" s="26">
        <f>'02 - 2020'!H25-'02 - 2020'!H24</f>
        <v>0</v>
      </c>
      <c r="L20" s="26">
        <f>'02 - 2020'!I25-'02 - 2020'!I24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0</v>
      </c>
      <c r="F21" s="24">
        <v>0.11799999999999999</v>
      </c>
      <c r="G21" s="26">
        <f>(('02 - 2020'!E26-'02 - 2020'!E25)+('02 - 2020'!F26-'02 - 2020'!F25)+('02 - 2020'!G26-'02 - 2020'!G25))*1.81</f>
        <v>0</v>
      </c>
      <c r="H21" s="24">
        <v>0.99</v>
      </c>
      <c r="I21" s="26">
        <f>'02 - 2020'!J26-'02 - 2020'!J25</f>
        <v>0</v>
      </c>
      <c r="J21" s="24">
        <v>8.1000000000000003E-2</v>
      </c>
      <c r="K21" s="26">
        <f>'02 - 2020'!H26-'02 - 2020'!H25</f>
        <v>0</v>
      </c>
      <c r="L21" s="26">
        <f>'02 - 2020'!I26-'02 - 2020'!I25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0</v>
      </c>
      <c r="F22" s="24">
        <v>0.11799999999999999</v>
      </c>
      <c r="G22" s="26">
        <f>(('02 - 2020'!E27-'02 - 2020'!E26)+('02 - 2020'!F27-'02 - 2020'!F26)+('02 - 2020'!G27-'02 - 2020'!G26))*1.81</f>
        <v>0</v>
      </c>
      <c r="H22" s="24">
        <v>0.99</v>
      </c>
      <c r="I22" s="26">
        <f>'02 - 2020'!J27-'02 - 2020'!J26</f>
        <v>0</v>
      </c>
      <c r="J22" s="24">
        <v>8.1000000000000003E-2</v>
      </c>
      <c r="K22" s="26">
        <f>'02 - 2020'!H27-'02 - 2020'!H26</f>
        <v>0</v>
      </c>
      <c r="L22" s="26">
        <f>'02 - 2020'!I27-'02 - 2020'!I26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0</v>
      </c>
      <c r="F23" s="24">
        <v>0.11799999999999999</v>
      </c>
      <c r="G23" s="26">
        <f>(('02 - 2020'!E28-'02 - 2020'!E27)+('02 - 2020'!F28-'02 - 2020'!F27)+('02 - 2020'!G28-'02 - 2020'!G27))*1.81</f>
        <v>0</v>
      </c>
      <c r="H23" s="24">
        <v>0.99</v>
      </c>
      <c r="I23" s="26">
        <f>'02 - 2020'!J28-'02 - 2020'!J27</f>
        <v>0</v>
      </c>
      <c r="J23" s="24">
        <v>8.1000000000000003E-2</v>
      </c>
      <c r="K23" s="26">
        <f>'02 - 2020'!H28-'02 - 2020'!H27</f>
        <v>0</v>
      </c>
      <c r="L23" s="26">
        <f>'02 - 2020'!I28-'02 - 2020'!I27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0</v>
      </c>
      <c r="F24" s="24">
        <v>0.11799999999999999</v>
      </c>
      <c r="G24" s="26">
        <f>(('02 - 2020'!E29-'02 - 2020'!E28)+('02 - 2020'!F29-'02 - 2020'!F28)+('02 - 2020'!G29-'02 - 2020'!G28))*1.81</f>
        <v>0</v>
      </c>
      <c r="H24" s="24">
        <v>0.99</v>
      </c>
      <c r="I24" s="26">
        <f>'02 - 2020'!J29-'02 - 2020'!J28</f>
        <v>0</v>
      </c>
      <c r="J24" s="24">
        <v>8.1000000000000003E-2</v>
      </c>
      <c r="K24" s="26">
        <f>'02 - 2020'!H29-'02 - 2020'!H28</f>
        <v>0</v>
      </c>
      <c r="L24" s="26">
        <f>'02 - 2020'!I29-'02 - 2020'!I28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0</v>
      </c>
      <c r="F25" s="24">
        <v>0.11799999999999999</v>
      </c>
      <c r="G25" s="26">
        <f>(('02 - 2020'!E30-'02 - 2020'!E29)+('02 - 2020'!F30-'02 - 2020'!F29)+('02 - 2020'!G30-'02 - 2020'!G29))*1.81</f>
        <v>0</v>
      </c>
      <c r="H25" s="24">
        <v>0.99</v>
      </c>
      <c r="I25" s="26">
        <f>'02 - 2020'!J30-'02 - 2020'!J29</f>
        <v>0</v>
      </c>
      <c r="J25" s="24">
        <v>8.1000000000000003E-2</v>
      </c>
      <c r="K25" s="26">
        <f>'02 - 2020'!H30-'02 - 2020'!H29</f>
        <v>0</v>
      </c>
      <c r="L25" s="26">
        <f>'02 - 2020'!I30-'02 - 2020'!I29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J22" sqref="J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v>0</v>
      </c>
      <c r="F15" s="26">
        <v>0</v>
      </c>
      <c r="G15" s="24">
        <v>0.11799999999999999</v>
      </c>
      <c r="H15" s="26">
        <v>0</v>
      </c>
      <c r="I15" s="26">
        <v>0</v>
      </c>
      <c r="J15" s="26">
        <v>0</v>
      </c>
      <c r="K15" s="24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0</v>
      </c>
      <c r="F16" s="26">
        <f>'02 - 2020'!C21-'02 - 2020'!C20</f>
        <v>0</v>
      </c>
      <c r="G16" s="24">
        <v>0.11799999999999999</v>
      </c>
      <c r="H16" s="26">
        <f>'02 - 2020'!E21-'02 - 2020'!E20</f>
        <v>0</v>
      </c>
      <c r="I16" s="26">
        <f>'02 - 2020'!F21-'02 - 2020'!F20</f>
        <v>0</v>
      </c>
      <c r="J16" s="26">
        <f>'02 - 2020'!G21-'02 - 2020'!G20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0</v>
      </c>
      <c r="F17" s="26">
        <f>'02 - 2020'!C22-'02 - 2020'!C21</f>
        <v>0</v>
      </c>
      <c r="G17" s="24">
        <v>0.11799999999999999</v>
      </c>
      <c r="H17" s="26">
        <f>'02 - 2020'!E22-'02 - 2020'!E21</f>
        <v>0</v>
      </c>
      <c r="I17" s="26">
        <f>'02 - 2020'!F22-'02 - 2020'!F21</f>
        <v>0</v>
      </c>
      <c r="J17" s="26">
        <f>'02 - 2020'!G22-'02 - 2020'!G21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0</v>
      </c>
      <c r="F18" s="26">
        <f>'02 - 2020'!C23-'02 - 2020'!C22</f>
        <v>0</v>
      </c>
      <c r="G18" s="24">
        <v>0.11799999999999999</v>
      </c>
      <c r="H18" s="26">
        <f>'02 - 2020'!E23-'02 - 2020'!E22</f>
        <v>0</v>
      </c>
      <c r="I18" s="26">
        <f>'02 - 2020'!F23-'02 - 2020'!F22</f>
        <v>0</v>
      </c>
      <c r="J18" s="26">
        <f>'02 - 2020'!G23-'02 - 2020'!G22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0</v>
      </c>
      <c r="F19" s="26">
        <f>'02 - 2020'!C24-'02 - 2020'!C23</f>
        <v>0</v>
      </c>
      <c r="G19" s="24">
        <v>0.11799999999999999</v>
      </c>
      <c r="H19" s="26">
        <f>'02 - 2020'!E24-'02 - 2020'!E23</f>
        <v>0</v>
      </c>
      <c r="I19" s="26">
        <f>'02 - 2020'!F24-'02 - 2020'!F23</f>
        <v>0</v>
      </c>
      <c r="J19" s="26">
        <f>'02 - 2020'!G24-'02 - 2020'!G23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0</v>
      </c>
      <c r="F20" s="26">
        <f>'02 - 2020'!C25-'02 - 2020'!C24</f>
        <v>0</v>
      </c>
      <c r="G20" s="24">
        <v>0.11799999999999999</v>
      </c>
      <c r="H20" s="26">
        <f>'02 - 2020'!E25-'02 - 2020'!E24</f>
        <v>0</v>
      </c>
      <c r="I20" s="26">
        <f>'02 - 2020'!F25-'02 - 2020'!F24</f>
        <v>0</v>
      </c>
      <c r="J20" s="26">
        <f>'02 - 2020'!G25-'02 - 2020'!G24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0</v>
      </c>
      <c r="F21" s="26">
        <f>'02 - 2020'!C26-'02 - 2020'!C25</f>
        <v>0</v>
      </c>
      <c r="G21" s="24">
        <v>0.11799999999999999</v>
      </c>
      <c r="H21" s="26">
        <f>'02 - 2020'!E26-'02 - 2020'!E25</f>
        <v>0</v>
      </c>
      <c r="I21" s="26">
        <f>'02 - 2020'!F26-'02 - 2020'!F25</f>
        <v>0</v>
      </c>
      <c r="J21" s="26">
        <f>'02 - 2020'!G26-'02 - 2020'!G25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0</v>
      </c>
      <c r="F22" s="26">
        <f>'02 - 2020'!C27-'02 - 2020'!C26</f>
        <v>0</v>
      </c>
      <c r="G22" s="24">
        <v>0.11799999999999999</v>
      </c>
      <c r="H22" s="26">
        <f>'02 - 2020'!E27-'02 - 2020'!E26</f>
        <v>0</v>
      </c>
      <c r="I22" s="26">
        <f>'02 - 2020'!F27-'02 - 2020'!F26</f>
        <v>0</v>
      </c>
      <c r="J22" s="26">
        <f>'02 - 2020'!G27-'02 - 2020'!G26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0</v>
      </c>
      <c r="F23" s="26">
        <f>'02 - 2020'!C28-'02 - 2020'!C27</f>
        <v>0</v>
      </c>
      <c r="G23" s="24">
        <v>0.11799999999999999</v>
      </c>
      <c r="H23" s="26">
        <f>'02 - 2020'!E28-'02 - 2020'!E27</f>
        <v>0</v>
      </c>
      <c r="I23" s="26">
        <f>'02 - 2020'!F28-'02 - 2020'!F27</f>
        <v>0</v>
      </c>
      <c r="J23" s="26">
        <f>'02 - 2020'!G28-'02 - 2020'!G27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0</v>
      </c>
      <c r="F24" s="26">
        <f>'02 - 2020'!C29-'02 - 2020'!C28</f>
        <v>0</v>
      </c>
      <c r="G24" s="24">
        <v>0.11799999999999999</v>
      </c>
      <c r="H24" s="26">
        <f>'02 - 2020'!E29-'02 - 2020'!E28</f>
        <v>0</v>
      </c>
      <c r="I24" s="26">
        <f>'02 - 2020'!F29-'02 - 2020'!F28</f>
        <v>0</v>
      </c>
      <c r="J24" s="26">
        <f>'02 - 2020'!G29-'02 - 2020'!G28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0</v>
      </c>
      <c r="F25" s="26">
        <f>'02 - 2020'!C30-'02 - 2020'!C29</f>
        <v>0</v>
      </c>
      <c r="G25" s="24">
        <v>0.11799999999999999</v>
      </c>
      <c r="H25" s="26">
        <f>'02 - 2020'!E30-'02 - 2020'!E29</f>
        <v>0</v>
      </c>
      <c r="I25" s="26">
        <f>'02 - 2020'!F30-'02 - 2020'!F29</f>
        <v>0</v>
      </c>
      <c r="J25" s="26">
        <f>'02 - 2020'!G30-'02 - 2020'!G29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19" sqref="B19:J1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/>
      <c r="C20" s="15"/>
      <c r="D20" s="16"/>
      <c r="E20" s="23"/>
      <c r="F20" s="23"/>
      <c r="G20" s="17"/>
      <c r="H20" s="15"/>
      <c r="I20" s="15"/>
      <c r="J20" s="15"/>
      <c r="K20" s="18"/>
      <c r="L20" s="33"/>
    </row>
    <row r="21" spans="1:16" ht="12.75" customHeight="1" x14ac:dyDescent="0.25">
      <c r="A21" s="48">
        <v>43876</v>
      </c>
      <c r="B21" s="15"/>
      <c r="C21" s="15"/>
      <c r="D21" s="16"/>
      <c r="E21" s="23"/>
      <c r="F21" s="23"/>
      <c r="G21" s="17"/>
      <c r="H21" s="15"/>
      <c r="I21" s="17"/>
      <c r="J21" s="15"/>
      <c r="K21" s="27"/>
      <c r="L21" s="33"/>
    </row>
    <row r="22" spans="1:16" ht="12.75" customHeight="1" x14ac:dyDescent="0.25">
      <c r="A22" s="48">
        <v>43877</v>
      </c>
      <c r="B22" s="21"/>
      <c r="C22" s="21"/>
      <c r="D22" s="16"/>
      <c r="E22" s="29"/>
      <c r="F22" s="29"/>
      <c r="G22" s="17"/>
      <c r="H22" s="15"/>
      <c r="I22" s="15"/>
      <c r="J22" s="15"/>
      <c r="K22" s="27"/>
      <c r="L22" s="33"/>
    </row>
    <row r="23" spans="1:16" ht="12.75" customHeight="1" x14ac:dyDescent="0.25">
      <c r="A23" s="48">
        <v>43878</v>
      </c>
      <c r="B23" s="21"/>
      <c r="C23" s="21"/>
      <c r="D23" s="16"/>
      <c r="E23" s="29"/>
      <c r="F23" s="29"/>
      <c r="G23" s="17"/>
      <c r="H23" s="15"/>
      <c r="I23" s="15"/>
      <c r="J23" s="15"/>
      <c r="K23" s="18"/>
      <c r="L23" s="34"/>
    </row>
    <row r="24" spans="1:16" ht="12.75" customHeight="1" x14ac:dyDescent="0.25">
      <c r="A24" s="48">
        <v>43879</v>
      </c>
      <c r="B24" s="17"/>
      <c r="C24" s="17"/>
      <c r="D24" s="28"/>
      <c r="E24" s="29"/>
      <c r="F24" s="29"/>
      <c r="G24" s="17"/>
      <c r="H24" s="15"/>
      <c r="I24" s="15"/>
      <c r="J24" s="15"/>
      <c r="K24" s="27"/>
      <c r="L24" s="34"/>
    </row>
    <row r="25" spans="1:16" ht="12.75" customHeight="1" x14ac:dyDescent="0.25">
      <c r="A25" s="48">
        <v>43880</v>
      </c>
      <c r="B25" s="17"/>
      <c r="C25" s="17"/>
      <c r="D25" s="28"/>
      <c r="E25" s="29"/>
      <c r="F25" s="29"/>
      <c r="G25" s="17"/>
      <c r="H25" s="15"/>
      <c r="I25" s="15"/>
      <c r="J25" s="15"/>
      <c r="K25" s="27"/>
      <c r="L25" s="34"/>
    </row>
    <row r="26" spans="1:16" ht="12.75" customHeight="1" x14ac:dyDescent="0.25">
      <c r="A26" s="48">
        <v>43881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v>43882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</row>
    <row r="28" spans="1:16" ht="12.75" customHeight="1" x14ac:dyDescent="0.25">
      <c r="A28" s="48">
        <v>43852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3"/>
      <c r="P28" s="6"/>
    </row>
    <row r="29" spans="1:16" ht="12.75" customHeight="1" x14ac:dyDescent="0.25">
      <c r="A29" s="48">
        <v>43884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4750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2020-02-13T05:48:22Z</dcterms:modified>
</cp:coreProperties>
</file>