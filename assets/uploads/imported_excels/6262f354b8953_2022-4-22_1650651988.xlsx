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<sst xmlns="http://schemas.openxmlformats.org/spreadsheetml/2006/main" count="315" uniqueCount="148">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</sst>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14710.000000000624</v>
      </c>
      <c r="F17" s="11">
        <f t="shared" si="0"/>
        <v>0.58765030286592534</v>
      </c>
      <c r="G17" s="12">
        <f>(Submetering!AX17+Submetering!AY17+Submetering!AZ17+Submetering!BA17+Submetering!BB17)</f>
        <v>23.8095</v>
      </c>
      <c r="H17" s="11">
        <f t="shared" si="1"/>
        <v>0.99</v>
      </c>
      <c r="I17" s="12">
        <f>'FS Desroches Daily'!CM19</f>
        <v>123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12269.999999999927</v>
      </c>
      <c r="F18" s="11">
        <f t="shared" si="0"/>
        <v>0.58765030286592534</v>
      </c>
      <c r="G18" s="12">
        <f>(Submetering!AX18+Submetering!AY18+Submetering!AZ18+Submetering!BA18+Submetering!BB18)</f>
        <v>20.146499999999996</v>
      </c>
      <c r="H18" s="11">
        <f t="shared" si="1"/>
        <v>0.99</v>
      </c>
      <c r="I18" s="12">
        <f>'FS Desroches Daily'!CM20</f>
        <v>93</v>
      </c>
      <c r="J18" s="11">
        <f t="shared" si="2"/>
        <v>10.487297712684205</v>
      </c>
      <c r="K18" s="13">
        <f>'FS Desroches Daily'!CN20</f>
        <v>41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13279.999999999141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120</v>
      </c>
      <c r="J19" s="11">
        <f t="shared" si="2"/>
        <v>10.487297712684205</v>
      </c>
      <c r="K19" s="13">
        <f>'FS Desroches Daily'!CN21</f>
        <v>41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14150.000000000067</v>
      </c>
      <c r="F20" s="11">
        <f t="shared" si="0"/>
        <v>0.58765030286592534</v>
      </c>
      <c r="G20" s="12">
        <f>(Submetering!AX20+Submetering!AY20+Submetering!AZ20+Submetering!BA20+Submetering!BB20)</f>
        <v>18.314999999999998</v>
      </c>
      <c r="H20" s="11">
        <f t="shared" si="1"/>
        <v>0.99</v>
      </c>
      <c r="I20" s="12">
        <f>'FS Desroches Daily'!CM22</f>
        <v>129.20000000000073</v>
      </c>
      <c r="J20" s="11">
        <f t="shared" si="2"/>
        <v>10.487297712684205</v>
      </c>
      <c r="K20" s="13">
        <f>'FS Desroches Daily'!CN22</f>
        <v>29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14090.000000000789</v>
      </c>
      <c r="F21" s="11">
        <f t="shared" si="0"/>
        <v>0.58765030286592534</v>
      </c>
      <c r="G21" s="12">
        <f>(Submetering!AX21+Submetering!AY21+Submetering!AZ21+Submetering!BA21+Submetering!BB21)</f>
        <v>20.146499999999996</v>
      </c>
      <c r="H21" s="11">
        <f t="shared" si="1"/>
        <v>0.99</v>
      </c>
      <c r="I21" s="12">
        <f>'FS Desroches Daily'!CM23</f>
        <v>107.79999999999927</v>
      </c>
      <c r="J21" s="11">
        <f t="shared" si="2"/>
        <v>10.487297712684205</v>
      </c>
      <c r="K21" s="13">
        <f>'FS Desroches Daily'!CN23</f>
        <v>28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14029.999999999396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139.20000000000073</v>
      </c>
      <c r="J22" s="11">
        <f t="shared" si="2"/>
        <v>10.487297712684205</v>
      </c>
      <c r="K22" s="13">
        <f>'FS Desroches Daily'!CN24</f>
        <v>29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3700.0000000002588</v>
      </c>
      <c r="F17" s="32">
        <f>'FS Desroches Daily'!F19</f>
        <v>4100.0000000002146</v>
      </c>
      <c r="G17" s="31">
        <f>'FS Desroches Daily'!H19</f>
        <v>3600.0000000004916</v>
      </c>
      <c r="H17" s="32">
        <f>'FS Desroches Daily'!J19</f>
        <v>1999.9999999997797</v>
      </c>
      <c r="I17" s="31">
        <f>'FS Desroches Daily'!L19</f>
        <v>2899.9999999999027</v>
      </c>
      <c r="J17" s="32">
        <f>'FS Desroches Daily'!N19</f>
        <v>2199.9999999999795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417.20000000006985</v>
      </c>
      <c r="O17" s="31">
        <f>'FS Desroches Daily'!X19</f>
        <v>360.00000000001364</v>
      </c>
      <c r="P17" s="31">
        <f>'FS Desroches Daily'!Z19</f>
        <v>3500.0000000002806</v>
      </c>
      <c r="Q17" s="31">
        <f>'FS Desroches Daily'!AB19</f>
        <v>460.00000000003638</v>
      </c>
      <c r="R17" s="31">
        <f>'FS Desroches Daily'!AD19</f>
        <v>359.9999999999568</v>
      </c>
      <c r="S17" s="31">
        <f>'FS Desroches Daily'!AF19</f>
        <v>1060.0000000000591</v>
      </c>
      <c r="T17" s="31">
        <f>'FS Desroches Daily'!AH19</f>
        <v>57</v>
      </c>
      <c r="U17" s="35">
        <f>'FS Desroches Daily'!AJ19</f>
        <v>759.99999999999091</v>
      </c>
      <c r="V17" s="35">
        <f>'FS Desroches Daily'!AL19</f>
        <v>269.99999999998181</v>
      </c>
      <c r="W17" s="35">
        <f>'FS Desroches Daily'!AN19</f>
        <v>280.00000000002956</v>
      </c>
      <c r="X17" s="35">
        <f>'FS Desroches Daily'!AP19</f>
        <v>259.99999999999091</v>
      </c>
      <c r="Y17" s="35">
        <f>'FS Desroches Daily'!AR19</f>
        <v>199.99999999998863</v>
      </c>
      <c r="Z17" s="35">
        <f>'FS Desroches Daily'!AU20</f>
        <v>338.23</v>
      </c>
      <c r="AA17" s="35">
        <f>'FS Desroches Daily'!AU20</f>
        <v>338.23</v>
      </c>
      <c r="AB17" s="35">
        <f>'FS Desroches Daily'!AV19</f>
        <v>239.99999999995225</v>
      </c>
      <c r="AC17" s="35">
        <f>'FS Desroches Daily'!AZ19</f>
        <v>329.99999999998408</v>
      </c>
      <c r="AD17" s="35">
        <f>'FS Desroches Daily'!BB19</f>
        <v>250</v>
      </c>
      <c r="AE17" s="35">
        <f>'FS Desroches Daily'!BD19</f>
        <v>250</v>
      </c>
      <c r="AF17" s="31">
        <f>'FS Desroches Daily'!BF19</f>
        <v>16</v>
      </c>
      <c r="AG17" s="32">
        <f>'FS Desroches Daily'!BH19</f>
        <v>50.000000000011369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41</v>
      </c>
      <c r="AM17" s="32">
        <f>'FS Desroches Daily'!BT19</f>
        <v>50.000000000011369</v>
      </c>
      <c r="AN17" s="32">
        <f>'FS Desroches Daily'!BV19</f>
        <v>56</v>
      </c>
      <c r="AO17" s="32">
        <f>'FS Desroches Daily'!BX19</f>
        <v>69.999999999993179</v>
      </c>
      <c r="AP17" s="32">
        <f>'FS Desroches Daily'!BZ19</f>
        <v>47</v>
      </c>
      <c r="AQ17" s="31">
        <f>'FS Desroches Daily'!CB19</f>
        <v>82.599999999998545</v>
      </c>
      <c r="AR17" s="31">
        <f>'FS Desroches Daily'!CD19</f>
        <v>18.800000000001091</v>
      </c>
      <c r="AS17" s="31">
        <f>'FS Desroches Daily'!CF19</f>
        <v>3.8000000000001819</v>
      </c>
      <c r="AT17" s="31">
        <f>'FS Desroches Daily'!CH19</f>
        <v>31.30000000000291</v>
      </c>
      <c r="AU17" s="31">
        <f>'FS Desroches Daily'!CJ19</f>
        <v>295</v>
      </c>
      <c r="AV17" s="31">
        <f>'FS Desroches Daily'!CL19</f>
        <v>890.00000000010004</v>
      </c>
      <c r="AW17" s="31">
        <f>'FS Desroches Daily'!CM19</f>
        <v>123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1.8314999999999999</v>
      </c>
      <c r="BA17" s="31">
        <f>IF(LPG!M24-LPG!M23&lt;0,"0",(LPG!M24-LPG!M23)*1.8315)</f>
        <v>7.3259999999999996</v>
      </c>
      <c r="BB17" s="31">
        <f>IF(LPG!Q24-LPG!Q23&lt;0,"0",(LPG!Q24-LPG!Q23)*1.8315)</f>
        <v>7.3259999999999996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2800.0000000001355</v>
      </c>
      <c r="F18" s="32">
        <f>'FS Desroches Daily'!F20</f>
        <v>3599.9999999996035</v>
      </c>
      <c r="G18" s="31">
        <f>'FS Desroches Daily'!H20</f>
        <v>3499.9999999998367</v>
      </c>
      <c r="H18" s="32">
        <f>'FS Desroches Daily'!J20</f>
        <v>1600.0000000002678</v>
      </c>
      <c r="I18" s="31">
        <f>'FS Desroches Daily'!L20</f>
        <v>2400.0000000001796</v>
      </c>
      <c r="J18" s="32">
        <f>'FS Desroches Daily'!N20</f>
        <v>1700.0000000000348</v>
      </c>
      <c r="K18" s="13">
        <f>'FS Desroches Daily'!P20</f>
        <v>25</v>
      </c>
      <c r="L18" s="31">
        <f>'FS Desroches Daily'!R20</f>
        <v>4</v>
      </c>
      <c r="M18" s="31">
        <f>'FS Desroches Daily'!T20</f>
        <v>1.4000000000000909</v>
      </c>
      <c r="N18" s="31">
        <f>'FS Desroches Daily'!V20</f>
        <v>433.19999999995343</v>
      </c>
      <c r="O18" s="31">
        <f>'FS Desroches Daily'!X20</f>
        <v>329.99999999998408</v>
      </c>
      <c r="P18" s="31">
        <f>'FS Desroches Daily'!Z20</f>
        <v>3299.9999999998586</v>
      </c>
      <c r="Q18" s="31">
        <f>'FS Desroches Daily'!AB20</f>
        <v>459.99999999997954</v>
      </c>
      <c r="R18" s="31">
        <f>'FS Desroches Daily'!AD20</f>
        <v>320.00000000005002</v>
      </c>
      <c r="S18" s="31">
        <f>'FS Desroches Daily'!AF20</f>
        <v>860.00000000001364</v>
      </c>
      <c r="T18" s="31">
        <f>'FS Desroches Daily'!AH20</f>
        <v>48</v>
      </c>
      <c r="U18" s="35">
        <f>'FS Desroches Daily'!AJ20</f>
        <v>590.00000000003183</v>
      </c>
      <c r="V18" s="35">
        <f>'FS Desroches Daily'!AL20</f>
        <v>210.00000000003638</v>
      </c>
      <c r="W18" s="35">
        <f>'FS Desroches Daily'!AN20</f>
        <v>219.99999999997044</v>
      </c>
      <c r="X18" s="35">
        <f>'FS Desroches Daily'!AP20</f>
        <v>169.99999999998749</v>
      </c>
      <c r="Y18" s="35">
        <f>'FS Desroches Daily'!AR20</f>
        <v>149.99999999997726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270.00000000003865</v>
      </c>
      <c r="AC18" s="35">
        <f>'FS Desroches Daily'!AZ20</f>
        <v>259.99999999999091</v>
      </c>
      <c r="AD18" s="35">
        <f>'FS Desroches Daily'!BB20</f>
        <v>189.99999999999773</v>
      </c>
      <c r="AE18" s="35">
        <f>'FS Desroches Daily'!BD20</f>
        <v>159.99999999996817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36</v>
      </c>
      <c r="AM18" s="32">
        <f>'FS Desroches Daily'!BT20</f>
        <v>50.000000000011369</v>
      </c>
      <c r="AN18" s="32">
        <f>'FS Desroches Daily'!BV20</f>
        <v>45</v>
      </c>
      <c r="AO18" s="32">
        <f>'FS Desroches Daily'!BX20</f>
        <v>49.999999999982947</v>
      </c>
      <c r="AP18" s="32">
        <f>'FS Desroches Daily'!BZ20</f>
        <v>41</v>
      </c>
      <c r="AQ18" s="31">
        <f>'FS Desroches Daily'!CB20</f>
        <v>80.5</v>
      </c>
      <c r="AR18" s="31">
        <f>'FS Desroches Daily'!CD20</f>
        <v>15.5</v>
      </c>
      <c r="AS18" s="31">
        <f>'FS Desroches Daily'!CF20</f>
        <v>7.5</v>
      </c>
      <c r="AT18" s="31">
        <f>'FS Desroches Daily'!CH20</f>
        <v>44.600000000005821</v>
      </c>
      <c r="AU18" s="31">
        <f>'FS Desroches Daily'!CJ20</f>
        <v>310</v>
      </c>
      <c r="AV18" s="31">
        <f>'FS Desroches Daily'!CL20</f>
        <v>929.99999999994998</v>
      </c>
      <c r="AW18" s="31">
        <f>'FS Desroches Daily'!CM20</f>
        <v>93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9.1574999999999989</v>
      </c>
      <c r="BC18" s="13">
        <f>'FS Desroches Daily'!CN20</f>
        <v>41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2999.9999999996694</v>
      </c>
      <c r="F19" s="32">
        <f>'FS Desroches Daily'!F21</f>
        <v>3800.0000000000255</v>
      </c>
      <c r="G19" s="31">
        <f>'FS Desroches Daily'!H21</f>
        <v>3599.9999999996035</v>
      </c>
      <c r="H19" s="32">
        <f>'FS Desroches Daily'!J21</f>
        <v>1799.9999999998017</v>
      </c>
      <c r="I19" s="31">
        <f>'FS Desroches Daily'!L21</f>
        <v>2600.0000000001578</v>
      </c>
      <c r="J19" s="32">
        <f>'FS Desroches Daily'!N21</f>
        <v>2000.0000000000018</v>
      </c>
      <c r="K19" s="13">
        <f>'FS Desroches Daily'!P21</f>
        <v>37</v>
      </c>
      <c r="L19" s="31">
        <f>'FS Desroches Daily'!R21</f>
        <v>6</v>
      </c>
      <c r="M19" s="31">
        <f>'FS Desroches Daily'!T21</f>
        <v>1.5</v>
      </c>
      <c r="N19" s="31">
        <f>'FS Desroches Daily'!V21</f>
        <v>481.90000000002328</v>
      </c>
      <c r="O19" s="31">
        <f>'FS Desroches Daily'!X21</f>
        <v>420.00000000001592</v>
      </c>
      <c r="P19" s="31">
        <f>'FS Desroches Daily'!Z21</f>
        <v>3499.9999999998367</v>
      </c>
      <c r="Q19" s="31">
        <f>'FS Desroches Daily'!AB21</f>
        <v>550.00000000001137</v>
      </c>
      <c r="R19" s="31">
        <f>'FS Desroches Daily'!AD21</f>
        <v>409.99999999996817</v>
      </c>
      <c r="S19" s="31">
        <f>'FS Desroches Daily'!AF21</f>
        <v>929.99999999994998</v>
      </c>
      <c r="T19" s="31">
        <f>'FS Desroches Daily'!AH21</f>
        <v>53</v>
      </c>
      <c r="U19" s="35">
        <f>'FS Desroches Daily'!AJ21</f>
        <v>649.99999999997726</v>
      </c>
      <c r="V19" s="35">
        <f>'FS Desroches Daily'!AL21</f>
        <v>199.99999999998863</v>
      </c>
      <c r="W19" s="35">
        <f>'FS Desroches Daily'!AN21</f>
        <v>270.00000000003865</v>
      </c>
      <c r="X19" s="35">
        <f>'FS Desroches Daily'!AP21</f>
        <v>200.00000000001705</v>
      </c>
      <c r="Y19" s="35">
        <f>'FS Desroches Daily'!AR21</f>
        <v>129.99999999999545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259.99999999999091</v>
      </c>
      <c r="AC19" s="35">
        <f>'FS Desroches Daily'!AZ21</f>
        <v>160.00000000002501</v>
      </c>
      <c r="AD19" s="35">
        <f>'FS Desroches Daily'!BB21</f>
        <v>199.99999999998863</v>
      </c>
      <c r="AE19" s="35">
        <f>'FS Desroches Daily'!BD21</f>
        <v>240.00000000000909</v>
      </c>
      <c r="AF19" s="31">
        <f>'FS Desroches Daily'!BF21</f>
        <v>34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70.000000000050022</v>
      </c>
      <c r="AL19" s="32">
        <f>'FS Desroches Daily'!BR21</f>
        <v>48</v>
      </c>
      <c r="AM19" s="32">
        <f>'FS Desroches Daily'!BT21</f>
        <v>49.999999999982947</v>
      </c>
      <c r="AN19" s="32">
        <f>'FS Desroches Daily'!BV21</f>
        <v>48</v>
      </c>
      <c r="AO19" s="32">
        <f>'FS Desroches Daily'!BX21</f>
        <v>40.000000000020464</v>
      </c>
      <c r="AP19" s="32">
        <f>'FS Desroches Daily'!BZ21</f>
        <v>51</v>
      </c>
      <c r="AQ19" s="31">
        <f>'FS Desroches Daily'!CB21</f>
        <v>89</v>
      </c>
      <c r="AR19" s="31">
        <f>'FS Desroches Daily'!CD21</f>
        <v>11.099999999998545</v>
      </c>
      <c r="AS19" s="31">
        <f>'FS Desroches Daily'!CF21</f>
        <v>2.8000000000001819</v>
      </c>
      <c r="AT19" s="31">
        <f>'FS Desroches Daily'!CH21</f>
        <v>54.69999999999709</v>
      </c>
      <c r="AU19" s="31">
        <f>'FS Desroches Daily'!CJ21</f>
        <v>335</v>
      </c>
      <c r="AV19" s="31">
        <f>'FS Desroches Daily'!CL21</f>
        <v>919.99999999995907</v>
      </c>
      <c r="AW19" s="31">
        <f>'FS Desroches Daily'!CM21</f>
        <v>120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41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3500.0000000002806</v>
      </c>
      <c r="F20" s="32">
        <f>'FS Desroches Daily'!F22</f>
        <v>3899.9999999997926</v>
      </c>
      <c r="G20" s="31">
        <f>'FS Desroches Daily'!H22</f>
        <v>3800.0000000000255</v>
      </c>
      <c r="H20" s="32">
        <f>'FS Desroches Daily'!J22</f>
        <v>1900.0000000000127</v>
      </c>
      <c r="I20" s="31">
        <f>'FS Desroches Daily'!L22</f>
        <v>2799.9999999996917</v>
      </c>
      <c r="J20" s="32">
        <f>'FS Desroches Daily'!N22</f>
        <v>2000.0000000000018</v>
      </c>
      <c r="K20" s="13">
        <f>'FS Desroches Daily'!P22</f>
        <v>35</v>
      </c>
      <c r="L20" s="31">
        <f>'FS Desroches Daily'!R22</f>
        <v>7</v>
      </c>
      <c r="M20" s="31">
        <f>'FS Desroches Daily'!T22</f>
        <v>1.5999999999999091</v>
      </c>
      <c r="N20" s="31">
        <f>'FS Desroches Daily'!V22</f>
        <v>641.5</v>
      </c>
      <c r="O20" s="31">
        <f>'FS Desroches Daily'!X22</f>
        <v>439.99999999999773</v>
      </c>
      <c r="P20" s="31">
        <f>'FS Desroches Daily'!Z22</f>
        <v>3500.0000000002806</v>
      </c>
      <c r="Q20" s="31">
        <f>'FS Desroches Daily'!AB22</f>
        <v>379.99999999999545</v>
      </c>
      <c r="R20" s="31">
        <f>'FS Desroches Daily'!AD22</f>
        <v>410.00000000002501</v>
      </c>
      <c r="S20" s="31">
        <f>'FS Desroches Daily'!AF22</f>
        <v>1129.9999999999955</v>
      </c>
      <c r="T20" s="31">
        <f>'FS Desroches Daily'!AH22</f>
        <v>60</v>
      </c>
      <c r="U20" s="35">
        <f>'FS Desroches Daily'!AJ22</f>
        <v>810.00000000005912</v>
      </c>
      <c r="V20" s="35">
        <f>'FS Desroches Daily'!AL22</f>
        <v>289.99999999996362</v>
      </c>
      <c r="W20" s="35">
        <f>'FS Desroches Daily'!AN22</f>
        <v>310.00000000000227</v>
      </c>
      <c r="X20" s="35">
        <f>'FS Desroches Daily'!AP22</f>
        <v>199.99999999998863</v>
      </c>
      <c r="Y20" s="35">
        <f>'FS Desroches Daily'!AR22</f>
        <v>189.99999999999773</v>
      </c>
      <c r="Z20" s="35">
        <f>'FS Desroches Daily'!AT22</f>
        <v>139.99999999998636</v>
      </c>
      <c r="AA20" s="35">
        <f>'FS Desroches Daily'!AT22</f>
        <v>139.99999999998636</v>
      </c>
      <c r="AB20" s="35">
        <f>'FS Desroches Daily'!AV22</f>
        <v>269.99999999998181</v>
      </c>
      <c r="AC20" s="35">
        <f>'FS Desroches Daily'!AZ22</f>
        <v>250</v>
      </c>
      <c r="AD20" s="35">
        <f>'FS Desroches Daily'!BB22</f>
        <v>230.00000000001819</v>
      </c>
      <c r="AE20" s="35">
        <f>'FS Desroches Daily'!BD22</f>
        <v>269.99999999998181</v>
      </c>
      <c r="AF20" s="31">
        <f>'FS Desroches Daily'!BF22</f>
        <v>40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59.999999999973852</v>
      </c>
      <c r="AJ20" s="32">
        <f>'FS Desroches Daily'!BN22</f>
        <v>49.999999999982947</v>
      </c>
      <c r="AK20" s="32">
        <f>'FS Desroches Daily'!BP22</f>
        <v>79.999999999984084</v>
      </c>
      <c r="AL20" s="32">
        <f>'FS Desroches Daily'!BR22</f>
        <v>49</v>
      </c>
      <c r="AM20" s="32">
        <f>'FS Desroches Daily'!BT22</f>
        <v>60.000000000002274</v>
      </c>
      <c r="AN20" s="32">
        <f>'FS Desroches Daily'!BV22</f>
        <v>65</v>
      </c>
      <c r="AO20" s="32">
        <f>'FS Desroches Daily'!BX22</f>
        <v>60.000000000002274</v>
      </c>
      <c r="AP20" s="32">
        <f>'FS Desroches Daily'!BZ22</f>
        <v>56</v>
      </c>
      <c r="AQ20" s="31">
        <f>'FS Desroches Daily'!CB22</f>
        <v>84.80000000000291</v>
      </c>
      <c r="AR20" s="31">
        <f>'FS Desroches Daily'!CD22</f>
        <v>11.5</v>
      </c>
      <c r="AS20" s="31">
        <f>'FS Desroches Daily'!CF22</f>
        <v>3.0999999999994543</v>
      </c>
      <c r="AT20" s="31">
        <f>'FS Desroches Daily'!CH22</f>
        <v>50.80000000000291</v>
      </c>
      <c r="AU20" s="31">
        <f>'FS Desroches Daily'!CJ22</f>
        <v>357</v>
      </c>
      <c r="AV20" s="31">
        <f>'FS Desroches Daily'!CL22</f>
        <v>950.00000000004547</v>
      </c>
      <c r="AW20" s="31">
        <f>'FS Desroches Daily'!CM22</f>
        <v>129.20000000000073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7.3259999999999996</v>
      </c>
      <c r="BC20" s="13">
        <f>'FS Desroches Daily'!CN22</f>
        <v>29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3499.9999999998367</v>
      </c>
      <c r="F21" s="32">
        <f>'FS Desroches Daily'!F23</f>
        <v>3900.0000000006808</v>
      </c>
      <c r="G21" s="31">
        <f>'FS Desroches Daily'!H23</f>
        <v>3600.0000000004916</v>
      </c>
      <c r="H21" s="32">
        <f>'FS Desroches Daily'!J23</f>
        <v>1999.9999999997797</v>
      </c>
      <c r="I21" s="31">
        <f>'FS Desroches Daily'!L23</f>
        <v>2700.0000000003688</v>
      </c>
      <c r="J21" s="32">
        <f>'FS Desroches Daily'!N23</f>
        <v>2099.9999999999909</v>
      </c>
      <c r="K21" s="13">
        <f>'FS Desroches Daily'!P23</f>
        <v>33</v>
      </c>
      <c r="L21" s="31">
        <f>'FS Desroches Daily'!R23</f>
        <v>6</v>
      </c>
      <c r="M21" s="31">
        <f>'FS Desroches Daily'!T23</f>
        <v>1.3000000000001819</v>
      </c>
      <c r="N21" s="31">
        <f>'FS Desroches Daily'!V23</f>
        <v>479.40000000002328</v>
      </c>
      <c r="O21" s="31">
        <f>'FS Desroches Daily'!X23</f>
        <v>490.00000000000909</v>
      </c>
      <c r="P21" s="31">
        <f>'FS Desroches Daily'!Z23</f>
        <v>3299.9999999998586</v>
      </c>
      <c r="Q21" s="31">
        <f>'FS Desroches Daily'!AB23</f>
        <v>439.99999999999773</v>
      </c>
      <c r="R21" s="31">
        <f>'FS Desroches Daily'!AD23</f>
        <v>399.99999999997726</v>
      </c>
      <c r="S21" s="31">
        <f>'FS Desroches Daily'!AF23</f>
        <v>1050.0000000000682</v>
      </c>
      <c r="T21" s="31">
        <f>'FS Desroches Daily'!AH23</f>
        <v>45</v>
      </c>
      <c r="U21" s="35">
        <f>'FS Desroches Daily'!AJ23</f>
        <v>849.99999999990905</v>
      </c>
      <c r="V21" s="35">
        <f>'FS Desroches Daily'!AL23</f>
        <v>260.00000000004775</v>
      </c>
      <c r="W21" s="35">
        <f>'FS Desroches Daily'!AN23</f>
        <v>310.00000000000227</v>
      </c>
      <c r="X21" s="35">
        <f>'FS Desroches Daily'!AP23</f>
        <v>180.00000000000682</v>
      </c>
      <c r="Y21" s="35">
        <f>'FS Desroches Daily'!AR23</f>
        <v>300.00000000001137</v>
      </c>
      <c r="Z21" s="35">
        <f>'FS Desroches Daily'!AT23</f>
        <v>160.00000000002501</v>
      </c>
      <c r="AA21" s="35">
        <f>'FS Desroches Daily'!AT23</f>
        <v>160.00000000002501</v>
      </c>
      <c r="AB21" s="35">
        <f>'FS Desroches Daily'!AV23</f>
        <v>269.99999999998181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240.00000000000909</v>
      </c>
      <c r="AF21" s="31">
        <f>'FS Desroches Daily'!BF23</f>
        <v>36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47</v>
      </c>
      <c r="AM21" s="32">
        <f>'FS Desroches Daily'!BT23</f>
        <v>50.000000000011369</v>
      </c>
      <c r="AN21" s="32">
        <f>'FS Desroches Daily'!BV23</f>
        <v>58</v>
      </c>
      <c r="AO21" s="32">
        <f>'FS Desroches Daily'!BX23</f>
        <v>60.000000000002274</v>
      </c>
      <c r="AP21" s="32">
        <f>'FS Desroches Daily'!BZ23</f>
        <v>53</v>
      </c>
      <c r="AQ21" s="31">
        <f>'FS Desroches Daily'!CB23</f>
        <v>73.799999999995634</v>
      </c>
      <c r="AR21" s="31">
        <f>'FS Desroches Daily'!CD23</f>
        <v>10.900000000001455</v>
      </c>
      <c r="AS21" s="31">
        <f>'FS Desroches Daily'!CF23</f>
        <v>3.9000000000005457</v>
      </c>
      <c r="AT21" s="31">
        <f>'FS Desroches Daily'!CH23</f>
        <v>52.099999999991269</v>
      </c>
      <c r="AU21" s="31">
        <f>'FS Desroches Daily'!CJ23</f>
        <v>340</v>
      </c>
      <c r="AV21" s="31">
        <f>'FS Desroches Daily'!CL23</f>
        <v>1009.9999999999909</v>
      </c>
      <c r="AW21" s="31">
        <f>'FS Desroches Daily'!CM23</f>
        <v>107.79999999999927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5.4944999999999995</v>
      </c>
      <c r="BB21" s="31">
        <f>IF(LPG!Q28-LPG!Q27&lt;0,"0",(LPG!Q28-LPG!Q27)*1.8315)</f>
        <v>9.1574999999999989</v>
      </c>
      <c r="BC21" s="13">
        <f>'FS Desroches Daily'!CN23</f>
        <v>28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3600.0000000000477</v>
      </c>
      <c r="F22" s="32">
        <f>'FS Desroches Daily'!F24</f>
        <v>3800.0000000000255</v>
      </c>
      <c r="G22" s="31">
        <f>'FS Desroches Daily'!H24</f>
        <v>3699.9999999993706</v>
      </c>
      <c r="H22" s="32">
        <f>'FS Desroches Daily'!J24</f>
        <v>1900.0000000000127</v>
      </c>
      <c r="I22" s="31">
        <f>'FS Desroches Daily'!L24</f>
        <v>2699.9999999999245</v>
      </c>
      <c r="J22" s="32">
        <f>'FS Desroches Daily'!N24</f>
        <v>2099.9999999999909</v>
      </c>
      <c r="K22" s="13">
        <f>'FS Desroches Daily'!P24</f>
        <v>36</v>
      </c>
      <c r="L22" s="31">
        <f>'FS Desroches Daily'!R24</f>
        <v>7</v>
      </c>
      <c r="M22" s="31">
        <f>'FS Desroches Daily'!T24</f>
        <v>1.3999999999998636</v>
      </c>
      <c r="N22" s="31">
        <f>'FS Desroches Daily'!V24</f>
        <v>583.29999999993015</v>
      </c>
      <c r="O22" s="31">
        <f>'FS Desroches Daily'!X24</f>
        <v>579.99999999998408</v>
      </c>
      <c r="P22" s="31">
        <f>'FS Desroches Daily'!Z24</f>
        <v>3200.0000000000919</v>
      </c>
      <c r="Q22" s="31">
        <f>'FS Desroches Daily'!AB24</f>
        <v>470.00000000002728</v>
      </c>
      <c r="R22" s="31">
        <f>'FS Desroches Daily'!AD24</f>
        <v>410.00000000002501</v>
      </c>
      <c r="S22" s="31">
        <f>'FS Desroches Daily'!AF24</f>
        <v>1149.9999999999773</v>
      </c>
      <c r="T22" s="31">
        <f>'FS Desroches Daily'!AH24</f>
        <v>46</v>
      </c>
      <c r="U22" s="35">
        <f>'FS Desroches Daily'!AJ24</f>
        <v>840.00000000003183</v>
      </c>
      <c r="V22" s="35">
        <f>'FS Desroches Daily'!AL24</f>
        <v>310.00000000000227</v>
      </c>
      <c r="W22" s="35">
        <f>'FS Desroches Daily'!AN24</f>
        <v>359.9999999999568</v>
      </c>
      <c r="X22" s="35">
        <f>'FS Desroches Daily'!AP24</f>
        <v>240.00000000000909</v>
      </c>
      <c r="Y22" s="35">
        <f>'FS Desroches Daily'!AR24</f>
        <v>330.00000000004093</v>
      </c>
      <c r="Z22" s="35">
        <f>'FS Desroches Daily'!AT24</f>
        <v>189.99999999999773</v>
      </c>
      <c r="AA22" s="35">
        <f>'FS Desroches Daily'!AT24</f>
        <v>189.99999999999773</v>
      </c>
      <c r="AB22" s="35">
        <f>'FS Desroches Daily'!AV24</f>
        <v>300.00000000001137</v>
      </c>
      <c r="AC22" s="35">
        <f>'FS Desroches Daily'!AZ24</f>
        <v>189.99999999999773</v>
      </c>
      <c r="AD22" s="35">
        <f>'FS Desroches Daily'!BB24</f>
        <v>259.99999999999091</v>
      </c>
      <c r="AE22" s="35">
        <f>'FS Desroches Daily'!BD24</f>
        <v>259.99999999999091</v>
      </c>
      <c r="AF22" s="31">
        <f>'FS Desroches Daily'!BF24</f>
        <v>53</v>
      </c>
      <c r="AG22" s="32">
        <f>'FS Desroches Daily'!BH24</f>
        <v>49.999999999982947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69.999999999993179</v>
      </c>
      <c r="AL22" s="32">
        <f>'FS Desroches Daily'!BR24</f>
        <v>53</v>
      </c>
      <c r="AM22" s="32">
        <f>'FS Desroches Daily'!BT24</f>
        <v>49.999999999982947</v>
      </c>
      <c r="AN22" s="32">
        <f>'FS Desroches Daily'!BV24</f>
        <v>60</v>
      </c>
      <c r="AO22" s="32">
        <f>'FS Desroches Daily'!BX24</f>
        <v>60.000000000002274</v>
      </c>
      <c r="AP22" s="32">
        <f>'FS Desroches Daily'!BZ24</f>
        <v>55</v>
      </c>
      <c r="AQ22" s="31">
        <f>'FS Desroches Daily'!CB24</f>
        <v>75.599999999998545</v>
      </c>
      <c r="AR22" s="31">
        <f>'FS Desroches Daily'!CD24</f>
        <v>11</v>
      </c>
      <c r="AS22" s="31">
        <f>'FS Desroches Daily'!CF24</f>
        <v>13.299999999999272</v>
      </c>
      <c r="AT22" s="31">
        <f>'FS Desroches Daily'!CH24</f>
        <v>51.900000000008731</v>
      </c>
      <c r="AU22" s="31">
        <f>'FS Desroches Daily'!CJ24</f>
        <v>306</v>
      </c>
      <c r="AV22" s="31">
        <f>'FS Desroches Daily'!CL24</f>
        <v>1070.00000000005</v>
      </c>
      <c r="AW22" s="31">
        <f>'FS Desroches Daily'!CM24</f>
        <v>139.20000000000073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29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73599.999999999884</v>
      </c>
      <c r="F33" s="17">
        <f t="shared" ref="F33:BC33" si="0">SUM(F2:F32)</f>
        <v>80500.000000000713</v>
      </c>
      <c r="G33" s="17">
        <f t="shared" si="0"/>
        <v>72400.000000000058</v>
      </c>
      <c r="H33" s="17">
        <f t="shared" si="0"/>
        <v>39699.999999999847</v>
      </c>
      <c r="I33" s="17">
        <f t="shared" si="0"/>
        <v>55099.999999999935</v>
      </c>
      <c r="J33" s="17">
        <f t="shared" si="0"/>
        <v>43799.99999999984</v>
      </c>
      <c r="K33" s="17">
        <f t="shared" si="0"/>
        <v>801</v>
      </c>
      <c r="L33" s="17">
        <f t="shared" si="0"/>
        <v>135</v>
      </c>
      <c r="M33" s="17">
        <f t="shared" si="0"/>
        <v>28.700000000000045</v>
      </c>
      <c r="N33" s="17">
        <f t="shared" si="0"/>
        <v>10486.699999999953</v>
      </c>
      <c r="O33" s="17">
        <f t="shared" si="0"/>
        <v>9050.0000000000127</v>
      </c>
      <c r="P33" s="17">
        <f t="shared" si="0"/>
        <v>71700.000000000335</v>
      </c>
      <c r="Q33" s="17">
        <f t="shared" si="0"/>
        <v>9620.0000000000036</v>
      </c>
      <c r="R33" s="17">
        <f t="shared" si="0"/>
        <v>10370.000000000004</v>
      </c>
      <c r="S33" s="17">
        <f t="shared" si="0"/>
        <v>21610.000000000018</v>
      </c>
      <c r="T33" s="17">
        <f t="shared" si="0"/>
        <v>1109</v>
      </c>
      <c r="U33" s="35">
        <f t="shared" si="0"/>
        <v>16740.000000000007</v>
      </c>
      <c r="V33" s="35">
        <f t="shared" si="0"/>
        <v>6020.0000000000382</v>
      </c>
      <c r="W33" s="35">
        <f t="shared" si="0"/>
        <v>5539.9999999999909</v>
      </c>
      <c r="X33" s="35">
        <f t="shared" si="0"/>
        <v>5251.9800000000178</v>
      </c>
      <c r="Y33" s="35">
        <f t="shared" si="0"/>
        <v>4620.0000000000045</v>
      </c>
      <c r="Z33" s="35">
        <f t="shared" si="0"/>
        <v>4348.2299999999905</v>
      </c>
      <c r="AA33" s="35">
        <f t="shared" si="0"/>
        <v>4348.2299999999905</v>
      </c>
      <c r="AB33" s="35">
        <f t="shared" si="0"/>
        <v>5649.9999999999764</v>
      </c>
      <c r="AC33" s="35">
        <f t="shared" si="0"/>
        <v>5450.0000000000473</v>
      </c>
      <c r="AD33" s="35">
        <f t="shared" si="0"/>
        <v>4799.9999999999545</v>
      </c>
      <c r="AE33" s="35">
        <f t="shared" si="0"/>
        <v>4189.9999999999982</v>
      </c>
      <c r="AF33" s="17">
        <f t="shared" si="0"/>
        <v>791</v>
      </c>
      <c r="AG33" s="32">
        <f t="shared" si="0"/>
        <v>1019.9999999999818</v>
      </c>
      <c r="AH33" s="32">
        <f t="shared" si="0"/>
        <v>750</v>
      </c>
      <c r="AI33" s="32">
        <f t="shared" si="0"/>
        <v>1189.9999999999977</v>
      </c>
      <c r="AJ33" s="32">
        <f t="shared" si="0"/>
        <v>960.00000000000796</v>
      </c>
      <c r="AK33" s="32">
        <f t="shared" si="0"/>
        <v>1399.9999999999773</v>
      </c>
      <c r="AL33" s="32">
        <f t="shared" si="0"/>
        <v>1023</v>
      </c>
      <c r="AM33" s="32">
        <f t="shared" si="0"/>
        <v>1069.9999999999932</v>
      </c>
      <c r="AN33" s="32">
        <f t="shared" si="0"/>
        <v>1138</v>
      </c>
      <c r="AO33" s="32">
        <f t="shared" si="0"/>
        <v>1350.0000000000227</v>
      </c>
      <c r="AP33" s="32">
        <f t="shared" si="0"/>
        <v>1054</v>
      </c>
      <c r="AQ33" s="17">
        <f t="shared" si="0"/>
        <v>1338.1999999999971</v>
      </c>
      <c r="AR33" s="17">
        <f t="shared" si="0"/>
        <v>355</v>
      </c>
      <c r="AS33" s="17">
        <f t="shared" si="0"/>
        <v>121.39999999999964</v>
      </c>
      <c r="AT33" s="17">
        <f t="shared" si="0"/>
        <v>1123.5</v>
      </c>
      <c r="AU33" s="17">
        <f t="shared" si="0"/>
        <v>7571</v>
      </c>
      <c r="AV33" s="17">
        <f t="shared" si="0"/>
        <v>17780.000000000087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163.00349999999997</v>
      </c>
      <c r="BC33" s="17">
        <f t="shared" si="0"/>
        <v>709</v>
      </c>
    </row>
    <row r="35" spans="5:55" x14ac:dyDescent="0.25">
      <c r="E35" s="38">
        <f>E33/E37</f>
        <v>0.24440621907563911</v>
      </c>
      <c r="G35" s="29">
        <f>G33-M36</f>
        <v>61884.600000000108</v>
      </c>
      <c r="AE35" s="35">
        <f>SUM(U33:AE33)</f>
        <v>66958.440000000017</v>
      </c>
      <c r="AG35" s="32">
        <f>SUM(AG33:AP33)</f>
        <v>10954.999999999982</v>
      </c>
    </row>
    <row r="36" spans="5:55" x14ac:dyDescent="0.25">
      <c r="G36" s="29">
        <f>G35-633*14</f>
        <v>53022.600000000108</v>
      </c>
      <c r="M36" s="29">
        <f>M33+N33</f>
        <v>10515.399999999954</v>
      </c>
    </row>
    <row r="37" spans="5:55" x14ac:dyDescent="0.25">
      <c r="E37" s="17">
        <f>E33+F33+G33+H33+J33-633*14</f>
        <v>301138.00000000029</v>
      </c>
      <c r="G37" s="37">
        <f>M36/E37</f>
        <v>3.4918874403097398E-2</v>
      </c>
      <c r="M37" s="35">
        <f>AE35</f>
        <v>66958.440000000017</v>
      </c>
    </row>
    <row r="38" spans="5:55" x14ac:dyDescent="0.25">
      <c r="L38" s="27">
        <f>M38/E37</f>
        <v>3.6378670244206879E-2</v>
      </c>
      <c r="M38" s="29">
        <f>AG35</f>
        <v>10954.999999999982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I1" zoomScale="85" zoomScaleNormal="85" workbookViewId="0">
      <pane ySplit="1" topLeftCell="A5" activePane="bottomLeft" state="frozen"/>
      <selection pane="bottomLeft" activeCell="BE25" sqref="BE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>
        <v>3.0960000000000001</v>
      </c>
      <c r="D19" s="64">
        <f t="shared" si="50"/>
        <v>3700.0000000002588</v>
      </c>
      <c r="E19" s="58">
        <v>4.1897000000000002</v>
      </c>
      <c r="F19" s="64">
        <f t="shared" si="51"/>
        <v>4100.0000000002146</v>
      </c>
      <c r="G19" s="58">
        <v>4.1492000000000004</v>
      </c>
      <c r="H19" s="64">
        <f t="shared" si="52"/>
        <v>3600.0000000004916</v>
      </c>
      <c r="I19" s="58">
        <v>2.0831</v>
      </c>
      <c r="J19" s="64">
        <f t="shared" si="53"/>
        <v>1999.9999999997797</v>
      </c>
      <c r="K19" s="58">
        <v>3.2618999999999998</v>
      </c>
      <c r="L19" s="64">
        <f t="shared" si="54"/>
        <v>2899.9999999999027</v>
      </c>
      <c r="M19" s="58">
        <v>1.8576999999999999</v>
      </c>
      <c r="N19" s="64">
        <f t="shared" si="55"/>
        <v>2199.9999999999795</v>
      </c>
      <c r="O19" s="58">
        <v>19709</v>
      </c>
      <c r="P19" s="67">
        <f t="shared" si="56"/>
        <v>33</v>
      </c>
      <c r="Q19" s="58">
        <v>2357</v>
      </c>
      <c r="R19" s="67">
        <f t="shared" si="57"/>
        <v>5</v>
      </c>
      <c r="S19" s="58">
        <v>1299.0999999999999</v>
      </c>
      <c r="T19" s="67">
        <f t="shared" si="58"/>
        <v>1.1999999999998181</v>
      </c>
      <c r="U19" s="58">
        <v>532122.80000000005</v>
      </c>
      <c r="V19" s="67">
        <f t="shared" si="59"/>
        <v>417.20000000006985</v>
      </c>
      <c r="W19" s="58">
        <v>496.62</v>
      </c>
      <c r="X19" s="65">
        <f t="shared" si="60"/>
        <v>360.00000000001364</v>
      </c>
      <c r="Y19" s="58">
        <v>3.6819000000000002</v>
      </c>
      <c r="Z19" s="65">
        <f t="shared" si="61"/>
        <v>3500.0000000002806</v>
      </c>
      <c r="AA19" s="58">
        <v>498.86</v>
      </c>
      <c r="AB19" s="65">
        <f t="shared" si="62"/>
        <v>460.00000000003638</v>
      </c>
      <c r="AC19" s="58">
        <v>488.4</v>
      </c>
      <c r="AD19" s="65">
        <f t="shared" si="63"/>
        <v>359.9999999999568</v>
      </c>
      <c r="AE19" s="58">
        <v>715.49</v>
      </c>
      <c r="AF19" s="65">
        <f t="shared" si="64"/>
        <v>1060.0000000000591</v>
      </c>
      <c r="AG19" s="58">
        <v>15923</v>
      </c>
      <c r="AH19" s="67">
        <f t="shared" si="65"/>
        <v>57</v>
      </c>
      <c r="AI19" s="58">
        <v>822.77</v>
      </c>
      <c r="AJ19" s="65">
        <f t="shared" si="66"/>
        <v>759.99999999999091</v>
      </c>
      <c r="AK19" s="58">
        <v>275.7</v>
      </c>
      <c r="AL19" s="65">
        <f t="shared" si="67"/>
        <v>269.99999999998181</v>
      </c>
      <c r="AM19" s="58">
        <v>257.24</v>
      </c>
      <c r="AN19" s="65">
        <f t="shared" si="68"/>
        <v>280.00000000002956</v>
      </c>
      <c r="AO19" s="58">
        <v>248.72</v>
      </c>
      <c r="AP19" s="65">
        <f t="shared" si="69"/>
        <v>259.99999999999091</v>
      </c>
      <c r="AQ19" s="58">
        <v>305.06</v>
      </c>
      <c r="AR19" s="65">
        <f t="shared" si="70"/>
        <v>199.99999999998863</v>
      </c>
      <c r="AS19" s="58">
        <v>429.95</v>
      </c>
      <c r="AT19" s="65">
        <f t="shared" si="71"/>
        <v>189.99999999999773</v>
      </c>
      <c r="AU19" s="58">
        <v>337.96</v>
      </c>
      <c r="AV19" s="65">
        <f t="shared" si="72"/>
        <v>239.99999999995225</v>
      </c>
      <c r="AW19" s="58">
        <v>368.77</v>
      </c>
      <c r="AX19" s="65">
        <f t="shared" si="73"/>
        <v>259.99999999999091</v>
      </c>
      <c r="AY19" s="58">
        <v>403.5</v>
      </c>
      <c r="AZ19" s="65">
        <f t="shared" si="74"/>
        <v>329.99999999998408</v>
      </c>
      <c r="BA19" s="58">
        <v>423.25</v>
      </c>
      <c r="BB19" s="65">
        <f t="shared" si="75"/>
        <v>250</v>
      </c>
      <c r="BC19" s="58">
        <v>270.85000000000002</v>
      </c>
      <c r="BD19" s="65">
        <f t="shared" si="76"/>
        <v>250</v>
      </c>
      <c r="BE19" s="59">
        <v>50100</v>
      </c>
      <c r="BF19" s="67">
        <f t="shared" si="77"/>
        <v>16</v>
      </c>
      <c r="BG19" s="60">
        <v>246.81</v>
      </c>
      <c r="BH19" s="65">
        <f t="shared" si="78"/>
        <v>50.000000000011369</v>
      </c>
      <c r="BI19" s="60">
        <v>301.86</v>
      </c>
      <c r="BJ19" s="65">
        <f t="shared" si="79"/>
        <v>30.000000000029559</v>
      </c>
      <c r="BK19" s="60">
        <v>249.73</v>
      </c>
      <c r="BL19" s="65">
        <f t="shared" si="80"/>
        <v>60.000000000002274</v>
      </c>
      <c r="BM19" s="60">
        <v>236.38</v>
      </c>
      <c r="BN19" s="65">
        <f t="shared" si="81"/>
        <v>39.999999999992042</v>
      </c>
      <c r="BO19" s="60">
        <v>303.49</v>
      </c>
      <c r="BP19" s="65">
        <f t="shared" si="82"/>
        <v>69.999999999993179</v>
      </c>
      <c r="BQ19" s="60">
        <v>54937</v>
      </c>
      <c r="BR19" s="65">
        <f t="shared" si="83"/>
        <v>41</v>
      </c>
      <c r="BS19" s="60">
        <v>213.72</v>
      </c>
      <c r="BT19" s="65">
        <f t="shared" si="84"/>
        <v>50.000000000011369</v>
      </c>
      <c r="BU19" s="60">
        <v>52384</v>
      </c>
      <c r="BV19" s="65">
        <f t="shared" si="85"/>
        <v>56</v>
      </c>
      <c r="BW19" s="60">
        <v>242.09</v>
      </c>
      <c r="BX19" s="65">
        <f t="shared" si="86"/>
        <v>69.999999999993179</v>
      </c>
      <c r="BY19" s="60">
        <v>72068</v>
      </c>
      <c r="BZ19" s="67">
        <f t="shared" si="87"/>
        <v>47</v>
      </c>
      <c r="CA19" s="60">
        <v>45988.5</v>
      </c>
      <c r="CB19" s="67">
        <f t="shared" si="88"/>
        <v>82.599999999998545</v>
      </c>
      <c r="CC19" s="60">
        <v>15282.7</v>
      </c>
      <c r="CD19" s="67">
        <f t="shared" si="89"/>
        <v>18.800000000001091</v>
      </c>
      <c r="CE19" s="60">
        <v>7941.8</v>
      </c>
      <c r="CF19" s="67">
        <f t="shared" si="90"/>
        <v>3.8000000000001819</v>
      </c>
      <c r="CG19" s="60">
        <v>72675.7</v>
      </c>
      <c r="CH19" s="67">
        <f t="shared" si="91"/>
        <v>31.30000000000291</v>
      </c>
      <c r="CI19" s="60">
        <v>1035389</v>
      </c>
      <c r="CJ19" s="67">
        <f t="shared" si="92"/>
        <v>295</v>
      </c>
      <c r="CK19" s="60">
        <v>959.19</v>
      </c>
      <c r="CL19" s="64">
        <f t="shared" si="93"/>
        <v>890.00000000010004</v>
      </c>
      <c r="CM19" s="65">
        <f t="shared" si="94"/>
        <v>123</v>
      </c>
      <c r="CN19" s="62">
        <v>39</v>
      </c>
      <c r="CO19" s="62">
        <v>103</v>
      </c>
      <c r="CP19" s="68">
        <v>27300</v>
      </c>
      <c r="CQ19" s="67">
        <f t="shared" si="95"/>
        <v>85</v>
      </c>
      <c r="CR19" s="68">
        <v>20624</v>
      </c>
      <c r="CS19" s="67">
        <f t="shared" si="96"/>
        <v>38</v>
      </c>
      <c r="CT19" s="75">
        <v>9709</v>
      </c>
      <c r="CU19" s="67">
        <f t="shared" si="97"/>
        <v>9</v>
      </c>
      <c r="CV19" s="68">
        <v>23685</v>
      </c>
      <c r="CW19" s="67">
        <f t="shared" si="98"/>
        <v>18</v>
      </c>
      <c r="CX19" s="58">
        <v>2564.6999999999998</v>
      </c>
      <c r="CY19" s="67">
        <f t="shared" si="99"/>
        <v>12.599999999999909</v>
      </c>
    </row>
    <row r="20" spans="1:103" ht="25.5" customHeight="1" thickBot="1" x14ac:dyDescent="0.45">
      <c r="A20" s="63">
        <v>44668</v>
      </c>
      <c r="B20" s="44"/>
      <c r="C20" s="58">
        <v>3.0988000000000002</v>
      </c>
      <c r="D20" s="64">
        <f t="shared" si="50"/>
        <v>2800.0000000001355</v>
      </c>
      <c r="E20" s="58">
        <v>4.1932999999999998</v>
      </c>
      <c r="F20" s="64">
        <f t="shared" si="51"/>
        <v>3599.9999999996035</v>
      </c>
      <c r="G20" s="58">
        <v>4.1527000000000003</v>
      </c>
      <c r="H20" s="64">
        <f t="shared" si="52"/>
        <v>3499.9999999998367</v>
      </c>
      <c r="I20" s="58">
        <v>2.0847000000000002</v>
      </c>
      <c r="J20" s="64">
        <f t="shared" si="53"/>
        <v>1600.0000000002678</v>
      </c>
      <c r="K20" s="58">
        <v>3.2643</v>
      </c>
      <c r="L20" s="64">
        <f t="shared" si="54"/>
        <v>2400.0000000001796</v>
      </c>
      <c r="M20" s="58">
        <v>1.8593999999999999</v>
      </c>
      <c r="N20" s="64">
        <f t="shared" si="55"/>
        <v>1700.0000000000348</v>
      </c>
      <c r="O20" s="58">
        <v>19734</v>
      </c>
      <c r="P20" s="67">
        <f t="shared" si="56"/>
        <v>25</v>
      </c>
      <c r="Q20" s="58">
        <v>2361</v>
      </c>
      <c r="R20" s="67">
        <f t="shared" si="57"/>
        <v>4</v>
      </c>
      <c r="S20" s="58">
        <v>1300.5</v>
      </c>
      <c r="T20" s="67">
        <f t="shared" si="58"/>
        <v>1.4000000000000909</v>
      </c>
      <c r="U20" s="58">
        <v>532556</v>
      </c>
      <c r="V20" s="67">
        <f t="shared" si="59"/>
        <v>433.19999999995343</v>
      </c>
      <c r="W20" s="58">
        <v>496.95</v>
      </c>
      <c r="X20" s="65">
        <f t="shared" si="60"/>
        <v>329.99999999998408</v>
      </c>
      <c r="Y20" s="58">
        <v>3.6852</v>
      </c>
      <c r="Z20" s="65">
        <f t="shared" si="61"/>
        <v>3299.9999999998586</v>
      </c>
      <c r="AA20" s="58">
        <v>499.32</v>
      </c>
      <c r="AB20" s="65">
        <f t="shared" si="62"/>
        <v>459.99999999997954</v>
      </c>
      <c r="AC20" s="58">
        <v>488.72</v>
      </c>
      <c r="AD20" s="65">
        <f t="shared" si="63"/>
        <v>320.00000000005002</v>
      </c>
      <c r="AE20" s="58">
        <v>716.35</v>
      </c>
      <c r="AF20" s="65">
        <f t="shared" si="64"/>
        <v>860.00000000001364</v>
      </c>
      <c r="AG20" s="58">
        <v>15971</v>
      </c>
      <c r="AH20" s="67">
        <f t="shared" si="65"/>
        <v>48</v>
      </c>
      <c r="AI20" s="58">
        <v>823.36</v>
      </c>
      <c r="AJ20" s="65">
        <f t="shared" si="66"/>
        <v>590.00000000003183</v>
      </c>
      <c r="AK20" s="58">
        <v>275.91000000000003</v>
      </c>
      <c r="AL20" s="65">
        <f t="shared" si="67"/>
        <v>210.00000000003638</v>
      </c>
      <c r="AM20" s="58">
        <v>257.45999999999998</v>
      </c>
      <c r="AN20" s="65">
        <f t="shared" si="68"/>
        <v>219.99999999997044</v>
      </c>
      <c r="AO20" s="58">
        <v>248.89</v>
      </c>
      <c r="AP20" s="65">
        <f t="shared" si="69"/>
        <v>169.99999999998749</v>
      </c>
      <c r="AQ20" s="58">
        <v>305.20999999999998</v>
      </c>
      <c r="AR20" s="65">
        <f t="shared" si="70"/>
        <v>149.99999999997726</v>
      </c>
      <c r="AS20" s="58">
        <v>430.06</v>
      </c>
      <c r="AT20" s="65">
        <f t="shared" si="71"/>
        <v>110.00000000001364</v>
      </c>
      <c r="AU20" s="58">
        <v>338.23</v>
      </c>
      <c r="AV20" s="65">
        <f t="shared" si="72"/>
        <v>270.00000000003865</v>
      </c>
      <c r="AW20" s="58">
        <v>368.99</v>
      </c>
      <c r="AX20" s="65">
        <f t="shared" si="73"/>
        <v>220.00000000002728</v>
      </c>
      <c r="AY20" s="58">
        <v>403.76</v>
      </c>
      <c r="AZ20" s="65">
        <f t="shared" si="74"/>
        <v>259.99999999999091</v>
      </c>
      <c r="BA20" s="58">
        <v>423.44</v>
      </c>
      <c r="BB20" s="65">
        <f t="shared" si="75"/>
        <v>189.99999999999773</v>
      </c>
      <c r="BC20" s="58">
        <v>271.01</v>
      </c>
      <c r="BD20" s="65">
        <f t="shared" si="76"/>
        <v>159.99999999996817</v>
      </c>
      <c r="BE20" s="59">
        <v>50140</v>
      </c>
      <c r="BF20" s="67">
        <f t="shared" si="77"/>
        <v>40</v>
      </c>
      <c r="BG20" s="60">
        <v>246.85</v>
      </c>
      <c r="BH20" s="65">
        <f t="shared" si="78"/>
        <v>39.999999999992042</v>
      </c>
      <c r="BI20" s="60">
        <v>301.89</v>
      </c>
      <c r="BJ20" s="65">
        <f t="shared" si="79"/>
        <v>29.999999999972715</v>
      </c>
      <c r="BK20" s="60">
        <v>249.77</v>
      </c>
      <c r="BL20" s="65">
        <f t="shared" si="80"/>
        <v>40.000000000020464</v>
      </c>
      <c r="BM20" s="60">
        <v>236.41</v>
      </c>
      <c r="BN20" s="65">
        <f t="shared" si="81"/>
        <v>30.000000000001137</v>
      </c>
      <c r="BO20" s="60">
        <v>303.52999999999997</v>
      </c>
      <c r="BP20" s="65">
        <f t="shared" si="82"/>
        <v>39.99999999996362</v>
      </c>
      <c r="BQ20" s="60">
        <v>54973</v>
      </c>
      <c r="BR20" s="65">
        <f t="shared" si="83"/>
        <v>36</v>
      </c>
      <c r="BS20" s="60">
        <v>213.77</v>
      </c>
      <c r="BT20" s="65">
        <f t="shared" si="84"/>
        <v>50.000000000011369</v>
      </c>
      <c r="BU20" s="60">
        <v>52429</v>
      </c>
      <c r="BV20" s="65">
        <f t="shared" si="85"/>
        <v>45</v>
      </c>
      <c r="BW20" s="60">
        <v>242.14</v>
      </c>
      <c r="BX20" s="65">
        <f t="shared" si="86"/>
        <v>49.999999999982947</v>
      </c>
      <c r="BY20" s="60">
        <v>72109</v>
      </c>
      <c r="BZ20" s="67">
        <f t="shared" si="87"/>
        <v>41</v>
      </c>
      <c r="CA20" s="60">
        <v>46069</v>
      </c>
      <c r="CB20" s="67">
        <f t="shared" si="88"/>
        <v>80.5</v>
      </c>
      <c r="CC20" s="60">
        <v>15298.2</v>
      </c>
      <c r="CD20" s="67">
        <f t="shared" si="89"/>
        <v>15.5</v>
      </c>
      <c r="CE20" s="60">
        <v>7949.3</v>
      </c>
      <c r="CF20" s="67">
        <f t="shared" si="90"/>
        <v>7.5</v>
      </c>
      <c r="CG20" s="60">
        <v>72720.3</v>
      </c>
      <c r="CH20" s="67">
        <f t="shared" si="91"/>
        <v>44.600000000005821</v>
      </c>
      <c r="CI20" s="60">
        <v>1035699</v>
      </c>
      <c r="CJ20" s="67">
        <f t="shared" si="92"/>
        <v>310</v>
      </c>
      <c r="CK20" s="60">
        <v>960.12</v>
      </c>
      <c r="CL20" s="64">
        <f t="shared" si="93"/>
        <v>929.99999999994998</v>
      </c>
      <c r="CM20" s="65">
        <f t="shared" si="94"/>
        <v>93</v>
      </c>
      <c r="CN20" s="62">
        <v>41</v>
      </c>
      <c r="CO20" s="62">
        <v>111</v>
      </c>
      <c r="CP20" s="68">
        <v>27388</v>
      </c>
      <c r="CQ20" s="67">
        <f t="shared" si="95"/>
        <v>88</v>
      </c>
      <c r="CR20" s="68">
        <v>20629</v>
      </c>
      <c r="CS20" s="67">
        <f t="shared" si="96"/>
        <v>5</v>
      </c>
      <c r="CT20" s="75">
        <v>9719</v>
      </c>
      <c r="CU20" s="67">
        <f t="shared" si="97"/>
        <v>10</v>
      </c>
      <c r="CV20" s="68">
        <v>23703</v>
      </c>
      <c r="CW20" s="67">
        <f t="shared" si="98"/>
        <v>18</v>
      </c>
      <c r="CX20" s="58">
        <v>2569.8000000000002</v>
      </c>
      <c r="CY20" s="67">
        <f t="shared" si="99"/>
        <v>5.1000000000003638</v>
      </c>
    </row>
    <row r="21" spans="1:103" ht="25.5" customHeight="1" thickBot="1" x14ac:dyDescent="0.45">
      <c r="A21" s="63">
        <v>44669</v>
      </c>
      <c r="B21" s="44"/>
      <c r="C21" s="58">
        <v>3.1017999999999999</v>
      </c>
      <c r="D21" s="64">
        <f t="shared" si="50"/>
        <v>2999.9999999996694</v>
      </c>
      <c r="E21" s="58">
        <v>4.1970999999999998</v>
      </c>
      <c r="F21" s="64">
        <f t="shared" si="51"/>
        <v>3800.0000000000255</v>
      </c>
      <c r="G21" s="58">
        <v>4.1562999999999999</v>
      </c>
      <c r="H21" s="64">
        <f t="shared" si="52"/>
        <v>3599.9999999996035</v>
      </c>
      <c r="I21" s="58">
        <v>2.0865</v>
      </c>
      <c r="J21" s="64">
        <f t="shared" si="53"/>
        <v>1799.9999999998017</v>
      </c>
      <c r="K21" s="58">
        <v>3.2669000000000001</v>
      </c>
      <c r="L21" s="64">
        <f t="shared" si="54"/>
        <v>2600.0000000001578</v>
      </c>
      <c r="M21" s="58">
        <v>1.8613999999999999</v>
      </c>
      <c r="N21" s="64">
        <f t="shared" si="55"/>
        <v>2000.0000000000018</v>
      </c>
      <c r="O21" s="58">
        <v>19771</v>
      </c>
      <c r="P21" s="67">
        <f t="shared" si="56"/>
        <v>37</v>
      </c>
      <c r="Q21" s="58">
        <v>2367</v>
      </c>
      <c r="R21" s="67">
        <f t="shared" si="57"/>
        <v>6</v>
      </c>
      <c r="S21" s="58">
        <v>1302</v>
      </c>
      <c r="T21" s="67">
        <f t="shared" si="58"/>
        <v>1.5</v>
      </c>
      <c r="U21" s="58">
        <v>533037.9</v>
      </c>
      <c r="V21" s="67">
        <f t="shared" si="59"/>
        <v>481.90000000002328</v>
      </c>
      <c r="W21" s="58">
        <v>497.37</v>
      </c>
      <c r="X21" s="65">
        <f t="shared" si="60"/>
        <v>420.00000000001592</v>
      </c>
      <c r="Y21" s="58">
        <v>3.6886999999999999</v>
      </c>
      <c r="Z21" s="65">
        <f t="shared" si="61"/>
        <v>3499.9999999998367</v>
      </c>
      <c r="AA21" s="58">
        <v>499.87</v>
      </c>
      <c r="AB21" s="65">
        <f t="shared" si="62"/>
        <v>550.00000000001137</v>
      </c>
      <c r="AC21" s="58">
        <v>489.13</v>
      </c>
      <c r="AD21" s="65">
        <f t="shared" si="63"/>
        <v>409.99999999996817</v>
      </c>
      <c r="AE21" s="58">
        <v>717.28</v>
      </c>
      <c r="AF21" s="65">
        <f t="shared" si="64"/>
        <v>929.99999999994998</v>
      </c>
      <c r="AG21" s="58">
        <v>16024</v>
      </c>
      <c r="AH21" s="67">
        <f t="shared" si="65"/>
        <v>53</v>
      </c>
      <c r="AI21" s="58">
        <v>824.01</v>
      </c>
      <c r="AJ21" s="65">
        <f t="shared" si="66"/>
        <v>649.99999999997726</v>
      </c>
      <c r="AK21" s="58">
        <v>276.11</v>
      </c>
      <c r="AL21" s="65">
        <f t="shared" si="67"/>
        <v>199.99999999998863</v>
      </c>
      <c r="AM21" s="58">
        <v>257.73</v>
      </c>
      <c r="AN21" s="65">
        <f t="shared" si="68"/>
        <v>270.00000000003865</v>
      </c>
      <c r="AO21" s="58">
        <v>249.09</v>
      </c>
      <c r="AP21" s="65">
        <f t="shared" si="69"/>
        <v>200.00000000001705</v>
      </c>
      <c r="AQ21" s="58">
        <v>305.33999999999997</v>
      </c>
      <c r="AR21" s="65">
        <f t="shared" si="70"/>
        <v>129.99999999999545</v>
      </c>
      <c r="AS21" s="58">
        <v>430.2</v>
      </c>
      <c r="AT21" s="65">
        <f t="shared" si="71"/>
        <v>139.99999999998636</v>
      </c>
      <c r="AU21" s="58">
        <v>338.49</v>
      </c>
      <c r="AV21" s="65">
        <f t="shared" si="72"/>
        <v>259.99999999999091</v>
      </c>
      <c r="AW21" s="58">
        <v>369.21</v>
      </c>
      <c r="AX21" s="65">
        <f t="shared" si="73"/>
        <v>219.99999999997044</v>
      </c>
      <c r="AY21" s="58">
        <v>403.92</v>
      </c>
      <c r="AZ21" s="65">
        <f t="shared" si="74"/>
        <v>160.00000000002501</v>
      </c>
      <c r="BA21" s="58">
        <v>423.64</v>
      </c>
      <c r="BB21" s="65">
        <f t="shared" si="75"/>
        <v>199.99999999998863</v>
      </c>
      <c r="BC21" s="58">
        <v>271.25</v>
      </c>
      <c r="BD21" s="65">
        <f t="shared" si="76"/>
        <v>240.00000000000909</v>
      </c>
      <c r="BE21" s="59">
        <v>50174</v>
      </c>
      <c r="BF21" s="67">
        <f t="shared" si="77"/>
        <v>34</v>
      </c>
      <c r="BG21" s="60">
        <v>246.89</v>
      </c>
      <c r="BH21" s="65">
        <f t="shared" si="78"/>
        <v>39.999999999992042</v>
      </c>
      <c r="BI21" s="60">
        <v>301.92</v>
      </c>
      <c r="BJ21" s="65">
        <f t="shared" si="79"/>
        <v>30.000000000029559</v>
      </c>
      <c r="BK21" s="60">
        <v>249.83</v>
      </c>
      <c r="BL21" s="65">
        <f t="shared" si="80"/>
        <v>60.000000000002274</v>
      </c>
      <c r="BM21" s="60">
        <v>236.46</v>
      </c>
      <c r="BN21" s="65">
        <f t="shared" si="81"/>
        <v>50.000000000011369</v>
      </c>
      <c r="BO21" s="60">
        <v>303.60000000000002</v>
      </c>
      <c r="BP21" s="65">
        <f t="shared" si="82"/>
        <v>70.000000000050022</v>
      </c>
      <c r="BQ21" s="60">
        <v>55021</v>
      </c>
      <c r="BR21" s="65">
        <f t="shared" si="83"/>
        <v>48</v>
      </c>
      <c r="BS21" s="60">
        <v>213.82</v>
      </c>
      <c r="BT21" s="65">
        <f t="shared" si="84"/>
        <v>49.999999999982947</v>
      </c>
      <c r="BU21" s="60">
        <v>52477</v>
      </c>
      <c r="BV21" s="65">
        <f t="shared" si="85"/>
        <v>48</v>
      </c>
      <c r="BW21" s="60">
        <v>242.18</v>
      </c>
      <c r="BX21" s="65">
        <f t="shared" si="86"/>
        <v>40.000000000020464</v>
      </c>
      <c r="BY21" s="60">
        <v>72160</v>
      </c>
      <c r="BZ21" s="67">
        <f t="shared" si="87"/>
        <v>51</v>
      </c>
      <c r="CA21" s="60">
        <v>46158</v>
      </c>
      <c r="CB21" s="67">
        <f t="shared" si="88"/>
        <v>89</v>
      </c>
      <c r="CC21" s="60">
        <v>15309.3</v>
      </c>
      <c r="CD21" s="67">
        <f t="shared" si="89"/>
        <v>11.099999999998545</v>
      </c>
      <c r="CE21" s="60">
        <v>7952.1</v>
      </c>
      <c r="CF21" s="67">
        <f t="shared" si="90"/>
        <v>2.8000000000001819</v>
      </c>
      <c r="CG21" s="60">
        <v>72775</v>
      </c>
      <c r="CH21" s="67">
        <f t="shared" si="91"/>
        <v>54.69999999999709</v>
      </c>
      <c r="CI21" s="60">
        <v>1036034</v>
      </c>
      <c r="CJ21" s="67">
        <f t="shared" si="92"/>
        <v>335</v>
      </c>
      <c r="CK21" s="60">
        <v>961.04</v>
      </c>
      <c r="CL21" s="64">
        <f t="shared" si="93"/>
        <v>919.99999999995907</v>
      </c>
      <c r="CM21" s="65">
        <f t="shared" si="94"/>
        <v>120</v>
      </c>
      <c r="CN21" s="62">
        <v>41</v>
      </c>
      <c r="CO21" s="62">
        <v>111</v>
      </c>
      <c r="CP21" s="68">
        <v>27477</v>
      </c>
      <c r="CQ21" s="67">
        <f t="shared" si="95"/>
        <v>89</v>
      </c>
      <c r="CR21" s="68">
        <v>20660</v>
      </c>
      <c r="CS21" s="67">
        <f t="shared" si="96"/>
        <v>31</v>
      </c>
      <c r="CT21" s="75">
        <v>9729</v>
      </c>
      <c r="CU21" s="67">
        <f t="shared" si="97"/>
        <v>10</v>
      </c>
      <c r="CV21" s="68">
        <v>23720</v>
      </c>
      <c r="CW21" s="67">
        <f t="shared" si="98"/>
        <v>17</v>
      </c>
      <c r="CX21" s="58">
        <v>2581.5</v>
      </c>
      <c r="CY21" s="67">
        <f t="shared" si="99"/>
        <v>11.699999999999818</v>
      </c>
    </row>
    <row r="22" spans="1:103" ht="25.5" customHeight="1" thickBot="1" x14ac:dyDescent="0.45">
      <c r="A22" s="63">
        <v>44670</v>
      </c>
      <c r="B22" s="44"/>
      <c r="C22" s="58">
        <v>3.1053000000000002</v>
      </c>
      <c r="D22" s="64">
        <f t="shared" si="50"/>
        <v>3500.0000000002806</v>
      </c>
      <c r="E22" s="58">
        <v>4.2009999999999996</v>
      </c>
      <c r="F22" s="64">
        <f t="shared" si="51"/>
        <v>3899.9999999997926</v>
      </c>
      <c r="G22" s="58">
        <v>4.1600999999999999</v>
      </c>
      <c r="H22" s="64">
        <f t="shared" si="52"/>
        <v>3800.0000000000255</v>
      </c>
      <c r="I22" s="58">
        <v>2.0884</v>
      </c>
      <c r="J22" s="64">
        <f t="shared" si="53"/>
        <v>1900.0000000000127</v>
      </c>
      <c r="K22" s="58">
        <v>3.2696999999999998</v>
      </c>
      <c r="L22" s="64">
        <f t="shared" si="54"/>
        <v>2799.9999999996917</v>
      </c>
      <c r="M22" s="58">
        <v>1.8633999999999999</v>
      </c>
      <c r="N22" s="64">
        <f t="shared" si="55"/>
        <v>2000.0000000000018</v>
      </c>
      <c r="O22" s="58">
        <v>19806</v>
      </c>
      <c r="P22" s="67">
        <f t="shared" si="56"/>
        <v>35</v>
      </c>
      <c r="Q22" s="58">
        <v>2374</v>
      </c>
      <c r="R22" s="67">
        <f t="shared" si="57"/>
        <v>7</v>
      </c>
      <c r="S22" s="58">
        <v>1303.5999999999999</v>
      </c>
      <c r="T22" s="67">
        <f t="shared" si="58"/>
        <v>1.5999999999999091</v>
      </c>
      <c r="U22" s="58">
        <v>533679.4</v>
      </c>
      <c r="V22" s="67">
        <f t="shared" si="59"/>
        <v>641.5</v>
      </c>
      <c r="W22" s="58">
        <v>497.81</v>
      </c>
      <c r="X22" s="65">
        <f t="shared" si="60"/>
        <v>439.99999999999773</v>
      </c>
      <c r="Y22" s="58">
        <v>3.6922000000000001</v>
      </c>
      <c r="Z22" s="65">
        <f t="shared" si="61"/>
        <v>3500.0000000002806</v>
      </c>
      <c r="AA22" s="58">
        <v>500.25</v>
      </c>
      <c r="AB22" s="65">
        <f t="shared" si="62"/>
        <v>379.99999999999545</v>
      </c>
      <c r="AC22" s="58">
        <v>489.54</v>
      </c>
      <c r="AD22" s="65">
        <f t="shared" si="63"/>
        <v>410.00000000002501</v>
      </c>
      <c r="AE22" s="58">
        <v>718.41</v>
      </c>
      <c r="AF22" s="65">
        <f t="shared" si="64"/>
        <v>1129.9999999999955</v>
      </c>
      <c r="AG22" s="58">
        <v>16084</v>
      </c>
      <c r="AH22" s="67">
        <f t="shared" si="65"/>
        <v>60</v>
      </c>
      <c r="AI22" s="58">
        <v>824.82</v>
      </c>
      <c r="AJ22" s="65">
        <f t="shared" si="66"/>
        <v>810.00000000005912</v>
      </c>
      <c r="AK22" s="58">
        <v>276.39999999999998</v>
      </c>
      <c r="AL22" s="65">
        <f t="shared" si="67"/>
        <v>289.99999999996362</v>
      </c>
      <c r="AM22" s="58">
        <v>258.04000000000002</v>
      </c>
      <c r="AN22" s="65">
        <f t="shared" si="68"/>
        <v>310.00000000000227</v>
      </c>
      <c r="AO22" s="58">
        <v>249.29</v>
      </c>
      <c r="AP22" s="65">
        <f t="shared" si="69"/>
        <v>199.99999999998863</v>
      </c>
      <c r="AQ22" s="58">
        <v>305.52999999999997</v>
      </c>
      <c r="AR22" s="65">
        <f t="shared" si="70"/>
        <v>189.99999999999773</v>
      </c>
      <c r="AS22" s="58">
        <v>430.34</v>
      </c>
      <c r="AT22" s="65">
        <f t="shared" si="71"/>
        <v>139.99999999998636</v>
      </c>
      <c r="AU22" s="58">
        <v>338.76</v>
      </c>
      <c r="AV22" s="65">
        <f t="shared" si="72"/>
        <v>269.99999999998181</v>
      </c>
      <c r="AW22" s="58">
        <v>369.45</v>
      </c>
      <c r="AX22" s="65">
        <f t="shared" si="73"/>
        <v>240.00000000000909</v>
      </c>
      <c r="AY22" s="58">
        <v>404.17</v>
      </c>
      <c r="AZ22" s="65">
        <f t="shared" si="74"/>
        <v>250</v>
      </c>
      <c r="BA22" s="58">
        <v>423.87</v>
      </c>
      <c r="BB22" s="65">
        <f t="shared" si="75"/>
        <v>230.00000000001819</v>
      </c>
      <c r="BC22" s="58">
        <v>271.52</v>
      </c>
      <c r="BD22" s="65">
        <f t="shared" si="76"/>
        <v>269.99999999998181</v>
      </c>
      <c r="BE22" s="59">
        <v>50214</v>
      </c>
      <c r="BF22" s="67">
        <f t="shared" si="77"/>
        <v>40</v>
      </c>
      <c r="BG22" s="60">
        <v>246.94</v>
      </c>
      <c r="BH22" s="65">
        <f t="shared" si="78"/>
        <v>50.000000000011369</v>
      </c>
      <c r="BI22" s="60">
        <v>301.95999999999998</v>
      </c>
      <c r="BJ22" s="65">
        <f t="shared" si="79"/>
        <v>39.99999999996362</v>
      </c>
      <c r="BK22" s="60">
        <v>249.89</v>
      </c>
      <c r="BL22" s="65">
        <f t="shared" si="80"/>
        <v>59.999999999973852</v>
      </c>
      <c r="BM22" s="60">
        <v>236.51</v>
      </c>
      <c r="BN22" s="65">
        <f t="shared" si="81"/>
        <v>49.999999999982947</v>
      </c>
      <c r="BO22" s="60">
        <v>303.68</v>
      </c>
      <c r="BP22" s="65">
        <f t="shared" si="82"/>
        <v>79.999999999984084</v>
      </c>
      <c r="BQ22" s="60">
        <v>55070</v>
      </c>
      <c r="BR22" s="65">
        <f t="shared" si="83"/>
        <v>49</v>
      </c>
      <c r="BS22" s="60">
        <v>213.88</v>
      </c>
      <c r="BT22" s="65">
        <f t="shared" si="84"/>
        <v>60.000000000002274</v>
      </c>
      <c r="BU22" s="60">
        <v>52542</v>
      </c>
      <c r="BV22" s="65">
        <f t="shared" si="85"/>
        <v>65</v>
      </c>
      <c r="BW22" s="60">
        <v>242.24</v>
      </c>
      <c r="BX22" s="65">
        <f t="shared" si="86"/>
        <v>60.000000000002274</v>
      </c>
      <c r="BY22" s="60">
        <v>72216</v>
      </c>
      <c r="BZ22" s="67">
        <f t="shared" si="87"/>
        <v>56</v>
      </c>
      <c r="CA22" s="60">
        <v>46242.8</v>
      </c>
      <c r="CB22" s="67">
        <f t="shared" si="88"/>
        <v>84.80000000000291</v>
      </c>
      <c r="CC22" s="60">
        <v>15320.8</v>
      </c>
      <c r="CD22" s="67">
        <f t="shared" si="89"/>
        <v>11.5</v>
      </c>
      <c r="CE22" s="60">
        <v>7955.2</v>
      </c>
      <c r="CF22" s="67">
        <f t="shared" si="90"/>
        <v>3.0999999999994543</v>
      </c>
      <c r="CG22" s="60">
        <v>72825.8</v>
      </c>
      <c r="CH22" s="67">
        <f t="shared" si="91"/>
        <v>50.80000000000291</v>
      </c>
      <c r="CI22" s="60">
        <v>1036391</v>
      </c>
      <c r="CJ22" s="67">
        <f t="shared" si="92"/>
        <v>357</v>
      </c>
      <c r="CK22" s="60">
        <v>961.99</v>
      </c>
      <c r="CL22" s="64">
        <f t="shared" si="93"/>
        <v>950.00000000004547</v>
      </c>
      <c r="CM22" s="65">
        <f t="shared" si="94"/>
        <v>129.20000000000073</v>
      </c>
      <c r="CN22" s="62">
        <v>29</v>
      </c>
      <c r="CO22" s="62">
        <v>76</v>
      </c>
      <c r="CP22" s="68">
        <v>27572</v>
      </c>
      <c r="CQ22" s="67">
        <f t="shared" si="95"/>
        <v>95</v>
      </c>
      <c r="CR22" s="68">
        <v>20694.2</v>
      </c>
      <c r="CS22" s="67">
        <f t="shared" si="96"/>
        <v>34.200000000000728</v>
      </c>
      <c r="CT22" s="75">
        <v>9738</v>
      </c>
      <c r="CU22" s="67">
        <f t="shared" si="97"/>
        <v>9</v>
      </c>
      <c r="CV22" s="68">
        <v>23739</v>
      </c>
      <c r="CW22" s="67">
        <f t="shared" si="98"/>
        <v>19</v>
      </c>
      <c r="CX22" s="58">
        <v>2595.1</v>
      </c>
      <c r="CY22" s="67">
        <f t="shared" si="99"/>
        <v>13.599999999999909</v>
      </c>
    </row>
    <row r="23" spans="1:103" ht="25.5" customHeight="1" thickBot="1" x14ac:dyDescent="0.45">
      <c r="A23" s="63">
        <v>44671</v>
      </c>
      <c r="B23" s="44"/>
      <c r="C23" s="58">
        <v>3.1088</v>
      </c>
      <c r="D23" s="64">
        <f t="shared" si="50"/>
        <v>3499.9999999998367</v>
      </c>
      <c r="E23" s="58">
        <v>4.2049000000000003</v>
      </c>
      <c r="F23" s="64">
        <f t="shared" si="51"/>
        <v>3900.0000000006808</v>
      </c>
      <c r="G23" s="58">
        <v>4.1637000000000004</v>
      </c>
      <c r="H23" s="64">
        <f t="shared" si="52"/>
        <v>3600.0000000004916</v>
      </c>
      <c r="I23" s="58">
        <v>2.0903999999999998</v>
      </c>
      <c r="J23" s="64">
        <f t="shared" si="53"/>
        <v>1999.9999999997797</v>
      </c>
      <c r="K23" s="58">
        <v>3.2724000000000002</v>
      </c>
      <c r="L23" s="64">
        <f t="shared" si="54"/>
        <v>2700.0000000003688</v>
      </c>
      <c r="M23" s="58">
        <v>1.8654999999999999</v>
      </c>
      <c r="N23" s="64">
        <f t="shared" si="55"/>
        <v>2099.9999999999909</v>
      </c>
      <c r="O23" s="58">
        <v>19839</v>
      </c>
      <c r="P23" s="67">
        <f t="shared" si="56"/>
        <v>33</v>
      </c>
      <c r="Q23" s="58">
        <v>2380</v>
      </c>
      <c r="R23" s="67">
        <f t="shared" si="57"/>
        <v>6</v>
      </c>
      <c r="S23" s="58">
        <v>1304.9000000000001</v>
      </c>
      <c r="T23" s="67">
        <f t="shared" si="58"/>
        <v>1.3000000000001819</v>
      </c>
      <c r="U23" s="58">
        <v>534158.80000000005</v>
      </c>
      <c r="V23" s="67">
        <f t="shared" si="59"/>
        <v>479.40000000002328</v>
      </c>
      <c r="W23" s="58">
        <v>498.3</v>
      </c>
      <c r="X23" s="65">
        <f t="shared" si="60"/>
        <v>490.00000000000909</v>
      </c>
      <c r="Y23" s="58">
        <v>3.6955</v>
      </c>
      <c r="Z23" s="65">
        <f t="shared" si="61"/>
        <v>3299.9999999998586</v>
      </c>
      <c r="AA23" s="58">
        <v>500.69</v>
      </c>
      <c r="AB23" s="65">
        <f t="shared" si="62"/>
        <v>439.99999999999773</v>
      </c>
      <c r="AC23" s="58">
        <v>489.94</v>
      </c>
      <c r="AD23" s="65">
        <f t="shared" si="63"/>
        <v>399.99999999997726</v>
      </c>
      <c r="AE23" s="58">
        <v>719.46</v>
      </c>
      <c r="AF23" s="65">
        <f t="shared" si="64"/>
        <v>1050.0000000000682</v>
      </c>
      <c r="AG23" s="58">
        <v>16129</v>
      </c>
      <c r="AH23" s="67">
        <f t="shared" si="65"/>
        <v>45</v>
      </c>
      <c r="AI23" s="58">
        <v>825.67</v>
      </c>
      <c r="AJ23" s="65">
        <f t="shared" si="66"/>
        <v>849.99999999990905</v>
      </c>
      <c r="AK23" s="58">
        <v>276.66000000000003</v>
      </c>
      <c r="AL23" s="65">
        <f t="shared" si="67"/>
        <v>260.00000000004775</v>
      </c>
      <c r="AM23" s="58">
        <v>258.35000000000002</v>
      </c>
      <c r="AN23" s="65">
        <f t="shared" si="68"/>
        <v>310.00000000000227</v>
      </c>
      <c r="AO23" s="58">
        <v>249.47</v>
      </c>
      <c r="AP23" s="65">
        <f t="shared" si="69"/>
        <v>180.00000000000682</v>
      </c>
      <c r="AQ23" s="58">
        <v>305.83</v>
      </c>
      <c r="AR23" s="65">
        <f t="shared" si="70"/>
        <v>300.00000000001137</v>
      </c>
      <c r="AS23" s="58">
        <v>430.5</v>
      </c>
      <c r="AT23" s="65">
        <f t="shared" si="71"/>
        <v>160.00000000002501</v>
      </c>
      <c r="AU23" s="58">
        <v>339.03</v>
      </c>
      <c r="AV23" s="65">
        <f t="shared" si="72"/>
        <v>269.99999999998181</v>
      </c>
      <c r="AW23" s="58">
        <v>369.69</v>
      </c>
      <c r="AX23" s="65">
        <f t="shared" si="73"/>
        <v>240.00000000000909</v>
      </c>
      <c r="AY23" s="58">
        <v>404.35</v>
      </c>
      <c r="AZ23" s="65">
        <f t="shared" si="74"/>
        <v>180.00000000000682</v>
      </c>
      <c r="BA23" s="58">
        <v>424.08</v>
      </c>
      <c r="BB23" s="65">
        <f t="shared" si="75"/>
        <v>209.99999999997954</v>
      </c>
      <c r="BC23" s="58">
        <v>271.76</v>
      </c>
      <c r="BD23" s="65">
        <f t="shared" si="76"/>
        <v>240.00000000000909</v>
      </c>
      <c r="BE23" s="59">
        <v>50250</v>
      </c>
      <c r="BF23" s="67">
        <f t="shared" si="77"/>
        <v>36</v>
      </c>
      <c r="BG23" s="60">
        <v>246.99</v>
      </c>
      <c r="BH23" s="65">
        <f t="shared" si="78"/>
        <v>50.000000000011369</v>
      </c>
      <c r="BI23" s="60">
        <v>302</v>
      </c>
      <c r="BJ23" s="65">
        <f t="shared" si="79"/>
        <v>40.000000000020464</v>
      </c>
      <c r="BK23" s="60">
        <v>249.95</v>
      </c>
      <c r="BL23" s="65">
        <f t="shared" si="80"/>
        <v>60.000000000002274</v>
      </c>
      <c r="BM23" s="60">
        <v>236.56</v>
      </c>
      <c r="BN23" s="65">
        <f t="shared" si="81"/>
        <v>50.000000000011369</v>
      </c>
      <c r="BO23" s="60">
        <v>303.75</v>
      </c>
      <c r="BP23" s="65">
        <f t="shared" si="82"/>
        <v>69.999999999993179</v>
      </c>
      <c r="BQ23" s="60">
        <v>55117</v>
      </c>
      <c r="BR23" s="65">
        <f t="shared" si="83"/>
        <v>47</v>
      </c>
      <c r="BS23" s="60">
        <v>213.93</v>
      </c>
      <c r="BT23" s="65">
        <f t="shared" si="84"/>
        <v>50.000000000011369</v>
      </c>
      <c r="BU23" s="60">
        <v>52600</v>
      </c>
      <c r="BV23" s="65">
        <f t="shared" si="85"/>
        <v>58</v>
      </c>
      <c r="BW23" s="60">
        <v>242.3</v>
      </c>
      <c r="BX23" s="65">
        <f t="shared" si="86"/>
        <v>60.000000000002274</v>
      </c>
      <c r="BY23" s="60">
        <v>72269</v>
      </c>
      <c r="BZ23" s="67">
        <f t="shared" si="87"/>
        <v>53</v>
      </c>
      <c r="CA23" s="60">
        <v>46316.6</v>
      </c>
      <c r="CB23" s="67">
        <f t="shared" si="88"/>
        <v>73.799999999995634</v>
      </c>
      <c r="CC23" s="60">
        <v>15331.7</v>
      </c>
      <c r="CD23" s="67">
        <f t="shared" si="89"/>
        <v>10.900000000001455</v>
      </c>
      <c r="CE23" s="60">
        <v>7959.1</v>
      </c>
      <c r="CF23" s="67">
        <f t="shared" si="90"/>
        <v>3.9000000000005457</v>
      </c>
      <c r="CG23" s="60">
        <v>72877.899999999994</v>
      </c>
      <c r="CH23" s="67">
        <f t="shared" si="91"/>
        <v>52.099999999991269</v>
      </c>
      <c r="CI23" s="60">
        <v>1036731</v>
      </c>
      <c r="CJ23" s="67">
        <f t="shared" si="92"/>
        <v>340</v>
      </c>
      <c r="CK23" s="60">
        <v>963</v>
      </c>
      <c r="CL23" s="64">
        <f t="shared" si="93"/>
        <v>1009.9999999999909</v>
      </c>
      <c r="CM23" s="65">
        <f>CQ23+CS23</f>
        <v>107.79999999999927</v>
      </c>
      <c r="CN23" s="62">
        <v>28</v>
      </c>
      <c r="CO23" s="62">
        <v>76</v>
      </c>
      <c r="CP23" s="68">
        <v>27660</v>
      </c>
      <c r="CQ23" s="67">
        <f t="shared" si="95"/>
        <v>88</v>
      </c>
      <c r="CR23" s="68">
        <v>20714</v>
      </c>
      <c r="CS23" s="67">
        <f t="shared" si="96"/>
        <v>19.799999999999272</v>
      </c>
      <c r="CT23" s="75">
        <v>9747</v>
      </c>
      <c r="CU23" s="67">
        <f t="shared" si="97"/>
        <v>9</v>
      </c>
      <c r="CV23" s="68">
        <v>23763</v>
      </c>
      <c r="CW23" s="67">
        <f t="shared" si="98"/>
        <v>24</v>
      </c>
      <c r="CX23" s="58">
        <v>2608.6999999999998</v>
      </c>
      <c r="CY23" s="67">
        <f t="shared" si="99"/>
        <v>13.599999999999909</v>
      </c>
    </row>
    <row r="24" spans="1:103" ht="25.5" customHeight="1" thickBot="1" x14ac:dyDescent="0.45">
      <c r="A24" s="63">
        <v>44672</v>
      </c>
      <c r="B24" s="44"/>
      <c r="C24" s="58">
        <v>3.1124000000000001</v>
      </c>
      <c r="D24" s="64">
        <f t="shared" si="50"/>
        <v>3600.0000000000477</v>
      </c>
      <c r="E24" s="58">
        <v>4.2087000000000003</v>
      </c>
      <c r="F24" s="64">
        <f t="shared" si="51"/>
        <v>3800.0000000000255</v>
      </c>
      <c r="G24" s="58">
        <v>4.1673999999999998</v>
      </c>
      <c r="H24" s="64">
        <f t="shared" si="52"/>
        <v>3699.9999999993706</v>
      </c>
      <c r="I24" s="58">
        <v>2.0922999999999998</v>
      </c>
      <c r="J24" s="64">
        <f t="shared" si="53"/>
        <v>1900.0000000000127</v>
      </c>
      <c r="K24" s="58">
        <v>3.2751000000000001</v>
      </c>
      <c r="L24" s="64">
        <f t="shared" si="54"/>
        <v>2699.9999999999245</v>
      </c>
      <c r="M24" s="58">
        <v>1.8675999999999999</v>
      </c>
      <c r="N24" s="64">
        <f t="shared" si="55"/>
        <v>2099.9999999999909</v>
      </c>
      <c r="O24" s="58">
        <v>19875</v>
      </c>
      <c r="P24" s="67">
        <f t="shared" si="56"/>
        <v>36</v>
      </c>
      <c r="Q24" s="58">
        <v>2387</v>
      </c>
      <c r="R24" s="67">
        <f t="shared" si="57"/>
        <v>7</v>
      </c>
      <c r="S24" s="58">
        <v>1306.3</v>
      </c>
      <c r="T24" s="67">
        <f t="shared" si="58"/>
        <v>1.3999999999998636</v>
      </c>
      <c r="U24" s="58">
        <v>534742.1</v>
      </c>
      <c r="V24" s="67">
        <f t="shared" si="59"/>
        <v>583.29999999993015</v>
      </c>
      <c r="W24" s="58">
        <v>498.88</v>
      </c>
      <c r="X24" s="65">
        <f t="shared" si="60"/>
        <v>579.99999999998408</v>
      </c>
      <c r="Y24" s="58">
        <v>3.6987000000000001</v>
      </c>
      <c r="Z24" s="65">
        <f t="shared" si="61"/>
        <v>3200.0000000000919</v>
      </c>
      <c r="AA24" s="58">
        <v>501.16</v>
      </c>
      <c r="AB24" s="65">
        <f t="shared" si="62"/>
        <v>470.00000000002728</v>
      </c>
      <c r="AC24" s="58">
        <v>490.35</v>
      </c>
      <c r="AD24" s="65">
        <f t="shared" si="63"/>
        <v>410.00000000002501</v>
      </c>
      <c r="AE24" s="58">
        <v>720.61</v>
      </c>
      <c r="AF24" s="65">
        <f t="shared" si="64"/>
        <v>1149.9999999999773</v>
      </c>
      <c r="AG24" s="58">
        <v>16175</v>
      </c>
      <c r="AH24" s="67">
        <f t="shared" si="65"/>
        <v>46</v>
      </c>
      <c r="AI24" s="58">
        <v>826.51</v>
      </c>
      <c r="AJ24" s="65">
        <f t="shared" si="66"/>
        <v>840.00000000003183</v>
      </c>
      <c r="AK24" s="58">
        <v>276.97000000000003</v>
      </c>
      <c r="AL24" s="65">
        <f t="shared" si="67"/>
        <v>310.00000000000227</v>
      </c>
      <c r="AM24" s="58">
        <v>258.70999999999998</v>
      </c>
      <c r="AN24" s="65">
        <f t="shared" si="68"/>
        <v>359.9999999999568</v>
      </c>
      <c r="AO24" s="58">
        <v>249.71</v>
      </c>
      <c r="AP24" s="65">
        <f t="shared" si="69"/>
        <v>240.00000000000909</v>
      </c>
      <c r="AQ24" s="58">
        <v>306.16000000000003</v>
      </c>
      <c r="AR24" s="65">
        <f t="shared" si="70"/>
        <v>330.00000000004093</v>
      </c>
      <c r="AS24" s="58">
        <v>430.69</v>
      </c>
      <c r="AT24" s="65">
        <f t="shared" si="71"/>
        <v>189.99999999999773</v>
      </c>
      <c r="AU24" s="58">
        <v>339.33</v>
      </c>
      <c r="AV24" s="65">
        <f t="shared" si="72"/>
        <v>300.00000000001137</v>
      </c>
      <c r="AW24" s="58">
        <v>369.94</v>
      </c>
      <c r="AX24" s="65">
        <f t="shared" si="73"/>
        <v>250</v>
      </c>
      <c r="AY24" s="58">
        <v>404.54</v>
      </c>
      <c r="AZ24" s="65">
        <f t="shared" si="74"/>
        <v>189.99999999999773</v>
      </c>
      <c r="BA24" s="58">
        <v>424.34</v>
      </c>
      <c r="BB24" s="65">
        <f t="shared" si="75"/>
        <v>259.99999999999091</v>
      </c>
      <c r="BC24" s="58">
        <v>272.02</v>
      </c>
      <c r="BD24" s="65">
        <f t="shared" si="76"/>
        <v>259.99999999999091</v>
      </c>
      <c r="BE24" s="59">
        <v>50303</v>
      </c>
      <c r="BF24" s="67">
        <f t="shared" si="77"/>
        <v>53</v>
      </c>
      <c r="BG24" s="60">
        <v>247.04</v>
      </c>
      <c r="BH24" s="65">
        <f t="shared" si="78"/>
        <v>49.999999999982947</v>
      </c>
      <c r="BI24" s="60">
        <v>302.04000000000002</v>
      </c>
      <c r="BJ24" s="65">
        <f t="shared" si="79"/>
        <v>40.000000000020464</v>
      </c>
      <c r="BK24" s="60">
        <v>250</v>
      </c>
      <c r="BL24" s="65">
        <f t="shared" si="80"/>
        <v>50.000000000011369</v>
      </c>
      <c r="BM24" s="60">
        <v>236.61</v>
      </c>
      <c r="BN24" s="65">
        <f t="shared" si="81"/>
        <v>50.000000000011369</v>
      </c>
      <c r="BO24" s="60">
        <v>303.82</v>
      </c>
      <c r="BP24" s="65">
        <f t="shared" si="82"/>
        <v>69.999999999993179</v>
      </c>
      <c r="BQ24" s="60">
        <v>55170</v>
      </c>
      <c r="BR24" s="65">
        <f t="shared" si="83"/>
        <v>53</v>
      </c>
      <c r="BS24" s="60">
        <v>213.98</v>
      </c>
      <c r="BT24" s="65">
        <f t="shared" si="84"/>
        <v>49.999999999982947</v>
      </c>
      <c r="BU24" s="60">
        <v>52660</v>
      </c>
      <c r="BV24" s="65">
        <f t="shared" si="85"/>
        <v>60</v>
      </c>
      <c r="BW24" s="60">
        <v>242.36</v>
      </c>
      <c r="BX24" s="65">
        <f t="shared" si="86"/>
        <v>60.000000000002274</v>
      </c>
      <c r="BY24" s="60">
        <v>72324</v>
      </c>
      <c r="BZ24" s="67">
        <f t="shared" si="87"/>
        <v>55</v>
      </c>
      <c r="CA24" s="60">
        <v>46392.2</v>
      </c>
      <c r="CB24" s="67">
        <f t="shared" si="88"/>
        <v>75.599999999998545</v>
      </c>
      <c r="CC24" s="60">
        <v>15342.7</v>
      </c>
      <c r="CD24" s="67">
        <f t="shared" si="89"/>
        <v>11</v>
      </c>
      <c r="CE24" s="60">
        <v>7972.4</v>
      </c>
      <c r="CF24" s="67">
        <f t="shared" si="90"/>
        <v>13.299999999999272</v>
      </c>
      <c r="CG24" s="60">
        <v>72929.8</v>
      </c>
      <c r="CH24" s="67">
        <f t="shared" si="91"/>
        <v>51.900000000008731</v>
      </c>
      <c r="CI24" s="60">
        <v>1037037</v>
      </c>
      <c r="CJ24" s="67">
        <f t="shared" si="92"/>
        <v>306</v>
      </c>
      <c r="CK24" s="60">
        <v>964.07</v>
      </c>
      <c r="CL24" s="64">
        <f t="shared" si="93"/>
        <v>1070.00000000005</v>
      </c>
      <c r="CM24" s="65">
        <f t="shared" si="94"/>
        <v>139.20000000000073</v>
      </c>
      <c r="CN24" s="62">
        <v>29</v>
      </c>
      <c r="CO24" s="62">
        <v>76</v>
      </c>
      <c r="CP24" s="68">
        <v>27772</v>
      </c>
      <c r="CQ24" s="67">
        <f t="shared" si="95"/>
        <v>112</v>
      </c>
      <c r="CR24" s="68">
        <v>20741.2</v>
      </c>
      <c r="CS24" s="67">
        <f t="shared" si="96"/>
        <v>27.200000000000728</v>
      </c>
      <c r="CT24" s="75">
        <v>9757</v>
      </c>
      <c r="CU24" s="67">
        <f t="shared" si="97"/>
        <v>10</v>
      </c>
      <c r="CV24" s="68">
        <v>23793</v>
      </c>
      <c r="CW24" s="67">
        <f t="shared" si="98"/>
        <v>30</v>
      </c>
      <c r="CX24" s="58">
        <v>2622.4</v>
      </c>
      <c r="CY24" s="67">
        <f t="shared" si="99"/>
        <v>13.700000000000273</v>
      </c>
    </row>
    <row r="25" spans="1:103" ht="25.5" customHeight="1" thickBot="1" x14ac:dyDescent="0.45">
      <c r="A25" s="63">
        <v>44673</v>
      </c>
      <c r="B25" s="44"/>
      <c r="C25" s="58"/>
      <c r="D25" s="64" t="str">
        <f t="shared" si="50"/>
        <v>0</v>
      </c>
      <c r="E25" s="58"/>
      <c r="F25" s="64" t="str">
        <f t="shared" si="51"/>
        <v>0</v>
      </c>
      <c r="G25" s="58"/>
      <c r="H25" s="64" t="str">
        <f t="shared" si="52"/>
        <v>0</v>
      </c>
      <c r="I25" s="58"/>
      <c r="J25" s="64" t="str">
        <f t="shared" si="53"/>
        <v>0</v>
      </c>
      <c r="K25" s="58"/>
      <c r="L25" s="64" t="str">
        <f t="shared" si="54"/>
        <v>0</v>
      </c>
      <c r="M25" s="58"/>
      <c r="N25" s="64" t="str">
        <f t="shared" si="55"/>
        <v/>
      </c>
      <c r="O25" s="58"/>
      <c r="P25" s="67" t="str">
        <f t="shared" si="56"/>
        <v/>
      </c>
      <c r="Q25" s="58"/>
      <c r="R25" s="67" t="str">
        <f t="shared" si="57"/>
        <v/>
      </c>
      <c r="S25" s="58"/>
      <c r="T25" s="67" t="str">
        <f t="shared" si="58"/>
        <v/>
      </c>
      <c r="U25" s="58"/>
      <c r="V25" s="67" t="str">
        <f t="shared" si="59"/>
        <v/>
      </c>
      <c r="W25" s="58"/>
      <c r="X25" s="65" t="str">
        <f t="shared" si="60"/>
        <v/>
      </c>
      <c r="Y25" s="58"/>
      <c r="Z25" s="65" t="str">
        <f t="shared" si="61"/>
        <v/>
      </c>
      <c r="AA25" s="58"/>
      <c r="AB25" s="65" t="str">
        <f t="shared" si="62"/>
        <v/>
      </c>
      <c r="AC25" s="58"/>
      <c r="AD25" s="65" t="str">
        <f t="shared" si="63"/>
        <v/>
      </c>
      <c r="AE25" s="58"/>
      <c r="AF25" s="65" t="str">
        <f t="shared" si="64"/>
        <v/>
      </c>
      <c r="AG25" s="58"/>
      <c r="AH25" s="67" t="str">
        <f t="shared" si="65"/>
        <v/>
      </c>
      <c r="AI25" s="58"/>
      <c r="AJ25" s="65" t="str">
        <f t="shared" si="66"/>
        <v/>
      </c>
      <c r="AK25" s="58"/>
      <c r="AL25" s="65" t="str">
        <f t="shared" si="67"/>
        <v/>
      </c>
      <c r="AM25" s="58"/>
      <c r="AN25" s="65" t="str">
        <f t="shared" si="68"/>
        <v/>
      </c>
      <c r="AO25" s="58"/>
      <c r="AP25" s="65" t="str">
        <f t="shared" si="69"/>
        <v/>
      </c>
      <c r="AQ25" s="58"/>
      <c r="AR25" s="65" t="str">
        <f t="shared" si="70"/>
        <v/>
      </c>
      <c r="AS25" s="58"/>
      <c r="AT25" s="65" t="str">
        <f t="shared" si="71"/>
        <v/>
      </c>
      <c r="AU25" s="58"/>
      <c r="AV25" s="65" t="str">
        <f t="shared" si="72"/>
        <v/>
      </c>
      <c r="AW25" s="58"/>
      <c r="AX25" s="65" t="str">
        <f t="shared" si="73"/>
        <v/>
      </c>
      <c r="AY25" s="58"/>
      <c r="AZ25" s="65" t="str">
        <f t="shared" si="74"/>
        <v/>
      </c>
      <c r="BA25" s="58"/>
      <c r="BB25" s="65" t="str">
        <f t="shared" si="75"/>
        <v/>
      </c>
      <c r="BC25" s="58"/>
      <c r="BD25" s="65" t="str">
        <f t="shared" si="76"/>
        <v/>
      </c>
      <c r="BE25" s="59"/>
      <c r="BF25" s="67" t="str">
        <f t="shared" si="77"/>
        <v/>
      </c>
      <c r="BG25" s="60"/>
      <c r="BH25" s="65" t="str">
        <f t="shared" si="78"/>
        <v/>
      </c>
      <c r="BI25" s="60"/>
      <c r="BJ25" s="65" t="str">
        <f t="shared" si="79"/>
        <v/>
      </c>
      <c r="BK25" s="60"/>
      <c r="BL25" s="65" t="str">
        <f t="shared" si="80"/>
        <v/>
      </c>
      <c r="BM25" s="60"/>
      <c r="BN25" s="65" t="str">
        <f t="shared" si="81"/>
        <v/>
      </c>
      <c r="BO25" s="60"/>
      <c r="BP25" s="65" t="str">
        <f t="shared" si="82"/>
        <v/>
      </c>
      <c r="BQ25" s="60"/>
      <c r="BR25" s="65" t="str">
        <f t="shared" si="83"/>
        <v/>
      </c>
      <c r="BS25" s="60"/>
      <c r="BT25" s="65" t="str">
        <f t="shared" si="84"/>
        <v/>
      </c>
      <c r="BU25" s="60"/>
      <c r="BV25" s="65" t="str">
        <f t="shared" si="85"/>
        <v/>
      </c>
      <c r="BW25" s="60"/>
      <c r="BX25" s="65" t="str">
        <f t="shared" si="86"/>
        <v/>
      </c>
      <c r="BY25" s="60"/>
      <c r="BZ25" s="67" t="str">
        <f t="shared" si="87"/>
        <v/>
      </c>
      <c r="CA25" s="60"/>
      <c r="CB25" s="67" t="str">
        <f t="shared" si="88"/>
        <v/>
      </c>
      <c r="CC25" s="60"/>
      <c r="CD25" s="67" t="str">
        <f t="shared" si="89"/>
        <v/>
      </c>
      <c r="CE25" s="60"/>
      <c r="CF25" s="67" t="str">
        <f t="shared" si="90"/>
        <v/>
      </c>
      <c r="CG25" s="60"/>
      <c r="CH25" s="67" t="str">
        <f t="shared" si="91"/>
        <v/>
      </c>
      <c r="CI25" s="60"/>
      <c r="CJ25" s="67" t="str">
        <f t="shared" si="92"/>
        <v/>
      </c>
      <c r="CK25" s="60"/>
      <c r="CL25" s="64" t="str">
        <f t="shared" si="93"/>
        <v/>
      </c>
      <c r="CM25" s="65" t="e">
        <f t="shared" si="94"/>
        <v>#VALUE!</v>
      </c>
      <c r="CN25" s="62"/>
      <c r="CO25" s="62"/>
      <c r="CP25" s="68"/>
      <c r="CQ25" s="67" t="str">
        <f t="shared" si="95"/>
        <v/>
      </c>
      <c r="CR25" s="68"/>
      <c r="CS25" s="67" t="str">
        <f t="shared" si="96"/>
        <v/>
      </c>
      <c r="CT25" s="75"/>
      <c r="CU25" s="67" t="str">
        <f t="shared" si="97"/>
        <v/>
      </c>
      <c r="CV25" s="68"/>
      <c r="CW25" s="67" t="str">
        <f t="shared" si="98"/>
        <v/>
      </c>
      <c r="CX25" s="58"/>
      <c r="CY25" s="67" t="str">
        <f t="shared" si="99"/>
        <v/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D33" sqref="D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>
        <v>0</v>
      </c>
      <c r="C23" s="40">
        <v>39</v>
      </c>
      <c r="D23" s="40">
        <v>103</v>
      </c>
      <c r="E23" s="41">
        <v>85</v>
      </c>
      <c r="F23" s="41">
        <v>6834</v>
      </c>
      <c r="G23" s="41">
        <v>30</v>
      </c>
      <c r="H23" s="41">
        <v>2197</v>
      </c>
      <c r="I23" s="41">
        <v>85</v>
      </c>
      <c r="J23" s="41">
        <v>553</v>
      </c>
      <c r="K23" s="42">
        <v>85</v>
      </c>
      <c r="L23" s="42">
        <v>48</v>
      </c>
      <c r="M23" s="42">
        <v>1686</v>
      </c>
      <c r="N23" s="39">
        <v>85</v>
      </c>
      <c r="O23" s="39">
        <v>85</v>
      </c>
      <c r="P23" s="39">
        <v>63</v>
      </c>
      <c r="Q23" s="39">
        <v>4875</v>
      </c>
      <c r="R23" s="77">
        <v>75</v>
      </c>
      <c r="S23" s="77">
        <v>227</v>
      </c>
      <c r="T23">
        <f t="shared" si="1"/>
        <v>0</v>
      </c>
    </row>
    <row r="24" spans="1:20" x14ac:dyDescent="0.25">
      <c r="A24" s="73">
        <v>44668</v>
      </c>
      <c r="B24" s="40">
        <v>0</v>
      </c>
      <c r="C24" s="40">
        <v>41</v>
      </c>
      <c r="D24" s="40">
        <v>111</v>
      </c>
      <c r="E24" s="41">
        <v>85</v>
      </c>
      <c r="F24" s="41">
        <v>6834</v>
      </c>
      <c r="G24" s="41">
        <v>28</v>
      </c>
      <c r="H24" s="41">
        <v>2201</v>
      </c>
      <c r="I24" s="41">
        <v>70</v>
      </c>
      <c r="J24" s="41">
        <v>554</v>
      </c>
      <c r="K24" s="42">
        <v>85</v>
      </c>
      <c r="L24" s="42">
        <v>38</v>
      </c>
      <c r="M24" s="42">
        <v>1690</v>
      </c>
      <c r="N24" s="39">
        <v>85</v>
      </c>
      <c r="O24" s="39">
        <v>85</v>
      </c>
      <c r="P24" s="39">
        <v>55</v>
      </c>
      <c r="Q24" s="39">
        <v>4879</v>
      </c>
      <c r="R24" s="77">
        <v>75</v>
      </c>
      <c r="S24" s="77">
        <v>227</v>
      </c>
      <c r="T24">
        <f t="shared" si="1"/>
        <v>0</v>
      </c>
    </row>
    <row r="25" spans="1:20" x14ac:dyDescent="0.25">
      <c r="A25" s="73">
        <v>44669</v>
      </c>
      <c r="B25" s="40">
        <v>0</v>
      </c>
      <c r="C25" s="40">
        <v>41</v>
      </c>
      <c r="D25" s="40">
        <v>111</v>
      </c>
      <c r="E25" s="41">
        <v>85</v>
      </c>
      <c r="F25" s="41">
        <v>6834</v>
      </c>
      <c r="G25" s="41">
        <v>20</v>
      </c>
      <c r="H25" s="41">
        <v>2204</v>
      </c>
      <c r="I25" s="41">
        <v>65</v>
      </c>
      <c r="J25" s="41">
        <v>555</v>
      </c>
      <c r="K25" s="42">
        <v>85</v>
      </c>
      <c r="L25" s="42">
        <v>38</v>
      </c>
      <c r="M25" s="42">
        <v>1692</v>
      </c>
      <c r="N25" s="39">
        <v>85</v>
      </c>
      <c r="O25" s="39">
        <v>85</v>
      </c>
      <c r="P25" s="39">
        <v>49</v>
      </c>
      <c r="Q25" s="39">
        <v>4884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44670</v>
      </c>
      <c r="B26" s="40">
        <v>0</v>
      </c>
      <c r="C26" s="40">
        <v>29</v>
      </c>
      <c r="D26" s="40">
        <v>76</v>
      </c>
      <c r="E26" s="41">
        <v>85</v>
      </c>
      <c r="F26" s="41">
        <v>6834</v>
      </c>
      <c r="G26" s="41">
        <v>15</v>
      </c>
      <c r="H26" s="41">
        <v>2206</v>
      </c>
      <c r="I26" s="41">
        <v>64</v>
      </c>
      <c r="J26" s="41">
        <v>556</v>
      </c>
      <c r="K26" s="42">
        <v>85</v>
      </c>
      <c r="L26" s="42">
        <v>38</v>
      </c>
      <c r="M26" s="42">
        <v>1692</v>
      </c>
      <c r="N26" s="39">
        <v>85</v>
      </c>
      <c r="O26" s="39">
        <v>85</v>
      </c>
      <c r="P26" s="39">
        <v>45</v>
      </c>
      <c r="Q26" s="39">
        <v>4888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44671</v>
      </c>
      <c r="B27" s="40">
        <v>0</v>
      </c>
      <c r="C27" s="40">
        <v>28</v>
      </c>
      <c r="D27" s="40">
        <v>76</v>
      </c>
      <c r="E27" s="41">
        <v>85</v>
      </c>
      <c r="F27" s="41">
        <v>6834</v>
      </c>
      <c r="G27" s="41">
        <v>8</v>
      </c>
      <c r="H27" s="41">
        <v>2209</v>
      </c>
      <c r="I27" s="41">
        <v>64</v>
      </c>
      <c r="J27" s="41">
        <v>556</v>
      </c>
      <c r="K27" s="42">
        <v>85</v>
      </c>
      <c r="L27" s="42">
        <v>35</v>
      </c>
      <c r="M27" s="42">
        <v>1695</v>
      </c>
      <c r="N27" s="39">
        <v>85</v>
      </c>
      <c r="O27" s="39">
        <v>85</v>
      </c>
      <c r="P27" s="39">
        <v>40</v>
      </c>
      <c r="Q27" s="39">
        <v>4892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44672</v>
      </c>
      <c r="B28" s="40">
        <v>0</v>
      </c>
      <c r="C28" s="40">
        <v>29</v>
      </c>
      <c r="D28" s="40">
        <v>76</v>
      </c>
      <c r="E28" s="41">
        <v>85</v>
      </c>
      <c r="F28" s="41">
        <v>6834</v>
      </c>
      <c r="G28" s="41">
        <v>0</v>
      </c>
      <c r="H28" s="41">
        <v>2211</v>
      </c>
      <c r="I28" s="41">
        <v>62</v>
      </c>
      <c r="J28" s="41">
        <v>557</v>
      </c>
      <c r="K28" s="42">
        <v>85</v>
      </c>
      <c r="L28" s="42">
        <v>35</v>
      </c>
      <c r="M28" s="42">
        <v>1698</v>
      </c>
      <c r="N28" s="39">
        <v>85</v>
      </c>
      <c r="O28" s="39">
        <v>85</v>
      </c>
      <c r="P28" s="39">
        <v>35</v>
      </c>
      <c r="Q28" s="39">
        <v>4897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-227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2022-04-22T18:25:32Z</dcterms:modified>
</cp:coreProperties>
</file>