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Cok.Krisyana\Downloads\"/>
    </mc:Choice>
  </mc:AlternateContent>
  <bookViews>
    <workbookView xWindow="0" yWindow="0" windowWidth="19200" windowHeight="7305" tabRatio="762" activeTab="1"/>
  </bookViews>
  <sheets>
    <sheet name="TOTAL" sheetId="11" r:id="rId1"/>
    <sheet name="FS Jimbaran January 2021" sheetId="14" r:id="rId2"/>
    <sheet name="RNs &amp; Covers January 2021" sheetId="10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G47" i="14" l="1"/>
  <c r="AH47" i="14"/>
  <c r="AK49" i="14"/>
  <c r="AH49" i="14"/>
  <c r="AA49" i="14"/>
  <c r="V47" i="14"/>
  <c r="P49" i="14"/>
  <c r="J21" i="11" l="1"/>
  <c r="J22" i="11"/>
  <c r="J23" i="11"/>
  <c r="J24" i="11"/>
  <c r="J25" i="11"/>
  <c r="J26" i="11"/>
  <c r="J27" i="11"/>
  <c r="J28" i="11"/>
  <c r="J29" i="11"/>
  <c r="J30" i="11"/>
  <c r="J31" i="11"/>
  <c r="J32" i="11"/>
  <c r="I21" i="11"/>
  <c r="I22" i="11"/>
  <c r="I23" i="11"/>
  <c r="I24" i="11"/>
  <c r="I25" i="11"/>
  <c r="I26" i="11"/>
  <c r="I27" i="11"/>
  <c r="I28" i="11"/>
  <c r="I29" i="11"/>
  <c r="I30" i="11"/>
  <c r="I31" i="11"/>
  <c r="I32" i="11"/>
  <c r="AL31" i="14"/>
  <c r="AL32" i="14"/>
  <c r="AL33" i="14"/>
  <c r="AL34" i="14"/>
  <c r="AL35" i="14"/>
  <c r="AL36" i="14"/>
  <c r="AL37" i="14"/>
  <c r="AL38" i="14"/>
  <c r="AL39" i="14"/>
  <c r="AL40" i="14"/>
  <c r="AL41" i="14"/>
  <c r="AL42" i="14"/>
  <c r="AI31" i="14"/>
  <c r="AI32" i="14"/>
  <c r="AI33" i="14"/>
  <c r="AI34" i="14"/>
  <c r="AI35" i="14"/>
  <c r="AI36" i="14"/>
  <c r="AI37" i="14"/>
  <c r="AI38" i="14"/>
  <c r="AI39" i="14"/>
  <c r="AI40" i="14"/>
  <c r="AI41" i="14"/>
  <c r="AI42" i="14"/>
  <c r="AG31" i="14"/>
  <c r="G21" i="11" s="1"/>
  <c r="AG32" i="14"/>
  <c r="AG33" i="14"/>
  <c r="G23" i="11" s="1"/>
  <c r="AG34" i="14"/>
  <c r="H24" i="11" s="1"/>
  <c r="AG35" i="14"/>
  <c r="G25" i="11" s="1"/>
  <c r="AG36" i="14"/>
  <c r="H26" i="11" s="1"/>
  <c r="AG37" i="14"/>
  <c r="G27" i="11" s="1"/>
  <c r="AG38" i="14"/>
  <c r="H28" i="11" s="1"/>
  <c r="AG39" i="14"/>
  <c r="G29" i="11" s="1"/>
  <c r="AG40" i="14"/>
  <c r="H30" i="11" s="1"/>
  <c r="AG41" i="14"/>
  <c r="G31" i="11" s="1"/>
  <c r="AG42" i="14"/>
  <c r="G32" i="11" s="1"/>
  <c r="G24" i="11"/>
  <c r="G22" i="11"/>
  <c r="H22" i="11"/>
  <c r="AA31" i="14"/>
  <c r="AA32" i="14"/>
  <c r="AB32" i="14" s="1"/>
  <c r="AA33" i="14"/>
  <c r="AA34" i="14"/>
  <c r="AB34" i="14" s="1"/>
  <c r="AA35" i="14"/>
  <c r="AB35" i="14" s="1"/>
  <c r="AA36" i="14"/>
  <c r="AB36" i="14" s="1"/>
  <c r="AA37" i="14"/>
  <c r="AB37" i="14" s="1"/>
  <c r="AA38" i="14"/>
  <c r="AB38" i="14" s="1"/>
  <c r="AA39" i="14"/>
  <c r="AA40" i="14"/>
  <c r="AA41" i="14"/>
  <c r="AB41" i="14" s="1"/>
  <c r="AA42" i="14"/>
  <c r="V31" i="14"/>
  <c r="K21" i="11" s="1"/>
  <c r="V32" i="14"/>
  <c r="K22" i="11" s="1"/>
  <c r="V33" i="14"/>
  <c r="K23" i="11" s="1"/>
  <c r="V34" i="14"/>
  <c r="K24" i="11"/>
  <c r="V35" i="14"/>
  <c r="K25" i="11" s="1"/>
  <c r="V36" i="14"/>
  <c r="K26" i="11" s="1"/>
  <c r="V37" i="14"/>
  <c r="K27" i="11" s="1"/>
  <c r="V38" i="14"/>
  <c r="K28" i="11" s="1"/>
  <c r="V39" i="14"/>
  <c r="K29" i="11" s="1"/>
  <c r="V40" i="14"/>
  <c r="K30" i="11" s="1"/>
  <c r="V41" i="14"/>
  <c r="K31" i="11" s="1"/>
  <c r="V42" i="14"/>
  <c r="K32" i="11" s="1"/>
  <c r="N31" i="14"/>
  <c r="N32" i="14"/>
  <c r="N33" i="14"/>
  <c r="N34" i="14"/>
  <c r="N35" i="14"/>
  <c r="N36" i="14"/>
  <c r="N37" i="14"/>
  <c r="N38" i="14"/>
  <c r="N39" i="14"/>
  <c r="N40" i="14"/>
  <c r="N41" i="14"/>
  <c r="N42" i="14"/>
  <c r="P42" i="14"/>
  <c r="E32" i="11" s="1"/>
  <c r="P40" i="14"/>
  <c r="E30" i="11" s="1"/>
  <c r="P38" i="14"/>
  <c r="E28" i="11" s="1"/>
  <c r="P37" i="14"/>
  <c r="E27" i="11" s="1"/>
  <c r="I36" i="14"/>
  <c r="P35" i="14"/>
  <c r="E25" i="11" s="1"/>
  <c r="I35" i="14"/>
  <c r="I34" i="14"/>
  <c r="O34" i="14" s="1"/>
  <c r="P33" i="14"/>
  <c r="E23" i="11" s="1"/>
  <c r="I33" i="14"/>
  <c r="P32" i="14"/>
  <c r="E22" i="11" s="1"/>
  <c r="I31" i="14"/>
  <c r="P29" i="14"/>
  <c r="P27" i="14"/>
  <c r="E17" i="11" s="1"/>
  <c r="P25" i="14"/>
  <c r="E15" i="11" s="1"/>
  <c r="P23" i="14"/>
  <c r="E13" i="11" s="1"/>
  <c r="P21" i="14"/>
  <c r="E11" i="11" s="1"/>
  <c r="P19" i="14"/>
  <c r="E9" i="11" s="1"/>
  <c r="P17" i="14"/>
  <c r="P15" i="14"/>
  <c r="E5" i="11" s="1"/>
  <c r="P13" i="14"/>
  <c r="E3" i="11" s="1"/>
  <c r="I38" i="14"/>
  <c r="I40" i="14"/>
  <c r="O40" i="14" s="1"/>
  <c r="I42" i="14"/>
  <c r="O42" i="14" s="1"/>
  <c r="P34" i="14"/>
  <c r="E24" i="11" s="1"/>
  <c r="P39" i="14"/>
  <c r="E29" i="11" s="1"/>
  <c r="P41" i="14"/>
  <c r="E31" i="11" s="1"/>
  <c r="AB40" i="14"/>
  <c r="R47" i="14"/>
  <c r="Q47" i="14"/>
  <c r="C38" i="10"/>
  <c r="B38" i="10"/>
  <c r="V30" i="14"/>
  <c r="K20" i="11" s="1"/>
  <c r="V29" i="14"/>
  <c r="K19" i="11" s="1"/>
  <c r="V28" i="14"/>
  <c r="K18" i="11" s="1"/>
  <c r="V27" i="14"/>
  <c r="K17" i="11" s="1"/>
  <c r="V26" i="14"/>
  <c r="K16" i="11" s="1"/>
  <c r="V25" i="14"/>
  <c r="V24" i="14"/>
  <c r="V23" i="14"/>
  <c r="K13" i="11" s="1"/>
  <c r="V22" i="14"/>
  <c r="V21" i="14"/>
  <c r="K11" i="11" s="1"/>
  <c r="V20" i="14"/>
  <c r="K10" i="11" s="1"/>
  <c r="V19" i="14"/>
  <c r="K9" i="11" s="1"/>
  <c r="V18" i="14"/>
  <c r="K8" i="11" s="1"/>
  <c r="V17" i="14"/>
  <c r="V16" i="14"/>
  <c r="K6" i="11" s="1"/>
  <c r="V15" i="14"/>
  <c r="K5" i="11" s="1"/>
  <c r="V14" i="14"/>
  <c r="K4" i="11" s="1"/>
  <c r="V13" i="14"/>
  <c r="K3" i="11" s="1"/>
  <c r="V12" i="14"/>
  <c r="K2" i="11" s="1"/>
  <c r="AJ47" i="14"/>
  <c r="J7" i="11"/>
  <c r="I3" i="11"/>
  <c r="I5" i="11"/>
  <c r="I11" i="11"/>
  <c r="I13" i="11"/>
  <c r="I19" i="11"/>
  <c r="I20" i="11"/>
  <c r="I2" i="11"/>
  <c r="AD47" i="14"/>
  <c r="D47" i="14"/>
  <c r="C47" i="14"/>
  <c r="AE47" i="14"/>
  <c r="J20" i="11"/>
  <c r="AG30" i="14"/>
  <c r="H20" i="11" s="1"/>
  <c r="N30" i="14"/>
  <c r="I30" i="14"/>
  <c r="AL29" i="14"/>
  <c r="AG29" i="14"/>
  <c r="G19" i="11" s="1"/>
  <c r="N29" i="14"/>
  <c r="I29" i="14"/>
  <c r="AL28" i="14"/>
  <c r="AG28" i="14"/>
  <c r="H18" i="11" s="1"/>
  <c r="N28" i="14"/>
  <c r="I28" i="14"/>
  <c r="AG27" i="14"/>
  <c r="H17" i="11" s="1"/>
  <c r="N27" i="14"/>
  <c r="I27" i="14"/>
  <c r="AL26" i="14"/>
  <c r="AI26" i="14"/>
  <c r="AG26" i="14"/>
  <c r="G16" i="11" s="1"/>
  <c r="I26" i="14"/>
  <c r="AL25" i="14"/>
  <c r="I15" i="11"/>
  <c r="AG25" i="14"/>
  <c r="H15" i="11" s="1"/>
  <c r="N25" i="14"/>
  <c r="AL24" i="14"/>
  <c r="AG24" i="14"/>
  <c r="G14" i="11" s="1"/>
  <c r="N24" i="14"/>
  <c r="I24" i="14"/>
  <c r="AL23" i="14"/>
  <c r="AG23" i="14"/>
  <c r="H13" i="11" s="1"/>
  <c r="N23" i="14"/>
  <c r="AG22" i="14"/>
  <c r="H12" i="11" s="1"/>
  <c r="N22" i="14"/>
  <c r="I22" i="14"/>
  <c r="AG21" i="14"/>
  <c r="H11" i="11" s="1"/>
  <c r="N21" i="14"/>
  <c r="AL20" i="14"/>
  <c r="AG20" i="14"/>
  <c r="H10" i="11" s="1"/>
  <c r="AA20" i="14"/>
  <c r="AB20" i="14" s="1"/>
  <c r="N20" i="14"/>
  <c r="I20" i="14"/>
  <c r="I9" i="11"/>
  <c r="AG19" i="14"/>
  <c r="H9" i="11" s="1"/>
  <c r="AA19" i="14"/>
  <c r="L9" i="11" s="1"/>
  <c r="N19" i="14"/>
  <c r="AL18" i="14"/>
  <c r="AG18" i="14"/>
  <c r="G8" i="11" s="1"/>
  <c r="P18" i="14"/>
  <c r="E8" i="11" s="1"/>
  <c r="I18" i="14"/>
  <c r="AL17" i="14"/>
  <c r="I7" i="11"/>
  <c r="AG17" i="14"/>
  <c r="H7" i="11" s="1"/>
  <c r="N17" i="14"/>
  <c r="AL16" i="14"/>
  <c r="AG16" i="14"/>
  <c r="G6" i="11" s="1"/>
  <c r="N16" i="14"/>
  <c r="I16" i="14"/>
  <c r="AL15" i="14"/>
  <c r="AG15" i="14"/>
  <c r="G5" i="11" s="1"/>
  <c r="N15" i="14"/>
  <c r="AG14" i="14"/>
  <c r="H4" i="11" s="1"/>
  <c r="N14" i="14"/>
  <c r="AL13" i="14"/>
  <c r="AG13" i="14"/>
  <c r="G3" i="11" s="1"/>
  <c r="N13" i="14"/>
  <c r="AG12" i="14"/>
  <c r="G2" i="11" s="1"/>
  <c r="I12" i="14"/>
  <c r="AI14" i="14"/>
  <c r="AI16" i="14"/>
  <c r="AI22" i="14"/>
  <c r="AI24" i="14"/>
  <c r="AI28" i="14"/>
  <c r="AI30" i="14"/>
  <c r="AI20" i="14"/>
  <c r="AI27" i="14"/>
  <c r="AI25" i="14"/>
  <c r="AI29" i="14"/>
  <c r="J13" i="11"/>
  <c r="J14" i="11"/>
  <c r="AL30" i="14"/>
  <c r="J6" i="11"/>
  <c r="J5" i="11"/>
  <c r="AL27" i="14"/>
  <c r="J17" i="11"/>
  <c r="J4" i="11"/>
  <c r="AL14" i="14"/>
  <c r="AL21" i="14"/>
  <c r="J11" i="11"/>
  <c r="J12" i="11"/>
  <c r="AL22" i="14"/>
  <c r="J47" i="14"/>
  <c r="W47" i="14"/>
  <c r="AA13" i="14"/>
  <c r="AB13" i="14" s="1"/>
  <c r="AA15" i="14"/>
  <c r="AA17" i="14"/>
  <c r="L7" i="11" s="1"/>
  <c r="AA23" i="14"/>
  <c r="AB23" i="14" s="1"/>
  <c r="P30" i="14"/>
  <c r="E20" i="11" s="1"/>
  <c r="J16" i="11"/>
  <c r="J8" i="11"/>
  <c r="I12" i="11"/>
  <c r="I4" i="11"/>
  <c r="J15" i="11"/>
  <c r="I19" i="14"/>
  <c r="I18" i="11"/>
  <c r="L47" i="14"/>
  <c r="P14" i="14"/>
  <c r="E4" i="11" s="1"/>
  <c r="P20" i="14"/>
  <c r="E10" i="11" s="1"/>
  <c r="P22" i="14"/>
  <c r="E12" i="11" s="1"/>
  <c r="AA29" i="14"/>
  <c r="AB29" i="14" s="1"/>
  <c r="I17" i="11"/>
  <c r="K15" i="11"/>
  <c r="K7" i="11"/>
  <c r="AF47" i="14"/>
  <c r="I10" i="11"/>
  <c r="M47" i="14"/>
  <c r="P16" i="14"/>
  <c r="E6" i="11" s="1"/>
  <c r="I17" i="14"/>
  <c r="O17" i="14" s="1"/>
  <c r="N18" i="14"/>
  <c r="O18" i="14" s="1"/>
  <c r="I21" i="14"/>
  <c r="O21" i="14" s="1"/>
  <c r="AA27" i="14"/>
  <c r="AB27" i="14" s="1"/>
  <c r="I16" i="11"/>
  <c r="I8" i="11"/>
  <c r="J19" i="11"/>
  <c r="J3" i="11"/>
  <c r="K47" i="14"/>
  <c r="AA24" i="14"/>
  <c r="P26" i="14"/>
  <c r="E16" i="11" s="1"/>
  <c r="I13" i="14"/>
  <c r="I15" i="14"/>
  <c r="AA21" i="14"/>
  <c r="AB21" i="14" s="1"/>
  <c r="I23" i="14"/>
  <c r="P28" i="14"/>
  <c r="E18" i="11" s="1"/>
  <c r="J18" i="11"/>
  <c r="J10" i="11"/>
  <c r="AA25" i="14"/>
  <c r="L15" i="11" s="1"/>
  <c r="I14" i="14"/>
  <c r="AA14" i="14"/>
  <c r="AB14" i="14" s="1"/>
  <c r="P24" i="14"/>
  <c r="E14" i="11" s="1"/>
  <c r="I25" i="14"/>
  <c r="N26" i="14"/>
  <c r="O26" i="14" s="1"/>
  <c r="F16" i="11" s="1"/>
  <c r="I14" i="11"/>
  <c r="I6" i="11"/>
  <c r="AA12" i="14"/>
  <c r="AA18" i="14"/>
  <c r="AB18" i="14" s="1"/>
  <c r="AA26" i="14"/>
  <c r="AB26" i="14" s="1"/>
  <c r="AA22" i="14"/>
  <c r="AB22" i="14" s="1"/>
  <c r="N12" i="14"/>
  <c r="AA30" i="14"/>
  <c r="AB30" i="14" s="1"/>
  <c r="P12" i="14"/>
  <c r="E2" i="11" s="1"/>
  <c r="AA28" i="14"/>
  <c r="AB28" i="14" s="1"/>
  <c r="J2" i="11"/>
  <c r="AC47" i="14"/>
  <c r="AI18" i="14"/>
  <c r="AI19" i="14"/>
  <c r="AB24" i="14"/>
  <c r="AI13" i="14"/>
  <c r="AI15" i="14"/>
  <c r="X47" i="14"/>
  <c r="AI21" i="14"/>
  <c r="AB17" i="14"/>
  <c r="Y47" i="14"/>
  <c r="AB15" i="14"/>
  <c r="AI23" i="14"/>
  <c r="AI17" i="14"/>
  <c r="AL19" i="14"/>
  <c r="J9" i="11"/>
  <c r="AK47" i="14"/>
  <c r="AL47" i="14" s="1"/>
  <c r="AL12" i="14"/>
  <c r="AA16" i="14"/>
  <c r="AB16" i="14" s="1"/>
  <c r="AI47" i="14"/>
  <c r="AI12" i="14"/>
  <c r="Z47" i="14"/>
  <c r="AB12" i="14"/>
  <c r="B3" i="11"/>
  <c r="B4" i="11"/>
  <c r="B5" i="11"/>
  <c r="B6" i="11"/>
  <c r="B7" i="11"/>
  <c r="B8" i="11"/>
  <c r="B9" i="11"/>
  <c r="B10" i="11"/>
  <c r="B11" i="11"/>
  <c r="B12" i="11"/>
  <c r="B13" i="11"/>
  <c r="B14" i="11"/>
  <c r="B15" i="11"/>
  <c r="B16" i="11"/>
  <c r="B17" i="11"/>
  <c r="B18" i="11"/>
  <c r="B19" i="11"/>
  <c r="B20" i="11"/>
  <c r="B21" i="11"/>
  <c r="B22" i="11"/>
  <c r="B23" i="11"/>
  <c r="B24" i="11"/>
  <c r="B25" i="11"/>
  <c r="B26" i="11"/>
  <c r="B27" i="11"/>
  <c r="B28" i="11"/>
  <c r="B29" i="11"/>
  <c r="B30" i="11"/>
  <c r="B31" i="11"/>
  <c r="A8" i="10"/>
  <c r="A9" i="10"/>
  <c r="A10" i="10"/>
  <c r="A11" i="10"/>
  <c r="A12" i="10"/>
  <c r="A13" i="10"/>
  <c r="A14" i="10"/>
  <c r="A15" i="10"/>
  <c r="A16" i="10"/>
  <c r="A17" i="10"/>
  <c r="A18" i="10"/>
  <c r="A19" i="10"/>
  <c r="A20" i="10"/>
  <c r="A21" i="10"/>
  <c r="A22" i="10"/>
  <c r="A23" i="10"/>
  <c r="A24" i="10"/>
  <c r="A25" i="10"/>
  <c r="A26" i="10"/>
  <c r="A27" i="10"/>
  <c r="A28" i="10"/>
  <c r="A29" i="10"/>
  <c r="A30" i="10"/>
  <c r="A31" i="10"/>
  <c r="A32" i="10"/>
  <c r="A33" i="10"/>
  <c r="A34" i="10"/>
  <c r="A35" i="10"/>
  <c r="A36" i="10"/>
  <c r="H6" i="11" l="1"/>
  <c r="AB19" i="14"/>
  <c r="L32" i="11"/>
  <c r="L30" i="11"/>
  <c r="L23" i="11"/>
  <c r="O29" i="14"/>
  <c r="O36" i="14"/>
  <c r="O25" i="14"/>
  <c r="O15" i="14"/>
  <c r="F5" i="11" s="1"/>
  <c r="O19" i="14"/>
  <c r="F9" i="11" s="1"/>
  <c r="O14" i="14"/>
  <c r="F4" i="11" s="1"/>
  <c r="G13" i="11"/>
  <c r="G17" i="11"/>
  <c r="G4" i="11"/>
  <c r="H31" i="11"/>
  <c r="G30" i="11"/>
  <c r="G10" i="11"/>
  <c r="H29" i="11"/>
  <c r="H21" i="11"/>
  <c r="H32" i="11"/>
  <c r="H8" i="11"/>
  <c r="G7" i="11"/>
  <c r="H27" i="11"/>
  <c r="G18" i="11"/>
  <c r="H23" i="11"/>
  <c r="G28" i="11"/>
  <c r="H14" i="11"/>
  <c r="G12" i="11"/>
  <c r="H2" i="11"/>
  <c r="L28" i="11"/>
  <c r="L5" i="11"/>
  <c r="L24" i="11"/>
  <c r="L17" i="11"/>
  <c r="L25" i="11"/>
  <c r="L3" i="11"/>
  <c r="L13" i="11"/>
  <c r="L10" i="11"/>
  <c r="L14" i="11"/>
  <c r="AB33" i="14"/>
  <c r="L26" i="11"/>
  <c r="L12" i="11"/>
  <c r="L11" i="11"/>
  <c r="L2" i="11"/>
  <c r="K12" i="11"/>
  <c r="O12" i="14"/>
  <c r="F2" i="11" s="1"/>
  <c r="O38" i="14"/>
  <c r="F28" i="11" s="1"/>
  <c r="O31" i="14"/>
  <c r="O16" i="14"/>
  <c r="F6" i="11" s="1"/>
  <c r="O33" i="14"/>
  <c r="F23" i="11" s="1"/>
  <c r="O23" i="14"/>
  <c r="F13" i="11" s="1"/>
  <c r="O20" i="14"/>
  <c r="F10" i="11" s="1"/>
  <c r="O22" i="14"/>
  <c r="F12" i="11" s="1"/>
  <c r="O28" i="14"/>
  <c r="F18" i="11" s="1"/>
  <c r="O30" i="14"/>
  <c r="F20" i="11" s="1"/>
  <c r="O13" i="14"/>
  <c r="F3" i="11" s="1"/>
  <c r="F24" i="11"/>
  <c r="O27" i="14"/>
  <c r="F17" i="11" s="1"/>
  <c r="E47" i="14"/>
  <c r="AB25" i="14"/>
  <c r="G47" i="14"/>
  <c r="G49" i="14" s="1"/>
  <c r="K14" i="11"/>
  <c r="F32" i="11"/>
  <c r="P31" i="14"/>
  <c r="E21" i="11" s="1"/>
  <c r="P36" i="14"/>
  <c r="E26" i="11" s="1"/>
  <c r="L19" i="11"/>
  <c r="G9" i="11"/>
  <c r="AB42" i="14"/>
  <c r="I37" i="14"/>
  <c r="O37" i="14" s="1"/>
  <c r="F27" i="11" s="1"/>
  <c r="O35" i="14"/>
  <c r="F25" i="11" s="1"/>
  <c r="G11" i="11"/>
  <c r="L4" i="11"/>
  <c r="N47" i="14"/>
  <c r="I32" i="14"/>
  <c r="O32" i="14" s="1"/>
  <c r="F22" i="11" s="1"/>
  <c r="I39" i="14"/>
  <c r="O39" i="14" s="1"/>
  <c r="F29" i="11" s="1"/>
  <c r="I41" i="14"/>
  <c r="O41" i="14" s="1"/>
  <c r="F31" i="11" s="1"/>
  <c r="L29" i="11"/>
  <c r="L21" i="11"/>
  <c r="G26" i="11"/>
  <c r="F30" i="11"/>
  <c r="L22" i="11"/>
  <c r="F8" i="11"/>
  <c r="H47" i="14"/>
  <c r="F19" i="11"/>
  <c r="E19" i="11"/>
  <c r="E7" i="11"/>
  <c r="F7" i="11"/>
  <c r="F15" i="11"/>
  <c r="F11" i="11"/>
  <c r="L8" i="11"/>
  <c r="G20" i="11"/>
  <c r="AB31" i="14"/>
  <c r="L6" i="11"/>
  <c r="L16" i="11"/>
  <c r="L18" i="11"/>
  <c r="O24" i="14"/>
  <c r="F14" i="11" s="1"/>
  <c r="H16" i="11"/>
  <c r="L31" i="11"/>
  <c r="L27" i="11"/>
  <c r="H3" i="11"/>
  <c r="H5" i="11"/>
  <c r="AB39" i="14"/>
  <c r="H25" i="11"/>
  <c r="H19" i="11"/>
  <c r="L20" i="11"/>
  <c r="G15" i="11"/>
  <c r="AA47" i="14"/>
  <c r="AB47" i="14" s="1"/>
  <c r="F47" i="14"/>
  <c r="P47" i="14" l="1"/>
  <c r="S47" i="14" s="1"/>
  <c r="F26" i="11"/>
  <c r="F21" i="11"/>
  <c r="I47" i="14"/>
  <c r="O47" i="14"/>
  <c r="T47" i="14" s="1"/>
  <c r="U47" i="14" s="1"/>
  <c r="U48" i="14" l="1"/>
</calcChain>
</file>

<file path=xl/sharedStrings.xml><?xml version="1.0" encoding="utf-8"?>
<sst xmlns="http://schemas.openxmlformats.org/spreadsheetml/2006/main" count="102" uniqueCount="55">
  <si>
    <t>Municipal Water (m3)</t>
  </si>
  <si>
    <t>Date</t>
  </si>
  <si>
    <t>Room Nights</t>
  </si>
  <si>
    <t>Food Covers</t>
  </si>
  <si>
    <t>Water (m3)</t>
  </si>
  <si>
    <t>Electricity - Sundara</t>
  </si>
  <si>
    <t>Cost (IDR)</t>
  </si>
  <si>
    <t>LPG Bulk (m3)</t>
  </si>
  <si>
    <t>Water consumption (m3)</t>
  </si>
  <si>
    <t>12 Kg (tube)</t>
  </si>
  <si>
    <t>Deepwell Consumption (m3)</t>
  </si>
  <si>
    <t>Sundara 50 kg (tube)</t>
  </si>
  <si>
    <t>Sub Total (Resort &amp; Sundara) Cost  (IDR)</t>
  </si>
  <si>
    <t>TOTAL  Electricity consumption (KWh)</t>
  </si>
  <si>
    <t>Resort Cost  (IDR)</t>
  </si>
  <si>
    <t>Sundara Cost  (IDR)</t>
  </si>
  <si>
    <t>IDR</t>
  </si>
  <si>
    <t>USD</t>
  </si>
  <si>
    <t>TOTAL  Electricity cost</t>
  </si>
  <si>
    <t>WATER</t>
  </si>
  <si>
    <t>Diesel</t>
  </si>
  <si>
    <t>Residences- Electricity cost (IDR)</t>
  </si>
  <si>
    <t xml:space="preserve">LPG </t>
  </si>
  <si>
    <t>Used (liters)</t>
  </si>
  <si>
    <t>GAS</t>
  </si>
  <si>
    <t>Total kg</t>
  </si>
  <si>
    <t>Municipal Water cost (IDR)</t>
  </si>
  <si>
    <t xml:space="preserve">Total Water Cost </t>
  </si>
  <si>
    <t>Four Seasons Resort Bali at Jimbaran Bay</t>
  </si>
  <si>
    <t>kWh rate</t>
  </si>
  <si>
    <t>Deepwell water Cost (IDR)</t>
  </si>
  <si>
    <t>50 Kg (tube) IVD &amp; TW</t>
  </si>
  <si>
    <t>Sub Total (Resort &amp; Sundara), KWh</t>
  </si>
  <si>
    <t>Electricity Resort</t>
  </si>
  <si>
    <t>ELECTRICITY Resort, Sundara &amp; Residences</t>
  </si>
  <si>
    <t>BASED LOAD KWh (from 10 pm - 6 pm)</t>
  </si>
  <si>
    <t>PEAK LOAD KWh (from 6 pm - 10 pm)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</si>
  <si>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</si>
  <si>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</si>
  <si>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</si>
  <si>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</si>
  <si>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</si>
  <si>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</si>
  <si>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</si>
  <si>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</si>
  <si>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</si>
  <si>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</si>
  <si>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 xml:space="preserve">LPG (Kg) </t>
  </si>
  <si>
    <t>LPG $/Kg</t>
  </si>
  <si>
    <t>Bali Jimbaran</t>
  </si>
  <si>
    <t xml:space="preserve">Total Fuel Oil  (Liters) </t>
  </si>
  <si>
    <t>Fuel Oil  $/Liter</t>
  </si>
  <si>
    <t>Residences- Electricity KWh</t>
  </si>
  <si>
    <t>JANUARY 2021</t>
  </si>
  <si>
    <t xml:space="preserve">                                                                     -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</si>
</sst>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1">
    <numFmt numFmtId="43" formatCode="_-* #,##0.00_-;\-* #,##0.00_-;_-* &quot;-&quot;??_-;_-@_-"/>
    <numFmt numFmtId="164" formatCode="&quot;$&quot;#,##0.00_);\(&quot;$&quot;#,##0.00\)"/>
    <numFmt numFmtId="165" formatCode="_(* #,##0_);_(* \(#,##0\);_(* &quot;-&quot;_);_(@_)"/>
    <numFmt numFmtId="166" formatCode="_(&quot;$&quot;* #,##0.00_);_(&quot;$&quot;* \(#,##0.00\);_(&quot;$&quot;* &quot;-&quot;??_);_(@_)"/>
    <numFmt numFmtId="167" formatCode="_(* #,##0.00_);_(* \(#,##0.00\);_(* &quot;-&quot;??_);_(@_)"/>
    <numFmt numFmtId="168" formatCode="_-* #,##0_-;\-* #,##0_-;_-* &quot;-&quot;??_-;_-@_-"/>
    <numFmt numFmtId="169" formatCode="_(* #,##0_);_(* \(#,##0\);_(* &quot;-&quot;??_);_(@_)"/>
    <numFmt numFmtId="170" formatCode="&quot;$&quot;#,##0"/>
    <numFmt numFmtId="171" formatCode="_-* #,##0.0_-;\-* #,##0.0_-;_-* &quot;-&quot;??_-;_-@_-"/>
    <numFmt numFmtId="172" formatCode="0.0%"/>
    <numFmt numFmtId="173" formatCode="_-* #,##0.000_-;\-* #,##0.000_-;_-* &quot;-&quot;??_-;_-@_-"/>
  </numFmts>
  <fonts count="2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8"/>
      <name val="Arial"/>
      <family val="2"/>
    </font>
    <font>
      <b/>
      <sz val="9"/>
      <name val="Arial"/>
      <family val="2"/>
    </font>
    <font>
      <sz val="12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name val="Calibri"/>
      <family val="2"/>
    </font>
    <font>
      <u/>
      <sz val="8.8000000000000007"/>
      <color theme="10"/>
      <name val="Calibri"/>
      <family val="2"/>
    </font>
    <font>
      <sz val="11"/>
      <color theme="1"/>
      <name val="Calibri"/>
      <family val="2"/>
      <charset val="1"/>
      <scheme val="minor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name val="Calibri"/>
      <family val="2"/>
      <scheme val="minor"/>
    </font>
    <font>
      <b/>
      <sz val="8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249977111117893"/>
        <bgColor indexed="64"/>
      </patternFill>
    </fill>
  </fills>
  <borders count="7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0">
    <xf numFmtId="0" fontId="0" fillId="0" borderId="0"/>
    <xf numFmtId="166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7" fillId="0" borderId="0" applyNumberFormat="0" applyFill="0" applyBorder="0" applyAlignment="0" applyProtection="0"/>
    <xf numFmtId="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16" fillId="0" borderId="0" applyNumberFormat="0" applyFill="0" applyBorder="0" applyAlignment="0" applyProtection="0">
      <alignment vertical="top"/>
      <protection locked="0"/>
    </xf>
    <xf numFmtId="165" fontId="17" fillId="0" borderId="0" applyFont="0" applyFill="0" applyBorder="0" applyAlignment="0" applyProtection="0"/>
    <xf numFmtId="0" fontId="17" fillId="0" borderId="0"/>
  </cellStyleXfs>
  <cellXfs count="285">
    <xf numFmtId="0" fontId="0" fillId="0" borderId="0" xfId="0"/>
    <xf numFmtId="0" fontId="0" fillId="0" borderId="0" xfId="0" applyBorder="1"/>
    <xf numFmtId="0" fontId="0" fillId="0" borderId="8" xfId="0" applyBorder="1"/>
    <xf numFmtId="168" fontId="0" fillId="0" borderId="8" xfId="2" applyNumberFormat="1" applyFont="1" applyBorder="1"/>
    <xf numFmtId="168" fontId="0" fillId="0" borderId="0" xfId="2" applyNumberFormat="1" applyFont="1"/>
    <xf numFmtId="168" fontId="0" fillId="0" borderId="0" xfId="2" applyNumberFormat="1" applyFont="1" applyBorder="1"/>
    <xf numFmtId="168" fontId="1" fillId="0" borderId="0" xfId="2" applyNumberFormat="1" applyFont="1"/>
    <xf numFmtId="168" fontId="0" fillId="3" borderId="0" xfId="2" applyNumberFormat="1" applyFont="1" applyFill="1" applyBorder="1"/>
    <xf numFmtId="0" fontId="0" fillId="3" borderId="0" xfId="0" applyFill="1"/>
    <xf numFmtId="43" fontId="4" fillId="0" borderId="0" xfId="2" applyFont="1" applyBorder="1"/>
    <xf numFmtId="43" fontId="4" fillId="0" borderId="0" xfId="0" applyNumberFormat="1" applyFont="1" applyBorder="1"/>
    <xf numFmtId="168" fontId="0" fillId="0" borderId="0" xfId="0" applyNumberFormat="1" applyBorder="1"/>
    <xf numFmtId="0" fontId="8" fillId="0" borderId="0" xfId="0" applyFont="1"/>
    <xf numFmtId="0" fontId="0" fillId="0" borderId="32" xfId="0" applyBorder="1" applyAlignment="1">
      <alignment horizontal="center" vertical="center" wrapText="1"/>
    </xf>
    <xf numFmtId="0" fontId="4" fillId="0" borderId="0" xfId="0" applyFont="1" applyBorder="1" applyAlignment="1">
      <alignment horizontal="right"/>
    </xf>
    <xf numFmtId="0" fontId="0" fillId="3" borderId="0" xfId="0" applyFill="1" applyBorder="1"/>
    <xf numFmtId="43" fontId="0" fillId="3" borderId="0" xfId="0" applyNumberFormat="1" applyFill="1" applyBorder="1"/>
    <xf numFmtId="168" fontId="4" fillId="0" borderId="0" xfId="2" applyNumberFormat="1" applyFont="1" applyBorder="1"/>
    <xf numFmtId="0" fontId="0" fillId="0" borderId="9" xfId="0" applyBorder="1"/>
    <xf numFmtId="168" fontId="0" fillId="0" borderId="12" xfId="2" applyNumberFormat="1" applyFont="1" applyBorder="1" applyAlignment="1">
      <alignment horizontal="center" vertical="center" wrapText="1"/>
    </xf>
    <xf numFmtId="0" fontId="0" fillId="0" borderId="34" xfId="0" applyBorder="1" applyAlignment="1">
      <alignment horizontal="center" vertical="center" wrapText="1"/>
    </xf>
    <xf numFmtId="168" fontId="0" fillId="0" borderId="34" xfId="2" applyNumberFormat="1" applyFont="1" applyBorder="1" applyAlignment="1">
      <alignment horizontal="center" vertical="center" wrapText="1"/>
    </xf>
    <xf numFmtId="0" fontId="0" fillId="0" borderId="28" xfId="0" applyBorder="1" applyAlignment="1">
      <alignment horizontal="center" vertical="center" wrapText="1"/>
    </xf>
    <xf numFmtId="0" fontId="1" fillId="0" borderId="36" xfId="0" applyFont="1" applyBorder="1" applyAlignment="1">
      <alignment horizontal="center" vertical="center" wrapText="1"/>
    </xf>
    <xf numFmtId="0" fontId="0" fillId="0" borderId="30" xfId="0" applyBorder="1" applyAlignment="1">
      <alignment horizontal="center" vertical="center" wrapText="1"/>
    </xf>
    <xf numFmtId="0" fontId="1" fillId="0" borderId="38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168" fontId="0" fillId="3" borderId="0" xfId="0" applyNumberFormat="1" applyFill="1" applyBorder="1"/>
    <xf numFmtId="0" fontId="6" fillId="3" borderId="0" xfId="0" applyFont="1" applyFill="1" applyBorder="1" applyAlignment="1"/>
    <xf numFmtId="0" fontId="1" fillId="3" borderId="0" xfId="0" applyFont="1" applyFill="1" applyBorder="1" applyAlignment="1"/>
    <xf numFmtId="0" fontId="0" fillId="3" borderId="0" xfId="0" applyFill="1" applyBorder="1" applyAlignment="1">
      <alignment horizontal="center" vertical="center" wrapText="1"/>
    </xf>
    <xf numFmtId="0" fontId="1" fillId="3" borderId="0" xfId="0" applyFont="1" applyFill="1" applyBorder="1" applyAlignment="1">
      <alignment horizontal="center"/>
    </xf>
    <xf numFmtId="0" fontId="0" fillId="3" borderId="0" xfId="0" applyFill="1" applyBorder="1" applyAlignment="1"/>
    <xf numFmtId="0" fontId="9" fillId="3" borderId="0" xfId="0" applyFont="1" applyFill="1" applyBorder="1" applyAlignment="1"/>
    <xf numFmtId="168" fontId="0" fillId="0" borderId="9" xfId="0" applyNumberFormat="1" applyBorder="1"/>
    <xf numFmtId="0" fontId="0" fillId="3" borderId="5" xfId="0" applyFill="1" applyBorder="1"/>
    <xf numFmtId="168" fontId="0" fillId="3" borderId="0" xfId="2" applyNumberFormat="1" applyFont="1" applyFill="1" applyBorder="1" applyAlignment="1">
      <alignment horizontal="right"/>
    </xf>
    <xf numFmtId="168" fontId="6" fillId="3" borderId="0" xfId="2" applyNumberFormat="1" applyFont="1" applyFill="1" applyBorder="1" applyAlignment="1"/>
    <xf numFmtId="169" fontId="0" fillId="0" borderId="8" xfId="2" applyNumberFormat="1" applyFont="1" applyBorder="1"/>
    <xf numFmtId="170" fontId="6" fillId="3" borderId="0" xfId="0" applyNumberFormat="1" applyFont="1" applyFill="1" applyBorder="1" applyAlignment="1"/>
    <xf numFmtId="170" fontId="0" fillId="0" borderId="21" xfId="2" applyNumberFormat="1" applyFont="1" applyBorder="1"/>
    <xf numFmtId="170" fontId="0" fillId="3" borderId="5" xfId="0" applyNumberFormat="1" applyFill="1" applyBorder="1"/>
    <xf numFmtId="170" fontId="0" fillId="0" borderId="0" xfId="0" applyNumberFormat="1"/>
    <xf numFmtId="0" fontId="0" fillId="0" borderId="13" xfId="0" applyBorder="1" applyAlignment="1">
      <alignment horizontal="center" vertical="center" wrapText="1"/>
    </xf>
    <xf numFmtId="170" fontId="0" fillId="0" borderId="9" xfId="2" applyNumberFormat="1" applyFont="1" applyBorder="1"/>
    <xf numFmtId="43" fontId="0" fillId="3" borderId="23" xfId="0" applyNumberFormat="1" applyFill="1" applyBorder="1"/>
    <xf numFmtId="168" fontId="0" fillId="0" borderId="13" xfId="2" applyNumberFormat="1" applyFont="1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43" xfId="0" applyBorder="1" applyAlignment="1">
      <alignment horizontal="center" vertical="center" wrapText="1"/>
    </xf>
    <xf numFmtId="168" fontId="0" fillId="0" borderId="43" xfId="2" applyNumberFormat="1" applyFont="1" applyBorder="1" applyAlignment="1">
      <alignment horizontal="center" vertical="center" wrapText="1"/>
    </xf>
    <xf numFmtId="0" fontId="0" fillId="0" borderId="44" xfId="0" applyBorder="1" applyAlignment="1">
      <alignment horizontal="center" vertical="center" wrapText="1"/>
    </xf>
    <xf numFmtId="170" fontId="0" fillId="0" borderId="26" xfId="0" applyNumberFormat="1" applyBorder="1" applyAlignment="1">
      <alignment horizontal="center" vertical="center" wrapText="1"/>
    </xf>
    <xf numFmtId="170" fontId="0" fillId="0" borderId="44" xfId="0" applyNumberFormat="1" applyBorder="1" applyAlignment="1">
      <alignment horizontal="center" vertical="center" wrapText="1"/>
    </xf>
    <xf numFmtId="168" fontId="1" fillId="3" borderId="6" xfId="0" applyNumberFormat="1" applyFont="1" applyFill="1" applyBorder="1"/>
    <xf numFmtId="0" fontId="0" fillId="5" borderId="19" xfId="0" applyFill="1" applyBorder="1" applyAlignment="1">
      <alignment vertical="center"/>
    </xf>
    <xf numFmtId="0" fontId="0" fillId="5" borderId="34" xfId="0" applyFill="1" applyBorder="1" applyAlignment="1">
      <alignment horizontal="center" vertical="center"/>
    </xf>
    <xf numFmtId="0" fontId="1" fillId="0" borderId="29" xfId="0" applyFont="1" applyBorder="1" applyAlignment="1">
      <alignment horizontal="center" vertical="center" wrapText="1"/>
    </xf>
    <xf numFmtId="0" fontId="0" fillId="0" borderId="45" xfId="0" applyBorder="1" applyAlignment="1">
      <alignment horizontal="center" vertical="center" wrapText="1"/>
    </xf>
    <xf numFmtId="0" fontId="12" fillId="11" borderId="45" xfId="0" applyFont="1" applyFill="1" applyBorder="1" applyAlignment="1">
      <alignment horizontal="center" vertical="center" shrinkToFit="1"/>
    </xf>
    <xf numFmtId="0" fontId="12" fillId="11" borderId="46" xfId="0" applyFont="1" applyFill="1" applyBorder="1" applyAlignment="1">
      <alignment horizontal="center" vertical="center" shrinkToFit="1"/>
    </xf>
    <xf numFmtId="43" fontId="9" fillId="3" borderId="0" xfId="2" applyFont="1" applyFill="1" applyBorder="1" applyAlignment="1"/>
    <xf numFmtId="43" fontId="8" fillId="0" borderId="16" xfId="2" applyFont="1" applyBorder="1" applyAlignment="1">
      <alignment horizontal="center" vertical="center" wrapText="1"/>
    </xf>
    <xf numFmtId="43" fontId="8" fillId="0" borderId="28" xfId="2" applyFont="1" applyBorder="1" applyAlignment="1">
      <alignment horizontal="center" vertical="center" wrapText="1"/>
    </xf>
    <xf numFmtId="43" fontId="8" fillId="3" borderId="0" xfId="2" applyFont="1" applyFill="1" applyBorder="1"/>
    <xf numFmtId="43" fontId="13" fillId="0" borderId="0" xfId="2" applyFont="1" applyBorder="1"/>
    <xf numFmtId="43" fontId="8" fillId="0" borderId="0" xfId="2" applyFont="1"/>
    <xf numFmtId="168" fontId="9" fillId="3" borderId="0" xfId="2" applyNumberFormat="1" applyFont="1" applyFill="1" applyBorder="1" applyAlignment="1"/>
    <xf numFmtId="168" fontId="8" fillId="3" borderId="0" xfId="2" applyNumberFormat="1" applyFont="1" applyFill="1" applyBorder="1"/>
    <xf numFmtId="168" fontId="13" fillId="0" borderId="0" xfId="2" applyNumberFormat="1" applyFont="1" applyBorder="1"/>
    <xf numFmtId="168" fontId="8" fillId="0" borderId="0" xfId="2" applyNumberFormat="1" applyFont="1"/>
    <xf numFmtId="168" fontId="0" fillId="3" borderId="40" xfId="0" applyNumberFormat="1" applyFill="1" applyBorder="1"/>
    <xf numFmtId="168" fontId="1" fillId="0" borderId="40" xfId="0" applyNumberFormat="1" applyFont="1" applyBorder="1"/>
    <xf numFmtId="0" fontId="0" fillId="3" borderId="48" xfId="0" applyFill="1" applyBorder="1"/>
    <xf numFmtId="168" fontId="0" fillId="3" borderId="48" xfId="2" applyNumberFormat="1" applyFont="1" applyFill="1" applyBorder="1"/>
    <xf numFmtId="43" fontId="8" fillId="3" borderId="48" xfId="2" applyFont="1" applyFill="1" applyBorder="1"/>
    <xf numFmtId="168" fontId="8" fillId="3" borderId="48" xfId="2" applyNumberFormat="1" applyFont="1" applyFill="1" applyBorder="1"/>
    <xf numFmtId="43" fontId="0" fillId="3" borderId="48" xfId="0" applyNumberFormat="1" applyFill="1" applyBorder="1"/>
    <xf numFmtId="0" fontId="0" fillId="3" borderId="50" xfId="0" applyFill="1" applyBorder="1"/>
    <xf numFmtId="167" fontId="0" fillId="3" borderId="48" xfId="0" applyNumberFormat="1" applyFill="1" applyBorder="1"/>
    <xf numFmtId="168" fontId="0" fillId="3" borderId="48" xfId="0" applyNumberFormat="1" applyFill="1" applyBorder="1"/>
    <xf numFmtId="168" fontId="0" fillId="0" borderId="48" xfId="2" applyNumberFormat="1" applyFont="1" applyBorder="1"/>
    <xf numFmtId="170" fontId="0" fillId="3" borderId="50" xfId="0" applyNumberFormat="1" applyFill="1" applyBorder="1"/>
    <xf numFmtId="168" fontId="0" fillId="0" borderId="0" xfId="2" applyNumberFormat="1" applyFont="1" applyBorder="1" applyAlignment="1">
      <alignment horizontal="right"/>
    </xf>
    <xf numFmtId="168" fontId="9" fillId="6" borderId="23" xfId="2" applyNumberFormat="1" applyFont="1" applyFill="1" applyBorder="1"/>
    <xf numFmtId="0" fontId="1" fillId="0" borderId="12" xfId="0" applyFont="1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171" fontId="6" fillId="3" borderId="0" xfId="2" applyNumberFormat="1" applyFont="1" applyFill="1" applyBorder="1" applyAlignment="1"/>
    <xf numFmtId="171" fontId="0" fillId="3" borderId="0" xfId="2" applyNumberFormat="1" applyFont="1" applyFill="1" applyBorder="1"/>
    <xf numFmtId="171" fontId="0" fillId="3" borderId="48" xfId="2" applyNumberFormat="1" applyFont="1" applyFill="1" applyBorder="1"/>
    <xf numFmtId="171" fontId="0" fillId="0" borderId="0" xfId="2" applyNumberFormat="1" applyFont="1" applyBorder="1"/>
    <xf numFmtId="171" fontId="0" fillId="0" borderId="0" xfId="2" applyNumberFormat="1" applyFont="1"/>
    <xf numFmtId="168" fontId="0" fillId="0" borderId="19" xfId="2" applyNumberFormat="1" applyFont="1" applyBorder="1" applyAlignment="1">
      <alignment horizontal="center" vertical="center" wrapText="1"/>
    </xf>
    <xf numFmtId="0" fontId="0" fillId="0" borderId="52" xfId="0" applyBorder="1" applyAlignment="1">
      <alignment horizontal="center" vertical="center" wrapText="1"/>
    </xf>
    <xf numFmtId="168" fontId="9" fillId="0" borderId="54" xfId="2" applyNumberFormat="1" applyFont="1" applyBorder="1" applyAlignment="1">
      <alignment horizontal="center" vertical="center" wrapText="1"/>
    </xf>
    <xf numFmtId="168" fontId="8" fillId="0" borderId="55" xfId="2" applyNumberFormat="1" applyFont="1" applyBorder="1" applyAlignment="1">
      <alignment horizontal="center" vertical="center" wrapText="1"/>
    </xf>
    <xf numFmtId="168" fontId="8" fillId="0" borderId="21" xfId="2" applyNumberFormat="1" applyFont="1" applyBorder="1"/>
    <xf numFmtId="0" fontId="0" fillId="0" borderId="29" xfId="0" applyBorder="1"/>
    <xf numFmtId="168" fontId="0" fillId="0" borderId="29" xfId="2" applyNumberFormat="1" applyFont="1" applyBorder="1"/>
    <xf numFmtId="43" fontId="8" fillId="0" borderId="29" xfId="2" applyFont="1" applyBorder="1"/>
    <xf numFmtId="168" fontId="8" fillId="0" borderId="32" xfId="2" applyNumberFormat="1" applyFont="1" applyBorder="1"/>
    <xf numFmtId="0" fontId="1" fillId="0" borderId="53" xfId="0" applyFont="1" applyBorder="1" applyAlignment="1">
      <alignment horizontal="center" vertical="center" wrapText="1"/>
    </xf>
    <xf numFmtId="0" fontId="1" fillId="0" borderId="54" xfId="0" applyFont="1" applyBorder="1" applyAlignment="1">
      <alignment horizontal="center" vertical="center" wrapText="1"/>
    </xf>
    <xf numFmtId="168" fontId="0" fillId="0" borderId="18" xfId="2" applyNumberFormat="1" applyFont="1" applyBorder="1" applyAlignment="1">
      <alignment horizontal="center" vertical="center" wrapText="1"/>
    </xf>
    <xf numFmtId="0" fontId="0" fillId="0" borderId="55" xfId="0" applyBorder="1" applyAlignment="1">
      <alignment horizontal="center" vertical="center" wrapText="1"/>
    </xf>
    <xf numFmtId="43" fontId="0" fillId="0" borderId="21" xfId="0" applyNumberFormat="1" applyBorder="1"/>
    <xf numFmtId="168" fontId="0" fillId="0" borderId="57" xfId="2" applyNumberFormat="1" applyFont="1" applyBorder="1"/>
    <xf numFmtId="0" fontId="0" fillId="0" borderId="32" xfId="0" applyBorder="1"/>
    <xf numFmtId="168" fontId="0" fillId="0" borderId="10" xfId="2" applyNumberFormat="1" applyFont="1" applyBorder="1"/>
    <xf numFmtId="0" fontId="0" fillId="0" borderId="58" xfId="0" applyBorder="1"/>
    <xf numFmtId="43" fontId="0" fillId="0" borderId="46" xfId="2" applyFont="1" applyBorder="1"/>
    <xf numFmtId="43" fontId="0" fillId="0" borderId="59" xfId="2" applyFont="1" applyBorder="1"/>
    <xf numFmtId="168" fontId="8" fillId="0" borderId="45" xfId="2" applyNumberFormat="1" applyFont="1" applyBorder="1" applyAlignment="1">
      <alignment horizontal="center" vertical="center" wrapText="1"/>
    </xf>
    <xf numFmtId="168" fontId="8" fillId="0" borderId="46" xfId="2" applyNumberFormat="1" applyFont="1" applyBorder="1"/>
    <xf numFmtId="168" fontId="8" fillId="0" borderId="59" xfId="2" applyNumberFormat="1" applyFont="1" applyBorder="1"/>
    <xf numFmtId="168" fontId="10" fillId="0" borderId="23" xfId="0" applyNumberFormat="1" applyFont="1" applyBorder="1"/>
    <xf numFmtId="171" fontId="0" fillId="0" borderId="35" xfId="2" applyNumberFormat="1" applyFont="1" applyBorder="1" applyAlignment="1">
      <alignment horizontal="center" vertical="center" wrapText="1"/>
    </xf>
    <xf numFmtId="171" fontId="4" fillId="0" borderId="0" xfId="2" applyNumberFormat="1" applyFont="1" applyBorder="1"/>
    <xf numFmtId="168" fontId="9" fillId="6" borderId="23" xfId="0" applyNumberFormat="1" applyFont="1" applyFill="1" applyBorder="1"/>
    <xf numFmtId="168" fontId="0" fillId="3" borderId="14" xfId="2" applyNumberFormat="1" applyFont="1" applyFill="1" applyBorder="1"/>
    <xf numFmtId="0" fontId="0" fillId="3" borderId="61" xfId="0" applyFill="1" applyBorder="1"/>
    <xf numFmtId="0" fontId="0" fillId="3" borderId="15" xfId="0" applyFill="1" applyBorder="1"/>
    <xf numFmtId="0" fontId="0" fillId="3" borderId="62" xfId="0" applyFill="1" applyBorder="1"/>
    <xf numFmtId="0" fontId="0" fillId="3" borderId="63" xfId="0" applyFill="1" applyBorder="1"/>
    <xf numFmtId="168" fontId="0" fillId="3" borderId="49" xfId="2" applyNumberFormat="1" applyFont="1" applyFill="1" applyBorder="1"/>
    <xf numFmtId="0" fontId="12" fillId="11" borderId="59" xfId="0" applyFont="1" applyFill="1" applyBorder="1" applyAlignment="1">
      <alignment horizontal="center" vertical="center" shrinkToFit="1"/>
    </xf>
    <xf numFmtId="168" fontId="1" fillId="0" borderId="23" xfId="2" applyNumberFormat="1" applyFont="1" applyBorder="1"/>
    <xf numFmtId="170" fontId="1" fillId="3" borderId="7" xfId="0" applyNumberFormat="1" applyFont="1" applyFill="1" applyBorder="1"/>
    <xf numFmtId="0" fontId="0" fillId="0" borderId="65" xfId="0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0" fillId="0" borderId="10" xfId="0" applyBorder="1"/>
    <xf numFmtId="168" fontId="0" fillId="0" borderId="21" xfId="0" applyNumberFormat="1" applyBorder="1"/>
    <xf numFmtId="0" fontId="0" fillId="0" borderId="21" xfId="0" applyBorder="1"/>
    <xf numFmtId="0" fontId="0" fillId="3" borderId="51" xfId="0" applyFill="1" applyBorder="1"/>
    <xf numFmtId="167" fontId="0" fillId="3" borderId="5" xfId="0" applyNumberFormat="1" applyFill="1" applyBorder="1"/>
    <xf numFmtId="0" fontId="0" fillId="3" borderId="66" xfId="0" applyFill="1" applyBorder="1"/>
    <xf numFmtId="168" fontId="1" fillId="0" borderId="12" xfId="2" applyNumberFormat="1" applyFont="1" applyBorder="1" applyAlignment="1">
      <alignment horizontal="center" vertical="center" wrapText="1"/>
    </xf>
    <xf numFmtId="168" fontId="15" fillId="3" borderId="8" xfId="2" applyNumberFormat="1" applyFont="1" applyFill="1" applyBorder="1" applyProtection="1">
      <protection locked="0"/>
    </xf>
    <xf numFmtId="0" fontId="0" fillId="3" borderId="53" xfId="0" applyFill="1" applyBorder="1" applyAlignment="1">
      <alignment wrapText="1"/>
    </xf>
    <xf numFmtId="168" fontId="1" fillId="12" borderId="6" xfId="0" applyNumberFormat="1" applyFont="1" applyFill="1" applyBorder="1"/>
    <xf numFmtId="166" fontId="9" fillId="12" borderId="7" xfId="1" applyFont="1" applyFill="1" applyBorder="1"/>
    <xf numFmtId="168" fontId="0" fillId="3" borderId="23" xfId="2" applyNumberFormat="1" applyFont="1" applyFill="1" applyBorder="1"/>
    <xf numFmtId="167" fontId="0" fillId="0" borderId="0" xfId="0" applyNumberFormat="1" applyBorder="1"/>
    <xf numFmtId="171" fontId="0" fillId="0" borderId="42" xfId="2" applyNumberFormat="1" applyFont="1" applyBorder="1" applyAlignment="1">
      <alignment horizontal="center" vertical="center" wrapText="1"/>
    </xf>
    <xf numFmtId="171" fontId="0" fillId="0" borderId="25" xfId="2" applyNumberFormat="1" applyFont="1" applyBorder="1" applyAlignment="1">
      <alignment horizontal="center" vertical="center" wrapText="1"/>
    </xf>
    <xf numFmtId="171" fontId="0" fillId="0" borderId="22" xfId="2" applyNumberFormat="1" applyFont="1" applyBorder="1"/>
    <xf numFmtId="171" fontId="0" fillId="0" borderId="48" xfId="2" applyNumberFormat="1" applyFont="1" applyBorder="1"/>
    <xf numFmtId="171" fontId="0" fillId="0" borderId="6" xfId="2" applyNumberFormat="1" applyFont="1" applyBorder="1"/>
    <xf numFmtId="168" fontId="1" fillId="12" borderId="6" xfId="2" applyNumberFormat="1" applyFont="1" applyFill="1" applyBorder="1"/>
    <xf numFmtId="170" fontId="1" fillId="12" borderId="7" xfId="0" applyNumberFormat="1" applyFont="1" applyFill="1" applyBorder="1"/>
    <xf numFmtId="168" fontId="1" fillId="12" borderId="31" xfId="2" applyNumberFormat="1" applyFont="1" applyFill="1" applyBorder="1"/>
    <xf numFmtId="170" fontId="1" fillId="12" borderId="33" xfId="2" applyNumberFormat="1" applyFont="1" applyFill="1" applyBorder="1"/>
    <xf numFmtId="43" fontId="5" fillId="0" borderId="0" xfId="2" applyFont="1" applyBorder="1"/>
    <xf numFmtId="168" fontId="15" fillId="3" borderId="67" xfId="2" applyNumberFormat="1" applyFont="1" applyFill="1" applyBorder="1" applyProtection="1">
      <protection locked="0"/>
    </xf>
    <xf numFmtId="169" fontId="0" fillId="0" borderId="56" xfId="2" applyNumberFormat="1" applyFont="1" applyBorder="1"/>
    <xf numFmtId="168" fontId="15" fillId="3" borderId="46" xfId="2" applyNumberFormat="1" applyFont="1" applyFill="1" applyBorder="1" applyProtection="1">
      <protection locked="0"/>
    </xf>
    <xf numFmtId="168" fontId="0" fillId="0" borderId="59" xfId="2" applyNumberFormat="1" applyFont="1" applyBorder="1"/>
    <xf numFmtId="164" fontId="4" fillId="0" borderId="0" xfId="1" applyNumberFormat="1" applyFont="1" applyBorder="1"/>
    <xf numFmtId="0" fontId="1" fillId="0" borderId="8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/>
    </xf>
    <xf numFmtId="0" fontId="14" fillId="0" borderId="8" xfId="0" applyFont="1" applyBorder="1" applyAlignment="1">
      <alignment horizontal="center" vertical="center"/>
    </xf>
    <xf numFmtId="2" fontId="14" fillId="0" borderId="8" xfId="0" applyNumberFormat="1" applyFont="1" applyBorder="1" applyAlignment="1">
      <alignment horizontal="center" vertical="center" wrapText="1"/>
    </xf>
    <xf numFmtId="0" fontId="14" fillId="0" borderId="8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3" fillId="0" borderId="8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4" fillId="0" borderId="8" xfId="0" applyFont="1" applyBorder="1" applyAlignment="1">
      <alignment horizontal="center"/>
    </xf>
    <xf numFmtId="1" fontId="0" fillId="0" borderId="8" xfId="0" applyNumberForma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2" fontId="4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0" fontId="4" fillId="0" borderId="0" xfId="0" applyFont="1" applyAlignment="1">
      <alignment horizontal="center"/>
    </xf>
    <xf numFmtId="1" fontId="4" fillId="0" borderId="8" xfId="0" applyNumberFormat="1" applyFont="1" applyBorder="1" applyAlignment="1">
      <alignment horizontal="center"/>
    </xf>
    <xf numFmtId="0" fontId="1" fillId="0" borderId="8" xfId="0" applyFont="1" applyBorder="1" applyAlignment="1">
      <alignment horizontal="center" vertical="center" wrapText="1"/>
    </xf>
    <xf numFmtId="1" fontId="0" fillId="0" borderId="8" xfId="0" applyNumberFormat="1" applyBorder="1" applyAlignment="1">
      <alignment horizontal="center"/>
    </xf>
    <xf numFmtId="9" fontId="8" fillId="0" borderId="0" xfId="5" applyFont="1"/>
    <xf numFmtId="9" fontId="0" fillId="0" borderId="0" xfId="0" applyNumberFormat="1"/>
    <xf numFmtId="168" fontId="15" fillId="3" borderId="64" xfId="2" applyNumberFormat="1" applyFont="1" applyFill="1" applyBorder="1" applyProtection="1">
      <protection locked="0"/>
    </xf>
    <xf numFmtId="168" fontId="15" fillId="3" borderId="47" xfId="2" applyNumberFormat="1" applyFont="1" applyFill="1" applyBorder="1" applyProtection="1">
      <protection locked="0"/>
    </xf>
    <xf numFmtId="0" fontId="7" fillId="0" borderId="68" xfId="4" quotePrefix="1" applyBorder="1"/>
    <xf numFmtId="168" fontId="1" fillId="5" borderId="6" xfId="0" applyNumberFormat="1" applyFont="1" applyFill="1" applyBorder="1"/>
    <xf numFmtId="0" fontId="0" fillId="5" borderId="28" xfId="0" applyFill="1" applyBorder="1" applyAlignment="1">
      <alignment horizontal="center" vertical="center"/>
    </xf>
    <xf numFmtId="0" fontId="1" fillId="0" borderId="11" xfId="0" applyFont="1" applyBorder="1" applyAlignment="1">
      <alignment horizontal="center" vertical="center" wrapText="1"/>
    </xf>
    <xf numFmtId="0" fontId="1" fillId="0" borderId="58" xfId="0" applyFont="1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168" fontId="0" fillId="0" borderId="8" xfId="2" applyNumberFormat="1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1" fillId="0" borderId="27" xfId="0" applyFont="1" applyBorder="1" applyAlignment="1">
      <alignment horizontal="center" vertical="center" wrapText="1"/>
    </xf>
    <xf numFmtId="168" fontId="2" fillId="0" borderId="8" xfId="2" applyNumberFormat="1" applyFont="1" applyBorder="1"/>
    <xf numFmtId="43" fontId="2" fillId="0" borderId="8" xfId="2" applyFont="1" applyBorder="1"/>
    <xf numFmtId="168" fontId="1" fillId="0" borderId="10" xfId="2" applyNumberFormat="1" applyFont="1" applyBorder="1"/>
    <xf numFmtId="43" fontId="0" fillId="3" borderId="50" xfId="0" applyNumberFormat="1" applyFill="1" applyBorder="1"/>
    <xf numFmtId="43" fontId="1" fillId="6" borderId="23" xfId="2" applyNumberFormat="1" applyFont="1" applyFill="1" applyBorder="1"/>
    <xf numFmtId="168" fontId="4" fillId="3" borderId="0" xfId="0" applyNumberFormat="1" applyFont="1" applyFill="1" applyBorder="1"/>
    <xf numFmtId="168" fontId="4" fillId="0" borderId="0" xfId="0" applyNumberFormat="1" applyFont="1" applyBorder="1"/>
    <xf numFmtId="166" fontId="4" fillId="0" borderId="0" xfId="1" applyNumberFormat="1" applyFont="1" applyBorder="1"/>
    <xf numFmtId="170" fontId="4" fillId="0" borderId="0" xfId="0" applyNumberFormat="1" applyFont="1" applyBorder="1"/>
    <xf numFmtId="0" fontId="4" fillId="0" borderId="0" xfId="0" applyFont="1" applyBorder="1"/>
    <xf numFmtId="0" fontId="0" fillId="3" borderId="61" xfId="0" applyFill="1" applyBorder="1" applyAlignment="1">
      <alignment wrapText="1"/>
    </xf>
    <xf numFmtId="171" fontId="0" fillId="0" borderId="54" xfId="2" applyNumberFormat="1" applyFont="1" applyBorder="1"/>
    <xf numFmtId="171" fontId="0" fillId="0" borderId="38" xfId="2" applyNumberFormat="1" applyFont="1" applyBorder="1"/>
    <xf numFmtId="171" fontId="7" fillId="3" borderId="38" xfId="2" applyNumberFormat="1" applyFont="1" applyFill="1" applyBorder="1" applyAlignment="1">
      <alignment vertical="top" wrapText="1"/>
    </xf>
    <xf numFmtId="0" fontId="7" fillId="3" borderId="38" xfId="4" applyFill="1" applyBorder="1" applyAlignment="1">
      <alignment vertical="top" wrapText="1"/>
    </xf>
    <xf numFmtId="0" fontId="7" fillId="0" borderId="70" xfId="4" quotePrefix="1" applyBorder="1"/>
    <xf numFmtId="43" fontId="0" fillId="3" borderId="47" xfId="2" applyFont="1" applyFill="1" applyBorder="1"/>
    <xf numFmtId="43" fontId="0" fillId="3" borderId="39" xfId="2" applyFont="1" applyFill="1" applyBorder="1"/>
    <xf numFmtId="43" fontId="0" fillId="3" borderId="40" xfId="2" applyFont="1" applyFill="1" applyBorder="1"/>
    <xf numFmtId="43" fontId="0" fillId="3" borderId="53" xfId="2" applyFont="1" applyFill="1" applyBorder="1"/>
    <xf numFmtId="43" fontId="0" fillId="3" borderId="61" xfId="2" applyFont="1" applyFill="1" applyBorder="1"/>
    <xf numFmtId="43" fontId="0" fillId="3" borderId="68" xfId="2" applyFont="1" applyFill="1" applyBorder="1"/>
    <xf numFmtId="43" fontId="0" fillId="3" borderId="54" xfId="2" applyFont="1" applyFill="1" applyBorder="1"/>
    <xf numFmtId="43" fontId="0" fillId="3" borderId="38" xfId="2" applyFont="1" applyFill="1" applyBorder="1"/>
    <xf numFmtId="43" fontId="0" fillId="3" borderId="70" xfId="2" applyFont="1" applyFill="1" applyBorder="1"/>
    <xf numFmtId="0" fontId="7" fillId="3" borderId="61" xfId="4" quotePrefix="1" applyFill="1" applyBorder="1" applyAlignment="1"/>
    <xf numFmtId="171" fontId="18" fillId="3" borderId="38" xfId="2" applyNumberFormat="1" applyFont="1" applyFill="1" applyBorder="1" applyAlignment="1">
      <alignment vertical="top" wrapText="1"/>
    </xf>
    <xf numFmtId="171" fontId="7" fillId="3" borderId="38" xfId="4" quotePrefix="1" applyNumberFormat="1" applyFill="1" applyBorder="1" applyAlignment="1">
      <alignment vertical="top"/>
    </xf>
    <xf numFmtId="168" fontId="20" fillId="3" borderId="0" xfId="2" applyNumberFormat="1" applyFont="1" applyFill="1" applyBorder="1"/>
    <xf numFmtId="168" fontId="20" fillId="0" borderId="0" xfId="2" applyNumberFormat="1" applyFont="1" applyBorder="1"/>
    <xf numFmtId="3" fontId="20" fillId="0" borderId="0" xfId="0" applyNumberFormat="1" applyFont="1"/>
    <xf numFmtId="173" fontId="20" fillId="0" borderId="0" xfId="2" applyNumberFormat="1" applyFont="1"/>
    <xf numFmtId="10" fontId="20" fillId="0" borderId="0" xfId="5" applyNumberFormat="1" applyFont="1"/>
    <xf numFmtId="166" fontId="20" fillId="0" borderId="0" xfId="1" applyFont="1" applyBorder="1"/>
    <xf numFmtId="168" fontId="21" fillId="0" borderId="0" xfId="2" applyNumberFormat="1" applyFont="1" applyBorder="1"/>
    <xf numFmtId="171" fontId="20" fillId="0" borderId="0" xfId="2" applyNumberFormat="1" applyFont="1" applyBorder="1"/>
    <xf numFmtId="168" fontId="20" fillId="0" borderId="0" xfId="2" applyNumberFormat="1" applyFont="1" applyBorder="1" applyAlignment="1">
      <alignment horizontal="right"/>
    </xf>
    <xf numFmtId="172" fontId="20" fillId="0" borderId="0" xfId="5" applyNumberFormat="1" applyFont="1" applyBorder="1"/>
    <xf numFmtId="168" fontId="22" fillId="0" borderId="0" xfId="2" applyNumberFormat="1" applyFont="1" applyBorder="1"/>
    <xf numFmtId="0" fontId="20" fillId="0" borderId="0" xfId="0" applyFont="1"/>
    <xf numFmtId="170" fontId="20" fillId="0" borderId="0" xfId="2" applyNumberFormat="1" applyFont="1" applyBorder="1"/>
    <xf numFmtId="0" fontId="18" fillId="3" borderId="0" xfId="0" applyFont="1" applyFill="1" applyBorder="1"/>
    <xf numFmtId="168" fontId="18" fillId="0" borderId="0" xfId="2" applyNumberFormat="1" applyFont="1"/>
    <xf numFmtId="0" fontId="18" fillId="0" borderId="0" xfId="0" applyFont="1"/>
    <xf numFmtId="43" fontId="19" fillId="0" borderId="0" xfId="2" applyFont="1"/>
    <xf numFmtId="168" fontId="19" fillId="0" borderId="0" xfId="2" applyNumberFormat="1" applyFont="1"/>
    <xf numFmtId="171" fontId="18" fillId="0" borderId="0" xfId="2" applyNumberFormat="1" applyFont="1"/>
    <xf numFmtId="170" fontId="18" fillId="0" borderId="0" xfId="0" applyNumberFormat="1" applyFont="1"/>
    <xf numFmtId="43" fontId="18" fillId="0" borderId="0" xfId="2" applyFont="1"/>
    <xf numFmtId="9" fontId="18" fillId="0" borderId="0" xfId="5" applyFont="1"/>
    <xf numFmtId="9" fontId="19" fillId="0" borderId="0" xfId="5" applyFont="1"/>
    <xf numFmtId="0" fontId="1" fillId="6" borderId="27" xfId="0" applyFont="1" applyFill="1" applyBorder="1" applyAlignment="1">
      <alignment horizontal="center" vertical="center" wrapText="1"/>
    </xf>
    <xf numFmtId="0" fontId="1" fillId="6" borderId="40" xfId="0" applyFont="1" applyFill="1" applyBorder="1" applyAlignment="1">
      <alignment horizontal="center" vertical="center" wrapText="1"/>
    </xf>
    <xf numFmtId="0" fontId="1" fillId="0" borderId="37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0" fillId="5" borderId="28" xfId="0" applyFill="1" applyBorder="1" applyAlignment="1">
      <alignment horizontal="center" vertical="center"/>
    </xf>
    <xf numFmtId="0" fontId="0" fillId="5" borderId="20" xfId="0" applyFill="1" applyBorder="1" applyAlignment="1">
      <alignment horizontal="center" vertical="center"/>
    </xf>
    <xf numFmtId="171" fontId="1" fillId="4" borderId="1" xfId="2" applyNumberFormat="1" applyFont="1" applyFill="1" applyBorder="1" applyAlignment="1">
      <alignment horizontal="center" vertical="center"/>
    </xf>
    <xf numFmtId="171" fontId="1" fillId="4" borderId="41" xfId="2" applyNumberFormat="1" applyFont="1" applyFill="1" applyBorder="1" applyAlignment="1">
      <alignment horizontal="center" vertical="center"/>
    </xf>
    <xf numFmtId="171" fontId="1" fillId="4" borderId="2" xfId="2" applyNumberFormat="1" applyFont="1" applyFill="1" applyBorder="1" applyAlignment="1">
      <alignment horizontal="center" vertical="center"/>
    </xf>
    <xf numFmtId="49" fontId="9" fillId="2" borderId="1" xfId="0" applyNumberFormat="1" applyFont="1" applyFill="1" applyBorder="1" applyAlignment="1">
      <alignment horizontal="left"/>
    </xf>
    <xf numFmtId="49" fontId="9" fillId="2" borderId="41" xfId="0" applyNumberFormat="1" applyFont="1" applyFill="1" applyBorder="1" applyAlignment="1">
      <alignment horizontal="left"/>
    </xf>
    <xf numFmtId="49" fontId="9" fillId="2" borderId="2" xfId="0" applyNumberFormat="1" applyFont="1" applyFill="1" applyBorder="1" applyAlignment="1">
      <alignment horizontal="left"/>
    </xf>
    <xf numFmtId="0" fontId="11" fillId="10" borderId="27" xfId="0" applyFont="1" applyFill="1" applyBorder="1" applyAlignment="1">
      <alignment horizontal="center" vertical="center" wrapText="1"/>
    </xf>
    <xf numFmtId="0" fontId="11" fillId="10" borderId="39" xfId="0" applyFont="1" applyFill="1" applyBorder="1" applyAlignment="1">
      <alignment horizontal="center" vertical="center" wrapText="1"/>
    </xf>
    <xf numFmtId="0" fontId="11" fillId="10" borderId="40" xfId="0" applyFont="1" applyFill="1" applyBorder="1" applyAlignment="1">
      <alignment horizontal="center" vertical="center" wrapText="1"/>
    </xf>
    <xf numFmtId="43" fontId="0" fillId="0" borderId="27" xfId="2" applyFont="1" applyBorder="1" applyAlignment="1">
      <alignment horizontal="center" vertical="center" wrapText="1"/>
    </xf>
    <xf numFmtId="43" fontId="0" fillId="0" borderId="39" xfId="2" applyFont="1" applyBorder="1" applyAlignment="1">
      <alignment horizontal="center" vertical="center" wrapText="1"/>
    </xf>
    <xf numFmtId="43" fontId="0" fillId="0" borderId="40" xfId="2" applyFont="1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0" fontId="0" fillId="0" borderId="39" xfId="0" applyBorder="1" applyAlignment="1">
      <alignment horizontal="center" vertical="center" wrapText="1"/>
    </xf>
    <xf numFmtId="0" fontId="0" fillId="0" borderId="40" xfId="0" applyBorder="1" applyAlignment="1">
      <alignment horizontal="center" vertical="center" wrapText="1"/>
    </xf>
    <xf numFmtId="0" fontId="1" fillId="8" borderId="37" xfId="0" applyFont="1" applyFill="1" applyBorder="1" applyAlignment="1">
      <alignment horizontal="center"/>
    </xf>
    <xf numFmtId="0" fontId="1" fillId="8" borderId="4" xfId="0" applyFont="1" applyFill="1" applyBorder="1" applyAlignment="1">
      <alignment horizontal="center"/>
    </xf>
    <xf numFmtId="0" fontId="1" fillId="5" borderId="3" xfId="0" applyFont="1" applyFill="1" applyBorder="1" applyAlignment="1">
      <alignment horizontal="center"/>
    </xf>
    <xf numFmtId="0" fontId="1" fillId="5" borderId="37" xfId="0" applyFont="1" applyFill="1" applyBorder="1" applyAlignment="1">
      <alignment horizontal="center"/>
    </xf>
    <xf numFmtId="0" fontId="1" fillId="5" borderId="4" xfId="0" applyFont="1" applyFill="1" applyBorder="1" applyAlignment="1">
      <alignment horizontal="center"/>
    </xf>
    <xf numFmtId="0" fontId="1" fillId="4" borderId="41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7" borderId="18" xfId="0" applyFont="1" applyFill="1" applyBorder="1" applyAlignment="1">
      <alignment horizontal="center" vertical="center"/>
    </xf>
    <xf numFmtId="0" fontId="1" fillId="7" borderId="19" xfId="0" applyFont="1" applyFill="1" applyBorder="1" applyAlignment="1">
      <alignment horizontal="center" vertical="center"/>
    </xf>
    <xf numFmtId="0" fontId="1" fillId="7" borderId="20" xfId="0" applyFont="1" applyFill="1" applyBorder="1" applyAlignment="1">
      <alignment horizontal="center" vertical="center"/>
    </xf>
    <xf numFmtId="0" fontId="1" fillId="9" borderId="19" xfId="0" applyFont="1" applyFill="1" applyBorder="1" applyAlignment="1">
      <alignment horizontal="center" vertical="center"/>
    </xf>
    <xf numFmtId="0" fontId="1" fillId="9" borderId="20" xfId="0" applyFont="1" applyFill="1" applyBorder="1" applyAlignment="1">
      <alignment horizontal="center" vertical="center"/>
    </xf>
    <xf numFmtId="168" fontId="9" fillId="0" borderId="27" xfId="2" applyNumberFormat="1" applyFont="1" applyBorder="1" applyAlignment="1">
      <alignment horizontal="center" vertical="center" wrapText="1"/>
    </xf>
    <xf numFmtId="168" fontId="9" fillId="0" borderId="40" xfId="2" applyNumberFormat="1" applyFont="1" applyBorder="1" applyAlignment="1">
      <alignment horizontal="center" vertical="center" wrapText="1"/>
    </xf>
    <xf numFmtId="0" fontId="1" fillId="0" borderId="69" xfId="0" applyFont="1" applyBorder="1" applyAlignment="1">
      <alignment horizontal="center" vertical="center" wrapText="1"/>
    </xf>
    <xf numFmtId="0" fontId="1" fillId="0" borderId="68" xfId="0" applyFont="1" applyBorder="1" applyAlignment="1">
      <alignment horizontal="center" vertical="center" wrapText="1"/>
    </xf>
    <xf numFmtId="171" fontId="1" fillId="0" borderId="35" xfId="2" applyNumberFormat="1" applyFont="1" applyBorder="1" applyAlignment="1">
      <alignment horizontal="center" vertical="center" wrapText="1"/>
    </xf>
    <xf numFmtId="171" fontId="1" fillId="0" borderId="33" xfId="2" applyNumberFormat="1" applyFont="1" applyBorder="1" applyAlignment="1">
      <alignment horizontal="center" vertical="center" wrapText="1"/>
    </xf>
    <xf numFmtId="17" fontId="6" fillId="3" borderId="60" xfId="0" applyNumberFormat="1" applyFont="1" applyFill="1" applyBorder="1" applyAlignment="1">
      <alignment horizontal="center"/>
    </xf>
    <xf numFmtId="0" fontId="6" fillId="3" borderId="60" xfId="0" applyNumberFormat="1" applyFont="1" applyFill="1" applyBorder="1" applyAlignment="1">
      <alignment horizontal="center"/>
    </xf>
    <xf numFmtId="0" fontId="1" fillId="0" borderId="8" xfId="0" applyFont="1" applyBorder="1" applyAlignment="1">
      <alignment horizontal="center" vertical="center" wrapText="1"/>
    </xf>
    <xf numFmtId="0" fontId="11" fillId="10" borderId="8" xfId="0" applyFont="1" applyFill="1" applyBorder="1" applyAlignment="1">
      <alignment horizontal="center" vertical="center" wrapText="1"/>
    </xf>
  </cellXfs>
  <cellStyles count="10">
    <cellStyle name="Comma" xfId="2" builtinId="3"/>
    <cellStyle name="Comma [0] 2" xfId="8"/>
    <cellStyle name="Comma 10" xfId="3"/>
    <cellStyle name="Comma 2" xfId="6"/>
    <cellStyle name="Currency" xfId="1" builtinId="4"/>
    <cellStyle name="Hyperlink" xfId="4" builtinId="8"/>
    <cellStyle name="Hyperlink 2" xfId="7"/>
    <cellStyle name="Normal" xfId="0" builtinId="0"/>
    <cellStyle name="Normal 2" xfId="9"/>
    <cellStyle name="Percent" xfId="5" builtinId="5"/>
  </cellStyles>
  <dxfs count="0"/>
  <tableStyles count="0" defaultTableStyle="TableStyleMedium2" defaultPivotStyle="PivotStyleLight16"/>
  <colors>
    <mruColors>
      <color rgb="FFF8CBAD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199718</xdr:colOff>
      <xdr:row>0</xdr:row>
      <xdr:rowOff>76814</xdr:rowOff>
    </xdr:from>
    <xdr:to>
      <xdr:col>3</xdr:col>
      <xdr:colOff>344023</xdr:colOff>
      <xdr:row>4</xdr:row>
      <xdr:rowOff>138265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7368" y="76814"/>
          <a:ext cx="1306355" cy="86155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Z33"/>
  <sheetViews>
    <sheetView workbookViewId="0">
      <selection activeCell="D27" sqref="D27"/>
    </sheetView>
  </sheetViews>
  <sheetFormatPr defaultColWidth="11.5703125" defaultRowHeight="15" x14ac:dyDescent="0.25"/>
  <cols>
    <col min="1" max="1" width="18.42578125" style="169" customWidth="1"/>
    <col min="2" max="2" width="11.5703125" style="170"/>
    <col min="3" max="3" width="11.5703125" style="171"/>
    <col min="4" max="4" width="13.42578125" style="170" customWidth="1"/>
    <col min="5" max="5" width="12.5703125" style="168" customWidth="1"/>
    <col min="6" max="6" width="12.5703125" style="172" customWidth="1"/>
    <col min="7" max="7" width="11.5703125" style="168"/>
    <col min="8" max="8" width="11.5703125" style="172"/>
    <col min="9" max="9" width="11.5703125" style="173"/>
    <col min="10" max="10" width="11.5703125" style="174"/>
    <col min="11" max="11" width="11.5703125" style="168"/>
    <col min="12" max="12" width="11.5703125" style="174"/>
    <col min="13" max="26" width="11.5703125" style="168"/>
  </cols>
  <sheetData>
    <row r="1" spans="1:15" s="162" customFormat="1" ht="60" x14ac:dyDescent="0.25">
      <c r="A1" s="158" t="s">
        <v>37</v>
      </c>
      <c r="B1" s="158" t="s">
        <v>38</v>
      </c>
      <c r="C1" s="159" t="s">
        <v>39</v>
      </c>
      <c r="D1" s="158" t="s">
        <v>40</v>
      </c>
      <c r="E1" s="157" t="s">
        <v>41</v>
      </c>
      <c r="F1" s="160" t="s">
        <v>42</v>
      </c>
      <c r="G1" s="157" t="s">
        <v>47</v>
      </c>
      <c r="H1" s="160" t="s">
        <v>48</v>
      </c>
      <c r="I1" s="176" t="s">
        <v>50</v>
      </c>
      <c r="J1" s="160" t="s">
        <v>51</v>
      </c>
      <c r="K1" s="157" t="s">
        <v>43</v>
      </c>
      <c r="L1" s="161" t="s">
        <v>44</v>
      </c>
      <c r="M1" s="157" t="s">
        <v>45</v>
      </c>
      <c r="N1" s="157" t="s">
        <v>3</v>
      </c>
    </row>
    <row r="2" spans="1:15" x14ac:dyDescent="0.25">
      <c r="A2" s="163" t="s">
        <v>49</v>
      </c>
      <c r="B2" s="164">
        <v>1</v>
      </c>
      <c r="C2" s="165">
        <v>1</v>
      </c>
      <c r="D2" s="164">
        <v>2021</v>
      </c>
      <c r="E2" s="166">
        <f>'FS Jimbaran January 2021'!P12</f>
        <v>17199.999999999971</v>
      </c>
      <c r="F2" s="175">
        <f>'FS Jimbaran January 2021'!O12/'FS Jimbaran January 2021'!P12</f>
        <v>1129.1206395348836</v>
      </c>
      <c r="G2" s="166">
        <f>'FS Jimbaran January 2021'!AG12</f>
        <v>48</v>
      </c>
      <c r="H2" s="175">
        <f>'FS Jimbaran January 2021'!AH12/'FS Jimbaran January 2021'!AG12</f>
        <v>11458.333333333334</v>
      </c>
      <c r="I2" s="166">
        <f>'FS Jimbaran January 2021'!AJ12</f>
        <v>276.88000000000466</v>
      </c>
      <c r="J2" s="167">
        <f>'FS Jimbaran January 2021'!AK12/'FS Jimbaran January 2021'!AJ12</f>
        <v>8600</v>
      </c>
      <c r="K2" s="166">
        <f>'FS Jimbaran January 2021'!V12</f>
        <v>362.23</v>
      </c>
      <c r="L2" s="175">
        <f>'FS Jimbaran January 2021'!AA12/'FS Jimbaran January 2021'!V12</f>
        <v>7583.6935135135136</v>
      </c>
      <c r="M2" s="166">
        <v>42</v>
      </c>
      <c r="N2" s="166">
        <v>423</v>
      </c>
    </row>
    <row r="3" spans="1:15" x14ac:dyDescent="0.25">
      <c r="A3" s="163" t="s">
        <v>49</v>
      </c>
      <c r="B3" s="164">
        <f>B2+1</f>
        <v>2</v>
      </c>
      <c r="C3" s="165">
        <v>1</v>
      </c>
      <c r="D3" s="164">
        <v>2021</v>
      </c>
      <c r="E3" s="177">
        <f>'FS Jimbaran January 2021'!P13</f>
        <v>16499.999999999996</v>
      </c>
      <c r="F3" s="175">
        <f>'FS Jimbaran January 2021'!O13/'FS Jimbaran January 2021'!P13</f>
        <v>1126.1753454545453</v>
      </c>
      <c r="G3" s="177">
        <f>'FS Jimbaran January 2021'!AG13</f>
        <v>862</v>
      </c>
      <c r="H3" s="175">
        <f>'FS Jimbaran January 2021'!AH13/'FS Jimbaran January 2021'!AG13</f>
        <v>11026.102088167054</v>
      </c>
      <c r="I3" s="177">
        <f>'FS Jimbaran January 2021'!AJ13</f>
        <v>349.82000000000698</v>
      </c>
      <c r="J3" s="167">
        <f>'FS Jimbaran January 2021'!AK13/'FS Jimbaran January 2021'!AJ13</f>
        <v>8600</v>
      </c>
      <c r="K3" s="177">
        <f>'FS Jimbaran January 2021'!V13</f>
        <v>356.89</v>
      </c>
      <c r="L3" s="175">
        <f>'FS Jimbaran January 2021'!AA13/'FS Jimbaran January 2021'!V13</f>
        <v>7530.9655361596006</v>
      </c>
      <c r="M3" s="177">
        <v>37</v>
      </c>
      <c r="N3" s="177">
        <v>341</v>
      </c>
    </row>
    <row r="4" spans="1:15" x14ac:dyDescent="0.25">
      <c r="A4" s="163" t="s">
        <v>49</v>
      </c>
      <c r="B4" s="164">
        <f t="shared" ref="B4:B31" si="0">B3+1</f>
        <v>3</v>
      </c>
      <c r="C4" s="165">
        <v>1</v>
      </c>
      <c r="D4" s="164">
        <v>2021</v>
      </c>
      <c r="E4" s="177">
        <f>'FS Jimbaran January 2021'!P14</f>
        <v>13580.000000000047</v>
      </c>
      <c r="F4" s="175">
        <f>'FS Jimbaran January 2021'!O14/'FS Jimbaran January 2021'!P14</f>
        <v>1071.6280559646543</v>
      </c>
      <c r="G4" s="177">
        <f>'FS Jimbaran January 2021'!AG14</f>
        <v>12</v>
      </c>
      <c r="H4" s="175">
        <f>'FS Jimbaran January 2021'!AH14/'FS Jimbaran January 2021'!AG14</f>
        <v>11458.333333333334</v>
      </c>
      <c r="I4" s="177">
        <f>'FS Jimbaran January 2021'!AJ14</f>
        <v>284.97999999999593</v>
      </c>
      <c r="J4" s="167">
        <f>'FS Jimbaran January 2021'!AK14/'FS Jimbaran January 2021'!AJ14</f>
        <v>8600</v>
      </c>
      <c r="K4" s="177">
        <f>'FS Jimbaran January 2021'!V14</f>
        <v>349.77</v>
      </c>
      <c r="L4" s="175">
        <f>'FS Jimbaran January 2021'!AA14/'FS Jimbaran January 2021'!V14</f>
        <v>7528.0044274809161</v>
      </c>
      <c r="M4" s="177">
        <v>29</v>
      </c>
      <c r="N4" s="177">
        <v>252</v>
      </c>
    </row>
    <row r="5" spans="1:15" x14ac:dyDescent="0.25">
      <c r="A5" s="163" t="s">
        <v>49</v>
      </c>
      <c r="B5" s="164">
        <f t="shared" si="0"/>
        <v>4</v>
      </c>
      <c r="C5" s="165">
        <v>1</v>
      </c>
      <c r="D5" s="164">
        <v>2021</v>
      </c>
      <c r="E5" s="177">
        <f>'FS Jimbaran January 2021'!P15</f>
        <v>19119.999999999913</v>
      </c>
      <c r="F5" s="175">
        <f>'FS Jimbaran January 2021'!O15/'FS Jimbaran January 2021'!P15</f>
        <v>1154.9597071129708</v>
      </c>
      <c r="G5" s="177">
        <f>'FS Jimbaran January 2021'!AG15</f>
        <v>24</v>
      </c>
      <c r="H5" s="175">
        <f>'FS Jimbaran January 2021'!AH15/'FS Jimbaran January 2021'!AG15</f>
        <v>11458.333333333334</v>
      </c>
      <c r="I5" s="177">
        <f>'FS Jimbaran January 2021'!AJ15</f>
        <v>297.97999999999593</v>
      </c>
      <c r="J5" s="167">
        <f>'FS Jimbaran January 2021'!AK15/'FS Jimbaran January 2021'!AJ15</f>
        <v>8600</v>
      </c>
      <c r="K5" s="177">
        <f>'FS Jimbaran January 2021'!V15</f>
        <v>334.64</v>
      </c>
      <c r="L5" s="175">
        <f>'FS Jimbaran January 2021'!AA15/'FS Jimbaran January 2021'!V15</f>
        <v>7019.3821276595745</v>
      </c>
      <c r="M5" s="177">
        <v>23</v>
      </c>
      <c r="N5" s="177">
        <v>199</v>
      </c>
    </row>
    <row r="6" spans="1:15" x14ac:dyDescent="0.25">
      <c r="A6" s="163" t="s">
        <v>49</v>
      </c>
      <c r="B6" s="164">
        <f t="shared" si="0"/>
        <v>5</v>
      </c>
      <c r="C6" s="165">
        <v>1</v>
      </c>
      <c r="D6" s="164">
        <v>2021</v>
      </c>
      <c r="E6" s="177">
        <f>'FS Jimbaran January 2021'!P16</f>
        <v>14820</v>
      </c>
      <c r="F6" s="175">
        <f>'FS Jimbaran January 2021'!O16/'FS Jimbaran January 2021'!P16</f>
        <v>1125.9389878542515</v>
      </c>
      <c r="G6" s="177">
        <f>'FS Jimbaran January 2021'!AG16</f>
        <v>362</v>
      </c>
      <c r="H6" s="175">
        <f>'FS Jimbaran January 2021'!AH16/'FS Jimbaran January 2021'!AG16</f>
        <v>11034.530386740331</v>
      </c>
      <c r="I6" s="177">
        <f>'FS Jimbaran January 2021'!AJ16</f>
        <v>315.86999999999534</v>
      </c>
      <c r="J6" s="167">
        <f>'FS Jimbaran January 2021'!AK16/'FS Jimbaran January 2021'!AJ16</f>
        <v>8600</v>
      </c>
      <c r="K6" s="177">
        <f>'FS Jimbaran January 2021'!V16</f>
        <v>356.89</v>
      </c>
      <c r="L6" s="175">
        <f>'FS Jimbaran January 2021'!AA16/'FS Jimbaran January 2021'!V16</f>
        <v>7530.9655361596006</v>
      </c>
      <c r="M6" s="177">
        <v>18</v>
      </c>
      <c r="N6" s="177">
        <v>137</v>
      </c>
    </row>
    <row r="7" spans="1:15" x14ac:dyDescent="0.25">
      <c r="A7" s="163" t="s">
        <v>49</v>
      </c>
      <c r="B7" s="164">
        <f t="shared" si="0"/>
        <v>6</v>
      </c>
      <c r="C7" s="165">
        <v>1</v>
      </c>
      <c r="D7" s="164">
        <v>2021</v>
      </c>
      <c r="E7" s="177">
        <f>'FS Jimbaran January 2021'!P17</f>
        <v>11119.999999999991</v>
      </c>
      <c r="F7" s="175">
        <f>'FS Jimbaran January 2021'!O17/'FS Jimbaran January 2021'!P17</f>
        <v>1146.6233633093518</v>
      </c>
      <c r="G7" s="177">
        <f>'FS Jimbaran January 2021'!AG17</f>
        <v>0</v>
      </c>
      <c r="H7" s="175" t="e">
        <f>'FS Jimbaran January 2021'!AH17/'FS Jimbaran January 2021'!AG17</f>
        <v>#DIV/0!</v>
      </c>
      <c r="I7" s="177">
        <f>'FS Jimbaran January 2021'!AJ17</f>
        <v>330.63000000000466</v>
      </c>
      <c r="J7" s="167">
        <f>'FS Jimbaran January 2021'!AK17/'FS Jimbaran January 2021'!AJ17</f>
        <v>8600</v>
      </c>
      <c r="K7" s="177">
        <f>'FS Jimbaran January 2021'!V17</f>
        <v>901.39200000000005</v>
      </c>
      <c r="L7" s="175">
        <f>'FS Jimbaran January 2021'!AA17/'FS Jimbaran January 2021'!V17</f>
        <v>5559.6794075829384</v>
      </c>
      <c r="M7" s="177">
        <v>14</v>
      </c>
      <c r="N7" s="177">
        <v>168</v>
      </c>
    </row>
    <row r="8" spans="1:15" x14ac:dyDescent="0.25">
      <c r="A8" s="163" t="s">
        <v>49</v>
      </c>
      <c r="B8" s="164">
        <f t="shared" si="0"/>
        <v>7</v>
      </c>
      <c r="C8" s="165">
        <v>1</v>
      </c>
      <c r="D8" s="164">
        <v>2021</v>
      </c>
      <c r="E8" s="177">
        <f>'FS Jimbaran January 2021'!P18</f>
        <v>14579.999999999995</v>
      </c>
      <c r="F8" s="175">
        <f>'FS Jimbaran January 2021'!O18/'FS Jimbaran January 2021'!P18</f>
        <v>1123.1606172839508</v>
      </c>
      <c r="G8" s="177">
        <f>'FS Jimbaran January 2021'!AG18</f>
        <v>24</v>
      </c>
      <c r="H8" s="175">
        <f>'FS Jimbaran January 2021'!AH18/'FS Jimbaran January 2021'!AG18</f>
        <v>11458.333333333334</v>
      </c>
      <c r="I8" s="177">
        <f>'FS Jimbaran January 2021'!AJ18</f>
        <v>426.54000000003725</v>
      </c>
      <c r="J8" s="167">
        <f>'FS Jimbaran January 2021'!AK18/'FS Jimbaran January 2021'!AJ18</f>
        <v>8600</v>
      </c>
      <c r="K8" s="177">
        <f>'FS Jimbaran January 2021'!V18</f>
        <v>420.61400000000009</v>
      </c>
      <c r="L8" s="175">
        <f>'FS Jimbaran January 2021'!AA18/'FS Jimbaran January 2021'!V18</f>
        <v>6946.0369614896308</v>
      </c>
      <c r="M8" s="177">
        <v>14</v>
      </c>
      <c r="N8" s="177">
        <v>131</v>
      </c>
    </row>
    <row r="9" spans="1:15" x14ac:dyDescent="0.25">
      <c r="A9" s="163" t="s">
        <v>49</v>
      </c>
      <c r="B9" s="164">
        <f t="shared" si="0"/>
        <v>8</v>
      </c>
      <c r="C9" s="165">
        <v>1</v>
      </c>
      <c r="D9" s="164">
        <v>2021</v>
      </c>
      <c r="E9" s="177">
        <f>'FS Jimbaran January 2021'!P19</f>
        <v>14040.000000000102</v>
      </c>
      <c r="F9" s="175">
        <f>'FS Jimbaran January 2021'!O19/'FS Jimbaran January 2021'!P19</f>
        <v>1119.1440598290594</v>
      </c>
      <c r="G9" s="177">
        <f>'FS Jimbaran January 2021'!AG19</f>
        <v>24</v>
      </c>
      <c r="H9" s="175">
        <f>'FS Jimbaran January 2021'!AH19/'FS Jimbaran January 2021'!AG19</f>
        <v>11458.333333333334</v>
      </c>
      <c r="I9" s="177">
        <f>'FS Jimbaran January 2021'!AJ19</f>
        <v>290.02000000000407</v>
      </c>
      <c r="J9" s="167">
        <f>'FS Jimbaran January 2021'!AK19/'FS Jimbaran January 2021'!AJ19</f>
        <v>8600</v>
      </c>
      <c r="K9" s="177">
        <f>'FS Jimbaran January 2021'!V19</f>
        <v>315.95</v>
      </c>
      <c r="L9" s="175">
        <f>'FS Jimbaran January 2021'!AA19/'FS Jimbaran January 2021'!V19</f>
        <v>6332.9264788732389</v>
      </c>
      <c r="M9" s="177">
        <v>13</v>
      </c>
      <c r="N9" s="177">
        <v>125</v>
      </c>
      <c r="O9" s="168" t="s">
        <v>46</v>
      </c>
    </row>
    <row r="10" spans="1:15" x14ac:dyDescent="0.25">
      <c r="A10" s="163" t="s">
        <v>49</v>
      </c>
      <c r="B10" s="164">
        <f t="shared" si="0"/>
        <v>9</v>
      </c>
      <c r="C10" s="165">
        <v>1</v>
      </c>
      <c r="D10" s="164">
        <v>2021</v>
      </c>
      <c r="E10" s="177">
        <f>'FS Jimbaran January 2021'!P20</f>
        <v>13939.999999999891</v>
      </c>
      <c r="F10" s="175">
        <f>'FS Jimbaran January 2021'!O20/'FS Jimbaran January 2021'!P20</f>
        <v>1127.9153802008616</v>
      </c>
      <c r="G10" s="177">
        <f>'FS Jimbaran January 2021'!AG20</f>
        <v>62</v>
      </c>
      <c r="H10" s="175">
        <f>'FS Jimbaran January 2021'!AH20/'FS Jimbaran January 2021'!AG20</f>
        <v>11104.838709677419</v>
      </c>
      <c r="I10" s="177">
        <f>'FS Jimbaran January 2021'!AJ20</f>
        <v>296.08000000000175</v>
      </c>
      <c r="J10" s="167">
        <f>'FS Jimbaran January 2021'!AK20/'FS Jimbaran January 2021'!AJ20</f>
        <v>8600</v>
      </c>
      <c r="K10" s="177">
        <f>'FS Jimbaran January 2021'!V20</f>
        <v>325.74</v>
      </c>
      <c r="L10" s="175">
        <f>'FS Jimbaran January 2021'!AA20/'FS Jimbaran January 2021'!V20</f>
        <v>6607.6799999999994</v>
      </c>
      <c r="M10" s="177">
        <v>11</v>
      </c>
      <c r="N10" s="177">
        <v>146</v>
      </c>
    </row>
    <row r="11" spans="1:15" x14ac:dyDescent="0.25">
      <c r="A11" s="163" t="s">
        <v>49</v>
      </c>
      <c r="B11" s="164">
        <f t="shared" si="0"/>
        <v>10</v>
      </c>
      <c r="C11" s="165">
        <v>1</v>
      </c>
      <c r="D11" s="164">
        <v>2021</v>
      </c>
      <c r="E11" s="177">
        <f>'FS Jimbaran January 2021'!P21</f>
        <v>13800.000000000004</v>
      </c>
      <c r="F11" s="175">
        <f>'FS Jimbaran January 2021'!O21/'FS Jimbaran January 2021'!P21</f>
        <v>1122.8455652173907</v>
      </c>
      <c r="G11" s="177">
        <f>'FS Jimbaran January 2021'!AG21</f>
        <v>12</v>
      </c>
      <c r="H11" s="175">
        <f>'FS Jimbaran January 2021'!AH21/'FS Jimbaran January 2021'!AG21</f>
        <v>11458.333333333334</v>
      </c>
      <c r="I11" s="177">
        <f>'FS Jimbaran January 2021'!AJ21</f>
        <v>171.01999999998952</v>
      </c>
      <c r="J11" s="167">
        <f>'FS Jimbaran January 2021'!AK21/'FS Jimbaran January 2021'!AJ21</f>
        <v>8600</v>
      </c>
      <c r="K11" s="177">
        <f>'FS Jimbaran January 2021'!V21</f>
        <v>317.73</v>
      </c>
      <c r="L11" s="175">
        <f>'FS Jimbaran January 2021'!AA21/'FS Jimbaran January 2021'!V21</f>
        <v>6475.0119327731099</v>
      </c>
      <c r="M11" s="177">
        <v>10</v>
      </c>
      <c r="N11" s="177">
        <v>116</v>
      </c>
    </row>
    <row r="12" spans="1:15" x14ac:dyDescent="0.25">
      <c r="A12" s="163" t="s">
        <v>49</v>
      </c>
      <c r="B12" s="164">
        <f t="shared" si="0"/>
        <v>11</v>
      </c>
      <c r="C12" s="165">
        <v>1</v>
      </c>
      <c r="D12" s="164">
        <v>2021</v>
      </c>
      <c r="E12" s="177">
        <f>'FS Jimbaran January 2021'!P22</f>
        <v>16880.000000000069</v>
      </c>
      <c r="F12" s="175">
        <f>'FS Jimbaran January 2021'!O22/'FS Jimbaran January 2021'!P22</f>
        <v>1111.2544905213265</v>
      </c>
      <c r="G12" s="177">
        <f>'FS Jimbaran January 2021'!AG22</f>
        <v>0</v>
      </c>
      <c r="H12" s="175" t="e">
        <f>'FS Jimbaran January 2021'!AH22/'FS Jimbaran January 2021'!AG22</f>
        <v>#DIV/0!</v>
      </c>
      <c r="I12" s="177">
        <f>'FS Jimbaran January 2021'!AJ22</f>
        <v>251.66999999999825</v>
      </c>
      <c r="J12" s="167">
        <f>'FS Jimbaran January 2021'!AK22/'FS Jimbaran January 2021'!AJ22</f>
        <v>8600</v>
      </c>
      <c r="K12" s="177">
        <f>'FS Jimbaran January 2021'!V22</f>
        <v>322.18</v>
      </c>
      <c r="L12" s="175">
        <f>'FS Jimbaran January 2021'!AA22/'FS Jimbaran January 2021'!V22</f>
        <v>6595.8706077348061</v>
      </c>
      <c r="M12" s="177">
        <v>11</v>
      </c>
      <c r="N12" s="177">
        <v>79</v>
      </c>
    </row>
    <row r="13" spans="1:15" x14ac:dyDescent="0.25">
      <c r="A13" s="163" t="s">
        <v>49</v>
      </c>
      <c r="B13" s="164">
        <f t="shared" si="0"/>
        <v>12</v>
      </c>
      <c r="C13" s="165">
        <v>1</v>
      </c>
      <c r="D13" s="164">
        <v>2021</v>
      </c>
      <c r="E13" s="177">
        <f>'FS Jimbaran January 2021'!P23</f>
        <v>14280.00000000002</v>
      </c>
      <c r="F13" s="175">
        <f>'FS Jimbaran January 2021'!O23/'FS Jimbaran January 2021'!P23</f>
        <v>1125.7216806722686</v>
      </c>
      <c r="G13" s="177">
        <f>'FS Jimbaran January 2021'!AG23</f>
        <v>362</v>
      </c>
      <c r="H13" s="175">
        <f>'FS Jimbaran January 2021'!AH23/'FS Jimbaran January 2021'!AG23</f>
        <v>11034.530386740331</v>
      </c>
      <c r="I13" s="177">
        <f>'FS Jimbaran January 2021'!AJ23</f>
        <v>279.53000000001339</v>
      </c>
      <c r="J13" s="167">
        <f>'FS Jimbaran January 2021'!AK23/'FS Jimbaran January 2021'!AJ23</f>
        <v>8600</v>
      </c>
      <c r="K13" s="177">
        <f>'FS Jimbaran January 2021'!V23</f>
        <v>331.08</v>
      </c>
      <c r="L13" s="175">
        <f>'FS Jimbaran January 2021'!AA23/'FS Jimbaran January 2021'!V23</f>
        <v>6569.5751612903241</v>
      </c>
      <c r="M13" s="177">
        <v>10</v>
      </c>
      <c r="N13" s="177">
        <v>85</v>
      </c>
    </row>
    <row r="14" spans="1:15" x14ac:dyDescent="0.25">
      <c r="A14" s="163" t="s">
        <v>49</v>
      </c>
      <c r="B14" s="164">
        <f t="shared" si="0"/>
        <v>13</v>
      </c>
      <c r="C14" s="165">
        <v>1</v>
      </c>
      <c r="D14" s="164">
        <v>2021</v>
      </c>
      <c r="E14" s="177">
        <f>'FS Jimbaran January 2021'!P24</f>
        <v>10599.999999999995</v>
      </c>
      <c r="F14" s="175">
        <f>'FS Jimbaran January 2021'!O24/'FS Jimbaran January 2021'!P24</f>
        <v>1149.1295094339632</v>
      </c>
      <c r="G14" s="177">
        <f>'FS Jimbaran January 2021'!AG24</f>
        <v>19.430150000028515</v>
      </c>
      <c r="H14" s="175">
        <f>'FS Jimbaran January 2021'!AH24/'FS Jimbaran January 2021'!AG24</f>
        <v>7076.6309060814356</v>
      </c>
      <c r="I14" s="177">
        <f>'FS Jimbaran January 2021'!AJ24</f>
        <v>265.00999999999476</v>
      </c>
      <c r="J14" s="167">
        <f>'FS Jimbaran January 2021'!AK24/'FS Jimbaran January 2021'!AJ24</f>
        <v>8600</v>
      </c>
      <c r="K14" s="177">
        <f>'FS Jimbaran January 2021'!V24</f>
        <v>487.71999999999997</v>
      </c>
      <c r="L14" s="175">
        <f>'FS Jimbaran January 2021'!AA24/'FS Jimbaran January 2021'!V24</f>
        <v>5948.2821897810227</v>
      </c>
      <c r="M14" s="177">
        <v>10</v>
      </c>
      <c r="N14" s="177">
        <v>81</v>
      </c>
    </row>
    <row r="15" spans="1:15" x14ac:dyDescent="0.25">
      <c r="A15" s="163" t="s">
        <v>49</v>
      </c>
      <c r="B15" s="164">
        <f t="shared" si="0"/>
        <v>14</v>
      </c>
      <c r="C15" s="165">
        <v>1</v>
      </c>
      <c r="D15" s="164">
        <v>2021</v>
      </c>
      <c r="E15" s="177">
        <f>'FS Jimbaran January 2021'!P25</f>
        <v>14299.999999999978</v>
      </c>
      <c r="F15" s="175">
        <f>'FS Jimbaran January 2021'!O25/'FS Jimbaran January 2021'!P25</f>
        <v>1130.6661398601398</v>
      </c>
      <c r="G15" s="177">
        <f>'FS Jimbaran January 2021'!AG25</f>
        <v>12</v>
      </c>
      <c r="H15" s="175">
        <f>'FS Jimbaran January 2021'!AH25/'FS Jimbaran January 2021'!AG25</f>
        <v>11458.333333333334</v>
      </c>
      <c r="I15" s="177">
        <f>'FS Jimbaran January 2021'!AJ25</f>
        <v>203.52999999999827</v>
      </c>
      <c r="J15" s="167">
        <f>'FS Jimbaran January 2021'!AK25/'FS Jimbaran January 2021'!AJ25</f>
        <v>8600</v>
      </c>
      <c r="K15" s="177">
        <f>'FS Jimbaran January 2021'!V25</f>
        <v>370.24</v>
      </c>
      <c r="L15" s="175">
        <f>'FS Jimbaran January 2021'!AA25/'FS Jimbaran January 2021'!V25</f>
        <v>6224.7473076923079</v>
      </c>
      <c r="M15" s="177">
        <v>9</v>
      </c>
      <c r="N15" s="177">
        <v>82</v>
      </c>
    </row>
    <row r="16" spans="1:15" x14ac:dyDescent="0.25">
      <c r="A16" s="163" t="s">
        <v>49</v>
      </c>
      <c r="B16" s="164">
        <f t="shared" si="0"/>
        <v>15</v>
      </c>
      <c r="C16" s="165">
        <v>1</v>
      </c>
      <c r="D16" s="164">
        <v>2021</v>
      </c>
      <c r="E16" s="177">
        <f>'FS Jimbaran January 2021'!P26</f>
        <v>14299.999999999945</v>
      </c>
      <c r="F16" s="175">
        <f>'FS Jimbaran January 2021'!O26/'FS Jimbaran January 2021'!P26</f>
        <v>1119.801314685315</v>
      </c>
      <c r="G16" s="177">
        <f>'FS Jimbaran January 2021'!AG26</f>
        <v>62</v>
      </c>
      <c r="H16" s="175">
        <f>'FS Jimbaran January 2021'!AH26/'FS Jimbaran January 2021'!AG26</f>
        <v>11104.838709677419</v>
      </c>
      <c r="I16" s="177">
        <f>'FS Jimbaran January 2021'!AJ26</f>
        <v>281.9399999999651</v>
      </c>
      <c r="J16" s="167">
        <f>'FS Jimbaran January 2021'!AK26/'FS Jimbaran January 2021'!AJ26</f>
        <v>8600</v>
      </c>
      <c r="K16" s="177">
        <f>'FS Jimbaran January 2021'!V26</f>
        <v>342.65000000000003</v>
      </c>
      <c r="L16" s="175">
        <f>'FS Jimbaran January 2021'!AA26/'FS Jimbaran January 2021'!V26</f>
        <v>6419.790389610389</v>
      </c>
      <c r="M16" s="177">
        <v>9</v>
      </c>
      <c r="N16" s="177">
        <v>52</v>
      </c>
    </row>
    <row r="17" spans="1:14" x14ac:dyDescent="0.25">
      <c r="A17" s="163" t="s">
        <v>49</v>
      </c>
      <c r="B17" s="164">
        <f t="shared" si="0"/>
        <v>16</v>
      </c>
      <c r="C17" s="165">
        <v>1</v>
      </c>
      <c r="D17" s="164">
        <v>2021</v>
      </c>
      <c r="E17" s="177">
        <f>'FS Jimbaran January 2021'!P27</f>
        <v>12999.999999999993</v>
      </c>
      <c r="F17" s="175">
        <f>'FS Jimbaran January 2021'!O27/'FS Jimbaran January 2021'!P27</f>
        <v>1120.2359076923078</v>
      </c>
      <c r="G17" s="177">
        <f>'FS Jimbaran January 2021'!AG27</f>
        <v>24</v>
      </c>
      <c r="H17" s="175">
        <f>'FS Jimbaran January 2021'!AH27/'FS Jimbaran January 2021'!AG27</f>
        <v>11458.333333333334</v>
      </c>
      <c r="I17" s="177">
        <f>'FS Jimbaran January 2021'!AJ27</f>
        <v>175.22</v>
      </c>
      <c r="J17" s="167">
        <f>'FS Jimbaran January 2021'!AK27/'FS Jimbaran January 2021'!AJ27</f>
        <v>8600</v>
      </c>
      <c r="K17" s="177">
        <f>'FS Jimbaran January 2021'!V27</f>
        <v>386.26</v>
      </c>
      <c r="L17" s="175">
        <f>'FS Jimbaran January 2021'!AA27/'FS Jimbaran January 2021'!V27</f>
        <v>6269.143133640554</v>
      </c>
      <c r="M17" s="177">
        <v>8</v>
      </c>
      <c r="N17" s="177">
        <v>68</v>
      </c>
    </row>
    <row r="18" spans="1:14" x14ac:dyDescent="0.25">
      <c r="A18" s="163" t="s">
        <v>49</v>
      </c>
      <c r="B18" s="164">
        <f t="shared" si="0"/>
        <v>17</v>
      </c>
      <c r="C18" s="165">
        <v>1</v>
      </c>
      <c r="D18" s="164">
        <v>2021</v>
      </c>
      <c r="E18" s="177">
        <f>'FS Jimbaran January 2021'!P28</f>
        <v>13340.0000000001</v>
      </c>
      <c r="F18" s="175">
        <f>'FS Jimbaran January 2021'!O28/'FS Jimbaran January 2021'!P28</f>
        <v>1126.6242728635675</v>
      </c>
      <c r="G18" s="177">
        <f>'FS Jimbaran January 2021'!AG28</f>
        <v>462</v>
      </c>
      <c r="H18" s="175">
        <f>'FS Jimbaran January 2021'!AH28/'FS Jimbaran January 2021'!AG28</f>
        <v>11031.385281385281</v>
      </c>
      <c r="I18" s="177">
        <f>'FS Jimbaran January 2021'!AJ28</f>
        <v>155.83000000000004</v>
      </c>
      <c r="J18" s="167">
        <f>'FS Jimbaran January 2021'!AK28/'FS Jimbaran January 2021'!AJ28</f>
        <v>8600</v>
      </c>
      <c r="K18" s="177">
        <f>'FS Jimbaran January 2021'!V28</f>
        <v>422.75</v>
      </c>
      <c r="L18" s="175">
        <f>'FS Jimbaran January 2021'!AA28/'FS Jimbaran January 2021'!V28</f>
        <v>5921.0747368421062</v>
      </c>
      <c r="M18" s="177">
        <v>5</v>
      </c>
      <c r="N18" s="177">
        <v>83</v>
      </c>
    </row>
    <row r="19" spans="1:14" x14ac:dyDescent="0.25">
      <c r="A19" s="163" t="s">
        <v>49</v>
      </c>
      <c r="B19" s="164">
        <f t="shared" si="0"/>
        <v>18</v>
      </c>
      <c r="C19" s="165">
        <v>1</v>
      </c>
      <c r="D19" s="164">
        <v>2021</v>
      </c>
      <c r="E19" s="177">
        <f>'FS Jimbaran January 2021'!P29</f>
        <v>16159.999999999987</v>
      </c>
      <c r="F19" s="175">
        <f>'FS Jimbaran January 2021'!O29/'FS Jimbaran January 2021'!P29</f>
        <v>1113.3353094059405</v>
      </c>
      <c r="G19" s="177">
        <f>'FS Jimbaran January 2021'!AG29</f>
        <v>12</v>
      </c>
      <c r="H19" s="175">
        <f>'FS Jimbaran January 2021'!AH29/'FS Jimbaran January 2021'!AG29</f>
        <v>11458.333333333334</v>
      </c>
      <c r="I19" s="177">
        <f>'FS Jimbaran January 2021'!AJ29</f>
        <v>241.01999999999998</v>
      </c>
      <c r="J19" s="167">
        <f>'FS Jimbaran January 2021'!AK29/'FS Jimbaran January 2021'!AJ29</f>
        <v>8600</v>
      </c>
      <c r="K19" s="177">
        <f>'FS Jimbaran January 2021'!V29</f>
        <v>744.12899999999991</v>
      </c>
      <c r="L19" s="175">
        <f>'FS Jimbaran January 2021'!AA29/'FS Jimbaran January 2021'!V29</f>
        <v>5312.1875349838538</v>
      </c>
      <c r="M19" s="177">
        <v>5</v>
      </c>
      <c r="N19" s="177">
        <v>63</v>
      </c>
    </row>
    <row r="20" spans="1:14" x14ac:dyDescent="0.25">
      <c r="A20" s="163" t="s">
        <v>49</v>
      </c>
      <c r="B20" s="164">
        <f t="shared" si="0"/>
        <v>19</v>
      </c>
      <c r="C20" s="165">
        <v>1</v>
      </c>
      <c r="D20" s="164">
        <v>2021</v>
      </c>
      <c r="E20" s="177">
        <f>'FS Jimbaran January 2021'!P30</f>
        <v>13059.999999999985</v>
      </c>
      <c r="F20" s="175">
        <f>'FS Jimbaran January 2021'!O30/'FS Jimbaran January 2021'!P30</f>
        <v>1123.8133690658497</v>
      </c>
      <c r="G20" s="177">
        <f>'FS Jimbaran January 2021'!AG30</f>
        <v>12</v>
      </c>
      <c r="H20" s="175">
        <f>'FS Jimbaran January 2021'!AH30/'FS Jimbaran January 2021'!AG30</f>
        <v>11458.333333333334</v>
      </c>
      <c r="I20" s="177">
        <f>'FS Jimbaran January 2021'!AJ30</f>
        <v>253.07999999999993</v>
      </c>
      <c r="J20" s="167">
        <f>'FS Jimbaran January 2021'!AK30/'FS Jimbaran January 2021'!AJ30</f>
        <v>8600</v>
      </c>
      <c r="K20" s="177">
        <f>'FS Jimbaran January 2021'!V30</f>
        <v>699.45100000000014</v>
      </c>
      <c r="L20" s="175">
        <f>'FS Jimbaran January 2021'!AA30/'FS Jimbaran January 2021'!V30</f>
        <v>5362.8794528565977</v>
      </c>
      <c r="M20" s="177">
        <v>4</v>
      </c>
      <c r="N20" s="177">
        <v>26</v>
      </c>
    </row>
    <row r="21" spans="1:14" x14ac:dyDescent="0.25">
      <c r="A21" s="163" t="s">
        <v>49</v>
      </c>
      <c r="B21" s="164">
        <f t="shared" si="0"/>
        <v>20</v>
      </c>
      <c r="C21" s="165">
        <v>1</v>
      </c>
      <c r="D21" s="164">
        <v>2021</v>
      </c>
      <c r="E21" s="177">
        <f>'FS Jimbaran January 2021'!P31</f>
        <v>10939.999999999935</v>
      </c>
      <c r="F21" s="175">
        <f>'FS Jimbaran January 2021'!O31/'FS Jimbaran January 2021'!P31</f>
        <v>1151.2874588665456</v>
      </c>
      <c r="G21" s="177">
        <f>'FS Jimbaran January 2021'!AG31</f>
        <v>12</v>
      </c>
      <c r="H21" s="175">
        <f>'FS Jimbaran January 2021'!AH31/'FS Jimbaran January 2021'!AG31</f>
        <v>11458.333333333334</v>
      </c>
      <c r="I21" s="177">
        <f>'FS Jimbaran January 2021'!AJ31</f>
        <v>250.40000000000009</v>
      </c>
      <c r="J21" s="167">
        <f>'FS Jimbaran January 2021'!AK31/'FS Jimbaran January 2021'!AJ31</f>
        <v>8600</v>
      </c>
      <c r="K21" s="177">
        <f>'FS Jimbaran January 2021'!V31</f>
        <v>534</v>
      </c>
      <c r="L21" s="175">
        <f>'FS Jimbaran January 2021'!AA31/'FS Jimbaran January 2021'!V31</f>
        <v>5663.43</v>
      </c>
      <c r="M21" s="177">
        <v>0</v>
      </c>
      <c r="N21" s="177">
        <v>24</v>
      </c>
    </row>
    <row r="22" spans="1:14" x14ac:dyDescent="0.25">
      <c r="A22" s="163" t="s">
        <v>49</v>
      </c>
      <c r="B22" s="164">
        <f t="shared" si="0"/>
        <v>21</v>
      </c>
      <c r="C22" s="165">
        <v>1</v>
      </c>
      <c r="D22" s="164">
        <v>2021</v>
      </c>
      <c r="E22" s="177">
        <f>'FS Jimbaran January 2021'!P32</f>
        <v>13920.000000000058</v>
      </c>
      <c r="F22" s="175">
        <f>'FS Jimbaran January 2021'!O32/'FS Jimbaran January 2021'!P32</f>
        <v>1126.5595689655172</v>
      </c>
      <c r="G22" s="177">
        <f>'FS Jimbaran January 2021'!AG32</f>
        <v>12</v>
      </c>
      <c r="H22" s="175">
        <f>'FS Jimbaran January 2021'!AH32/'FS Jimbaran January 2021'!AG32</f>
        <v>11458.333333333334</v>
      </c>
      <c r="I22" s="177">
        <f>'FS Jimbaran January 2021'!AJ32</f>
        <v>85.549999999999955</v>
      </c>
      <c r="J22" s="167">
        <f>'FS Jimbaran January 2021'!AK32/'FS Jimbaran January 2021'!AJ32</f>
        <v>8600</v>
      </c>
      <c r="K22" s="177">
        <f>'FS Jimbaran January 2021'!V32</f>
        <v>564.26</v>
      </c>
      <c r="L22" s="175">
        <f>'FS Jimbaran January 2021'!AA32/'FS Jimbaran January 2021'!V32</f>
        <v>5825.5033438485807</v>
      </c>
      <c r="M22" s="177">
        <v>2</v>
      </c>
      <c r="N22" s="177">
        <v>28</v>
      </c>
    </row>
    <row r="23" spans="1:14" x14ac:dyDescent="0.25">
      <c r="A23" s="163" t="s">
        <v>49</v>
      </c>
      <c r="B23" s="164">
        <f t="shared" si="0"/>
        <v>22</v>
      </c>
      <c r="C23" s="165">
        <v>1</v>
      </c>
      <c r="D23" s="164">
        <v>2021</v>
      </c>
      <c r="E23" s="177">
        <f>'FS Jimbaran January 2021'!P33</f>
        <v>13780.000000000025</v>
      </c>
      <c r="F23" s="175">
        <f>'FS Jimbaran January 2021'!O33/'FS Jimbaran January 2021'!P33</f>
        <v>1117.7103483309133</v>
      </c>
      <c r="G23" s="177">
        <f>'FS Jimbaran January 2021'!AG33</f>
        <v>12</v>
      </c>
      <c r="H23" s="175">
        <f>'FS Jimbaran January 2021'!AH33/'FS Jimbaran January 2021'!AG33</f>
        <v>11458.333333333334</v>
      </c>
      <c r="I23" s="177">
        <f>'FS Jimbaran January 2021'!AJ33</f>
        <v>157.68000000002326</v>
      </c>
      <c r="J23" s="167">
        <f>'FS Jimbaran January 2021'!AK33/'FS Jimbaran January 2021'!AJ33</f>
        <v>8600</v>
      </c>
      <c r="K23" s="177">
        <f>'FS Jimbaran January 2021'!V33</f>
        <v>433.43</v>
      </c>
      <c r="L23" s="175">
        <f>'FS Jimbaran January 2021'!AA33/'FS Jimbaran January 2021'!V33</f>
        <v>5682.5003285420953</v>
      </c>
      <c r="M23" s="177">
        <v>2</v>
      </c>
      <c r="N23" s="177">
        <v>28</v>
      </c>
    </row>
    <row r="24" spans="1:14" x14ac:dyDescent="0.25">
      <c r="A24" s="163" t="s">
        <v>49</v>
      </c>
      <c r="B24" s="164">
        <f t="shared" si="0"/>
        <v>23</v>
      </c>
      <c r="C24" s="165">
        <v>1</v>
      </c>
      <c r="D24" s="164">
        <v>2021</v>
      </c>
      <c r="E24" s="177">
        <f>'FS Jimbaran January 2021'!P34</f>
        <v>11959.999999999955</v>
      </c>
      <c r="F24" s="175">
        <f>'FS Jimbaran January 2021'!O34/'FS Jimbaran January 2021'!P34</f>
        <v>1124.98178929766</v>
      </c>
      <c r="G24" s="177">
        <f>'FS Jimbaran January 2021'!AG34</f>
        <v>12</v>
      </c>
      <c r="H24" s="175">
        <f>'FS Jimbaran January 2021'!AH34/'FS Jimbaran January 2021'!AG34</f>
        <v>11458.333333333334</v>
      </c>
      <c r="I24" s="177">
        <f>'FS Jimbaran January 2021'!AJ34</f>
        <v>134.1400000000001</v>
      </c>
      <c r="J24" s="167">
        <f>'FS Jimbaran January 2021'!AK34/'FS Jimbaran January 2021'!AJ34</f>
        <v>8600</v>
      </c>
      <c r="K24" s="177">
        <f>'FS Jimbaran January 2021'!V34</f>
        <v>364.01</v>
      </c>
      <c r="L24" s="175">
        <f>'FS Jimbaran January 2021'!AA34/'FS Jimbaran January 2021'!V34</f>
        <v>6325.7423471882639</v>
      </c>
      <c r="M24" s="177">
        <v>0</v>
      </c>
      <c r="N24" s="177">
        <v>28</v>
      </c>
    </row>
    <row r="25" spans="1:14" x14ac:dyDescent="0.25">
      <c r="A25" s="163" t="s">
        <v>49</v>
      </c>
      <c r="B25" s="164">
        <f t="shared" si="0"/>
        <v>24</v>
      </c>
      <c r="C25" s="165">
        <v>1</v>
      </c>
      <c r="D25" s="164">
        <v>2021</v>
      </c>
      <c r="E25" s="177">
        <f>'FS Jimbaran January 2021'!P35</f>
        <v>15100.000000000029</v>
      </c>
      <c r="F25" s="175">
        <f>'FS Jimbaran January 2021'!O35/'FS Jimbaran January 2021'!P35</f>
        <v>1111.2341721854302</v>
      </c>
      <c r="G25" s="177">
        <f>'FS Jimbaran January 2021'!AG35</f>
        <v>0</v>
      </c>
      <c r="H25" s="175" t="e">
        <f>'FS Jimbaran January 2021'!AH35/'FS Jimbaran January 2021'!AG35</f>
        <v>#DIV/0!</v>
      </c>
      <c r="I25" s="177">
        <f>'FS Jimbaran January 2021'!AJ35</f>
        <v>155.66999999999985</v>
      </c>
      <c r="J25" s="167">
        <f>'FS Jimbaran January 2021'!AK35/'FS Jimbaran January 2021'!AJ35</f>
        <v>8600</v>
      </c>
      <c r="K25" s="177">
        <f>'FS Jimbaran January 2021'!V35</f>
        <v>536.67000000000007</v>
      </c>
      <c r="L25" s="175">
        <f>'FS Jimbaran January 2021'!AA35/'FS Jimbaran January 2021'!V35</f>
        <v>5770.18</v>
      </c>
      <c r="M25" s="177">
        <v>1</v>
      </c>
      <c r="N25" s="177">
        <v>43</v>
      </c>
    </row>
    <row r="26" spans="1:14" x14ac:dyDescent="0.25">
      <c r="A26" s="163" t="s">
        <v>49</v>
      </c>
      <c r="B26" s="164">
        <f>B25+1</f>
        <v>25</v>
      </c>
      <c r="C26" s="165">
        <v>1</v>
      </c>
      <c r="D26" s="164">
        <v>2021</v>
      </c>
      <c r="E26" s="177">
        <f>'FS Jimbaran January 2021'!P36</f>
        <v>12719.99999999996</v>
      </c>
      <c r="F26" s="175">
        <f>'FS Jimbaran January 2021'!O36/'FS Jimbaran January 2021'!P36</f>
        <v>1124.5378773584905</v>
      </c>
      <c r="G26" s="177">
        <f>'FS Jimbaran January 2021'!AG36</f>
        <v>412</v>
      </c>
      <c r="H26" s="175">
        <f>'FS Jimbaran January 2021'!AH36/'FS Jimbaran January 2021'!AG36</f>
        <v>11032.766990291262</v>
      </c>
      <c r="I26" s="177">
        <f>'FS Jimbaran January 2021'!AJ36</f>
        <v>165.77999999999997</v>
      </c>
      <c r="J26" s="167">
        <f>'FS Jimbaran January 2021'!AK36/'FS Jimbaran January 2021'!AJ36</f>
        <v>8600</v>
      </c>
      <c r="K26" s="177">
        <f>'FS Jimbaran January 2021'!V36</f>
        <v>455.68</v>
      </c>
      <c r="L26" s="175">
        <f>'FS Jimbaran January 2021'!AA36/'FS Jimbaran January 2021'!V36</f>
        <v>5692.7385937500003</v>
      </c>
      <c r="M26" s="177">
        <v>3</v>
      </c>
      <c r="N26" s="177">
        <v>25</v>
      </c>
    </row>
    <row r="27" spans="1:14" x14ac:dyDescent="0.25">
      <c r="A27" s="163" t="s">
        <v>49</v>
      </c>
      <c r="B27" s="164">
        <f t="shared" si="0"/>
        <v>26</v>
      </c>
      <c r="C27" s="165">
        <v>1</v>
      </c>
      <c r="D27" s="164">
        <v>2021</v>
      </c>
      <c r="E27" s="177">
        <f>'FS Jimbaran January 2021'!P37</f>
        <v>11059.999999999967</v>
      </c>
      <c r="F27" s="175">
        <f>'FS Jimbaran January 2021'!O37/'FS Jimbaran January 2021'!P37</f>
        <v>1140.6691139240515</v>
      </c>
      <c r="G27" s="177">
        <f>'FS Jimbaran January 2021'!AG37</f>
        <v>12</v>
      </c>
      <c r="H27" s="175">
        <f>'FS Jimbaran January 2021'!AH37/'FS Jimbaran January 2021'!AG37</f>
        <v>11458.333333333334</v>
      </c>
      <c r="I27" s="177">
        <f>'FS Jimbaran January 2021'!AJ37</f>
        <v>157.73000000000002</v>
      </c>
      <c r="J27" s="167">
        <f>'FS Jimbaran January 2021'!AK37/'FS Jimbaran January 2021'!AJ37</f>
        <v>8600</v>
      </c>
      <c r="K27" s="177">
        <f>'FS Jimbaran January 2021'!V37</f>
        <v>771.71899999999994</v>
      </c>
      <c r="L27" s="175">
        <f>'FS Jimbaran January 2021'!AA37/'FS Jimbaran January 2021'!V37</f>
        <v>5210.7260731172873</v>
      </c>
      <c r="M27" s="177">
        <v>3</v>
      </c>
      <c r="N27" s="177">
        <v>47</v>
      </c>
    </row>
    <row r="28" spans="1:14" x14ac:dyDescent="0.25">
      <c r="A28" s="163" t="s">
        <v>49</v>
      </c>
      <c r="B28" s="164">
        <f t="shared" si="0"/>
        <v>27</v>
      </c>
      <c r="C28" s="165">
        <v>1</v>
      </c>
      <c r="D28" s="164">
        <v>2021</v>
      </c>
      <c r="E28" s="177">
        <f>'FS Jimbaran January 2021'!P38</f>
        <v>13500.000000000102</v>
      </c>
      <c r="F28" s="175">
        <f>'FS Jimbaran January 2021'!O38/'FS Jimbaran January 2021'!P38</f>
        <v>1124.0131111111104</v>
      </c>
      <c r="G28" s="177">
        <f>'FS Jimbaran January 2021'!AG38</f>
        <v>0</v>
      </c>
      <c r="H28" s="175" t="e">
        <f>'FS Jimbaran January 2021'!AH38/'FS Jimbaran January 2021'!AG38</f>
        <v>#DIV/0!</v>
      </c>
      <c r="I28" s="177">
        <f>'FS Jimbaran January 2021'!AJ38</f>
        <v>176</v>
      </c>
      <c r="J28" s="167">
        <f>'FS Jimbaran January 2021'!AK38/'FS Jimbaran January 2021'!AJ38</f>
        <v>8600</v>
      </c>
      <c r="K28" s="177">
        <f>'FS Jimbaran January 2021'!V38</f>
        <v>579.30100000000016</v>
      </c>
      <c r="L28" s="175">
        <f>'FS Jimbaran January 2021'!AA38/'FS Jimbaran January 2021'!V38</f>
        <v>5573.6098663389148</v>
      </c>
      <c r="M28" s="177">
        <v>3</v>
      </c>
      <c r="N28" s="177">
        <v>26</v>
      </c>
    </row>
    <row r="29" spans="1:14" x14ac:dyDescent="0.25">
      <c r="A29" s="163" t="s">
        <v>49</v>
      </c>
      <c r="B29" s="164">
        <f t="shared" si="0"/>
        <v>28</v>
      </c>
      <c r="C29" s="165">
        <v>1</v>
      </c>
      <c r="D29" s="164">
        <v>2021</v>
      </c>
      <c r="E29" s="177">
        <f>'FS Jimbaran January 2021'!P39</f>
        <v>16359.999999999847</v>
      </c>
      <c r="F29" s="175">
        <f>'FS Jimbaran January 2021'!O39/'FS Jimbaran January 2021'!P39</f>
        <v>1109.2216136919319</v>
      </c>
      <c r="G29" s="177">
        <f>'FS Jimbaran January 2021'!AG39</f>
        <v>50</v>
      </c>
      <c r="H29" s="175">
        <f>'FS Jimbaran January 2021'!AH39/'FS Jimbaran January 2021'!AG39</f>
        <v>11020</v>
      </c>
      <c r="I29" s="177">
        <f>'FS Jimbaran January 2021'!AJ39</f>
        <v>155.97000000000025</v>
      </c>
      <c r="J29" s="167">
        <f>'FS Jimbaran January 2021'!AK39/'FS Jimbaran January 2021'!AJ39</f>
        <v>8600</v>
      </c>
      <c r="K29" s="177">
        <f>'FS Jimbaran January 2021'!V39</f>
        <v>531.33000000000004</v>
      </c>
      <c r="L29" s="175">
        <f>'FS Jimbaran January 2021'!AA39/'FS Jimbaran January 2021'!V39</f>
        <v>5647.5669346733666</v>
      </c>
      <c r="M29" s="177">
        <v>3</v>
      </c>
      <c r="N29" s="177">
        <v>33</v>
      </c>
    </row>
    <row r="30" spans="1:14" x14ac:dyDescent="0.25">
      <c r="A30" s="163" t="s">
        <v>49</v>
      </c>
      <c r="B30" s="164">
        <f t="shared" si="0"/>
        <v>29</v>
      </c>
      <c r="C30" s="165">
        <v>1</v>
      </c>
      <c r="D30" s="164">
        <v>2021</v>
      </c>
      <c r="E30" s="177">
        <f>'FS Jimbaran January 2021'!P40</f>
        <v>11660.000000000022</v>
      </c>
      <c r="F30" s="175">
        <f>'FS Jimbaran January 2021'!O40/'FS Jimbaran January 2021'!P40</f>
        <v>1146.8198799313891</v>
      </c>
      <c r="G30" s="177">
        <f>'FS Jimbaran January 2021'!AG40</f>
        <v>12</v>
      </c>
      <c r="H30" s="175">
        <f>'FS Jimbaran January 2021'!AH40/'FS Jimbaran January 2021'!AG40</f>
        <v>11458.333333333334</v>
      </c>
      <c r="I30" s="177">
        <f>'FS Jimbaran January 2021'!AJ40</f>
        <v>156.26999999999998</v>
      </c>
      <c r="J30" s="167">
        <f>'FS Jimbaran January 2021'!AK40/'FS Jimbaran January 2021'!AJ40</f>
        <v>8600</v>
      </c>
      <c r="K30" s="177">
        <f>'FS Jimbaran January 2021'!V40</f>
        <v>512.72899999999993</v>
      </c>
      <c r="L30" s="175">
        <f>'FS Jimbaran January 2021'!AA40/'FS Jimbaran January 2021'!V40</f>
        <v>5841.3872556847782</v>
      </c>
      <c r="M30" s="177">
        <v>5</v>
      </c>
      <c r="N30" s="177">
        <v>12</v>
      </c>
    </row>
    <row r="31" spans="1:14" x14ac:dyDescent="0.25">
      <c r="A31" s="163" t="s">
        <v>49</v>
      </c>
      <c r="B31" s="164">
        <f t="shared" si="0"/>
        <v>30</v>
      </c>
      <c r="C31" s="165">
        <v>1</v>
      </c>
      <c r="D31" s="164">
        <v>2021</v>
      </c>
      <c r="E31" s="177">
        <f>'FS Jimbaran January 2021'!P41</f>
        <v>13480.000000000175</v>
      </c>
      <c r="F31" s="175">
        <f>'FS Jimbaran January 2021'!O41/'FS Jimbaran January 2021'!P41</f>
        <v>1127.2175519287821</v>
      </c>
      <c r="G31" s="177">
        <f>'FS Jimbaran January 2021'!AG41</f>
        <v>0</v>
      </c>
      <c r="H31" s="175" t="e">
        <f>'FS Jimbaran January 2021'!AH41/'FS Jimbaran January 2021'!AG41</f>
        <v>#DIV/0!</v>
      </c>
      <c r="I31" s="177">
        <f>'FS Jimbaran January 2021'!AJ41</f>
        <v>24.940000000000055</v>
      </c>
      <c r="J31" s="167">
        <f>'FS Jimbaran January 2021'!AK41/'FS Jimbaran January 2021'!AJ41</f>
        <v>8600</v>
      </c>
      <c r="K31" s="177">
        <f>'FS Jimbaran January 2021'!V41</f>
        <v>580.19100000000014</v>
      </c>
      <c r="L31" s="175">
        <f>'FS Jimbaran January 2021'!AA41/'FS Jimbaran January 2021'!V41</f>
        <v>5613.6797699033596</v>
      </c>
      <c r="M31" s="177">
        <v>5</v>
      </c>
      <c r="N31" s="177">
        <v>56</v>
      </c>
    </row>
    <row r="32" spans="1:14" x14ac:dyDescent="0.25">
      <c r="A32" s="163" t="s">
        <v>49</v>
      </c>
      <c r="B32" s="164">
        <v>31</v>
      </c>
      <c r="C32" s="165">
        <v>1</v>
      </c>
      <c r="D32" s="164">
        <v>2021</v>
      </c>
      <c r="E32" s="177">
        <f>'FS Jimbaran January 2021'!P42</f>
        <v>12979.999999999922</v>
      </c>
      <c r="F32" s="175">
        <f>'FS Jimbaran January 2021'!O42/'FS Jimbaran January 2021'!P42</f>
        <v>1128.3458551617878</v>
      </c>
      <c r="G32" s="177">
        <f>'FS Jimbaran January 2021'!AG42</f>
        <v>0</v>
      </c>
      <c r="H32" s="175" t="e">
        <f>'FS Jimbaran January 2021'!AH42/'FS Jimbaran January 2021'!AG42</f>
        <v>#DIV/0!</v>
      </c>
      <c r="I32" s="177">
        <f>'FS Jimbaran January 2021'!AJ42</f>
        <v>246.79999999999973</v>
      </c>
      <c r="J32" s="167">
        <f>'FS Jimbaran January 2021'!AK42/'FS Jimbaran January 2021'!AJ42</f>
        <v>8600</v>
      </c>
      <c r="K32" s="177">
        <f>'FS Jimbaran January 2021'!V42</f>
        <v>530.44000000000005</v>
      </c>
      <c r="L32" s="175">
        <f>'FS Jimbaran January 2021'!AA42/'FS Jimbaran January 2021'!V42</f>
        <v>5534.7773154362412</v>
      </c>
      <c r="M32" s="177">
        <v>4</v>
      </c>
      <c r="N32" s="177">
        <v>115</v>
      </c>
    </row>
    <row r="33" spans="5:14" x14ac:dyDescent="0.25">
      <c r="E33" s="173"/>
      <c r="G33" s="173"/>
      <c r="K33" s="173"/>
      <c r="M33" s="173"/>
      <c r="N33" s="173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AM113"/>
  <sheetViews>
    <sheetView tabSelected="1" zoomScale="73" zoomScaleNormal="73" workbookViewId="0">
      <pane xSplit="4" ySplit="10" topLeftCell="Z17" activePane="bottomRight" state="frozen"/>
      <selection pane="topRight" activeCell="E1" sqref="E1"/>
      <selection pane="bottomLeft" activeCell="A11" sqref="A11"/>
      <selection pane="bottomRight" activeCell="AJ47" sqref="AJ47"/>
    </sheetView>
  </sheetViews>
  <sheetFormatPr defaultRowHeight="15.75" x14ac:dyDescent="0.25"/>
  <cols>
    <col min="1" max="1" width="3.7109375" style="15" customWidth="1"/>
    <col min="2" max="2" width="8.7109375" style="15" customWidth="1"/>
    <col min="3" max="3" width="8.7109375" style="4" customWidth="1"/>
    <col min="4" max="4" width="9.140625" customWidth="1"/>
    <col min="5" max="5" width="14.7109375" style="4" customWidth="1"/>
    <col min="6" max="6" width="17.7109375" style="4" customWidth="1"/>
    <col min="7" max="7" width="14.85546875" customWidth="1"/>
    <col min="8" max="8" width="17.140625" style="4" customWidth="1"/>
    <col min="9" max="9" width="17" customWidth="1"/>
    <col min="10" max="10" width="14" customWidth="1"/>
    <col min="11" max="11" width="17.42578125" customWidth="1"/>
    <col min="12" max="12" width="14.140625" style="4" customWidth="1"/>
    <col min="13" max="13" width="18.28515625" style="65" bestFit="1" customWidth="1"/>
    <col min="14" max="14" width="20.42578125" style="69" customWidth="1"/>
    <col min="15" max="15" width="18.85546875" customWidth="1"/>
    <col min="16" max="16" width="15.140625" style="69" customWidth="1"/>
    <col min="17" max="17" width="19.7109375" customWidth="1"/>
    <col min="18" max="18" width="18.140625" style="90" customWidth="1"/>
    <col min="19" max="19" width="22.85546875" customWidth="1"/>
    <col min="20" max="20" width="17.140625" customWidth="1"/>
    <col min="21" max="21" width="18.85546875" customWidth="1"/>
    <col min="22" max="22" width="17.42578125" bestFit="1" customWidth="1"/>
    <col min="23" max="24" width="21.140625" bestFit="1" customWidth="1"/>
    <col min="25" max="25" width="19.7109375" bestFit="1" customWidth="1"/>
    <col min="26" max="26" width="21.28515625" bestFit="1" customWidth="1"/>
    <col min="27" max="27" width="16" bestFit="1" customWidth="1"/>
    <col min="28" max="28" width="9.85546875" customWidth="1"/>
    <col min="29" max="29" width="15.85546875" bestFit="1" customWidth="1"/>
    <col min="30" max="30" width="12.85546875" style="4" bestFit="1" customWidth="1"/>
    <col min="31" max="31" width="14.85546875" customWidth="1"/>
    <col min="32" max="32" width="12.28515625" bestFit="1" customWidth="1"/>
    <col min="33" max="33" width="10.7109375" bestFit="1" customWidth="1"/>
    <col min="34" max="34" width="19" style="4" customWidth="1"/>
    <col min="35" max="35" width="10.5703125" customWidth="1"/>
    <col min="36" max="36" width="13.28515625" style="90" bestFit="1" customWidth="1"/>
    <col min="37" max="37" width="20.7109375" bestFit="1" customWidth="1"/>
    <col min="38" max="38" width="9.42578125" style="42" bestFit="1" customWidth="1"/>
    <col min="39" max="39" width="2.28515625" style="15" customWidth="1"/>
  </cols>
  <sheetData>
    <row r="5" spans="1:39" x14ac:dyDescent="0.25">
      <c r="N5" s="178"/>
      <c r="X5" s="179"/>
    </row>
    <row r="6" spans="1:39" s="28" customFormat="1" ht="19.5" thickBot="1" x14ac:dyDescent="0.35">
      <c r="B6" s="28" t="s">
        <v>28</v>
      </c>
      <c r="C6" s="37"/>
      <c r="E6" s="37"/>
      <c r="F6" s="37"/>
      <c r="H6" s="37"/>
      <c r="L6" s="37"/>
      <c r="M6" s="60"/>
      <c r="N6" s="66"/>
      <c r="P6" s="66"/>
      <c r="R6" s="86"/>
      <c r="AD6" s="37"/>
      <c r="AH6" s="37"/>
      <c r="AJ6" s="86"/>
      <c r="AL6" s="39"/>
    </row>
    <row r="7" spans="1:39" s="12" customFormat="1" ht="16.5" thickBot="1" x14ac:dyDescent="0.3">
      <c r="A7" s="33"/>
      <c r="B7" s="251" t="s">
        <v>53</v>
      </c>
      <c r="C7" s="252"/>
      <c r="D7" s="252"/>
      <c r="E7" s="252"/>
      <c r="F7" s="252"/>
      <c r="G7" s="252"/>
      <c r="H7" s="252"/>
      <c r="I7" s="252"/>
      <c r="J7" s="252"/>
      <c r="K7" s="252"/>
      <c r="L7" s="252"/>
      <c r="M7" s="252"/>
      <c r="N7" s="252"/>
      <c r="O7" s="252"/>
      <c r="P7" s="252"/>
      <c r="Q7" s="252"/>
      <c r="R7" s="252"/>
      <c r="S7" s="252"/>
      <c r="T7" s="252"/>
      <c r="U7" s="252"/>
      <c r="V7" s="252"/>
      <c r="W7" s="252"/>
      <c r="X7" s="252"/>
      <c r="Y7" s="252"/>
      <c r="Z7" s="252"/>
      <c r="AA7" s="252"/>
      <c r="AB7" s="252"/>
      <c r="AC7" s="252"/>
      <c r="AD7" s="252"/>
      <c r="AE7" s="252"/>
      <c r="AF7" s="252"/>
      <c r="AG7" s="252"/>
      <c r="AH7" s="252"/>
      <c r="AI7" s="252"/>
      <c r="AJ7" s="252"/>
      <c r="AK7" s="252"/>
      <c r="AL7" s="253"/>
      <c r="AM7" s="33"/>
    </row>
    <row r="8" spans="1:39" s="8" customFormat="1" ht="15.75" customHeight="1" thickBot="1" x14ac:dyDescent="0.3">
      <c r="A8" s="29"/>
      <c r="B8" s="254" t="s">
        <v>1</v>
      </c>
      <c r="C8" s="257" t="s">
        <v>2</v>
      </c>
      <c r="D8" s="260" t="s">
        <v>3</v>
      </c>
      <c r="E8" s="263" t="s">
        <v>34</v>
      </c>
      <c r="F8" s="263"/>
      <c r="G8" s="263"/>
      <c r="H8" s="263"/>
      <c r="I8" s="263"/>
      <c r="J8" s="263"/>
      <c r="K8" s="263"/>
      <c r="L8" s="263"/>
      <c r="M8" s="263"/>
      <c r="N8" s="263"/>
      <c r="O8" s="263"/>
      <c r="P8" s="263"/>
      <c r="Q8" s="263"/>
      <c r="R8" s="263"/>
      <c r="S8" s="263"/>
      <c r="T8" s="263"/>
      <c r="U8" s="264"/>
      <c r="V8" s="265" t="s">
        <v>19</v>
      </c>
      <c r="W8" s="266"/>
      <c r="X8" s="266"/>
      <c r="Y8" s="266"/>
      <c r="Z8" s="266"/>
      <c r="AA8" s="266"/>
      <c r="AB8" s="267"/>
      <c r="AC8" s="268" t="s">
        <v>24</v>
      </c>
      <c r="AD8" s="268"/>
      <c r="AE8" s="268"/>
      <c r="AF8" s="268"/>
      <c r="AG8" s="268"/>
      <c r="AH8" s="268"/>
      <c r="AI8" s="268"/>
      <c r="AJ8" s="268"/>
      <c r="AK8" s="268"/>
      <c r="AL8" s="269"/>
      <c r="AM8" s="31"/>
    </row>
    <row r="9" spans="1:39" ht="15" customHeight="1" thickBot="1" x14ac:dyDescent="0.3">
      <c r="A9" s="32"/>
      <c r="B9" s="255"/>
      <c r="C9" s="258"/>
      <c r="D9" s="261"/>
      <c r="E9" s="270" t="s">
        <v>33</v>
      </c>
      <c r="F9" s="271"/>
      <c r="G9" s="271"/>
      <c r="H9" s="271"/>
      <c r="I9" s="272"/>
      <c r="J9" s="273" t="s">
        <v>5</v>
      </c>
      <c r="K9" s="273"/>
      <c r="L9" s="273"/>
      <c r="M9" s="273"/>
      <c r="N9" s="274"/>
      <c r="O9" s="260" t="s">
        <v>12</v>
      </c>
      <c r="P9" s="275" t="s">
        <v>32</v>
      </c>
      <c r="Q9" s="277" t="s">
        <v>52</v>
      </c>
      <c r="R9" s="279" t="s">
        <v>21</v>
      </c>
      <c r="S9" s="242" t="s">
        <v>13</v>
      </c>
      <c r="T9" s="244" t="s">
        <v>18</v>
      </c>
      <c r="U9" s="245"/>
      <c r="V9" s="54"/>
      <c r="W9" s="54" t="s">
        <v>4</v>
      </c>
      <c r="X9" s="54"/>
      <c r="Y9" s="55"/>
      <c r="Z9" s="184"/>
      <c r="AA9" s="246" t="s">
        <v>27</v>
      </c>
      <c r="AB9" s="247"/>
      <c r="AC9" s="268" t="s">
        <v>22</v>
      </c>
      <c r="AD9" s="268"/>
      <c r="AE9" s="268"/>
      <c r="AF9" s="268"/>
      <c r="AG9" s="268"/>
      <c r="AH9" s="268"/>
      <c r="AI9" s="269"/>
      <c r="AJ9" s="248" t="s">
        <v>20</v>
      </c>
      <c r="AK9" s="249"/>
      <c r="AL9" s="250"/>
      <c r="AM9" s="32"/>
    </row>
    <row r="10" spans="1:39" ht="61.5" customHeight="1" thickBot="1" x14ac:dyDescent="0.3">
      <c r="A10" s="30"/>
      <c r="B10" s="256"/>
      <c r="C10" s="259"/>
      <c r="D10" s="262"/>
      <c r="E10" s="100" t="s">
        <v>35</v>
      </c>
      <c r="F10" s="84" t="s">
        <v>6</v>
      </c>
      <c r="G10" s="135" t="s">
        <v>36</v>
      </c>
      <c r="H10" s="19" t="s">
        <v>6</v>
      </c>
      <c r="I10" s="101" t="s">
        <v>14</v>
      </c>
      <c r="J10" s="100" t="s">
        <v>35</v>
      </c>
      <c r="K10" s="85" t="s">
        <v>6</v>
      </c>
      <c r="L10" s="135" t="s">
        <v>36</v>
      </c>
      <c r="M10" s="61" t="s">
        <v>6</v>
      </c>
      <c r="N10" s="93" t="s">
        <v>15</v>
      </c>
      <c r="O10" s="262"/>
      <c r="P10" s="276"/>
      <c r="Q10" s="278"/>
      <c r="R10" s="280"/>
      <c r="S10" s="243"/>
      <c r="T10" s="185" t="s">
        <v>16</v>
      </c>
      <c r="U10" s="25" t="s">
        <v>17</v>
      </c>
      <c r="V10" s="186" t="s">
        <v>8</v>
      </c>
      <c r="W10" s="56" t="s">
        <v>0</v>
      </c>
      <c r="X10" s="56" t="s">
        <v>26</v>
      </c>
      <c r="Y10" s="24" t="s">
        <v>10</v>
      </c>
      <c r="Z10" s="24" t="s">
        <v>30</v>
      </c>
      <c r="AA10" s="24" t="s">
        <v>16</v>
      </c>
      <c r="AB10" s="13" t="s">
        <v>17</v>
      </c>
      <c r="AC10" s="127" t="s">
        <v>7</v>
      </c>
      <c r="AD10" s="49" t="s">
        <v>31</v>
      </c>
      <c r="AE10" s="48" t="s">
        <v>11</v>
      </c>
      <c r="AF10" s="48" t="s">
        <v>9</v>
      </c>
      <c r="AG10" s="48" t="s">
        <v>25</v>
      </c>
      <c r="AH10" s="49" t="s">
        <v>16</v>
      </c>
      <c r="AI10" s="50" t="s">
        <v>17</v>
      </c>
      <c r="AJ10" s="142" t="s">
        <v>23</v>
      </c>
      <c r="AK10" s="48" t="s">
        <v>16</v>
      </c>
      <c r="AL10" s="52" t="s">
        <v>17</v>
      </c>
      <c r="AM10" s="30"/>
    </row>
    <row r="11" spans="1:39" x14ac:dyDescent="0.25">
      <c r="A11" s="30"/>
      <c r="B11" s="58"/>
      <c r="C11" s="102"/>
      <c r="D11" s="187"/>
      <c r="E11" s="188"/>
      <c r="F11" s="91"/>
      <c r="G11" s="20"/>
      <c r="H11" s="21"/>
      <c r="I11" s="103"/>
      <c r="J11" s="92"/>
      <c r="K11" s="20"/>
      <c r="L11" s="21"/>
      <c r="M11" s="62"/>
      <c r="N11" s="94"/>
      <c r="O11" s="57"/>
      <c r="P11" s="111"/>
      <c r="Q11" s="189"/>
      <c r="R11" s="115"/>
      <c r="S11" s="190"/>
      <c r="T11" s="23"/>
      <c r="U11" s="26"/>
      <c r="V11" s="92"/>
      <c r="W11" s="20"/>
      <c r="X11" s="20"/>
      <c r="Y11" s="22"/>
      <c r="Z11" s="22"/>
      <c r="AA11" s="22"/>
      <c r="AB11" s="103"/>
      <c r="AC11" s="128"/>
      <c r="AD11" s="46"/>
      <c r="AE11" s="43"/>
      <c r="AF11" s="43"/>
      <c r="AG11" s="43"/>
      <c r="AH11" s="46"/>
      <c r="AI11" s="47"/>
      <c r="AJ11" s="143"/>
      <c r="AK11" s="43"/>
      <c r="AL11" s="51"/>
      <c r="AM11" s="30"/>
    </row>
    <row r="12" spans="1:39" x14ac:dyDescent="0.25">
      <c r="A12" s="36"/>
      <c r="B12" s="59">
        <v>1</v>
      </c>
      <c r="C12" s="152">
        <v>42</v>
      </c>
      <c r="D12" s="154">
        <v>423</v>
      </c>
      <c r="E12" s="107">
        <v>12519.999999999982</v>
      </c>
      <c r="F12" s="3">
        <v>12967965.599999981</v>
      </c>
      <c r="G12" s="38">
        <v>2639.9999999999864</v>
      </c>
      <c r="H12" s="3">
        <v>4101688.7999999789</v>
      </c>
      <c r="I12" s="104">
        <f>F12+H12</f>
        <v>17069654.399999961</v>
      </c>
      <c r="J12" s="107">
        <v>1580.0000000000055</v>
      </c>
      <c r="K12" s="3">
        <v>1636532.4000000055</v>
      </c>
      <c r="L12" s="191">
        <v>459.99999999999909</v>
      </c>
      <c r="M12" s="192">
        <v>714688.19999999867</v>
      </c>
      <c r="N12" s="95">
        <f>K12+M12</f>
        <v>2351220.6000000043</v>
      </c>
      <c r="O12" s="109">
        <f>N12+I12</f>
        <v>19420874.999999966</v>
      </c>
      <c r="P12" s="112">
        <f>L12+J12+G12+E12</f>
        <v>17199.999999999971</v>
      </c>
      <c r="Q12" s="137"/>
      <c r="R12" s="202"/>
      <c r="S12" s="207"/>
      <c r="T12" s="210"/>
      <c r="U12" s="213"/>
      <c r="V12" s="193">
        <f>Y12+W12</f>
        <v>362.23</v>
      </c>
      <c r="W12" s="3">
        <v>88.11</v>
      </c>
      <c r="X12" s="3">
        <v>1583352.5597999999</v>
      </c>
      <c r="Y12" s="34">
        <v>274.12</v>
      </c>
      <c r="Z12" s="34">
        <v>1163688.7416000001</v>
      </c>
      <c r="AA12" s="34">
        <f t="shared" ref="AA12:AA42" si="0">Z12+X12</f>
        <v>2747041.3014000002</v>
      </c>
      <c r="AB12" s="130">
        <f t="shared" ref="AB12:AB42" si="1">AA12/$AL$48</f>
        <v>211.70023492438787</v>
      </c>
      <c r="AC12" s="136">
        <v>0</v>
      </c>
      <c r="AD12" s="3">
        <v>0</v>
      </c>
      <c r="AE12" s="3">
        <v>0</v>
      </c>
      <c r="AF12" s="3">
        <v>48</v>
      </c>
      <c r="AG12" s="3">
        <f>SUM(AC12:AF12)</f>
        <v>48</v>
      </c>
      <c r="AH12" s="3">
        <v>550000</v>
      </c>
      <c r="AI12" s="44">
        <f t="shared" ref="AI12:AI42" si="2">AH12/$AL$48</f>
        <v>42.385649298055114</v>
      </c>
      <c r="AJ12" s="144">
        <v>276.88000000000466</v>
      </c>
      <c r="AK12" s="3">
        <v>2381168.00000004</v>
      </c>
      <c r="AL12" s="40">
        <f t="shared" ref="AL12:AL42" si="3">AK12/$AL$48</f>
        <v>183.50427594136909</v>
      </c>
      <c r="AM12" s="7"/>
    </row>
    <row r="13" spans="1:39" x14ac:dyDescent="0.25">
      <c r="A13" s="36"/>
      <c r="B13" s="59">
        <v>2</v>
      </c>
      <c r="C13" s="152">
        <v>37</v>
      </c>
      <c r="D13" s="154">
        <v>341</v>
      </c>
      <c r="E13" s="107">
        <v>12000</v>
      </c>
      <c r="F13" s="3">
        <v>12429360</v>
      </c>
      <c r="G13" s="38">
        <v>2439.9999999999977</v>
      </c>
      <c r="H13" s="3">
        <v>3790954.7999999966</v>
      </c>
      <c r="I13" s="104">
        <f t="shared" ref="I13:I42" si="4">F13+H13</f>
        <v>16220314.799999997</v>
      </c>
      <c r="J13" s="107">
        <v>1619.9999999999975</v>
      </c>
      <c r="K13" s="3">
        <v>1677963.5999999973</v>
      </c>
      <c r="L13" s="191">
        <v>440.00000000000125</v>
      </c>
      <c r="M13" s="192">
        <v>683614.80000000203</v>
      </c>
      <c r="N13" s="95">
        <f t="shared" ref="N13:N42" si="5">K13+M13</f>
        <v>2361578.3999999994</v>
      </c>
      <c r="O13" s="109">
        <f t="shared" ref="O13:O42" si="6">N13+I13</f>
        <v>18581893.199999996</v>
      </c>
      <c r="P13" s="112">
        <f t="shared" ref="P13:P42" si="7">L13+J13+G13+E13</f>
        <v>16499.999999999996</v>
      </c>
      <c r="Q13" s="201"/>
      <c r="R13" s="203"/>
      <c r="S13" s="208"/>
      <c r="T13" s="211"/>
      <c r="U13" s="214"/>
      <c r="V13" s="193">
        <f t="shared" ref="V13:V42" si="8">Y13+W13</f>
        <v>356.89</v>
      </c>
      <c r="W13" s="3">
        <v>85.44</v>
      </c>
      <c r="X13" s="3">
        <v>1535372.1791999999</v>
      </c>
      <c r="Y13" s="34">
        <v>271.45</v>
      </c>
      <c r="Z13" s="34">
        <v>1152354.111</v>
      </c>
      <c r="AA13" s="34">
        <f t="shared" si="0"/>
        <v>2687726.2901999997</v>
      </c>
      <c r="AB13" s="130">
        <f t="shared" si="1"/>
        <v>207.12913444650889</v>
      </c>
      <c r="AC13" s="136">
        <v>0</v>
      </c>
      <c r="AD13" s="3">
        <v>0</v>
      </c>
      <c r="AE13" s="3">
        <v>850</v>
      </c>
      <c r="AF13" s="3">
        <v>12</v>
      </c>
      <c r="AG13" s="3">
        <f t="shared" ref="AG13:AG42" si="9">SUM(AC13:AF13)</f>
        <v>862</v>
      </c>
      <c r="AH13" s="3">
        <v>9504500</v>
      </c>
      <c r="AI13" s="44">
        <f t="shared" si="2"/>
        <v>732.46255227884512</v>
      </c>
      <c r="AJ13" s="144">
        <v>349.82000000000698</v>
      </c>
      <c r="AK13" s="3">
        <v>3008452.0000000601</v>
      </c>
      <c r="AL13" s="40">
        <f t="shared" si="3"/>
        <v>231.84580254915463</v>
      </c>
      <c r="AM13" s="7"/>
    </row>
    <row r="14" spans="1:39" x14ac:dyDescent="0.25">
      <c r="A14" s="36"/>
      <c r="B14" s="59">
        <v>3</v>
      </c>
      <c r="C14" s="152">
        <v>29</v>
      </c>
      <c r="D14" s="154">
        <v>252</v>
      </c>
      <c r="E14" s="107">
        <v>10840.000000000033</v>
      </c>
      <c r="F14" s="3">
        <v>11227855.200000033</v>
      </c>
      <c r="G14" s="38">
        <v>480.00000000001819</v>
      </c>
      <c r="H14" s="3">
        <v>745761.60000002827</v>
      </c>
      <c r="I14" s="104">
        <f t="shared" si="4"/>
        <v>11973616.80000006</v>
      </c>
      <c r="J14" s="107">
        <v>1799.9999999999973</v>
      </c>
      <c r="K14" s="3">
        <v>1864403.9999999972</v>
      </c>
      <c r="L14" s="191">
        <v>459.99999999999909</v>
      </c>
      <c r="M14" s="192">
        <v>714688.19999999867</v>
      </c>
      <c r="N14" s="95">
        <f t="shared" si="5"/>
        <v>2579092.199999996</v>
      </c>
      <c r="O14" s="109">
        <f t="shared" si="6"/>
        <v>14552709.000000056</v>
      </c>
      <c r="P14" s="112">
        <f t="shared" si="7"/>
        <v>13580.000000000047</v>
      </c>
      <c r="Q14" s="201"/>
      <c r="R14" s="203"/>
      <c r="S14" s="208"/>
      <c r="T14" s="211"/>
      <c r="U14" s="214"/>
      <c r="V14" s="193">
        <f t="shared" si="8"/>
        <v>349.77</v>
      </c>
      <c r="W14" s="3">
        <v>83.66</v>
      </c>
      <c r="X14" s="3">
        <v>1503385.2588</v>
      </c>
      <c r="Y14" s="34">
        <v>266.11</v>
      </c>
      <c r="Z14" s="34">
        <v>1129684.8498000002</v>
      </c>
      <c r="AA14" s="34">
        <f t="shared" si="0"/>
        <v>2633070.1085999999</v>
      </c>
      <c r="AB14" s="130">
        <f t="shared" si="1"/>
        <v>202.91706581874817</v>
      </c>
      <c r="AC14" s="136">
        <v>0</v>
      </c>
      <c r="AD14" s="3">
        <v>0</v>
      </c>
      <c r="AE14" s="3">
        <v>0</v>
      </c>
      <c r="AF14" s="3">
        <v>12</v>
      </c>
      <c r="AG14" s="3">
        <f t="shared" si="9"/>
        <v>12</v>
      </c>
      <c r="AH14" s="3">
        <v>137500</v>
      </c>
      <c r="AI14" s="44">
        <f t="shared" si="2"/>
        <v>10.596412324513778</v>
      </c>
      <c r="AJ14" s="144">
        <v>284.97999999999593</v>
      </c>
      <c r="AK14" s="3">
        <v>2450827.9999999651</v>
      </c>
      <c r="AL14" s="40">
        <f t="shared" si="3"/>
        <v>188.87261108700426</v>
      </c>
      <c r="AM14" s="7"/>
    </row>
    <row r="15" spans="1:39" x14ac:dyDescent="0.25">
      <c r="A15" s="36"/>
      <c r="B15" s="59">
        <v>4</v>
      </c>
      <c r="C15" s="152">
        <v>23</v>
      </c>
      <c r="D15" s="154">
        <v>199</v>
      </c>
      <c r="E15" s="107">
        <v>13079.999999999927</v>
      </c>
      <c r="F15" s="3">
        <v>13548002.399999924</v>
      </c>
      <c r="G15" s="38">
        <v>4079.9999999999841</v>
      </c>
      <c r="H15" s="3">
        <v>6338973.5999999754</v>
      </c>
      <c r="I15" s="104">
        <f t="shared" si="4"/>
        <v>19886975.999999899</v>
      </c>
      <c r="J15" s="107">
        <v>1640.0000000000005</v>
      </c>
      <c r="K15" s="3">
        <v>1698679.2000000004</v>
      </c>
      <c r="L15" s="191">
        <v>320.00000000000028</v>
      </c>
      <c r="M15" s="192">
        <v>497174.40000000049</v>
      </c>
      <c r="N15" s="95">
        <f t="shared" si="5"/>
        <v>2195853.600000001</v>
      </c>
      <c r="O15" s="109">
        <f t="shared" si="6"/>
        <v>22082829.599999901</v>
      </c>
      <c r="P15" s="112">
        <f t="shared" si="7"/>
        <v>19119.999999999913</v>
      </c>
      <c r="Q15" s="201"/>
      <c r="R15" s="203"/>
      <c r="S15" s="208"/>
      <c r="T15" s="211"/>
      <c r="U15" s="214"/>
      <c r="V15" s="193">
        <f t="shared" si="8"/>
        <v>334.64</v>
      </c>
      <c r="W15" s="3">
        <v>67.64</v>
      </c>
      <c r="X15" s="3">
        <v>1215502.9752</v>
      </c>
      <c r="Y15" s="34">
        <v>267</v>
      </c>
      <c r="Z15" s="34">
        <v>1133463.06</v>
      </c>
      <c r="AA15" s="34">
        <f t="shared" si="0"/>
        <v>2348966.0351999998</v>
      </c>
      <c r="AB15" s="130">
        <f t="shared" si="1"/>
        <v>181.02263742005488</v>
      </c>
      <c r="AC15" s="136">
        <v>0</v>
      </c>
      <c r="AD15" s="3">
        <v>0</v>
      </c>
      <c r="AE15" s="3">
        <v>0</v>
      </c>
      <c r="AF15" s="3">
        <v>24</v>
      </c>
      <c r="AG15" s="3">
        <f t="shared" si="9"/>
        <v>24</v>
      </c>
      <c r="AH15" s="3">
        <v>275000</v>
      </c>
      <c r="AI15" s="44">
        <f t="shared" si="2"/>
        <v>21.192824649027557</v>
      </c>
      <c r="AJ15" s="144">
        <v>297.97999999999593</v>
      </c>
      <c r="AK15" s="3">
        <v>2562627.9999999651</v>
      </c>
      <c r="AL15" s="40">
        <f t="shared" si="3"/>
        <v>197.48845761704527</v>
      </c>
      <c r="AM15" s="7"/>
    </row>
    <row r="16" spans="1:39" x14ac:dyDescent="0.25">
      <c r="A16" s="36"/>
      <c r="B16" s="59">
        <v>5</v>
      </c>
      <c r="C16" s="152">
        <v>18</v>
      </c>
      <c r="D16" s="154">
        <v>137</v>
      </c>
      <c r="E16" s="107">
        <v>10639.999999999985</v>
      </c>
      <c r="F16" s="3">
        <v>11020699.199999984</v>
      </c>
      <c r="G16" s="38">
        <v>2080.0000000000127</v>
      </c>
      <c r="H16" s="3">
        <v>3231633.6000000201</v>
      </c>
      <c r="I16" s="104">
        <f t="shared" si="4"/>
        <v>14252332.800000004</v>
      </c>
      <c r="J16" s="107">
        <v>1600.0000000000014</v>
      </c>
      <c r="K16" s="3">
        <v>1657248.0000000014</v>
      </c>
      <c r="L16" s="191">
        <v>500</v>
      </c>
      <c r="M16" s="192">
        <v>776835</v>
      </c>
      <c r="N16" s="95">
        <f t="shared" si="5"/>
        <v>2434083.0000000014</v>
      </c>
      <c r="O16" s="109">
        <f t="shared" si="6"/>
        <v>16686415.800000006</v>
      </c>
      <c r="P16" s="112">
        <f t="shared" si="7"/>
        <v>14820</v>
      </c>
      <c r="Q16" s="201"/>
      <c r="R16" s="203"/>
      <c r="S16" s="208"/>
      <c r="T16" s="211"/>
      <c r="U16" s="214"/>
      <c r="V16" s="193">
        <f t="shared" si="8"/>
        <v>356.89</v>
      </c>
      <c r="W16" s="3">
        <v>85.44</v>
      </c>
      <c r="X16" s="3">
        <v>1535372.1791999999</v>
      </c>
      <c r="Y16" s="34">
        <v>271.45</v>
      </c>
      <c r="Z16" s="34">
        <v>1152354.111</v>
      </c>
      <c r="AA16" s="34">
        <f t="shared" si="0"/>
        <v>2687726.2901999997</v>
      </c>
      <c r="AB16" s="130">
        <f t="shared" si="1"/>
        <v>207.12913444650889</v>
      </c>
      <c r="AC16" s="136">
        <v>0</v>
      </c>
      <c r="AD16" s="3">
        <v>0</v>
      </c>
      <c r="AE16" s="3">
        <v>350</v>
      </c>
      <c r="AF16" s="3">
        <v>12</v>
      </c>
      <c r="AG16" s="3">
        <f t="shared" si="9"/>
        <v>362</v>
      </c>
      <c r="AH16" s="3">
        <v>3994500</v>
      </c>
      <c r="AI16" s="44">
        <f t="shared" si="2"/>
        <v>307.83541112923848</v>
      </c>
      <c r="AJ16" s="144">
        <v>315.86999999999534</v>
      </c>
      <c r="AK16" s="3">
        <v>2716481.99999996</v>
      </c>
      <c r="AL16" s="40">
        <f t="shared" si="3"/>
        <v>209.3451879572321</v>
      </c>
      <c r="AM16" s="7"/>
    </row>
    <row r="17" spans="1:39" x14ac:dyDescent="0.25">
      <c r="A17" s="36"/>
      <c r="B17" s="59">
        <v>6</v>
      </c>
      <c r="C17" s="152">
        <v>14</v>
      </c>
      <c r="D17" s="154">
        <v>168</v>
      </c>
      <c r="E17" s="107">
        <v>8000</v>
      </c>
      <c r="F17" s="3">
        <v>8286240</v>
      </c>
      <c r="G17" s="38">
        <v>2199.9999999999886</v>
      </c>
      <c r="H17" s="3">
        <v>3418073.9999999823</v>
      </c>
      <c r="I17" s="104">
        <f t="shared" si="4"/>
        <v>11704313.999999981</v>
      </c>
      <c r="J17" s="107">
        <v>740.00000000000205</v>
      </c>
      <c r="K17" s="3">
        <v>766477.20000000205</v>
      </c>
      <c r="L17" s="191">
        <v>179.99999999999972</v>
      </c>
      <c r="M17" s="192">
        <v>279660.59999999957</v>
      </c>
      <c r="N17" s="95">
        <f t="shared" si="5"/>
        <v>1046137.8000000017</v>
      </c>
      <c r="O17" s="109">
        <f t="shared" si="6"/>
        <v>12750451.799999982</v>
      </c>
      <c r="P17" s="112">
        <f t="shared" si="7"/>
        <v>11119.999999999991</v>
      </c>
      <c r="Q17" s="201"/>
      <c r="R17" s="203"/>
      <c r="S17" s="208"/>
      <c r="T17" s="211"/>
      <c r="U17" s="214"/>
      <c r="V17" s="193">
        <f t="shared" si="8"/>
        <v>901.39200000000005</v>
      </c>
      <c r="W17" s="3">
        <v>86.33</v>
      </c>
      <c r="X17" s="3">
        <v>1551365.6394</v>
      </c>
      <c r="Y17" s="34">
        <v>815.06200000000001</v>
      </c>
      <c r="Z17" s="34">
        <v>3460084.9011600004</v>
      </c>
      <c r="AA17" s="34">
        <f t="shared" si="0"/>
        <v>5011450.5405600006</v>
      </c>
      <c r="AB17" s="130">
        <f t="shared" si="1"/>
        <v>386.20651833949984</v>
      </c>
      <c r="AC17" s="136">
        <v>0</v>
      </c>
      <c r="AD17" s="3">
        <v>0</v>
      </c>
      <c r="AE17" s="3">
        <v>0</v>
      </c>
      <c r="AF17" s="3">
        <v>0</v>
      </c>
      <c r="AG17" s="3">
        <f t="shared" si="9"/>
        <v>0</v>
      </c>
      <c r="AH17" s="3">
        <v>0</v>
      </c>
      <c r="AI17" s="44">
        <f t="shared" si="2"/>
        <v>0</v>
      </c>
      <c r="AJ17" s="144">
        <v>330.63000000000466</v>
      </c>
      <c r="AK17" s="3">
        <v>2843418.00000004</v>
      </c>
      <c r="AL17" s="40">
        <f t="shared" si="3"/>
        <v>219.12748755596178</v>
      </c>
      <c r="AM17" s="7"/>
    </row>
    <row r="18" spans="1:39" x14ac:dyDescent="0.25">
      <c r="A18" s="36"/>
      <c r="B18" s="59">
        <v>7</v>
      </c>
      <c r="C18" s="152">
        <v>14</v>
      </c>
      <c r="D18" s="154">
        <v>131</v>
      </c>
      <c r="E18" s="107">
        <v>10759.999999999991</v>
      </c>
      <c r="F18" s="3">
        <v>11144992.79999999</v>
      </c>
      <c r="G18" s="38">
        <v>2120.0000000000045</v>
      </c>
      <c r="H18" s="3">
        <v>3293780.4000000074</v>
      </c>
      <c r="I18" s="104">
        <f t="shared" si="4"/>
        <v>14438773.199999997</v>
      </c>
      <c r="J18" s="107">
        <v>1359.9999999999995</v>
      </c>
      <c r="K18" s="3">
        <v>1408660.7999999996</v>
      </c>
      <c r="L18" s="191">
        <v>339.99999999999989</v>
      </c>
      <c r="M18" s="192">
        <v>528247.79999999981</v>
      </c>
      <c r="N18" s="95">
        <f t="shared" si="5"/>
        <v>1936908.5999999994</v>
      </c>
      <c r="O18" s="109">
        <f t="shared" si="6"/>
        <v>16375681.799999997</v>
      </c>
      <c r="P18" s="112">
        <f t="shared" si="7"/>
        <v>14579.999999999995</v>
      </c>
      <c r="Q18" s="201"/>
      <c r="R18" s="203"/>
      <c r="S18" s="208"/>
      <c r="T18" s="211"/>
      <c r="U18" s="214"/>
      <c r="V18" s="193">
        <f t="shared" si="8"/>
        <v>420.61400000000009</v>
      </c>
      <c r="W18" s="3">
        <v>82.77</v>
      </c>
      <c r="X18" s="3">
        <v>1487391.7985999999</v>
      </c>
      <c r="Y18" s="34">
        <v>337.84400000000011</v>
      </c>
      <c r="Z18" s="34">
        <v>1434208.5919200005</v>
      </c>
      <c r="AA18" s="34">
        <f t="shared" si="0"/>
        <v>2921600.3905200004</v>
      </c>
      <c r="AB18" s="130">
        <f t="shared" si="1"/>
        <v>225.15259916662109</v>
      </c>
      <c r="AC18" s="136">
        <v>0</v>
      </c>
      <c r="AD18" s="3">
        <v>0</v>
      </c>
      <c r="AE18" s="3">
        <v>0</v>
      </c>
      <c r="AF18" s="3">
        <v>24</v>
      </c>
      <c r="AG18" s="3">
        <f t="shared" si="9"/>
        <v>24</v>
      </c>
      <c r="AH18" s="3">
        <v>275000</v>
      </c>
      <c r="AI18" s="44">
        <f t="shared" si="2"/>
        <v>21.192824649027557</v>
      </c>
      <c r="AJ18" s="144">
        <v>426.54000000003725</v>
      </c>
      <c r="AK18" s="3">
        <v>3668244.0000003204</v>
      </c>
      <c r="AL18" s="40">
        <f t="shared" si="3"/>
        <v>282.6925522249245</v>
      </c>
      <c r="AM18" s="7"/>
    </row>
    <row r="19" spans="1:39" x14ac:dyDescent="0.25">
      <c r="A19" s="36"/>
      <c r="B19" s="59">
        <v>8</v>
      </c>
      <c r="C19" s="152">
        <v>13</v>
      </c>
      <c r="D19" s="154">
        <v>125</v>
      </c>
      <c r="E19" s="107">
        <v>10520.000000000095</v>
      </c>
      <c r="F19" s="3">
        <v>10896405.600000098</v>
      </c>
      <c r="G19" s="38">
        <v>1960.000000000008</v>
      </c>
      <c r="H19" s="3">
        <v>3045193.2000000123</v>
      </c>
      <c r="I19" s="104">
        <f t="shared" si="4"/>
        <v>13941598.800000111</v>
      </c>
      <c r="J19" s="107">
        <v>1259.999999999998</v>
      </c>
      <c r="K19" s="3">
        <v>1305082.799999998</v>
      </c>
      <c r="L19" s="191">
        <v>300.00000000000068</v>
      </c>
      <c r="M19" s="192">
        <v>466101.00000000111</v>
      </c>
      <c r="N19" s="95">
        <f t="shared" si="5"/>
        <v>1771183.7999999991</v>
      </c>
      <c r="O19" s="109">
        <f t="shared" si="6"/>
        <v>15712782.60000011</v>
      </c>
      <c r="P19" s="112">
        <f t="shared" si="7"/>
        <v>14040.000000000102</v>
      </c>
      <c r="Q19" s="201"/>
      <c r="R19" s="203"/>
      <c r="S19" s="208"/>
      <c r="T19" s="211"/>
      <c r="U19" s="214"/>
      <c r="V19" s="193">
        <f t="shared" si="8"/>
        <v>315.95</v>
      </c>
      <c r="W19" s="3">
        <v>48.06</v>
      </c>
      <c r="X19" s="3">
        <v>863646.85080000001</v>
      </c>
      <c r="Y19" s="34">
        <v>267.89</v>
      </c>
      <c r="Z19" s="34">
        <v>1137241.2701999999</v>
      </c>
      <c r="AA19" s="34">
        <f t="shared" si="0"/>
        <v>2000888.1209999998</v>
      </c>
      <c r="AB19" s="130">
        <f t="shared" si="1"/>
        <v>154.19807669336447</v>
      </c>
      <c r="AC19" s="136">
        <v>0</v>
      </c>
      <c r="AD19" s="3">
        <v>0</v>
      </c>
      <c r="AE19" s="3">
        <v>0</v>
      </c>
      <c r="AF19" s="3">
        <v>24</v>
      </c>
      <c r="AG19" s="3">
        <f t="shared" si="9"/>
        <v>24</v>
      </c>
      <c r="AH19" s="3">
        <v>275000</v>
      </c>
      <c r="AI19" s="44">
        <f t="shared" si="2"/>
        <v>21.192824649027557</v>
      </c>
      <c r="AJ19" s="144">
        <v>290.02000000000407</v>
      </c>
      <c r="AK19" s="3">
        <v>2494172.0000000349</v>
      </c>
      <c r="AL19" s="40">
        <f t="shared" si="3"/>
        <v>192.21290851096401</v>
      </c>
      <c r="AM19" s="7"/>
    </row>
    <row r="20" spans="1:39" x14ac:dyDescent="0.25">
      <c r="A20" s="36"/>
      <c r="B20" s="59">
        <v>9</v>
      </c>
      <c r="C20" s="152">
        <v>11</v>
      </c>
      <c r="D20" s="154">
        <v>146</v>
      </c>
      <c r="E20" s="107">
        <v>10239.999999999894</v>
      </c>
      <c r="F20" s="3">
        <v>10606387.199999891</v>
      </c>
      <c r="G20" s="38">
        <v>2159.9999999999964</v>
      </c>
      <c r="H20" s="3">
        <v>3355927.1999999946</v>
      </c>
      <c r="I20" s="104">
        <f t="shared" si="4"/>
        <v>13962314.399999887</v>
      </c>
      <c r="J20" s="107">
        <v>1219.9999999999989</v>
      </c>
      <c r="K20" s="3">
        <v>1263651.5999999987</v>
      </c>
      <c r="L20" s="191">
        <v>320.00000000000028</v>
      </c>
      <c r="M20" s="192">
        <v>497174.40000000049</v>
      </c>
      <c r="N20" s="95">
        <f t="shared" si="5"/>
        <v>1760825.9999999991</v>
      </c>
      <c r="O20" s="109">
        <f t="shared" si="6"/>
        <v>15723140.399999887</v>
      </c>
      <c r="P20" s="112">
        <f t="shared" si="7"/>
        <v>13939.999999999891</v>
      </c>
      <c r="Q20" s="201"/>
      <c r="R20" s="203"/>
      <c r="S20" s="208"/>
      <c r="T20" s="211"/>
      <c r="U20" s="214"/>
      <c r="V20" s="193">
        <f t="shared" si="8"/>
        <v>325.74</v>
      </c>
      <c r="W20" s="3">
        <v>56.07</v>
      </c>
      <c r="X20" s="3">
        <v>1007587.9926</v>
      </c>
      <c r="Y20" s="34">
        <v>269.67</v>
      </c>
      <c r="Z20" s="34">
        <v>1144797.6906000001</v>
      </c>
      <c r="AA20" s="34">
        <f t="shared" si="0"/>
        <v>2152385.6831999999</v>
      </c>
      <c r="AB20" s="130">
        <f t="shared" si="1"/>
        <v>165.87320858594538</v>
      </c>
      <c r="AC20" s="136">
        <v>0</v>
      </c>
      <c r="AD20" s="3">
        <v>0</v>
      </c>
      <c r="AE20" s="3">
        <v>50</v>
      </c>
      <c r="AF20" s="3">
        <v>12</v>
      </c>
      <c r="AG20" s="3">
        <f t="shared" si="9"/>
        <v>62</v>
      </c>
      <c r="AH20" s="3">
        <v>688500</v>
      </c>
      <c r="AI20" s="44">
        <f t="shared" si="2"/>
        <v>53.059126439474447</v>
      </c>
      <c r="AJ20" s="144">
        <v>296.08000000000175</v>
      </c>
      <c r="AK20" s="3">
        <v>2546288.0000000149</v>
      </c>
      <c r="AL20" s="40">
        <f t="shared" si="3"/>
        <v>196.22921850881235</v>
      </c>
      <c r="AM20" s="7"/>
    </row>
    <row r="21" spans="1:39" x14ac:dyDescent="0.25">
      <c r="A21" s="36"/>
      <c r="B21" s="59">
        <v>10</v>
      </c>
      <c r="C21" s="152">
        <v>10</v>
      </c>
      <c r="D21" s="154">
        <v>116</v>
      </c>
      <c r="E21" s="107">
        <v>10240.000000000009</v>
      </c>
      <c r="F21" s="3">
        <v>10606387.200000009</v>
      </c>
      <c r="G21" s="38">
        <v>2039.999999999992</v>
      </c>
      <c r="H21" s="3">
        <v>3169486.7999999877</v>
      </c>
      <c r="I21" s="104">
        <f t="shared" si="4"/>
        <v>13775873.999999996</v>
      </c>
      <c r="J21" s="107">
        <v>1240.000000000002</v>
      </c>
      <c r="K21" s="3">
        <v>1284367.200000002</v>
      </c>
      <c r="L21" s="191">
        <v>279.99999999999937</v>
      </c>
      <c r="M21" s="192">
        <v>435027.59999999905</v>
      </c>
      <c r="N21" s="95">
        <f t="shared" si="5"/>
        <v>1719394.8000000012</v>
      </c>
      <c r="O21" s="109">
        <f t="shared" si="6"/>
        <v>15495268.799999997</v>
      </c>
      <c r="P21" s="112">
        <f t="shared" si="7"/>
        <v>13800.000000000004</v>
      </c>
      <c r="Q21" s="201"/>
      <c r="R21" s="203"/>
      <c r="S21" s="208"/>
      <c r="T21" s="211"/>
      <c r="U21" s="214"/>
      <c r="V21" s="193">
        <f t="shared" si="8"/>
        <v>317.73</v>
      </c>
      <c r="W21" s="3">
        <v>51.62</v>
      </c>
      <c r="X21" s="3">
        <v>927620.69160000002</v>
      </c>
      <c r="Y21" s="34">
        <v>266.11</v>
      </c>
      <c r="Z21" s="34">
        <v>1129684.8498000002</v>
      </c>
      <c r="AA21" s="34">
        <f t="shared" si="0"/>
        <v>2057305.5414000002</v>
      </c>
      <c r="AB21" s="130">
        <f t="shared" si="1"/>
        <v>158.54587486677423</v>
      </c>
      <c r="AC21" s="136">
        <v>0</v>
      </c>
      <c r="AD21" s="3">
        <v>0</v>
      </c>
      <c r="AE21" s="3">
        <v>0</v>
      </c>
      <c r="AF21" s="3">
        <v>12</v>
      </c>
      <c r="AG21" s="3">
        <f t="shared" si="9"/>
        <v>12</v>
      </c>
      <c r="AH21" s="3">
        <v>137500</v>
      </c>
      <c r="AI21" s="44">
        <f t="shared" si="2"/>
        <v>10.596412324513778</v>
      </c>
      <c r="AJ21" s="144">
        <v>171.01999999998952</v>
      </c>
      <c r="AK21" s="3">
        <v>1470771.9999999099</v>
      </c>
      <c r="AL21" s="40">
        <f t="shared" si="3"/>
        <v>113.34477488980963</v>
      </c>
      <c r="AM21" s="7"/>
    </row>
    <row r="22" spans="1:39" x14ac:dyDescent="0.25">
      <c r="A22" s="36"/>
      <c r="B22" s="59">
        <v>11</v>
      </c>
      <c r="C22" s="152">
        <v>11</v>
      </c>
      <c r="D22" s="154">
        <v>79</v>
      </c>
      <c r="E22" s="107">
        <v>12920.000000000073</v>
      </c>
      <c r="F22" s="3">
        <v>13382277.600000074</v>
      </c>
      <c r="G22" s="38">
        <v>2159.9999999999964</v>
      </c>
      <c r="H22" s="3">
        <v>3355927.1999999946</v>
      </c>
      <c r="I22" s="104">
        <f t="shared" si="4"/>
        <v>16738204.800000068</v>
      </c>
      <c r="J22" s="107">
        <v>1500</v>
      </c>
      <c r="K22" s="3">
        <v>1553670</v>
      </c>
      <c r="L22" s="191">
        <v>300.00000000000068</v>
      </c>
      <c r="M22" s="192">
        <v>466101.00000000111</v>
      </c>
      <c r="N22" s="95">
        <f t="shared" si="5"/>
        <v>2019771.0000000012</v>
      </c>
      <c r="O22" s="109">
        <f t="shared" si="6"/>
        <v>18757975.800000068</v>
      </c>
      <c r="P22" s="112">
        <f t="shared" si="7"/>
        <v>16880.000000000069</v>
      </c>
      <c r="Q22" s="201"/>
      <c r="R22" s="203"/>
      <c r="S22" s="208"/>
      <c r="T22" s="211"/>
      <c r="U22" s="214"/>
      <c r="V22" s="193">
        <f t="shared" si="8"/>
        <v>322.18</v>
      </c>
      <c r="W22" s="3">
        <v>55.18</v>
      </c>
      <c r="X22" s="3">
        <v>991594.53240000003</v>
      </c>
      <c r="Y22" s="34">
        <v>267</v>
      </c>
      <c r="Z22" s="34">
        <v>1133463.06</v>
      </c>
      <c r="AA22" s="34">
        <f t="shared" si="0"/>
        <v>2125057.5924</v>
      </c>
      <c r="AB22" s="130">
        <f t="shared" si="1"/>
        <v>163.76717427206501</v>
      </c>
      <c r="AC22" s="136">
        <v>0</v>
      </c>
      <c r="AD22" s="3">
        <v>0</v>
      </c>
      <c r="AE22" s="3">
        <v>0</v>
      </c>
      <c r="AF22" s="3">
        <v>0</v>
      </c>
      <c r="AG22" s="3">
        <f t="shared" si="9"/>
        <v>0</v>
      </c>
      <c r="AH22" s="3">
        <v>0</v>
      </c>
      <c r="AI22" s="44">
        <f t="shared" si="2"/>
        <v>0</v>
      </c>
      <c r="AJ22" s="144">
        <v>251.66999999999825</v>
      </c>
      <c r="AK22" s="3">
        <v>2164361.9999999851</v>
      </c>
      <c r="AL22" s="40">
        <f t="shared" si="3"/>
        <v>166.79616124733914</v>
      </c>
      <c r="AM22" s="7"/>
    </row>
    <row r="23" spans="1:39" x14ac:dyDescent="0.25">
      <c r="A23" s="36"/>
      <c r="B23" s="59">
        <v>12</v>
      </c>
      <c r="C23" s="152">
        <v>10</v>
      </c>
      <c r="D23" s="154">
        <v>85</v>
      </c>
      <c r="E23" s="107">
        <v>10600.000000000022</v>
      </c>
      <c r="F23" s="3">
        <v>10979268.000000022</v>
      </c>
      <c r="G23" s="38">
        <v>2159.9999999999964</v>
      </c>
      <c r="H23" s="3">
        <v>3355927.1999999946</v>
      </c>
      <c r="I23" s="104">
        <f t="shared" si="4"/>
        <v>14335195.200000018</v>
      </c>
      <c r="J23" s="107">
        <v>1200.0000000000027</v>
      </c>
      <c r="K23" s="3">
        <v>1242936.0000000028</v>
      </c>
      <c r="L23" s="191">
        <v>319.99999999999852</v>
      </c>
      <c r="M23" s="192">
        <v>497174.39999999775</v>
      </c>
      <c r="N23" s="95">
        <f t="shared" si="5"/>
        <v>1740110.4000000006</v>
      </c>
      <c r="O23" s="109">
        <f t="shared" si="6"/>
        <v>16075305.600000018</v>
      </c>
      <c r="P23" s="112">
        <f t="shared" si="7"/>
        <v>14280.00000000002</v>
      </c>
      <c r="Q23" s="201"/>
      <c r="R23" s="203"/>
      <c r="S23" s="208"/>
      <c r="T23" s="211"/>
      <c r="U23" s="214"/>
      <c r="V23" s="193">
        <f t="shared" si="8"/>
        <v>331.08</v>
      </c>
      <c r="W23" s="3">
        <v>56.07</v>
      </c>
      <c r="X23" s="3">
        <v>1007587.9926</v>
      </c>
      <c r="Y23" s="34">
        <v>275.01</v>
      </c>
      <c r="Z23" s="34">
        <v>1167466.9518000002</v>
      </c>
      <c r="AA23" s="34">
        <f t="shared" si="0"/>
        <v>2175054.9444000004</v>
      </c>
      <c r="AB23" s="130">
        <f t="shared" si="1"/>
        <v>167.62021104970759</v>
      </c>
      <c r="AC23" s="136">
        <v>0</v>
      </c>
      <c r="AD23" s="3">
        <v>0</v>
      </c>
      <c r="AE23" s="3">
        <v>350</v>
      </c>
      <c r="AF23" s="3">
        <v>12</v>
      </c>
      <c r="AG23" s="3">
        <f t="shared" si="9"/>
        <v>362</v>
      </c>
      <c r="AH23" s="3">
        <v>3994500</v>
      </c>
      <c r="AI23" s="44">
        <f t="shared" si="2"/>
        <v>307.83541112923848</v>
      </c>
      <c r="AJ23" s="144">
        <v>279.53000000001339</v>
      </c>
      <c r="AK23" s="3">
        <v>2403958.000000115</v>
      </c>
      <c r="AL23" s="40">
        <f t="shared" si="3"/>
        <v>185.26058311865245</v>
      </c>
      <c r="AM23" s="7"/>
    </row>
    <row r="24" spans="1:39" x14ac:dyDescent="0.25">
      <c r="A24" s="36"/>
      <c r="B24" s="59">
        <v>13</v>
      </c>
      <c r="C24" s="152">
        <v>10</v>
      </c>
      <c r="D24" s="154">
        <v>81</v>
      </c>
      <c r="E24" s="107">
        <v>7399.9999999999773</v>
      </c>
      <c r="F24" s="3">
        <v>7664771.9999999758</v>
      </c>
      <c r="G24" s="38">
        <v>2040.0000000000205</v>
      </c>
      <c r="H24" s="3">
        <v>3169486.8000000319</v>
      </c>
      <c r="I24" s="104">
        <f t="shared" si="4"/>
        <v>10834258.800000008</v>
      </c>
      <c r="J24" s="107">
        <v>879.99999999999545</v>
      </c>
      <c r="K24" s="3">
        <v>911486.39999999525</v>
      </c>
      <c r="L24" s="191">
        <v>280.00000000000114</v>
      </c>
      <c r="M24" s="192">
        <v>435027.60000000178</v>
      </c>
      <c r="N24" s="95">
        <f t="shared" si="5"/>
        <v>1346513.999999997</v>
      </c>
      <c r="O24" s="109">
        <f t="shared" si="6"/>
        <v>12180772.800000004</v>
      </c>
      <c r="P24" s="112">
        <f t="shared" si="7"/>
        <v>10599.999999999995</v>
      </c>
      <c r="Q24" s="201"/>
      <c r="R24" s="203"/>
      <c r="S24" s="208"/>
      <c r="T24" s="211"/>
      <c r="U24" s="214"/>
      <c r="V24" s="193">
        <f t="shared" si="8"/>
        <v>487.71999999999997</v>
      </c>
      <c r="W24" s="3">
        <v>60.52</v>
      </c>
      <c r="X24" s="3">
        <v>1087555.2936</v>
      </c>
      <c r="Y24" s="34">
        <v>427.2</v>
      </c>
      <c r="Z24" s="34">
        <v>1813540.8960000002</v>
      </c>
      <c r="AA24" s="34">
        <f t="shared" si="0"/>
        <v>2901096.1896000002</v>
      </c>
      <c r="AB24" s="130">
        <f t="shared" si="1"/>
        <v>223.57244667692657</v>
      </c>
      <c r="AC24" s="136">
        <v>7.4301500000285161</v>
      </c>
      <c r="AD24" s="3">
        <v>0</v>
      </c>
      <c r="AE24" s="3">
        <v>0</v>
      </c>
      <c r="AF24" s="3">
        <v>12</v>
      </c>
      <c r="AG24" s="3">
        <f t="shared" si="9"/>
        <v>19.430150000028515</v>
      </c>
      <c r="AH24" s="3">
        <v>137500</v>
      </c>
      <c r="AI24" s="44">
        <f t="shared" si="2"/>
        <v>10.596412324513778</v>
      </c>
      <c r="AJ24" s="144">
        <v>265.00999999999476</v>
      </c>
      <c r="AK24" s="3">
        <v>2279085.9999999548</v>
      </c>
      <c r="AL24" s="40">
        <f t="shared" si="3"/>
        <v>175.63734530200969</v>
      </c>
      <c r="AM24" s="7"/>
    </row>
    <row r="25" spans="1:39" x14ac:dyDescent="0.25">
      <c r="A25" s="36"/>
      <c r="B25" s="59">
        <v>14</v>
      </c>
      <c r="C25" s="152">
        <v>9</v>
      </c>
      <c r="D25" s="154">
        <v>82</v>
      </c>
      <c r="E25" s="107">
        <v>10519.999999999982</v>
      </c>
      <c r="F25" s="3">
        <v>10896405.599999981</v>
      </c>
      <c r="G25" s="38">
        <v>2319.9999999999932</v>
      </c>
      <c r="H25" s="3">
        <v>3604514.3999999897</v>
      </c>
      <c r="I25" s="104">
        <f t="shared" si="4"/>
        <v>14500919.99999997</v>
      </c>
      <c r="J25" s="107">
        <v>1160.0000000000036</v>
      </c>
      <c r="K25" s="3">
        <v>1201504.8000000038</v>
      </c>
      <c r="L25" s="191">
        <v>299.99999999999892</v>
      </c>
      <c r="M25" s="192">
        <v>466100.99999999837</v>
      </c>
      <c r="N25" s="95">
        <f t="shared" si="5"/>
        <v>1667605.8000000021</v>
      </c>
      <c r="O25" s="109">
        <f t="shared" si="6"/>
        <v>16168525.799999973</v>
      </c>
      <c r="P25" s="112">
        <f t="shared" si="7"/>
        <v>14299.999999999978</v>
      </c>
      <c r="Q25" s="201"/>
      <c r="R25" s="203"/>
      <c r="S25" s="208"/>
      <c r="T25" s="211"/>
      <c r="U25" s="214"/>
      <c r="V25" s="193">
        <f t="shared" si="8"/>
        <v>370.24</v>
      </c>
      <c r="W25" s="3">
        <v>53.4</v>
      </c>
      <c r="X25" s="3">
        <v>959607.61199999996</v>
      </c>
      <c r="Y25" s="34">
        <v>316.84000000000003</v>
      </c>
      <c r="Z25" s="34">
        <v>1345042.8312000001</v>
      </c>
      <c r="AA25" s="34">
        <f t="shared" si="0"/>
        <v>2304650.4432000001</v>
      </c>
      <c r="AB25" s="130">
        <f t="shared" si="1"/>
        <v>177.60746443651362</v>
      </c>
      <c r="AC25" s="136">
        <v>0</v>
      </c>
      <c r="AD25" s="3">
        <v>0</v>
      </c>
      <c r="AE25" s="3">
        <v>0</v>
      </c>
      <c r="AF25" s="3">
        <v>12</v>
      </c>
      <c r="AG25" s="3">
        <f t="shared" si="9"/>
        <v>12</v>
      </c>
      <c r="AH25" s="3">
        <v>137500</v>
      </c>
      <c r="AI25" s="44">
        <f t="shared" si="2"/>
        <v>10.596412324513778</v>
      </c>
      <c r="AJ25" s="144">
        <v>203.52999999999827</v>
      </c>
      <c r="AK25" s="3">
        <v>1750357.9999999851</v>
      </c>
      <c r="AL25" s="40">
        <f t="shared" si="3"/>
        <v>134.89101878917185</v>
      </c>
      <c r="AM25" s="7"/>
    </row>
    <row r="26" spans="1:39" x14ac:dyDescent="0.25">
      <c r="A26" s="36"/>
      <c r="B26" s="59">
        <v>15</v>
      </c>
      <c r="C26" s="152">
        <v>9</v>
      </c>
      <c r="D26" s="154">
        <v>52</v>
      </c>
      <c r="E26" s="107">
        <v>10679.999999999949</v>
      </c>
      <c r="F26" s="3">
        <v>11062130.399999946</v>
      </c>
      <c r="G26" s="38">
        <v>2000</v>
      </c>
      <c r="H26" s="3">
        <v>3107340</v>
      </c>
      <c r="I26" s="104">
        <f t="shared" si="4"/>
        <v>14169470.399999946</v>
      </c>
      <c r="J26" s="107">
        <v>1299.9999999999973</v>
      </c>
      <c r="K26" s="3">
        <v>1346513.9999999972</v>
      </c>
      <c r="L26" s="191">
        <v>320.00000000000028</v>
      </c>
      <c r="M26" s="192">
        <v>497174.40000000049</v>
      </c>
      <c r="N26" s="95">
        <f t="shared" si="5"/>
        <v>1843688.3999999976</v>
      </c>
      <c r="O26" s="109">
        <f t="shared" si="6"/>
        <v>16013158.799999945</v>
      </c>
      <c r="P26" s="112">
        <f t="shared" si="7"/>
        <v>14299.999999999945</v>
      </c>
      <c r="Q26" s="201"/>
      <c r="R26" s="203"/>
      <c r="S26" s="208"/>
      <c r="T26" s="211"/>
      <c r="U26" s="214"/>
      <c r="V26" s="193">
        <f t="shared" si="8"/>
        <v>342.65000000000003</v>
      </c>
      <c r="W26" s="3">
        <v>54.29</v>
      </c>
      <c r="X26" s="3">
        <v>975601.07220000005</v>
      </c>
      <c r="Y26" s="34">
        <v>288.36</v>
      </c>
      <c r="Z26" s="34">
        <v>1224140.1048000001</v>
      </c>
      <c r="AA26" s="34">
        <f t="shared" si="0"/>
        <v>2199741.1770000001</v>
      </c>
      <c r="AB26" s="130">
        <f t="shared" si="1"/>
        <v>169.52265104511451</v>
      </c>
      <c r="AC26" s="136">
        <v>0</v>
      </c>
      <c r="AD26" s="3">
        <v>0</v>
      </c>
      <c r="AE26" s="3">
        <v>50</v>
      </c>
      <c r="AF26" s="3">
        <v>12</v>
      </c>
      <c r="AG26" s="3">
        <f t="shared" si="9"/>
        <v>62</v>
      </c>
      <c r="AH26" s="3">
        <v>688500</v>
      </c>
      <c r="AI26" s="44">
        <f t="shared" si="2"/>
        <v>53.059126439474447</v>
      </c>
      <c r="AJ26" s="144">
        <v>281.9399999999651</v>
      </c>
      <c r="AK26" s="3">
        <v>2424683.9999996996</v>
      </c>
      <c r="AL26" s="40">
        <f t="shared" si="3"/>
        <v>186.85782851380498</v>
      </c>
      <c r="AM26" s="7"/>
    </row>
    <row r="27" spans="1:39" x14ac:dyDescent="0.25">
      <c r="A27" s="36"/>
      <c r="B27" s="59">
        <v>16</v>
      </c>
      <c r="C27" s="152">
        <v>8</v>
      </c>
      <c r="D27" s="154">
        <v>68</v>
      </c>
      <c r="E27" s="107">
        <v>9639.9999999999854</v>
      </c>
      <c r="F27" s="3">
        <v>9984919.1999999844</v>
      </c>
      <c r="G27" s="38">
        <v>1840.0000000000034</v>
      </c>
      <c r="H27" s="3">
        <v>2858752.8000000054</v>
      </c>
      <c r="I27" s="104">
        <f t="shared" si="4"/>
        <v>12843671.999999989</v>
      </c>
      <c r="J27" s="107">
        <v>1240.000000000002</v>
      </c>
      <c r="K27" s="3">
        <v>1284367.200000002</v>
      </c>
      <c r="L27" s="191">
        <v>280.00000000000114</v>
      </c>
      <c r="M27" s="192">
        <v>435027.60000000178</v>
      </c>
      <c r="N27" s="95">
        <f t="shared" si="5"/>
        <v>1719394.8000000038</v>
      </c>
      <c r="O27" s="109">
        <f t="shared" si="6"/>
        <v>14563066.799999993</v>
      </c>
      <c r="P27" s="112">
        <f t="shared" si="7"/>
        <v>12999.999999999993</v>
      </c>
      <c r="Q27" s="201"/>
      <c r="R27" s="203"/>
      <c r="S27" s="208"/>
      <c r="T27" s="211"/>
      <c r="U27" s="214"/>
      <c r="V27" s="193">
        <f t="shared" si="8"/>
        <v>386.26</v>
      </c>
      <c r="W27" s="3">
        <v>56.96</v>
      </c>
      <c r="X27" s="3">
        <v>1023581.4528000001</v>
      </c>
      <c r="Y27" s="34">
        <v>329.3</v>
      </c>
      <c r="Z27" s="34">
        <v>1397937.7740000002</v>
      </c>
      <c r="AA27" s="34">
        <f t="shared" si="0"/>
        <v>2421519.2268000003</v>
      </c>
      <c r="AB27" s="130">
        <f t="shared" si="1"/>
        <v>186.61393584662255</v>
      </c>
      <c r="AC27" s="136">
        <v>0</v>
      </c>
      <c r="AD27" s="3">
        <v>0</v>
      </c>
      <c r="AE27" s="3">
        <v>0</v>
      </c>
      <c r="AF27" s="3">
        <v>24</v>
      </c>
      <c r="AG27" s="3">
        <f t="shared" si="9"/>
        <v>24</v>
      </c>
      <c r="AH27" s="3">
        <v>275000</v>
      </c>
      <c r="AI27" s="44">
        <f t="shared" si="2"/>
        <v>21.192824649027557</v>
      </c>
      <c r="AJ27" s="144">
        <v>175.22</v>
      </c>
      <c r="AK27" s="3">
        <v>1506892</v>
      </c>
      <c r="AL27" s="40">
        <f t="shared" si="3"/>
        <v>116.12835607644521</v>
      </c>
      <c r="AM27" s="7"/>
    </row>
    <row r="28" spans="1:39" x14ac:dyDescent="0.25">
      <c r="A28" s="36"/>
      <c r="B28" s="59">
        <v>17</v>
      </c>
      <c r="C28" s="152">
        <v>5</v>
      </c>
      <c r="D28" s="154">
        <v>83</v>
      </c>
      <c r="E28" s="107">
        <v>9640.0000000001</v>
      </c>
      <c r="F28" s="3">
        <v>9984919.2000001036</v>
      </c>
      <c r="G28" s="38">
        <v>2000</v>
      </c>
      <c r="H28" s="3">
        <v>3107340</v>
      </c>
      <c r="I28" s="104">
        <f t="shared" si="4"/>
        <v>13092259.200000104</v>
      </c>
      <c r="J28" s="107">
        <v>1359.9999999999995</v>
      </c>
      <c r="K28" s="3">
        <v>1408660.7999999996</v>
      </c>
      <c r="L28" s="191">
        <v>339.99999999999989</v>
      </c>
      <c r="M28" s="192">
        <v>528247.79999999981</v>
      </c>
      <c r="N28" s="95">
        <f t="shared" si="5"/>
        <v>1936908.5999999994</v>
      </c>
      <c r="O28" s="109">
        <f t="shared" si="6"/>
        <v>15029167.800000103</v>
      </c>
      <c r="P28" s="112">
        <f t="shared" si="7"/>
        <v>13340.0000000001</v>
      </c>
      <c r="Q28" s="201"/>
      <c r="R28" s="203"/>
      <c r="S28" s="208"/>
      <c r="T28" s="211"/>
      <c r="U28" s="214"/>
      <c r="V28" s="193">
        <f t="shared" si="8"/>
        <v>422.75</v>
      </c>
      <c r="W28" s="3">
        <v>51.62</v>
      </c>
      <c r="X28" s="3">
        <v>927620.69160000002</v>
      </c>
      <c r="Y28" s="34">
        <v>371.13</v>
      </c>
      <c r="Z28" s="34">
        <v>1575513.6534000002</v>
      </c>
      <c r="AA28" s="34">
        <f t="shared" si="0"/>
        <v>2503134.3450000002</v>
      </c>
      <c r="AB28" s="130">
        <f t="shared" si="1"/>
        <v>192.90358998743073</v>
      </c>
      <c r="AC28" s="136">
        <v>0</v>
      </c>
      <c r="AD28" s="3">
        <v>0</v>
      </c>
      <c r="AE28" s="3">
        <v>450</v>
      </c>
      <c r="AF28" s="3">
        <v>12</v>
      </c>
      <c r="AG28" s="3">
        <f t="shared" si="9"/>
        <v>462</v>
      </c>
      <c r="AH28" s="3">
        <v>5096500</v>
      </c>
      <c r="AI28" s="44">
        <f t="shared" si="2"/>
        <v>392.76083935915983</v>
      </c>
      <c r="AJ28" s="144">
        <v>155.83000000000004</v>
      </c>
      <c r="AK28" s="3">
        <v>1340138.0000000005</v>
      </c>
      <c r="AL28" s="40">
        <f t="shared" si="3"/>
        <v>103.27748959817637</v>
      </c>
      <c r="AM28" s="7"/>
    </row>
    <row r="29" spans="1:39" x14ac:dyDescent="0.25">
      <c r="A29" s="36"/>
      <c r="B29" s="59">
        <v>18</v>
      </c>
      <c r="C29" s="152">
        <v>5</v>
      </c>
      <c r="D29" s="154">
        <v>63</v>
      </c>
      <c r="E29" s="107">
        <v>11879.999999999996</v>
      </c>
      <c r="F29" s="3">
        <v>12305066.399999997</v>
      </c>
      <c r="G29" s="38">
        <v>2039.999999999992</v>
      </c>
      <c r="H29" s="3">
        <v>3169486.7999999877</v>
      </c>
      <c r="I29" s="104">
        <f t="shared" si="4"/>
        <v>15474553.199999984</v>
      </c>
      <c r="J29" s="107">
        <v>1859.9999999999995</v>
      </c>
      <c r="K29" s="3">
        <v>1926550.7999999996</v>
      </c>
      <c r="L29" s="191">
        <v>379.99999999999898</v>
      </c>
      <c r="M29" s="192">
        <v>590394.59999999846</v>
      </c>
      <c r="N29" s="95">
        <f t="shared" si="5"/>
        <v>2516945.399999998</v>
      </c>
      <c r="O29" s="109">
        <f t="shared" si="6"/>
        <v>17991498.599999983</v>
      </c>
      <c r="P29" s="112">
        <f t="shared" si="7"/>
        <v>16159.999999999987</v>
      </c>
      <c r="Q29" s="201"/>
      <c r="R29" s="203"/>
      <c r="S29" s="208"/>
      <c r="T29" s="211"/>
      <c r="U29" s="214"/>
      <c r="V29" s="193">
        <f t="shared" si="8"/>
        <v>744.12899999999991</v>
      </c>
      <c r="W29" s="3">
        <v>57.85</v>
      </c>
      <c r="X29" s="3">
        <v>1039574.9130000001</v>
      </c>
      <c r="Y29" s="34">
        <v>686.27899999999988</v>
      </c>
      <c r="Z29" s="34">
        <v>2913377.8852199996</v>
      </c>
      <c r="AA29" s="34">
        <f t="shared" si="0"/>
        <v>3952952.7982199998</v>
      </c>
      <c r="AB29" s="130">
        <f t="shared" si="1"/>
        <v>304.63358363112462</v>
      </c>
      <c r="AC29" s="136">
        <v>0</v>
      </c>
      <c r="AD29" s="3">
        <v>0</v>
      </c>
      <c r="AE29" s="3">
        <v>0</v>
      </c>
      <c r="AF29" s="3">
        <v>12</v>
      </c>
      <c r="AG29" s="3">
        <f t="shared" si="9"/>
        <v>12</v>
      </c>
      <c r="AH29" s="3">
        <v>137500</v>
      </c>
      <c r="AI29" s="44">
        <f t="shared" si="2"/>
        <v>10.596412324513778</v>
      </c>
      <c r="AJ29" s="144">
        <v>241.01999999999998</v>
      </c>
      <c r="AK29" s="3">
        <v>2072771.9999999998</v>
      </c>
      <c r="AL29" s="40">
        <f t="shared" si="3"/>
        <v>159.73779466696053</v>
      </c>
      <c r="AM29" s="7"/>
    </row>
    <row r="30" spans="1:39" x14ac:dyDescent="0.25">
      <c r="A30" s="36"/>
      <c r="B30" s="59">
        <v>19</v>
      </c>
      <c r="C30" s="152">
        <v>4</v>
      </c>
      <c r="D30" s="154">
        <v>26</v>
      </c>
      <c r="E30" s="107">
        <v>9759.9999999999909</v>
      </c>
      <c r="F30" s="3">
        <v>10109212.79999999</v>
      </c>
      <c r="G30" s="38">
        <v>1879.9999999999955</v>
      </c>
      <c r="H30" s="3">
        <v>2920899.5999999931</v>
      </c>
      <c r="I30" s="104">
        <f t="shared" si="4"/>
        <v>13030112.399999984</v>
      </c>
      <c r="J30" s="107">
        <v>1079.9999999999982</v>
      </c>
      <c r="K30" s="3">
        <v>1118642.399999998</v>
      </c>
      <c r="L30" s="191">
        <v>339.99999999999989</v>
      </c>
      <c r="M30" s="192">
        <v>528247.79999999981</v>
      </c>
      <c r="N30" s="95">
        <f t="shared" si="5"/>
        <v>1646890.1999999979</v>
      </c>
      <c r="O30" s="109">
        <f t="shared" si="6"/>
        <v>14677002.599999981</v>
      </c>
      <c r="P30" s="112">
        <f t="shared" si="7"/>
        <v>13059.999999999985</v>
      </c>
      <c r="Q30" s="201"/>
      <c r="R30" s="203"/>
      <c r="S30" s="208"/>
      <c r="T30" s="211"/>
      <c r="U30" s="214"/>
      <c r="V30" s="193">
        <f t="shared" si="8"/>
        <v>699.45100000000014</v>
      </c>
      <c r="W30" s="3">
        <v>56.96</v>
      </c>
      <c r="X30" s="3">
        <v>1023581.4528000001</v>
      </c>
      <c r="Y30" s="34">
        <v>642.4910000000001</v>
      </c>
      <c r="Z30" s="34">
        <v>2727489.9433800005</v>
      </c>
      <c r="AA30" s="34">
        <f t="shared" si="0"/>
        <v>3751071.3961800006</v>
      </c>
      <c r="AB30" s="130">
        <f t="shared" si="1"/>
        <v>289.07563034627537</v>
      </c>
      <c r="AC30" s="136">
        <v>0</v>
      </c>
      <c r="AD30" s="3">
        <v>0</v>
      </c>
      <c r="AE30" s="3">
        <v>0</v>
      </c>
      <c r="AF30" s="3">
        <v>12</v>
      </c>
      <c r="AG30" s="3">
        <f t="shared" si="9"/>
        <v>12</v>
      </c>
      <c r="AH30" s="3">
        <v>137500</v>
      </c>
      <c r="AI30" s="44">
        <f t="shared" si="2"/>
        <v>10.596412324513778</v>
      </c>
      <c r="AJ30" s="144">
        <v>253.07999999999993</v>
      </c>
      <c r="AK30" s="3">
        <v>2176487.9999999995</v>
      </c>
      <c r="AL30" s="40">
        <f t="shared" si="3"/>
        <v>167.73064921713703</v>
      </c>
      <c r="AM30" s="7"/>
    </row>
    <row r="31" spans="1:39" x14ac:dyDescent="0.25">
      <c r="A31" s="36"/>
      <c r="B31" s="59">
        <v>20</v>
      </c>
      <c r="C31" s="152">
        <v>0</v>
      </c>
      <c r="D31" s="154">
        <v>24</v>
      </c>
      <c r="E31" s="107">
        <v>7199.9999999999318</v>
      </c>
      <c r="F31" s="3">
        <v>7457615.9999999292</v>
      </c>
      <c r="G31" s="38">
        <v>2120.0000000000045</v>
      </c>
      <c r="H31" s="3">
        <v>3293780.4000000074</v>
      </c>
      <c r="I31" s="104">
        <f t="shared" si="4"/>
        <v>10751396.399999937</v>
      </c>
      <c r="J31" s="107">
        <v>1299.9999999999973</v>
      </c>
      <c r="K31" s="3">
        <v>1346513.9999999972</v>
      </c>
      <c r="L31" s="191">
        <v>320.00000000000028</v>
      </c>
      <c r="M31" s="192">
        <v>497174.40000000049</v>
      </c>
      <c r="N31" s="95">
        <f t="shared" si="5"/>
        <v>1843688.3999999976</v>
      </c>
      <c r="O31" s="109">
        <f t="shared" si="6"/>
        <v>12595084.799999934</v>
      </c>
      <c r="P31" s="112">
        <f t="shared" si="7"/>
        <v>10939.999999999935</v>
      </c>
      <c r="Q31" s="201"/>
      <c r="R31" s="204"/>
      <c r="S31" s="208"/>
      <c r="T31" s="211"/>
      <c r="U31" s="214"/>
      <c r="V31" s="193">
        <f t="shared" si="8"/>
        <v>534</v>
      </c>
      <c r="W31" s="3">
        <v>55.18</v>
      </c>
      <c r="X31" s="3">
        <v>991594.53240000003</v>
      </c>
      <c r="Y31" s="34">
        <v>478.82</v>
      </c>
      <c r="Z31" s="34">
        <v>2032677.0876000002</v>
      </c>
      <c r="AA31" s="34">
        <f t="shared" si="0"/>
        <v>3024271.62</v>
      </c>
      <c r="AB31" s="130">
        <f t="shared" si="1"/>
        <v>233.06493866796546</v>
      </c>
      <c r="AC31" s="136">
        <v>0</v>
      </c>
      <c r="AD31" s="3">
        <v>0</v>
      </c>
      <c r="AE31" s="3">
        <v>0</v>
      </c>
      <c r="AF31" s="3">
        <v>12</v>
      </c>
      <c r="AG31" s="3">
        <f t="shared" si="9"/>
        <v>12</v>
      </c>
      <c r="AH31" s="3">
        <v>137500</v>
      </c>
      <c r="AI31" s="44">
        <f t="shared" si="2"/>
        <v>10.596412324513778</v>
      </c>
      <c r="AJ31" s="144">
        <v>250.40000000000009</v>
      </c>
      <c r="AK31" s="3">
        <v>2153440.0000000009</v>
      </c>
      <c r="AL31" s="40">
        <f t="shared" si="3"/>
        <v>165.9544593170979</v>
      </c>
      <c r="AM31" s="7"/>
    </row>
    <row r="32" spans="1:39" x14ac:dyDescent="0.25">
      <c r="A32" s="36"/>
      <c r="B32" s="59">
        <v>21</v>
      </c>
      <c r="C32" s="152">
        <v>2</v>
      </c>
      <c r="D32" s="154">
        <v>28</v>
      </c>
      <c r="E32" s="107">
        <v>10080.00000000004</v>
      </c>
      <c r="F32" s="3">
        <v>10440662.400000041</v>
      </c>
      <c r="G32" s="38">
        <v>2080.0000000000127</v>
      </c>
      <c r="H32" s="3">
        <v>3231633.6000000201</v>
      </c>
      <c r="I32" s="104">
        <f t="shared" si="4"/>
        <v>13672296.000000061</v>
      </c>
      <c r="J32" s="107">
        <v>1400.0000000000057</v>
      </c>
      <c r="K32" s="3">
        <v>1450092.0000000058</v>
      </c>
      <c r="L32" s="191">
        <v>359.99999999999943</v>
      </c>
      <c r="M32" s="192">
        <v>559321.19999999914</v>
      </c>
      <c r="N32" s="95">
        <f t="shared" si="5"/>
        <v>2009413.2000000048</v>
      </c>
      <c r="O32" s="109">
        <f t="shared" si="6"/>
        <v>15681709.200000066</v>
      </c>
      <c r="P32" s="112">
        <f t="shared" si="7"/>
        <v>13920.000000000058</v>
      </c>
      <c r="Q32" s="201"/>
      <c r="R32" s="204"/>
      <c r="S32" s="208"/>
      <c r="T32" s="211"/>
      <c r="U32" s="214"/>
      <c r="V32" s="193">
        <f t="shared" si="8"/>
        <v>564.26</v>
      </c>
      <c r="W32" s="3">
        <v>64.97</v>
      </c>
      <c r="X32" s="3">
        <v>1167522.5946</v>
      </c>
      <c r="Y32" s="34">
        <v>499.29</v>
      </c>
      <c r="Z32" s="34">
        <v>2119575.9222000004</v>
      </c>
      <c r="AA32" s="34">
        <f t="shared" si="0"/>
        <v>3287098.5168000003</v>
      </c>
      <c r="AB32" s="130">
        <f t="shared" si="1"/>
        <v>253.31964534771262</v>
      </c>
      <c r="AC32" s="136">
        <v>0</v>
      </c>
      <c r="AD32" s="3">
        <v>0</v>
      </c>
      <c r="AE32" s="3">
        <v>0</v>
      </c>
      <c r="AF32" s="3">
        <v>12</v>
      </c>
      <c r="AG32" s="3">
        <f t="shared" si="9"/>
        <v>12</v>
      </c>
      <c r="AH32" s="3">
        <v>137500</v>
      </c>
      <c r="AI32" s="44">
        <f t="shared" si="2"/>
        <v>10.596412324513778</v>
      </c>
      <c r="AJ32" s="144">
        <v>85.549999999999955</v>
      </c>
      <c r="AK32" s="3">
        <v>735729.99999999965</v>
      </c>
      <c r="AL32" s="40">
        <f t="shared" si="3"/>
        <v>56.698897741923773</v>
      </c>
      <c r="AM32" s="7"/>
    </row>
    <row r="33" spans="1:39" x14ac:dyDescent="0.25">
      <c r="A33" s="36"/>
      <c r="B33" s="59">
        <v>22</v>
      </c>
      <c r="C33" s="152">
        <v>2</v>
      </c>
      <c r="D33" s="154">
        <v>28</v>
      </c>
      <c r="E33" s="107">
        <v>10200.000000000045</v>
      </c>
      <c r="F33" s="3">
        <v>10564956.000000047</v>
      </c>
      <c r="G33" s="38">
        <v>1839.999999999975</v>
      </c>
      <c r="H33" s="3">
        <v>2858752.7999999612</v>
      </c>
      <c r="I33" s="104">
        <f t="shared" si="4"/>
        <v>13423708.800000008</v>
      </c>
      <c r="J33" s="107">
        <v>1400.0000000000057</v>
      </c>
      <c r="K33" s="3">
        <v>1450092.0000000058</v>
      </c>
      <c r="L33" s="191">
        <v>339.99999999999989</v>
      </c>
      <c r="M33" s="192">
        <v>528247.79999999981</v>
      </c>
      <c r="N33" s="95">
        <f t="shared" si="5"/>
        <v>1978339.8000000056</v>
      </c>
      <c r="O33" s="109">
        <f t="shared" si="6"/>
        <v>15402048.600000015</v>
      </c>
      <c r="P33" s="112">
        <f t="shared" si="7"/>
        <v>13780.000000000025</v>
      </c>
      <c r="Q33" s="201"/>
      <c r="R33" s="204"/>
      <c r="S33" s="208"/>
      <c r="T33" s="211"/>
      <c r="U33" s="214"/>
      <c r="V33" s="193">
        <f t="shared" si="8"/>
        <v>433.43</v>
      </c>
      <c r="W33" s="3">
        <v>45.39</v>
      </c>
      <c r="X33" s="3">
        <v>815666.47019999998</v>
      </c>
      <c r="Y33" s="34">
        <v>388.04</v>
      </c>
      <c r="Z33" s="34">
        <v>1647299.6472000002</v>
      </c>
      <c r="AA33" s="34">
        <f t="shared" si="0"/>
        <v>2462966.1174000003</v>
      </c>
      <c r="AB33" s="130">
        <f t="shared" si="1"/>
        <v>189.80803288201611</v>
      </c>
      <c r="AC33" s="136">
        <v>0</v>
      </c>
      <c r="AD33" s="3">
        <v>0</v>
      </c>
      <c r="AE33" s="3">
        <v>0</v>
      </c>
      <c r="AF33" s="3">
        <v>12</v>
      </c>
      <c r="AG33" s="3">
        <f t="shared" si="9"/>
        <v>12</v>
      </c>
      <c r="AH33" s="3">
        <v>137500</v>
      </c>
      <c r="AI33" s="44">
        <f t="shared" si="2"/>
        <v>10.596412324513778</v>
      </c>
      <c r="AJ33" s="144">
        <v>157.68000000002326</v>
      </c>
      <c r="AK33" s="3">
        <v>1356048.0000002</v>
      </c>
      <c r="AL33" s="40">
        <f t="shared" si="3"/>
        <v>104.50359083515913</v>
      </c>
      <c r="AM33" s="7"/>
    </row>
    <row r="34" spans="1:39" x14ac:dyDescent="0.25">
      <c r="A34" s="36"/>
      <c r="B34" s="59">
        <v>23</v>
      </c>
      <c r="C34" s="152">
        <v>0</v>
      </c>
      <c r="D34" s="154">
        <v>28</v>
      </c>
      <c r="E34" s="107">
        <v>8559.9999999999454</v>
      </c>
      <c r="F34" s="3">
        <v>8866276.799999943</v>
      </c>
      <c r="G34" s="38">
        <v>1760.0000000000193</v>
      </c>
      <c r="H34" s="3">
        <v>2734459.20000003</v>
      </c>
      <c r="I34" s="104">
        <f t="shared" si="4"/>
        <v>11600735.999999974</v>
      </c>
      <c r="J34" s="107">
        <v>1339.9999999999891</v>
      </c>
      <c r="K34" s="3">
        <v>1387945.1999999885</v>
      </c>
      <c r="L34" s="191">
        <v>300.00000000000068</v>
      </c>
      <c r="M34" s="192">
        <v>466101.00000000111</v>
      </c>
      <c r="N34" s="95">
        <f t="shared" si="5"/>
        <v>1854046.1999999897</v>
      </c>
      <c r="O34" s="109">
        <f t="shared" si="6"/>
        <v>13454782.199999964</v>
      </c>
      <c r="P34" s="112">
        <f t="shared" si="7"/>
        <v>11959.999999999955</v>
      </c>
      <c r="Q34" s="201"/>
      <c r="R34" s="204"/>
      <c r="S34" s="208"/>
      <c r="T34" s="211"/>
      <c r="U34" s="214"/>
      <c r="V34" s="193">
        <f t="shared" si="8"/>
        <v>364.01</v>
      </c>
      <c r="W34" s="3">
        <v>55.18</v>
      </c>
      <c r="X34" s="3">
        <v>991594.53240000003</v>
      </c>
      <c r="Y34" s="34">
        <v>308.83</v>
      </c>
      <c r="Z34" s="34">
        <v>1311038.9394</v>
      </c>
      <c r="AA34" s="34">
        <f t="shared" si="0"/>
        <v>2302633.4717999999</v>
      </c>
      <c r="AB34" s="130">
        <f t="shared" si="1"/>
        <v>177.45202690486886</v>
      </c>
      <c r="AC34" s="136">
        <v>0</v>
      </c>
      <c r="AD34" s="3">
        <v>0</v>
      </c>
      <c r="AE34" s="3">
        <v>0</v>
      </c>
      <c r="AF34" s="3">
        <v>12</v>
      </c>
      <c r="AG34" s="3">
        <f t="shared" si="9"/>
        <v>12</v>
      </c>
      <c r="AH34" s="3">
        <v>137500</v>
      </c>
      <c r="AI34" s="44">
        <f t="shared" si="2"/>
        <v>10.596412324513778</v>
      </c>
      <c r="AJ34" s="144">
        <v>134.1400000000001</v>
      </c>
      <c r="AK34" s="3">
        <v>1153604.0000000009</v>
      </c>
      <c r="AL34" s="40">
        <f t="shared" si="3"/>
        <v>88.902281041515664</v>
      </c>
      <c r="AM34" s="7"/>
    </row>
    <row r="35" spans="1:39" x14ac:dyDescent="0.25">
      <c r="A35" s="36"/>
      <c r="B35" s="59">
        <v>24</v>
      </c>
      <c r="C35" s="152">
        <v>1</v>
      </c>
      <c r="D35" s="154">
        <v>43</v>
      </c>
      <c r="E35" s="107">
        <v>11600.000000000022</v>
      </c>
      <c r="F35" s="3">
        <v>12015048.000000022</v>
      </c>
      <c r="G35" s="38">
        <v>1879.9999999999955</v>
      </c>
      <c r="H35" s="3">
        <v>2920899.5999999931</v>
      </c>
      <c r="I35" s="104">
        <f t="shared" si="4"/>
        <v>14935947.600000016</v>
      </c>
      <c r="J35" s="107">
        <v>1300.0000000000114</v>
      </c>
      <c r="K35" s="3">
        <v>1346514.0000000116</v>
      </c>
      <c r="L35" s="191">
        <v>320.00000000000028</v>
      </c>
      <c r="M35" s="192">
        <v>497174.40000000049</v>
      </c>
      <c r="N35" s="95">
        <f t="shared" si="5"/>
        <v>1843688.400000012</v>
      </c>
      <c r="O35" s="109">
        <f t="shared" si="6"/>
        <v>16779636.00000003</v>
      </c>
      <c r="P35" s="112">
        <f t="shared" si="7"/>
        <v>15100.000000000029</v>
      </c>
      <c r="Q35" s="201"/>
      <c r="R35" s="204"/>
      <c r="S35" s="208"/>
      <c r="T35" s="211"/>
      <c r="U35" s="214"/>
      <c r="V35" s="193">
        <f t="shared" si="8"/>
        <v>536.67000000000007</v>
      </c>
      <c r="W35" s="3">
        <v>59.63</v>
      </c>
      <c r="X35" s="3">
        <v>1071561.8334000001</v>
      </c>
      <c r="Y35" s="34">
        <v>477.04</v>
      </c>
      <c r="Z35" s="34">
        <v>2025120.6672000003</v>
      </c>
      <c r="AA35" s="34">
        <f t="shared" si="0"/>
        <v>3096682.5006000004</v>
      </c>
      <c r="AB35" s="130">
        <f t="shared" si="1"/>
        <v>238.64526992337449</v>
      </c>
      <c r="AC35" s="136">
        <v>0</v>
      </c>
      <c r="AD35" s="3">
        <v>0</v>
      </c>
      <c r="AE35" s="3">
        <v>0</v>
      </c>
      <c r="AF35" s="3">
        <v>0</v>
      </c>
      <c r="AG35" s="3">
        <f t="shared" si="9"/>
        <v>0</v>
      </c>
      <c r="AH35" s="3">
        <v>0</v>
      </c>
      <c r="AI35" s="44">
        <f t="shared" si="2"/>
        <v>0</v>
      </c>
      <c r="AJ35" s="144">
        <v>155.66999999999985</v>
      </c>
      <c r="AK35" s="3">
        <v>1338761.9999999986</v>
      </c>
      <c r="AL35" s="40">
        <f t="shared" si="3"/>
        <v>103.17144841011418</v>
      </c>
      <c r="AM35" s="7"/>
    </row>
    <row r="36" spans="1:39" x14ac:dyDescent="0.25">
      <c r="A36" s="36"/>
      <c r="B36" s="59">
        <v>25</v>
      </c>
      <c r="C36" s="152">
        <v>3</v>
      </c>
      <c r="D36" s="154">
        <v>25</v>
      </c>
      <c r="E36" s="107">
        <v>9279.9999999999727</v>
      </c>
      <c r="F36" s="3">
        <v>9612038.3999999706</v>
      </c>
      <c r="G36" s="38">
        <v>1879.9999999999955</v>
      </c>
      <c r="H36" s="3">
        <v>2920899.5999999931</v>
      </c>
      <c r="I36" s="104">
        <f t="shared" si="4"/>
        <v>12532937.999999963</v>
      </c>
      <c r="J36" s="107">
        <v>1259.9999999999909</v>
      </c>
      <c r="K36" s="3">
        <v>1305082.7999999905</v>
      </c>
      <c r="L36" s="191">
        <v>300.00000000000068</v>
      </c>
      <c r="M36" s="192">
        <v>466101.00000000111</v>
      </c>
      <c r="N36" s="95">
        <f t="shared" si="5"/>
        <v>1771183.7999999917</v>
      </c>
      <c r="O36" s="109">
        <f t="shared" si="6"/>
        <v>14304121.799999954</v>
      </c>
      <c r="P36" s="112">
        <f t="shared" si="7"/>
        <v>12719.99999999996</v>
      </c>
      <c r="Q36" s="201"/>
      <c r="R36" s="204"/>
      <c r="S36" s="208"/>
      <c r="T36" s="211"/>
      <c r="U36" s="214"/>
      <c r="V36" s="193">
        <f t="shared" si="8"/>
        <v>455.68</v>
      </c>
      <c r="W36" s="3">
        <v>48.06</v>
      </c>
      <c r="X36" s="3">
        <v>863646.85080000001</v>
      </c>
      <c r="Y36" s="34">
        <v>407.62</v>
      </c>
      <c r="Z36" s="34">
        <v>1730420.2716000001</v>
      </c>
      <c r="AA36" s="34">
        <f t="shared" si="0"/>
        <v>2594067.1224000002</v>
      </c>
      <c r="AB36" s="130">
        <f t="shared" si="1"/>
        <v>199.91130782847532</v>
      </c>
      <c r="AC36" s="136">
        <v>0</v>
      </c>
      <c r="AD36" s="3">
        <v>0</v>
      </c>
      <c r="AE36" s="3">
        <v>400</v>
      </c>
      <c r="AF36" s="3">
        <v>12</v>
      </c>
      <c r="AG36" s="3">
        <f t="shared" si="9"/>
        <v>412</v>
      </c>
      <c r="AH36" s="3">
        <v>4545500</v>
      </c>
      <c r="AI36" s="44">
        <f t="shared" si="2"/>
        <v>350.29812524419913</v>
      </c>
      <c r="AJ36" s="144">
        <v>165.77999999999997</v>
      </c>
      <c r="AK36" s="3">
        <v>1425707.9999999998</v>
      </c>
      <c r="AL36" s="40">
        <f t="shared" si="3"/>
        <v>109.87192598078464</v>
      </c>
      <c r="AM36" s="7"/>
    </row>
    <row r="37" spans="1:39" x14ac:dyDescent="0.25">
      <c r="A37" s="36"/>
      <c r="B37" s="59">
        <v>26</v>
      </c>
      <c r="C37" s="152">
        <v>3</v>
      </c>
      <c r="D37" s="154">
        <v>47</v>
      </c>
      <c r="E37" s="107">
        <v>7559.9999999999454</v>
      </c>
      <c r="F37" s="3">
        <v>7830496.799999943</v>
      </c>
      <c r="G37" s="38">
        <v>1920.0000000000159</v>
      </c>
      <c r="H37" s="3">
        <v>2983046.4000000251</v>
      </c>
      <c r="I37" s="104">
        <f t="shared" si="4"/>
        <v>10813543.199999968</v>
      </c>
      <c r="J37" s="107">
        <v>1260.000000000005</v>
      </c>
      <c r="K37" s="3">
        <v>1305082.8000000052</v>
      </c>
      <c r="L37" s="191">
        <v>320.00000000000028</v>
      </c>
      <c r="M37" s="192">
        <v>497174.40000000049</v>
      </c>
      <c r="N37" s="95">
        <f t="shared" si="5"/>
        <v>1802257.2000000058</v>
      </c>
      <c r="O37" s="109">
        <f t="shared" si="6"/>
        <v>12615800.399999972</v>
      </c>
      <c r="P37" s="112">
        <f t="shared" si="7"/>
        <v>11059.999999999967</v>
      </c>
      <c r="Q37" s="201"/>
      <c r="R37" s="204"/>
      <c r="S37" s="208"/>
      <c r="T37" s="211"/>
      <c r="U37" s="214"/>
      <c r="V37" s="193">
        <f t="shared" si="8"/>
        <v>771.71899999999994</v>
      </c>
      <c r="W37" s="3">
        <v>54.29</v>
      </c>
      <c r="X37" s="3">
        <v>975601.07220000005</v>
      </c>
      <c r="Y37" s="34">
        <v>717.42899999999997</v>
      </c>
      <c r="Z37" s="34">
        <v>3045615.2422199999</v>
      </c>
      <c r="AA37" s="34">
        <f t="shared" si="0"/>
        <v>4021216.3144199997</v>
      </c>
      <c r="AB37" s="130">
        <f t="shared" si="1"/>
        <v>309.89429900840696</v>
      </c>
      <c r="AC37" s="136">
        <v>0</v>
      </c>
      <c r="AD37" s="3">
        <v>0</v>
      </c>
      <c r="AE37" s="3">
        <v>0</v>
      </c>
      <c r="AF37" s="3">
        <v>12</v>
      </c>
      <c r="AG37" s="3">
        <f t="shared" si="9"/>
        <v>12</v>
      </c>
      <c r="AH37" s="3">
        <v>137500</v>
      </c>
      <c r="AI37" s="44">
        <f t="shared" si="2"/>
        <v>10.596412324513778</v>
      </c>
      <c r="AJ37" s="144">
        <v>157.73000000000002</v>
      </c>
      <c r="AK37" s="3">
        <v>1356478.0000000002</v>
      </c>
      <c r="AL37" s="40">
        <f t="shared" si="3"/>
        <v>104.53672870641311</v>
      </c>
      <c r="AM37" s="7"/>
    </row>
    <row r="38" spans="1:39" x14ac:dyDescent="0.25">
      <c r="A38" s="36"/>
      <c r="B38" s="59">
        <v>27</v>
      </c>
      <c r="C38" s="152">
        <v>3</v>
      </c>
      <c r="D38" s="154">
        <v>26</v>
      </c>
      <c r="E38" s="107">
        <v>9880.0000000001091</v>
      </c>
      <c r="F38" s="3">
        <v>10233506.400000112</v>
      </c>
      <c r="G38" s="38">
        <v>2000</v>
      </c>
      <c r="H38" s="3">
        <v>3107340</v>
      </c>
      <c r="I38" s="104">
        <f t="shared" si="4"/>
        <v>13340846.400000112</v>
      </c>
      <c r="J38" s="107">
        <v>1319.9999999999932</v>
      </c>
      <c r="K38" s="3">
        <v>1367229.5999999929</v>
      </c>
      <c r="L38" s="191">
        <v>300.00000000000068</v>
      </c>
      <c r="M38" s="192">
        <v>466101.00000000111</v>
      </c>
      <c r="N38" s="95">
        <f t="shared" si="5"/>
        <v>1833330.599999994</v>
      </c>
      <c r="O38" s="109">
        <f t="shared" si="6"/>
        <v>15174177.000000106</v>
      </c>
      <c r="P38" s="112">
        <f t="shared" si="7"/>
        <v>13500.000000000102</v>
      </c>
      <c r="Q38" s="201"/>
      <c r="R38" s="204"/>
      <c r="S38" s="208"/>
      <c r="T38" s="211"/>
      <c r="U38" s="214"/>
      <c r="V38" s="193">
        <f t="shared" si="8"/>
        <v>579.30100000000016</v>
      </c>
      <c r="W38" s="3">
        <v>56.07</v>
      </c>
      <c r="X38" s="3">
        <v>1007587.9926</v>
      </c>
      <c r="Y38" s="34">
        <v>523.23100000000011</v>
      </c>
      <c r="Z38" s="34">
        <v>2221209.7765800008</v>
      </c>
      <c r="AA38" s="34">
        <f t="shared" si="0"/>
        <v>3228797.7691800008</v>
      </c>
      <c r="AB38" s="130">
        <f t="shared" si="1"/>
        <v>248.8267089069204</v>
      </c>
      <c r="AC38" s="136">
        <v>0</v>
      </c>
      <c r="AD38" s="3">
        <v>0</v>
      </c>
      <c r="AE38" s="3">
        <v>0</v>
      </c>
      <c r="AF38" s="3">
        <v>0</v>
      </c>
      <c r="AG38" s="3">
        <f t="shared" si="9"/>
        <v>0</v>
      </c>
      <c r="AH38" s="3">
        <v>0</v>
      </c>
      <c r="AI38" s="44">
        <f t="shared" si="2"/>
        <v>0</v>
      </c>
      <c r="AJ38" s="144">
        <v>176</v>
      </c>
      <c r="AK38" s="3">
        <v>1513600</v>
      </c>
      <c r="AL38" s="40">
        <f t="shared" si="3"/>
        <v>116.64530686824767</v>
      </c>
      <c r="AM38" s="7"/>
    </row>
    <row r="39" spans="1:39" x14ac:dyDescent="0.25">
      <c r="A39" s="36"/>
      <c r="B39" s="59">
        <v>28</v>
      </c>
      <c r="C39" s="152">
        <v>3</v>
      </c>
      <c r="D39" s="154">
        <v>33</v>
      </c>
      <c r="E39" s="107">
        <v>12919.999999999845</v>
      </c>
      <c r="F39" s="3">
        <v>13382277.599999839</v>
      </c>
      <c r="G39" s="38">
        <v>2000</v>
      </c>
      <c r="H39" s="3">
        <v>3107340</v>
      </c>
      <c r="I39" s="104">
        <f t="shared" si="4"/>
        <v>16489617.599999839</v>
      </c>
      <c r="J39" s="107">
        <v>1120.0000000000045</v>
      </c>
      <c r="K39" s="3">
        <v>1160073.6000000047</v>
      </c>
      <c r="L39" s="191">
        <v>319.9999999999967</v>
      </c>
      <c r="M39" s="192">
        <v>497174.3999999949</v>
      </c>
      <c r="N39" s="95">
        <f t="shared" si="5"/>
        <v>1657247.9999999995</v>
      </c>
      <c r="O39" s="109">
        <f t="shared" si="6"/>
        <v>18146865.599999838</v>
      </c>
      <c r="P39" s="112">
        <f t="shared" si="7"/>
        <v>16359.999999999847</v>
      </c>
      <c r="Q39" s="201"/>
      <c r="R39" s="217"/>
      <c r="S39" s="208"/>
      <c r="T39" s="211"/>
      <c r="U39" s="214"/>
      <c r="V39" s="193">
        <f t="shared" si="8"/>
        <v>531.33000000000004</v>
      </c>
      <c r="W39" s="3">
        <v>54.29</v>
      </c>
      <c r="X39" s="3">
        <v>975601.07220000005</v>
      </c>
      <c r="Y39" s="34">
        <v>477.04</v>
      </c>
      <c r="Z39" s="34">
        <v>2025120.6672000003</v>
      </c>
      <c r="AA39" s="34">
        <f t="shared" si="0"/>
        <v>3000721.7394000003</v>
      </c>
      <c r="AB39" s="130">
        <f t="shared" si="1"/>
        <v>231.25007143137881</v>
      </c>
      <c r="AC39" s="136">
        <v>0</v>
      </c>
      <c r="AD39" s="3">
        <v>0</v>
      </c>
      <c r="AE39" s="3">
        <v>50</v>
      </c>
      <c r="AF39" s="3">
        <v>0</v>
      </c>
      <c r="AG39" s="3">
        <f t="shared" si="9"/>
        <v>50</v>
      </c>
      <c r="AH39" s="3">
        <v>551000</v>
      </c>
      <c r="AI39" s="44">
        <f t="shared" si="2"/>
        <v>42.462714114960669</v>
      </c>
      <c r="AJ39" s="144">
        <v>155.97000000000025</v>
      </c>
      <c r="AK39" s="3">
        <v>1341342.0000000021</v>
      </c>
      <c r="AL39" s="40">
        <f t="shared" si="3"/>
        <v>103.37027563773078</v>
      </c>
      <c r="AM39" s="7"/>
    </row>
    <row r="40" spans="1:39" x14ac:dyDescent="0.25">
      <c r="A40" s="36"/>
      <c r="B40" s="59">
        <v>29</v>
      </c>
      <c r="C40" s="152">
        <v>5</v>
      </c>
      <c r="D40" s="154">
        <v>12</v>
      </c>
      <c r="E40" s="107">
        <v>7720.0000000000273</v>
      </c>
      <c r="F40" s="3">
        <v>7996221.6000000285</v>
      </c>
      <c r="G40" s="38">
        <v>2159.9999999999964</v>
      </c>
      <c r="H40" s="3">
        <v>3355927.1999999946</v>
      </c>
      <c r="I40" s="104">
        <f t="shared" si="4"/>
        <v>11352148.800000023</v>
      </c>
      <c r="J40" s="107">
        <v>1439.9999999999977</v>
      </c>
      <c r="K40" s="3">
        <v>1491523.1999999976</v>
      </c>
      <c r="L40" s="191">
        <v>339.99999999999989</v>
      </c>
      <c r="M40" s="192">
        <v>528247.79999999981</v>
      </c>
      <c r="N40" s="95">
        <f t="shared" si="5"/>
        <v>2019770.9999999974</v>
      </c>
      <c r="O40" s="109">
        <f t="shared" si="6"/>
        <v>13371919.800000021</v>
      </c>
      <c r="P40" s="112">
        <f t="shared" si="7"/>
        <v>11660.000000000022</v>
      </c>
      <c r="Q40" s="216"/>
      <c r="R40" s="218"/>
      <c r="S40" s="208"/>
      <c r="T40" s="211"/>
      <c r="U40" s="214"/>
      <c r="V40" s="193">
        <f t="shared" si="8"/>
        <v>512.72899999999993</v>
      </c>
      <c r="W40" s="3">
        <v>59.63</v>
      </c>
      <c r="X40" s="3">
        <v>1071561.8334000001</v>
      </c>
      <c r="Y40" s="34">
        <v>453.09899999999993</v>
      </c>
      <c r="Z40" s="34">
        <v>1923486.8128199999</v>
      </c>
      <c r="AA40" s="34">
        <f t="shared" si="0"/>
        <v>2995048.64622</v>
      </c>
      <c r="AB40" s="130">
        <f t="shared" si="1"/>
        <v>230.81287554417395</v>
      </c>
      <c r="AC40" s="136">
        <v>0</v>
      </c>
      <c r="AD40" s="3">
        <v>0</v>
      </c>
      <c r="AE40" s="3">
        <v>0</v>
      </c>
      <c r="AF40" s="3">
        <v>12</v>
      </c>
      <c r="AG40" s="3">
        <f t="shared" si="9"/>
        <v>12</v>
      </c>
      <c r="AH40" s="3">
        <v>137500</v>
      </c>
      <c r="AI40" s="44">
        <f t="shared" si="2"/>
        <v>10.596412324513778</v>
      </c>
      <c r="AJ40" s="144">
        <v>156.26999999999998</v>
      </c>
      <c r="AK40" s="3">
        <v>1343921.9999999998</v>
      </c>
      <c r="AL40" s="40">
        <f t="shared" si="3"/>
        <v>103.56910286534693</v>
      </c>
      <c r="AM40" s="7"/>
    </row>
    <row r="41" spans="1:39" x14ac:dyDescent="0.25">
      <c r="A41" s="36"/>
      <c r="B41" s="59">
        <v>30</v>
      </c>
      <c r="C41" s="152">
        <v>5</v>
      </c>
      <c r="D41" s="154">
        <v>56</v>
      </c>
      <c r="E41" s="107">
        <v>9800.0000000001819</v>
      </c>
      <c r="F41" s="3">
        <v>10150644.000000188</v>
      </c>
      <c r="G41" s="38">
        <v>2039.999999999992</v>
      </c>
      <c r="H41" s="3">
        <v>3169486.7999999877</v>
      </c>
      <c r="I41" s="104">
        <f t="shared" si="4"/>
        <v>13320130.800000176</v>
      </c>
      <c r="J41" s="107">
        <v>1299.9999999999973</v>
      </c>
      <c r="K41" s="3">
        <v>1346513.9999999972</v>
      </c>
      <c r="L41" s="191">
        <v>340.00000000000341</v>
      </c>
      <c r="M41" s="192">
        <v>528247.80000000529</v>
      </c>
      <c r="N41" s="95">
        <f t="shared" si="5"/>
        <v>1874761.8000000026</v>
      </c>
      <c r="O41" s="109">
        <f t="shared" si="6"/>
        <v>15194892.600000178</v>
      </c>
      <c r="P41" s="112">
        <f t="shared" si="7"/>
        <v>13480.000000000175</v>
      </c>
      <c r="Q41" s="201"/>
      <c r="R41" s="205"/>
      <c r="S41" s="208"/>
      <c r="T41" s="211"/>
      <c r="U41" s="214"/>
      <c r="V41" s="193">
        <f t="shared" si="8"/>
        <v>580.19100000000014</v>
      </c>
      <c r="W41" s="3">
        <v>57.85</v>
      </c>
      <c r="X41" s="3">
        <v>1039574.9130000001</v>
      </c>
      <c r="Y41" s="34">
        <v>522.34100000000012</v>
      </c>
      <c r="Z41" s="34">
        <v>2217431.5663800007</v>
      </c>
      <c r="AA41" s="34">
        <f t="shared" si="0"/>
        <v>3257006.4793800008</v>
      </c>
      <c r="AB41" s="130">
        <f t="shared" si="1"/>
        <v>251.00060799362527</v>
      </c>
      <c r="AC41" s="136">
        <v>0</v>
      </c>
      <c r="AD41" s="3">
        <v>0</v>
      </c>
      <c r="AE41" s="3">
        <v>0</v>
      </c>
      <c r="AF41" s="3">
        <v>0</v>
      </c>
      <c r="AG41" s="3">
        <f t="shared" si="9"/>
        <v>0</v>
      </c>
      <c r="AH41" s="3">
        <v>0</v>
      </c>
      <c r="AI41" s="44">
        <f t="shared" si="2"/>
        <v>0</v>
      </c>
      <c r="AJ41" s="144">
        <v>24.940000000000055</v>
      </c>
      <c r="AK41" s="3">
        <v>214484.00000000047</v>
      </c>
      <c r="AL41" s="40">
        <f t="shared" si="3"/>
        <v>16.52917018917104</v>
      </c>
      <c r="AM41" s="7"/>
    </row>
    <row r="42" spans="1:39" x14ac:dyDescent="0.25">
      <c r="A42" s="36"/>
      <c r="B42" s="59">
        <v>31</v>
      </c>
      <c r="C42" s="180">
        <v>4</v>
      </c>
      <c r="D42" s="181">
        <v>115</v>
      </c>
      <c r="E42" s="107">
        <v>9339.9999999999181</v>
      </c>
      <c r="F42" s="3">
        <v>9674185.1999999154</v>
      </c>
      <c r="G42" s="38">
        <v>2000</v>
      </c>
      <c r="H42" s="3">
        <v>3107340</v>
      </c>
      <c r="I42" s="104">
        <f t="shared" si="4"/>
        <v>12781525.199999915</v>
      </c>
      <c r="J42" s="107">
        <v>1320.0000000000073</v>
      </c>
      <c r="K42" s="3">
        <v>1367229.6000000075</v>
      </c>
      <c r="L42" s="191">
        <v>319.9999999999967</v>
      </c>
      <c r="M42" s="192">
        <v>497174.3999999949</v>
      </c>
      <c r="N42" s="95">
        <f t="shared" si="5"/>
        <v>1864404.0000000023</v>
      </c>
      <c r="O42" s="109">
        <f t="shared" si="6"/>
        <v>14645929.199999917</v>
      </c>
      <c r="P42" s="112">
        <f t="shared" si="7"/>
        <v>12979.999999999922</v>
      </c>
      <c r="Q42" s="201"/>
      <c r="R42" s="205"/>
      <c r="S42" s="208"/>
      <c r="T42" s="211"/>
      <c r="U42" s="214"/>
      <c r="V42" s="193">
        <f t="shared" si="8"/>
        <v>530.44000000000005</v>
      </c>
      <c r="W42" s="3">
        <v>49.84</v>
      </c>
      <c r="X42" s="3">
        <v>895633.77120000008</v>
      </c>
      <c r="Y42" s="34">
        <v>480.6</v>
      </c>
      <c r="Z42" s="34">
        <v>2040233.5080000001</v>
      </c>
      <c r="AA42" s="34">
        <f t="shared" si="0"/>
        <v>2935867.2792000002</v>
      </c>
      <c r="AB42" s="130">
        <f t="shared" si="1"/>
        <v>226.25207433055721</v>
      </c>
      <c r="AC42" s="136">
        <v>0</v>
      </c>
      <c r="AD42" s="3">
        <v>0</v>
      </c>
      <c r="AE42" s="3">
        <v>0</v>
      </c>
      <c r="AF42" s="3">
        <v>0</v>
      </c>
      <c r="AG42" s="3">
        <f t="shared" si="9"/>
        <v>0</v>
      </c>
      <c r="AH42" s="3">
        <v>0</v>
      </c>
      <c r="AI42" s="44">
        <f t="shared" si="2"/>
        <v>0</v>
      </c>
      <c r="AJ42" s="144">
        <v>246.79999999999973</v>
      </c>
      <c r="AK42" s="3">
        <v>2122479.9999999977</v>
      </c>
      <c r="AL42" s="40">
        <f t="shared" si="3"/>
        <v>163.56853258570169</v>
      </c>
      <c r="AM42" s="7"/>
    </row>
    <row r="43" spans="1:39" ht="16.5" thickBot="1" x14ac:dyDescent="0.3">
      <c r="A43" s="36"/>
      <c r="B43" s="124"/>
      <c r="C43" s="153"/>
      <c r="D43" s="155"/>
      <c r="E43" s="105"/>
      <c r="F43" s="105"/>
      <c r="G43" s="96"/>
      <c r="H43" s="97"/>
      <c r="I43" s="106"/>
      <c r="J43" s="108"/>
      <c r="K43" s="96"/>
      <c r="L43" s="97"/>
      <c r="M43" s="98"/>
      <c r="N43" s="99"/>
      <c r="O43" s="110"/>
      <c r="P43" s="113"/>
      <c r="Q43" s="182"/>
      <c r="R43" s="206"/>
      <c r="S43" s="209"/>
      <c r="T43" s="212"/>
      <c r="U43" s="215"/>
      <c r="V43" s="193"/>
      <c r="W43" s="3"/>
      <c r="X43" s="3"/>
      <c r="Y43" s="34"/>
      <c r="Z43" s="34"/>
      <c r="AA43" s="18"/>
      <c r="AB43" s="131"/>
      <c r="AC43" s="129"/>
      <c r="AD43" s="3"/>
      <c r="AE43" s="2"/>
      <c r="AF43" s="2"/>
      <c r="AG43" s="2"/>
      <c r="AH43" s="3"/>
      <c r="AI43" s="44"/>
      <c r="AJ43" s="144"/>
      <c r="AK43" s="3"/>
      <c r="AL43" s="40"/>
      <c r="AM43" s="7"/>
    </row>
    <row r="44" spans="1:39" s="8" customFormat="1" ht="4.5" customHeight="1" x14ac:dyDescent="0.25">
      <c r="A44" s="15"/>
      <c r="B44" s="119"/>
      <c r="C44" s="120"/>
      <c r="D44" s="120"/>
      <c r="E44" s="118"/>
      <c r="F44" s="7"/>
      <c r="G44" s="15"/>
      <c r="H44" s="7"/>
      <c r="I44" s="15"/>
      <c r="J44" s="15"/>
      <c r="K44" s="15"/>
      <c r="L44" s="7"/>
      <c r="M44" s="63"/>
      <c r="N44" s="67"/>
      <c r="O44" s="15"/>
      <c r="P44" s="67"/>
      <c r="Q44" s="15"/>
      <c r="R44" s="87"/>
      <c r="S44" s="7"/>
      <c r="T44" s="15"/>
      <c r="U44" s="35"/>
      <c r="V44" s="132"/>
      <c r="W44" s="15"/>
      <c r="X44" s="15"/>
      <c r="Y44" s="15"/>
      <c r="Z44" s="15"/>
      <c r="AA44" s="15"/>
      <c r="AB44" s="35"/>
      <c r="AC44" s="15"/>
      <c r="AD44" s="7"/>
      <c r="AE44" s="15"/>
      <c r="AF44" s="15"/>
      <c r="AG44" s="15"/>
      <c r="AH44" s="15"/>
      <c r="AI44" s="15"/>
      <c r="AJ44" s="87"/>
      <c r="AK44" s="15"/>
      <c r="AL44" s="35"/>
      <c r="AM44" s="15"/>
    </row>
    <row r="45" spans="1:39" s="8" customFormat="1" ht="6" customHeight="1" x14ac:dyDescent="0.25">
      <c r="A45" s="15"/>
      <c r="B45" s="119"/>
      <c r="C45" s="120"/>
      <c r="D45" s="120"/>
      <c r="E45" s="118"/>
      <c r="F45" s="7"/>
      <c r="G45" s="15"/>
      <c r="H45" s="7"/>
      <c r="I45" s="15"/>
      <c r="J45" s="15"/>
      <c r="K45" s="15"/>
      <c r="L45" s="7"/>
      <c r="M45" s="63"/>
      <c r="N45" s="67"/>
      <c r="O45" s="15"/>
      <c r="P45" s="67"/>
      <c r="Q45" s="15"/>
      <c r="R45" s="87"/>
      <c r="S45" s="16"/>
      <c r="T45" s="16"/>
      <c r="U45" s="35"/>
      <c r="V45" s="132"/>
      <c r="W45" s="15"/>
      <c r="X45" s="15"/>
      <c r="Y45" s="15"/>
      <c r="Z45" s="15"/>
      <c r="AA45" s="15"/>
      <c r="AB45" s="133"/>
      <c r="AC45" s="15"/>
      <c r="AD45" s="7"/>
      <c r="AE45" s="15"/>
      <c r="AF45" s="15"/>
      <c r="AG45" s="15"/>
      <c r="AH45" s="7"/>
      <c r="AI45" s="15"/>
      <c r="AJ45" s="89"/>
      <c r="AK45" s="5"/>
      <c r="AL45" s="41"/>
      <c r="AM45" s="15"/>
    </row>
    <row r="46" spans="1:39" s="8" customFormat="1" ht="16.5" thickBot="1" x14ac:dyDescent="0.3">
      <c r="A46" s="15"/>
      <c r="B46" s="121"/>
      <c r="C46" s="122"/>
      <c r="D46" s="122"/>
      <c r="E46" s="123"/>
      <c r="F46" s="73"/>
      <c r="G46" s="72"/>
      <c r="H46" s="73"/>
      <c r="I46" s="72"/>
      <c r="J46" s="72"/>
      <c r="K46" s="72"/>
      <c r="L46" s="73"/>
      <c r="M46" s="74"/>
      <c r="N46" s="75"/>
      <c r="O46" s="72"/>
      <c r="P46" s="75"/>
      <c r="Q46" s="72"/>
      <c r="R46" s="88"/>
      <c r="S46" s="76"/>
      <c r="T46" s="72"/>
      <c r="U46" s="194"/>
      <c r="V46" s="134"/>
      <c r="W46" s="78"/>
      <c r="X46" s="72"/>
      <c r="Y46" s="72"/>
      <c r="Z46" s="72"/>
      <c r="AA46" s="72"/>
      <c r="AB46" s="77"/>
      <c r="AC46" s="79"/>
      <c r="AD46" s="73"/>
      <c r="AE46" s="79"/>
      <c r="AF46" s="79"/>
      <c r="AG46" s="79"/>
      <c r="AH46" s="73"/>
      <c r="AI46" s="72"/>
      <c r="AJ46" s="145"/>
      <c r="AK46" s="80"/>
      <c r="AL46" s="81"/>
      <c r="AM46" s="15"/>
    </row>
    <row r="47" spans="1:39" ht="17.25" thickTop="1" thickBot="1" x14ac:dyDescent="0.3">
      <c r="A47" s="27"/>
      <c r="B47" s="70"/>
      <c r="C47" s="71">
        <f>SUM(C12:C43)</f>
        <v>313</v>
      </c>
      <c r="D47" s="71">
        <f>SUM(D12:D43)</f>
        <v>3122</v>
      </c>
      <c r="E47" s="71">
        <f>SUM(E12:E43)</f>
        <v>316019.99999999994</v>
      </c>
      <c r="F47" s="71">
        <f>SUM(F12:F43)</f>
        <v>327327195.59999996</v>
      </c>
      <c r="G47" s="71">
        <f>SUM(G12:G43)</f>
        <v>64319.999999999993</v>
      </c>
      <c r="H47" s="71">
        <f t="shared" ref="H47:O47" si="10">SUM(H12:H43)</f>
        <v>99932054.399999991</v>
      </c>
      <c r="I47" s="71">
        <f t="shared" si="10"/>
        <v>427259250</v>
      </c>
      <c r="J47" s="71">
        <f t="shared" si="10"/>
        <v>41400.000000000015</v>
      </c>
      <c r="K47" s="71">
        <f t="shared" si="10"/>
        <v>42881292.000000007</v>
      </c>
      <c r="L47" s="71">
        <f t="shared" si="10"/>
        <v>10339.999999999996</v>
      </c>
      <c r="M47" s="71">
        <f t="shared" si="10"/>
        <v>16064947.799999997</v>
      </c>
      <c r="N47" s="71">
        <f t="shared" si="10"/>
        <v>58946239.799999997</v>
      </c>
      <c r="O47" s="71">
        <f t="shared" si="10"/>
        <v>486205489.80000001</v>
      </c>
      <c r="P47" s="83">
        <f>SUM(P12:P43)</f>
        <v>432079.99999999994</v>
      </c>
      <c r="Q47" s="195" t="e">
        <f>#REF!</f>
        <v>#REF!</v>
      </c>
      <c r="R47" s="125" t="e">
        <f>#REF!</f>
        <v>#REF!</v>
      </c>
      <c r="S47" s="117" t="e">
        <f>Q47+P47</f>
        <v>#REF!</v>
      </c>
      <c r="T47" s="114" t="e">
        <f>R47+O47</f>
        <v>#REF!</v>
      </c>
      <c r="U47" s="139" t="e">
        <f>T47/AL48</f>
        <v>#REF!</v>
      </c>
      <c r="V47" s="183">
        <f>SUM(V12:V42)</f>
        <v>14542.066000000001</v>
      </c>
      <c r="W47" s="53">
        <f>SUM(W12:W42)</f>
        <v>1898.37</v>
      </c>
      <c r="X47" s="53">
        <f t="shared" ref="X47:Z47" si="11">SUM(X12:X42)</f>
        <v>34114050.606600001</v>
      </c>
      <c r="Y47" s="53">
        <f t="shared" si="11"/>
        <v>12643.696000000004</v>
      </c>
      <c r="Z47" s="53">
        <f t="shared" si="11"/>
        <v>53674765.385280013</v>
      </c>
      <c r="AA47" s="138">
        <f>SUM(AA12:AA42)</f>
        <v>87788815.99188</v>
      </c>
      <c r="AB47" s="126">
        <f>AA47/$AL$48</f>
        <v>6765.4290307696692</v>
      </c>
      <c r="AC47" s="45">
        <f>SUM(AC12:AC41)</f>
        <v>7.4301500000285161</v>
      </c>
      <c r="AD47" s="140">
        <f>SUM(AD12:AD41)</f>
        <v>0</v>
      </c>
      <c r="AE47" s="45">
        <f>SUM(AE12:AE42)</f>
        <v>2550</v>
      </c>
      <c r="AF47" s="45">
        <f>SUM(AF12:AF42)</f>
        <v>372</v>
      </c>
      <c r="AG47" s="45">
        <f>SUM(AG12:AG42)</f>
        <v>2929.4301500000283</v>
      </c>
      <c r="AH47" s="149">
        <f>SUM(AH12:AH43)</f>
        <v>32363500</v>
      </c>
      <c r="AI47" s="150">
        <f>AH47/$AL$48</f>
        <v>2494.0872019229214</v>
      </c>
      <c r="AJ47" s="146">
        <f>SUM(AJ12:AJ43)</f>
        <v>7013.580000000029</v>
      </c>
      <c r="AK47" s="147">
        <f>SUM(AK12:AK43)</f>
        <v>60316788.000000253</v>
      </c>
      <c r="AL47" s="148">
        <f>AK47/AL48</f>
        <v>4648.3022235511817</v>
      </c>
      <c r="AM47" s="27"/>
    </row>
    <row r="48" spans="1:39" s="1" customFormat="1" x14ac:dyDescent="0.25">
      <c r="A48" s="27"/>
      <c r="B48" s="27"/>
      <c r="C48" s="5"/>
      <c r="D48" s="11"/>
      <c r="E48" s="5"/>
      <c r="F48" s="5"/>
      <c r="G48" s="11"/>
      <c r="H48" s="5"/>
      <c r="I48" s="9"/>
      <c r="J48" s="9"/>
      <c r="K48" s="9"/>
      <c r="L48" s="17"/>
      <c r="M48" s="64"/>
      <c r="N48" s="68"/>
      <c r="O48" s="10"/>
      <c r="P48" s="68"/>
      <c r="Q48" s="10"/>
      <c r="R48" s="116"/>
      <c r="S48" s="14"/>
      <c r="T48" s="82" t="s">
        <v>29</v>
      </c>
      <c r="U48" s="156" t="e">
        <f>U47/S47</f>
        <v>#REF!</v>
      </c>
      <c r="V48" s="11"/>
      <c r="W48" s="11"/>
      <c r="X48" s="11"/>
      <c r="Y48" s="141"/>
      <c r="Z48" s="11"/>
      <c r="AA48" s="11"/>
      <c r="AB48" s="11"/>
      <c r="AC48" s="16"/>
      <c r="AD48" s="7"/>
      <c r="AE48" s="16"/>
      <c r="AF48" s="16"/>
      <c r="AG48" s="7"/>
      <c r="AH48" s="5"/>
      <c r="AI48" s="11"/>
      <c r="AJ48" s="89"/>
      <c r="AK48" s="11"/>
      <c r="AL48" s="151">
        <v>12976.09</v>
      </c>
      <c r="AM48" s="27"/>
    </row>
    <row r="49" spans="1:39" s="200" customFormat="1" x14ac:dyDescent="0.25">
      <c r="A49" s="196"/>
      <c r="B49" s="196"/>
      <c r="C49" s="17"/>
      <c r="D49" s="197"/>
      <c r="E49" s="17"/>
      <c r="F49" s="17"/>
      <c r="G49" s="17">
        <f>G47+E47</f>
        <v>380339.99999999994</v>
      </c>
      <c r="H49" s="17"/>
      <c r="I49" s="9"/>
      <c r="J49" s="9"/>
      <c r="K49" s="9"/>
      <c r="L49" s="17"/>
      <c r="M49" s="68"/>
      <c r="N49" s="68"/>
      <c r="O49" s="10"/>
      <c r="P49" s="68">
        <f>O47/P47</f>
        <v>1125.2672880022219</v>
      </c>
      <c r="Q49" s="10"/>
      <c r="R49" s="116"/>
      <c r="S49" s="14"/>
      <c r="T49" s="17"/>
      <c r="U49" s="198"/>
      <c r="V49" s="197"/>
      <c r="W49" s="197"/>
      <c r="X49" s="197"/>
      <c r="Y49" s="17"/>
      <c r="Z49" s="17"/>
      <c r="AA49" s="197">
        <f>AA47/V47</f>
        <v>6036.8874678384764</v>
      </c>
      <c r="AB49" s="197"/>
      <c r="AC49" s="197"/>
      <c r="AD49" s="17"/>
      <c r="AE49" s="197"/>
      <c r="AF49" s="197"/>
      <c r="AG49" s="17"/>
      <c r="AH49" s="17">
        <f>AH47/AG47</f>
        <v>11047.711787905127</v>
      </c>
      <c r="AI49" s="197"/>
      <c r="AJ49" s="116"/>
      <c r="AK49" s="197">
        <f>AK47/AJ47</f>
        <v>8600</v>
      </c>
      <c r="AL49" s="199"/>
      <c r="AM49" s="196"/>
    </row>
    <row r="50" spans="1:39" s="220" customFormat="1" x14ac:dyDescent="0.25">
      <c r="A50" s="219"/>
      <c r="B50" s="219"/>
      <c r="E50" s="221"/>
      <c r="F50" s="222"/>
      <c r="G50" s="221"/>
      <c r="I50" s="221"/>
      <c r="J50" s="221"/>
      <c r="K50" s="221"/>
      <c r="L50" s="221"/>
      <c r="M50" s="221"/>
      <c r="N50" s="223"/>
      <c r="O50" s="224"/>
      <c r="P50" s="225"/>
      <c r="R50" s="226"/>
      <c r="S50" s="227"/>
      <c r="Y50" s="228"/>
      <c r="Z50" s="229"/>
      <c r="AB50" s="230"/>
      <c r="AJ50" s="226"/>
      <c r="AL50" s="231"/>
      <c r="AM50" s="219"/>
    </row>
    <row r="51" spans="1:39" s="234" customFormat="1" x14ac:dyDescent="0.25">
      <c r="A51" s="232"/>
      <c r="B51" s="232"/>
      <c r="C51" s="233"/>
      <c r="E51" s="233"/>
      <c r="F51" s="233"/>
      <c r="H51" s="233"/>
      <c r="L51" s="233"/>
      <c r="M51" s="236"/>
      <c r="N51" s="241"/>
      <c r="P51" s="236"/>
      <c r="R51" s="237"/>
      <c r="V51" s="239"/>
      <c r="W51" s="239"/>
      <c r="X51" s="240"/>
      <c r="AD51" s="233"/>
      <c r="AH51" s="233"/>
      <c r="AJ51" s="237"/>
      <c r="AL51" s="238"/>
      <c r="AM51" s="232"/>
    </row>
    <row r="52" spans="1:39" s="234" customFormat="1" x14ac:dyDescent="0.25">
      <c r="A52" s="232"/>
      <c r="B52" s="232"/>
      <c r="C52" s="233"/>
      <c r="E52" s="233"/>
      <c r="F52" s="233"/>
      <c r="H52" s="233"/>
      <c r="L52" s="233"/>
      <c r="M52" s="236"/>
      <c r="N52" s="241"/>
      <c r="P52" s="236"/>
      <c r="R52" s="237"/>
      <c r="AD52" s="233"/>
      <c r="AH52" s="233"/>
      <c r="AJ52" s="237"/>
      <c r="AL52" s="238"/>
      <c r="AM52" s="232"/>
    </row>
    <row r="53" spans="1:39" s="234" customFormat="1" x14ac:dyDescent="0.25">
      <c r="A53" s="232"/>
      <c r="B53" s="232"/>
      <c r="C53" s="233"/>
      <c r="E53" s="233"/>
      <c r="F53" s="233"/>
      <c r="H53" s="233"/>
      <c r="L53" s="233"/>
      <c r="M53" s="236"/>
      <c r="N53" s="241"/>
      <c r="P53" s="236"/>
      <c r="R53" s="237"/>
      <c r="AD53" s="233"/>
      <c r="AH53" s="233"/>
      <c r="AJ53" s="237"/>
      <c r="AL53" s="238"/>
      <c r="AM53" s="232"/>
    </row>
    <row r="54" spans="1:39" s="234" customFormat="1" x14ac:dyDescent="0.25">
      <c r="A54" s="232"/>
      <c r="B54" s="232"/>
      <c r="C54" s="233"/>
      <c r="E54" s="233"/>
      <c r="F54" s="233"/>
      <c r="H54" s="233"/>
      <c r="L54" s="236"/>
      <c r="M54" s="236"/>
      <c r="N54" s="236"/>
      <c r="P54" s="236"/>
      <c r="R54" s="237"/>
      <c r="AD54" s="233"/>
      <c r="AH54" s="233"/>
      <c r="AJ54" s="237"/>
      <c r="AL54" s="238"/>
      <c r="AM54" s="232"/>
    </row>
    <row r="55" spans="1:39" s="234" customFormat="1" x14ac:dyDescent="0.25">
      <c r="A55" s="232"/>
      <c r="B55" s="232"/>
      <c r="C55" s="233"/>
      <c r="E55" s="233"/>
      <c r="F55" s="233"/>
      <c r="H55" s="233"/>
      <c r="L55" s="233"/>
      <c r="M55" s="235"/>
      <c r="N55" s="236"/>
      <c r="P55" s="236"/>
      <c r="R55" s="237"/>
      <c r="AD55" s="233"/>
      <c r="AH55" s="233"/>
      <c r="AJ55" s="237"/>
      <c r="AL55" s="238"/>
      <c r="AM55" s="232"/>
    </row>
    <row r="56" spans="1:39" s="234" customFormat="1" x14ac:dyDescent="0.25">
      <c r="A56" s="232"/>
      <c r="B56" s="232"/>
      <c r="C56" s="233"/>
      <c r="E56" s="233"/>
      <c r="F56" s="233"/>
      <c r="H56" s="233"/>
      <c r="L56" s="233"/>
      <c r="M56" s="235"/>
      <c r="N56" s="236"/>
      <c r="P56" s="236"/>
      <c r="R56" s="237"/>
      <c r="AD56" s="233"/>
      <c r="AH56" s="233"/>
      <c r="AJ56" s="237"/>
      <c r="AL56" s="238"/>
      <c r="AM56" s="232"/>
    </row>
    <row r="57" spans="1:39" s="234" customFormat="1" x14ac:dyDescent="0.25">
      <c r="A57" s="232"/>
      <c r="B57" s="232"/>
      <c r="C57" s="233"/>
      <c r="E57" s="233"/>
      <c r="F57" s="233"/>
      <c r="H57" s="233"/>
      <c r="L57" s="233"/>
      <c r="M57" s="235"/>
      <c r="N57" s="236"/>
      <c r="P57" s="236"/>
      <c r="R57" s="237"/>
      <c r="AD57" s="233"/>
      <c r="AH57" s="233"/>
      <c r="AJ57" s="237"/>
      <c r="AL57" s="238"/>
      <c r="AM57" s="232"/>
    </row>
    <row r="58" spans="1:39" s="234" customFormat="1" x14ac:dyDescent="0.25">
      <c r="A58" s="232"/>
      <c r="B58" s="232"/>
      <c r="C58" s="233"/>
      <c r="E58" s="233"/>
      <c r="F58" s="233"/>
      <c r="H58" s="233"/>
      <c r="L58" s="233"/>
      <c r="M58" s="235"/>
      <c r="N58" s="236"/>
      <c r="P58" s="236"/>
      <c r="R58" s="237"/>
      <c r="AD58" s="233"/>
      <c r="AH58" s="233"/>
      <c r="AJ58" s="237"/>
      <c r="AL58" s="238"/>
      <c r="AM58" s="232"/>
    </row>
    <row r="59" spans="1:39" s="234" customFormat="1" x14ac:dyDescent="0.25">
      <c r="A59" s="232"/>
      <c r="B59" s="232"/>
      <c r="C59" s="233"/>
      <c r="E59" s="233"/>
      <c r="F59" s="233"/>
      <c r="H59" s="233"/>
      <c r="L59" s="233"/>
      <c r="M59" s="235"/>
      <c r="N59" s="236"/>
      <c r="P59" s="236"/>
      <c r="R59" s="237"/>
      <c r="AD59" s="233"/>
      <c r="AH59" s="233"/>
      <c r="AJ59" s="237"/>
      <c r="AL59" s="238"/>
      <c r="AM59" s="232"/>
    </row>
    <row r="60" spans="1:39" s="234" customFormat="1" x14ac:dyDescent="0.25">
      <c r="A60" s="232"/>
      <c r="B60" s="232"/>
      <c r="C60" s="233"/>
      <c r="E60" s="233"/>
      <c r="F60" s="233"/>
      <c r="H60" s="233"/>
      <c r="L60" s="233"/>
      <c r="M60" s="235"/>
      <c r="N60" s="236"/>
      <c r="P60" s="236"/>
      <c r="R60" s="237"/>
      <c r="AD60" s="233"/>
      <c r="AH60" s="233"/>
      <c r="AJ60" s="237"/>
      <c r="AL60" s="238"/>
      <c r="AM60" s="232"/>
    </row>
    <row r="61" spans="1:39" s="234" customFormat="1" x14ac:dyDescent="0.25">
      <c r="A61" s="232"/>
      <c r="B61" s="232"/>
      <c r="C61" s="233"/>
      <c r="E61" s="233"/>
      <c r="F61" s="233"/>
      <c r="H61" s="233"/>
      <c r="L61" s="233"/>
      <c r="M61" s="235"/>
      <c r="N61" s="236"/>
      <c r="P61" s="236"/>
      <c r="R61" s="237"/>
      <c r="AD61" s="233"/>
      <c r="AH61" s="233"/>
      <c r="AJ61" s="237"/>
      <c r="AL61" s="238"/>
      <c r="AM61" s="232"/>
    </row>
    <row r="62" spans="1:39" s="234" customFormat="1" x14ac:dyDescent="0.25">
      <c r="A62" s="232"/>
      <c r="B62" s="232"/>
      <c r="C62" s="233"/>
      <c r="E62" s="233"/>
      <c r="F62" s="233"/>
      <c r="H62" s="233"/>
      <c r="L62" s="233"/>
      <c r="M62" s="235"/>
      <c r="N62" s="236"/>
      <c r="P62" s="236"/>
      <c r="R62" s="237"/>
      <c r="AD62" s="233"/>
      <c r="AH62" s="233"/>
      <c r="AJ62" s="237"/>
      <c r="AL62" s="238"/>
      <c r="AM62" s="232"/>
    </row>
    <row r="63" spans="1:39" s="234" customFormat="1" x14ac:dyDescent="0.25">
      <c r="A63" s="232"/>
      <c r="B63" s="232"/>
      <c r="C63" s="233"/>
      <c r="E63" s="233"/>
      <c r="F63" s="233"/>
      <c r="H63" s="233"/>
      <c r="L63" s="233"/>
      <c r="M63" s="235"/>
      <c r="N63" s="236"/>
      <c r="P63" s="236"/>
      <c r="R63" s="237"/>
      <c r="AD63" s="233"/>
      <c r="AH63" s="233"/>
      <c r="AJ63" s="237"/>
      <c r="AL63" s="238"/>
      <c r="AM63" s="232"/>
    </row>
    <row r="64" spans="1:39" s="234" customFormat="1" x14ac:dyDescent="0.25">
      <c r="A64" s="232"/>
      <c r="B64" s="232"/>
      <c r="C64" s="233"/>
      <c r="E64" s="233"/>
      <c r="F64" s="233"/>
      <c r="H64" s="233"/>
      <c r="L64" s="233"/>
      <c r="M64" s="235"/>
      <c r="N64" s="236"/>
      <c r="P64" s="236"/>
      <c r="R64" s="237"/>
      <c r="AD64" s="233"/>
      <c r="AH64" s="233"/>
      <c r="AJ64" s="237"/>
      <c r="AL64" s="238"/>
      <c r="AM64" s="232"/>
    </row>
    <row r="65" spans="1:39" s="234" customFormat="1" x14ac:dyDescent="0.25">
      <c r="A65" s="232"/>
      <c r="B65" s="232"/>
      <c r="C65" s="233"/>
      <c r="E65" s="233"/>
      <c r="F65" s="233"/>
      <c r="H65" s="233"/>
      <c r="L65" s="233"/>
      <c r="M65" s="235"/>
      <c r="N65" s="236"/>
      <c r="P65" s="236"/>
      <c r="R65" s="237"/>
      <c r="AD65" s="233"/>
      <c r="AH65" s="233"/>
      <c r="AJ65" s="237"/>
      <c r="AL65" s="238"/>
      <c r="AM65" s="232"/>
    </row>
    <row r="66" spans="1:39" s="234" customFormat="1" x14ac:dyDescent="0.25">
      <c r="A66" s="232"/>
      <c r="B66" s="232"/>
      <c r="C66" s="233"/>
      <c r="E66" s="233"/>
      <c r="F66" s="233"/>
      <c r="H66" s="233"/>
      <c r="L66" s="233"/>
      <c r="M66" s="235"/>
      <c r="N66" s="236"/>
      <c r="P66" s="236"/>
      <c r="R66" s="237"/>
      <c r="AD66" s="233"/>
      <c r="AH66" s="233"/>
      <c r="AJ66" s="237"/>
      <c r="AL66" s="238"/>
      <c r="AM66" s="232"/>
    </row>
    <row r="67" spans="1:39" s="234" customFormat="1" x14ac:dyDescent="0.25">
      <c r="A67" s="232"/>
      <c r="B67" s="232"/>
      <c r="C67" s="233"/>
      <c r="E67" s="233"/>
      <c r="F67" s="233"/>
      <c r="H67" s="233"/>
      <c r="L67" s="233"/>
      <c r="M67" s="235"/>
      <c r="N67" s="236"/>
      <c r="P67" s="236"/>
      <c r="R67" s="237"/>
      <c r="AD67" s="233"/>
      <c r="AH67" s="233"/>
      <c r="AJ67" s="237"/>
      <c r="AL67" s="238"/>
      <c r="AM67" s="232"/>
    </row>
    <row r="68" spans="1:39" s="234" customFormat="1" x14ac:dyDescent="0.25">
      <c r="A68" s="232"/>
      <c r="B68" s="232"/>
      <c r="C68" s="233"/>
      <c r="E68" s="233"/>
      <c r="F68" s="233"/>
      <c r="H68" s="233"/>
      <c r="L68" s="233"/>
      <c r="M68" s="235"/>
      <c r="N68" s="236"/>
      <c r="P68" s="236"/>
      <c r="R68" s="237"/>
      <c r="AD68" s="233"/>
      <c r="AH68" s="233"/>
      <c r="AJ68" s="237"/>
      <c r="AL68" s="238"/>
      <c r="AM68" s="232"/>
    </row>
    <row r="69" spans="1:39" s="234" customFormat="1" x14ac:dyDescent="0.25">
      <c r="A69" s="232"/>
      <c r="B69" s="232"/>
      <c r="C69" s="233"/>
      <c r="E69" s="233"/>
      <c r="F69" s="233"/>
      <c r="H69" s="233"/>
      <c r="L69" s="233"/>
      <c r="M69" s="235"/>
      <c r="N69" s="236"/>
      <c r="P69" s="236"/>
      <c r="R69" s="237"/>
      <c r="AD69" s="233"/>
      <c r="AH69" s="233"/>
      <c r="AJ69" s="237"/>
      <c r="AL69" s="238"/>
      <c r="AM69" s="232"/>
    </row>
    <row r="70" spans="1:39" s="234" customFormat="1" x14ac:dyDescent="0.25">
      <c r="A70" s="232"/>
      <c r="B70" s="232"/>
      <c r="C70" s="233"/>
      <c r="E70" s="233"/>
      <c r="F70" s="233"/>
      <c r="H70" s="233"/>
      <c r="L70" s="233"/>
      <c r="M70" s="235"/>
      <c r="N70" s="236"/>
      <c r="P70" s="236"/>
      <c r="R70" s="237"/>
      <c r="AD70" s="233"/>
      <c r="AH70" s="233"/>
      <c r="AJ70" s="237"/>
      <c r="AL70" s="238"/>
      <c r="AM70" s="232"/>
    </row>
    <row r="71" spans="1:39" s="234" customFormat="1" x14ac:dyDescent="0.25">
      <c r="A71" s="232"/>
      <c r="B71" s="232"/>
      <c r="C71" s="233"/>
      <c r="E71" s="233"/>
      <c r="F71" s="233"/>
      <c r="H71" s="233"/>
      <c r="L71" s="233"/>
      <c r="M71" s="235"/>
      <c r="N71" s="236"/>
      <c r="P71" s="236"/>
      <c r="R71" s="237"/>
      <c r="AD71" s="233"/>
      <c r="AH71" s="233"/>
      <c r="AJ71" s="237"/>
      <c r="AL71" s="238"/>
      <c r="AM71" s="232"/>
    </row>
    <row r="72" spans="1:39" s="234" customFormat="1" x14ac:dyDescent="0.25">
      <c r="A72" s="232"/>
      <c r="B72" s="232"/>
      <c r="C72" s="233"/>
      <c r="E72" s="233"/>
      <c r="F72" s="233"/>
      <c r="H72" s="233"/>
      <c r="L72" s="233"/>
      <c r="M72" s="235"/>
      <c r="N72" s="236"/>
      <c r="P72" s="236"/>
      <c r="R72" s="237"/>
      <c r="AD72" s="233"/>
      <c r="AH72" s="233"/>
      <c r="AJ72" s="237"/>
      <c r="AL72" s="238"/>
      <c r="AM72" s="232"/>
    </row>
    <row r="73" spans="1:39" s="234" customFormat="1" x14ac:dyDescent="0.25">
      <c r="A73" s="232"/>
      <c r="B73" s="232"/>
      <c r="C73" s="233"/>
      <c r="E73" s="233"/>
      <c r="F73" s="233"/>
      <c r="H73" s="233"/>
      <c r="L73" s="233"/>
      <c r="M73" s="235"/>
      <c r="N73" s="236"/>
      <c r="P73" s="236"/>
      <c r="R73" s="237"/>
      <c r="AD73" s="233"/>
      <c r="AH73" s="233"/>
      <c r="AJ73" s="237"/>
      <c r="AL73" s="238"/>
      <c r="AM73" s="232"/>
    </row>
    <row r="74" spans="1:39" s="234" customFormat="1" x14ac:dyDescent="0.25">
      <c r="A74" s="232"/>
      <c r="B74" s="232"/>
      <c r="C74" s="233"/>
      <c r="E74" s="233"/>
      <c r="F74" s="233"/>
      <c r="H74" s="233"/>
      <c r="L74" s="233"/>
      <c r="M74" s="235"/>
      <c r="N74" s="236"/>
      <c r="P74" s="236"/>
      <c r="R74" s="237"/>
      <c r="AD74" s="233"/>
      <c r="AH74" s="233"/>
      <c r="AJ74" s="237"/>
      <c r="AL74" s="238"/>
      <c r="AM74" s="232"/>
    </row>
    <row r="75" spans="1:39" s="234" customFormat="1" x14ac:dyDescent="0.25">
      <c r="A75" s="232"/>
      <c r="B75" s="232"/>
      <c r="C75" s="233"/>
      <c r="E75" s="233"/>
      <c r="F75" s="233"/>
      <c r="H75" s="233"/>
      <c r="L75" s="233"/>
      <c r="M75" s="235"/>
      <c r="N75" s="236"/>
      <c r="P75" s="236"/>
      <c r="R75" s="237"/>
      <c r="AD75" s="233"/>
      <c r="AH75" s="233"/>
      <c r="AJ75" s="237"/>
      <c r="AL75" s="238"/>
      <c r="AM75" s="232"/>
    </row>
    <row r="76" spans="1:39" s="234" customFormat="1" x14ac:dyDescent="0.25">
      <c r="A76" s="232"/>
      <c r="B76" s="232"/>
      <c r="C76" s="233"/>
      <c r="E76" s="233"/>
      <c r="F76" s="233"/>
      <c r="H76" s="233"/>
      <c r="L76" s="233"/>
      <c r="M76" s="235"/>
      <c r="N76" s="236"/>
      <c r="P76" s="236"/>
      <c r="R76" s="237"/>
      <c r="AD76" s="233"/>
      <c r="AH76" s="233"/>
      <c r="AJ76" s="237"/>
      <c r="AL76" s="238"/>
      <c r="AM76" s="232"/>
    </row>
    <row r="77" spans="1:39" s="234" customFormat="1" x14ac:dyDescent="0.25">
      <c r="A77" s="232"/>
      <c r="B77" s="232"/>
      <c r="C77" s="233"/>
      <c r="E77" s="233"/>
      <c r="F77" s="233"/>
      <c r="H77" s="233"/>
      <c r="L77" s="233"/>
      <c r="M77" s="235"/>
      <c r="N77" s="236"/>
      <c r="P77" s="236"/>
      <c r="R77" s="237"/>
      <c r="AD77" s="233"/>
      <c r="AH77" s="233"/>
      <c r="AJ77" s="237"/>
      <c r="AL77" s="238"/>
      <c r="AM77" s="232"/>
    </row>
    <row r="78" spans="1:39" s="234" customFormat="1" x14ac:dyDescent="0.25">
      <c r="A78" s="232"/>
      <c r="B78" s="232"/>
      <c r="C78" s="233"/>
      <c r="E78" s="233"/>
      <c r="F78" s="233"/>
      <c r="H78" s="233"/>
      <c r="L78" s="233"/>
      <c r="M78" s="235"/>
      <c r="N78" s="236"/>
      <c r="P78" s="236"/>
      <c r="R78" s="237"/>
      <c r="AD78" s="233"/>
      <c r="AH78" s="233"/>
      <c r="AJ78" s="237"/>
      <c r="AL78" s="238"/>
      <c r="AM78" s="232"/>
    </row>
    <row r="79" spans="1:39" s="234" customFormat="1" x14ac:dyDescent="0.25">
      <c r="A79" s="232"/>
      <c r="B79" s="232"/>
      <c r="C79" s="233"/>
      <c r="E79" s="233"/>
      <c r="F79" s="233"/>
      <c r="H79" s="233"/>
      <c r="L79" s="233"/>
      <c r="M79" s="235"/>
      <c r="N79" s="236"/>
      <c r="P79" s="236"/>
      <c r="R79" s="237"/>
      <c r="AD79" s="233"/>
      <c r="AH79" s="233"/>
      <c r="AJ79" s="237"/>
      <c r="AL79" s="238"/>
      <c r="AM79" s="232"/>
    </row>
    <row r="80" spans="1:39" s="234" customFormat="1" x14ac:dyDescent="0.25">
      <c r="A80" s="232"/>
      <c r="B80" s="232"/>
      <c r="C80" s="233"/>
      <c r="E80" s="233"/>
      <c r="F80" s="233"/>
      <c r="H80" s="233"/>
      <c r="L80" s="233"/>
      <c r="M80" s="235"/>
      <c r="N80" s="236"/>
      <c r="P80" s="236"/>
      <c r="R80" s="237"/>
      <c r="AD80" s="233"/>
      <c r="AH80" s="233"/>
      <c r="AJ80" s="237"/>
      <c r="AL80" s="238"/>
      <c r="AM80" s="232"/>
    </row>
    <row r="81" spans="1:39" s="234" customFormat="1" x14ac:dyDescent="0.25">
      <c r="A81" s="232"/>
      <c r="B81" s="232"/>
      <c r="C81" s="233"/>
      <c r="E81" s="233"/>
      <c r="F81" s="233"/>
      <c r="H81" s="233"/>
      <c r="L81" s="233"/>
      <c r="M81" s="235"/>
      <c r="N81" s="236"/>
      <c r="P81" s="236"/>
      <c r="R81" s="237"/>
      <c r="AD81" s="233"/>
      <c r="AH81" s="233"/>
      <c r="AJ81" s="237"/>
      <c r="AL81" s="238"/>
      <c r="AM81" s="232"/>
    </row>
    <row r="82" spans="1:39" s="234" customFormat="1" x14ac:dyDescent="0.25">
      <c r="A82" s="232"/>
      <c r="B82" s="232"/>
      <c r="C82" s="233"/>
      <c r="E82" s="233"/>
      <c r="F82" s="233"/>
      <c r="H82" s="233"/>
      <c r="L82" s="233"/>
      <c r="M82" s="235"/>
      <c r="N82" s="236"/>
      <c r="P82" s="236"/>
      <c r="R82" s="237"/>
      <c r="AD82" s="233"/>
      <c r="AH82" s="233"/>
      <c r="AJ82" s="237"/>
      <c r="AL82" s="238"/>
      <c r="AM82" s="232"/>
    </row>
    <row r="83" spans="1:39" s="234" customFormat="1" x14ac:dyDescent="0.25">
      <c r="A83" s="232"/>
      <c r="B83" s="232"/>
      <c r="C83" s="233"/>
      <c r="E83" s="233"/>
      <c r="F83" s="233"/>
      <c r="H83" s="233"/>
      <c r="L83" s="233"/>
      <c r="M83" s="235"/>
      <c r="N83" s="236"/>
      <c r="P83" s="236"/>
      <c r="R83" s="237"/>
      <c r="AD83" s="233"/>
      <c r="AH83" s="233"/>
      <c r="AJ83" s="237"/>
      <c r="AL83" s="238"/>
      <c r="AM83" s="232"/>
    </row>
    <row r="84" spans="1:39" s="234" customFormat="1" x14ac:dyDescent="0.25">
      <c r="A84" s="232"/>
      <c r="B84" s="232"/>
      <c r="C84" s="233"/>
      <c r="E84" s="233"/>
      <c r="F84" s="233"/>
      <c r="H84" s="233"/>
      <c r="L84" s="233"/>
      <c r="M84" s="235"/>
      <c r="N84" s="236"/>
      <c r="P84" s="236"/>
      <c r="R84" s="237"/>
      <c r="AD84" s="233"/>
      <c r="AH84" s="233"/>
      <c r="AJ84" s="237"/>
      <c r="AL84" s="238"/>
      <c r="AM84" s="232"/>
    </row>
    <row r="85" spans="1:39" s="234" customFormat="1" x14ac:dyDescent="0.25">
      <c r="A85" s="232"/>
      <c r="B85" s="232"/>
      <c r="C85" s="233"/>
      <c r="E85" s="233"/>
      <c r="F85" s="233"/>
      <c r="H85" s="233"/>
      <c r="L85" s="233"/>
      <c r="M85" s="235"/>
      <c r="N85" s="236"/>
      <c r="P85" s="236"/>
      <c r="R85" s="237"/>
      <c r="AD85" s="233"/>
      <c r="AH85" s="233"/>
      <c r="AJ85" s="237"/>
      <c r="AL85" s="238"/>
      <c r="AM85" s="232"/>
    </row>
    <row r="86" spans="1:39" s="234" customFormat="1" x14ac:dyDescent="0.25">
      <c r="A86" s="232"/>
      <c r="B86" s="232"/>
      <c r="C86" s="233"/>
      <c r="E86" s="233"/>
      <c r="F86" s="233"/>
      <c r="H86" s="233"/>
      <c r="L86" s="233"/>
      <c r="M86" s="235"/>
      <c r="N86" s="236"/>
      <c r="P86" s="236"/>
      <c r="R86" s="237"/>
      <c r="AD86" s="233"/>
      <c r="AH86" s="233"/>
      <c r="AJ86" s="237"/>
      <c r="AL86" s="238"/>
      <c r="AM86" s="232"/>
    </row>
    <row r="87" spans="1:39" s="234" customFormat="1" x14ac:dyDescent="0.25">
      <c r="A87" s="232"/>
      <c r="B87" s="232"/>
      <c r="C87" s="233"/>
      <c r="E87" s="233"/>
      <c r="F87" s="233"/>
      <c r="H87" s="233"/>
      <c r="L87" s="233"/>
      <c r="M87" s="235"/>
      <c r="N87" s="236"/>
      <c r="P87" s="236"/>
      <c r="R87" s="237"/>
      <c r="AD87" s="233"/>
      <c r="AH87" s="233"/>
      <c r="AJ87" s="237"/>
      <c r="AL87" s="238"/>
      <c r="AM87" s="232"/>
    </row>
    <row r="88" spans="1:39" s="234" customFormat="1" x14ac:dyDescent="0.25">
      <c r="A88" s="232"/>
      <c r="B88" s="232"/>
      <c r="C88" s="233"/>
      <c r="E88" s="233"/>
      <c r="F88" s="233"/>
      <c r="H88" s="233"/>
      <c r="L88" s="233"/>
      <c r="M88" s="235"/>
      <c r="N88" s="236"/>
      <c r="P88" s="236"/>
      <c r="R88" s="237"/>
      <c r="AD88" s="233"/>
      <c r="AH88" s="233"/>
      <c r="AJ88" s="237"/>
      <c r="AL88" s="238"/>
      <c r="AM88" s="232"/>
    </row>
    <row r="89" spans="1:39" s="234" customFormat="1" x14ac:dyDescent="0.25">
      <c r="A89" s="232"/>
      <c r="B89" s="232"/>
      <c r="C89" s="233"/>
      <c r="E89" s="233"/>
      <c r="F89" s="233"/>
      <c r="H89" s="233"/>
      <c r="L89" s="233"/>
      <c r="M89" s="235"/>
      <c r="N89" s="236"/>
      <c r="P89" s="236"/>
      <c r="R89" s="237"/>
      <c r="AD89" s="233"/>
      <c r="AH89" s="233"/>
      <c r="AJ89" s="237"/>
      <c r="AL89" s="238"/>
      <c r="AM89" s="232"/>
    </row>
    <row r="90" spans="1:39" s="234" customFormat="1" x14ac:dyDescent="0.25">
      <c r="A90" s="232"/>
      <c r="B90" s="232"/>
      <c r="C90" s="233"/>
      <c r="E90" s="233"/>
      <c r="F90" s="233"/>
      <c r="H90" s="233"/>
      <c r="L90" s="233"/>
      <c r="M90" s="235"/>
      <c r="N90" s="236"/>
      <c r="P90" s="236"/>
      <c r="R90" s="237"/>
      <c r="AD90" s="233"/>
      <c r="AH90" s="233"/>
      <c r="AJ90" s="237"/>
      <c r="AL90" s="238"/>
      <c r="AM90" s="232"/>
    </row>
    <row r="91" spans="1:39" s="234" customFormat="1" x14ac:dyDescent="0.25">
      <c r="A91" s="232"/>
      <c r="B91" s="232"/>
      <c r="C91" s="233"/>
      <c r="E91" s="233"/>
      <c r="F91" s="233"/>
      <c r="H91" s="233"/>
      <c r="L91" s="233"/>
      <c r="M91" s="235"/>
      <c r="N91" s="236"/>
      <c r="P91" s="236"/>
      <c r="R91" s="237"/>
      <c r="AD91" s="233"/>
      <c r="AH91" s="233"/>
      <c r="AJ91" s="237"/>
      <c r="AL91" s="238"/>
      <c r="AM91" s="232"/>
    </row>
    <row r="92" spans="1:39" s="234" customFormat="1" x14ac:dyDescent="0.25">
      <c r="A92" s="232"/>
      <c r="B92" s="232"/>
      <c r="C92" s="233"/>
      <c r="E92" s="233"/>
      <c r="F92" s="233"/>
      <c r="H92" s="233"/>
      <c r="L92" s="233"/>
      <c r="M92" s="235"/>
      <c r="N92" s="236"/>
      <c r="P92" s="236"/>
      <c r="R92" s="237"/>
      <c r="AD92" s="233"/>
      <c r="AH92" s="233"/>
      <c r="AJ92" s="237"/>
      <c r="AL92" s="238"/>
      <c r="AM92" s="232"/>
    </row>
    <row r="93" spans="1:39" s="234" customFormat="1" x14ac:dyDescent="0.25">
      <c r="A93" s="232"/>
      <c r="B93" s="232"/>
      <c r="C93" s="233"/>
      <c r="E93" s="233"/>
      <c r="F93" s="233"/>
      <c r="H93" s="233"/>
      <c r="L93" s="233"/>
      <c r="M93" s="235"/>
      <c r="N93" s="236"/>
      <c r="P93" s="236"/>
      <c r="R93" s="237"/>
      <c r="AD93" s="233"/>
      <c r="AH93" s="233"/>
      <c r="AJ93" s="237"/>
      <c r="AL93" s="238"/>
      <c r="AM93" s="232"/>
    </row>
    <row r="94" spans="1:39" s="234" customFormat="1" x14ac:dyDescent="0.25">
      <c r="A94" s="232"/>
      <c r="B94" s="232"/>
      <c r="C94" s="233"/>
      <c r="E94" s="233"/>
      <c r="F94" s="233"/>
      <c r="H94" s="233"/>
      <c r="L94" s="233"/>
      <c r="M94" s="235"/>
      <c r="N94" s="236"/>
      <c r="P94" s="236"/>
      <c r="R94" s="237"/>
      <c r="AD94" s="233"/>
      <c r="AH94" s="233"/>
      <c r="AJ94" s="237"/>
      <c r="AL94" s="238"/>
      <c r="AM94" s="232"/>
    </row>
    <row r="95" spans="1:39" s="234" customFormat="1" x14ac:dyDescent="0.25">
      <c r="A95" s="232"/>
      <c r="B95" s="232"/>
      <c r="C95" s="233"/>
      <c r="E95" s="233"/>
      <c r="F95" s="233"/>
      <c r="H95" s="233"/>
      <c r="L95" s="233"/>
      <c r="M95" s="235"/>
      <c r="N95" s="236"/>
      <c r="P95" s="236"/>
      <c r="R95" s="237"/>
      <c r="AD95" s="233"/>
      <c r="AH95" s="233"/>
      <c r="AJ95" s="237"/>
      <c r="AL95" s="238"/>
      <c r="AM95" s="232"/>
    </row>
    <row r="96" spans="1:39" s="234" customFormat="1" x14ac:dyDescent="0.25">
      <c r="A96" s="232"/>
      <c r="B96" s="232"/>
      <c r="C96" s="233"/>
      <c r="E96" s="233"/>
      <c r="F96" s="233"/>
      <c r="H96" s="233"/>
      <c r="L96" s="233"/>
      <c r="M96" s="235"/>
      <c r="N96" s="236"/>
      <c r="P96" s="236"/>
      <c r="R96" s="237"/>
      <c r="AD96" s="233"/>
      <c r="AH96" s="233"/>
      <c r="AJ96" s="237"/>
      <c r="AL96" s="238"/>
      <c r="AM96" s="232"/>
    </row>
    <row r="97" spans="1:39" s="234" customFormat="1" x14ac:dyDescent="0.25">
      <c r="A97" s="232"/>
      <c r="B97" s="232"/>
      <c r="C97" s="233"/>
      <c r="E97" s="233"/>
      <c r="F97" s="233"/>
      <c r="H97" s="233"/>
      <c r="L97" s="233"/>
      <c r="M97" s="235"/>
      <c r="N97" s="236"/>
      <c r="P97" s="236"/>
      <c r="R97" s="237"/>
      <c r="AD97" s="233"/>
      <c r="AH97" s="233"/>
      <c r="AJ97" s="237"/>
      <c r="AL97" s="238"/>
      <c r="AM97" s="232"/>
    </row>
    <row r="98" spans="1:39" s="234" customFormat="1" x14ac:dyDescent="0.25">
      <c r="A98" s="232"/>
      <c r="B98" s="232"/>
      <c r="C98" s="233"/>
      <c r="E98" s="233"/>
      <c r="F98" s="233"/>
      <c r="H98" s="233"/>
      <c r="L98" s="233"/>
      <c r="M98" s="235"/>
      <c r="N98" s="236"/>
      <c r="P98" s="236"/>
      <c r="R98" s="237"/>
      <c r="AD98" s="233"/>
      <c r="AH98" s="233"/>
      <c r="AJ98" s="237"/>
      <c r="AL98" s="238"/>
      <c r="AM98" s="232"/>
    </row>
    <row r="99" spans="1:39" s="234" customFormat="1" x14ac:dyDescent="0.25">
      <c r="A99" s="232"/>
      <c r="B99" s="232"/>
      <c r="C99" s="233"/>
      <c r="E99" s="233"/>
      <c r="F99" s="233"/>
      <c r="H99" s="233"/>
      <c r="L99" s="233"/>
      <c r="M99" s="235"/>
      <c r="N99" s="236"/>
      <c r="P99" s="236"/>
      <c r="R99" s="237"/>
      <c r="AD99" s="233"/>
      <c r="AH99" s="233"/>
      <c r="AJ99" s="237"/>
      <c r="AL99" s="238"/>
      <c r="AM99" s="232"/>
    </row>
    <row r="100" spans="1:39" s="234" customFormat="1" x14ac:dyDescent="0.25">
      <c r="A100" s="232"/>
      <c r="B100" s="232"/>
      <c r="C100" s="233"/>
      <c r="E100" s="233"/>
      <c r="F100" s="233"/>
      <c r="H100" s="233"/>
      <c r="L100" s="233"/>
      <c r="M100" s="235"/>
      <c r="N100" s="236"/>
      <c r="P100" s="236"/>
      <c r="R100" s="237"/>
      <c r="AD100" s="233"/>
      <c r="AH100" s="233"/>
      <c r="AJ100" s="237"/>
      <c r="AL100" s="238"/>
      <c r="AM100" s="232"/>
    </row>
    <row r="101" spans="1:39" s="234" customFormat="1" x14ac:dyDescent="0.25">
      <c r="A101" s="232"/>
      <c r="B101" s="232"/>
      <c r="C101" s="233"/>
      <c r="E101" s="233"/>
      <c r="F101" s="233"/>
      <c r="H101" s="233"/>
      <c r="L101" s="233"/>
      <c r="M101" s="235"/>
      <c r="N101" s="236"/>
      <c r="P101" s="236"/>
      <c r="R101" s="237"/>
      <c r="AD101" s="233"/>
      <c r="AH101" s="233"/>
      <c r="AJ101" s="237"/>
      <c r="AL101" s="238"/>
      <c r="AM101" s="232"/>
    </row>
    <row r="102" spans="1:39" s="234" customFormat="1" x14ac:dyDescent="0.25">
      <c r="A102" s="232"/>
      <c r="B102" s="232"/>
      <c r="C102" s="233"/>
      <c r="E102" s="233"/>
      <c r="F102" s="233"/>
      <c r="H102" s="233"/>
      <c r="L102" s="233"/>
      <c r="M102" s="235"/>
      <c r="N102" s="236"/>
      <c r="P102" s="236"/>
      <c r="R102" s="237"/>
      <c r="AD102" s="233"/>
      <c r="AH102" s="233"/>
      <c r="AJ102" s="237"/>
      <c r="AL102" s="238"/>
      <c r="AM102" s="232"/>
    </row>
    <row r="103" spans="1:39" s="234" customFormat="1" x14ac:dyDescent="0.25">
      <c r="A103" s="232"/>
      <c r="B103" s="232"/>
      <c r="C103" s="233"/>
      <c r="E103" s="233"/>
      <c r="F103" s="233"/>
      <c r="H103" s="233"/>
      <c r="L103" s="233"/>
      <c r="M103" s="235"/>
      <c r="N103" s="236"/>
      <c r="P103" s="236"/>
      <c r="R103" s="237"/>
      <c r="AD103" s="233"/>
      <c r="AH103" s="233"/>
      <c r="AJ103" s="237"/>
      <c r="AL103" s="238"/>
      <c r="AM103" s="232"/>
    </row>
    <row r="104" spans="1:39" s="234" customFormat="1" x14ac:dyDescent="0.25">
      <c r="A104" s="232"/>
      <c r="B104" s="232"/>
      <c r="C104" s="233"/>
      <c r="E104" s="233"/>
      <c r="F104" s="233"/>
      <c r="H104" s="233"/>
      <c r="L104" s="233"/>
      <c r="M104" s="235"/>
      <c r="N104" s="236"/>
      <c r="P104" s="236"/>
      <c r="R104" s="237"/>
      <c r="AD104" s="233"/>
      <c r="AH104" s="233"/>
      <c r="AJ104" s="237"/>
      <c r="AL104" s="238"/>
      <c r="AM104" s="232"/>
    </row>
    <row r="105" spans="1:39" s="234" customFormat="1" x14ac:dyDescent="0.25">
      <c r="A105" s="232"/>
      <c r="B105" s="232"/>
      <c r="C105" s="233"/>
      <c r="E105" s="233"/>
      <c r="F105" s="233"/>
      <c r="H105" s="233"/>
      <c r="L105" s="233"/>
      <c r="M105" s="235"/>
      <c r="N105" s="236"/>
      <c r="P105" s="236"/>
      <c r="R105" s="237"/>
      <c r="AD105" s="233"/>
      <c r="AH105" s="233"/>
      <c r="AJ105" s="237"/>
      <c r="AL105" s="238"/>
      <c r="AM105" s="232"/>
    </row>
    <row r="106" spans="1:39" s="234" customFormat="1" x14ac:dyDescent="0.25">
      <c r="A106" s="232"/>
      <c r="B106" s="232"/>
      <c r="C106" s="233"/>
      <c r="E106" s="233"/>
      <c r="F106" s="233"/>
      <c r="H106" s="233"/>
      <c r="L106" s="233"/>
      <c r="M106" s="235"/>
      <c r="N106" s="236"/>
      <c r="P106" s="236"/>
      <c r="R106" s="237"/>
      <c r="AD106" s="233"/>
      <c r="AH106" s="233"/>
      <c r="AJ106" s="237"/>
      <c r="AL106" s="238"/>
      <c r="AM106" s="232"/>
    </row>
    <row r="107" spans="1:39" s="234" customFormat="1" x14ac:dyDescent="0.25">
      <c r="A107" s="232"/>
      <c r="B107" s="232"/>
      <c r="C107" s="233"/>
      <c r="E107" s="233"/>
      <c r="F107" s="233"/>
      <c r="H107" s="233"/>
      <c r="L107" s="233"/>
      <c r="M107" s="235"/>
      <c r="N107" s="236"/>
      <c r="P107" s="236"/>
      <c r="R107" s="237"/>
      <c r="AD107" s="233"/>
      <c r="AH107" s="233"/>
      <c r="AJ107" s="237"/>
      <c r="AL107" s="238"/>
      <c r="AM107" s="232"/>
    </row>
    <row r="108" spans="1:39" s="234" customFormat="1" x14ac:dyDescent="0.25">
      <c r="A108" s="232"/>
      <c r="B108" s="232"/>
      <c r="C108" s="233"/>
      <c r="E108" s="233"/>
      <c r="F108" s="233"/>
      <c r="H108" s="233"/>
      <c r="L108" s="233"/>
      <c r="M108" s="235"/>
      <c r="N108" s="236"/>
      <c r="P108" s="236"/>
      <c r="R108" s="237"/>
      <c r="AD108" s="233"/>
      <c r="AH108" s="233"/>
      <c r="AJ108" s="237"/>
      <c r="AL108" s="238"/>
      <c r="AM108" s="232"/>
    </row>
    <row r="109" spans="1:39" s="234" customFormat="1" x14ac:dyDescent="0.25">
      <c r="A109" s="232"/>
      <c r="B109" s="232"/>
      <c r="C109" s="233"/>
      <c r="E109" s="233"/>
      <c r="F109" s="233"/>
      <c r="H109" s="233"/>
      <c r="L109" s="233"/>
      <c r="M109" s="235"/>
      <c r="N109" s="236"/>
      <c r="P109" s="236"/>
      <c r="R109" s="237"/>
      <c r="AD109" s="233"/>
      <c r="AH109" s="233"/>
      <c r="AJ109" s="237"/>
      <c r="AL109" s="238"/>
      <c r="AM109" s="232"/>
    </row>
    <row r="110" spans="1:39" s="234" customFormat="1" x14ac:dyDescent="0.25">
      <c r="A110" s="232"/>
      <c r="B110" s="232"/>
      <c r="C110" s="233"/>
      <c r="E110" s="233"/>
      <c r="F110" s="233"/>
      <c r="H110" s="233"/>
      <c r="L110" s="233"/>
      <c r="M110" s="235"/>
      <c r="N110" s="236"/>
      <c r="P110" s="236"/>
      <c r="R110" s="237"/>
      <c r="AD110" s="233"/>
      <c r="AH110" s="233"/>
      <c r="AJ110" s="237"/>
      <c r="AL110" s="238"/>
      <c r="AM110" s="232"/>
    </row>
    <row r="111" spans="1:39" s="234" customFormat="1" x14ac:dyDescent="0.25">
      <c r="A111" s="232"/>
      <c r="B111" s="232"/>
      <c r="C111" s="233"/>
      <c r="E111" s="233"/>
      <c r="F111" s="233"/>
      <c r="H111" s="233"/>
      <c r="L111" s="233"/>
      <c r="M111" s="235"/>
      <c r="N111" s="236"/>
      <c r="P111" s="236"/>
      <c r="R111" s="237"/>
      <c r="AD111" s="233"/>
      <c r="AH111" s="233"/>
      <c r="AJ111" s="237"/>
      <c r="AL111" s="238"/>
      <c r="AM111" s="232"/>
    </row>
    <row r="112" spans="1:39" s="234" customFormat="1" x14ac:dyDescent="0.25">
      <c r="A112" s="232"/>
      <c r="B112" s="232"/>
      <c r="C112" s="233"/>
      <c r="E112" s="233"/>
      <c r="F112" s="233"/>
      <c r="H112" s="233"/>
      <c r="L112" s="233"/>
      <c r="M112" s="235"/>
      <c r="N112" s="236"/>
      <c r="P112" s="236"/>
      <c r="R112" s="237"/>
      <c r="AD112" s="233"/>
      <c r="AH112" s="233"/>
      <c r="AJ112" s="237"/>
      <c r="AL112" s="238"/>
      <c r="AM112" s="232"/>
    </row>
    <row r="113" spans="1:39" s="234" customFormat="1" x14ac:dyDescent="0.25">
      <c r="A113" s="232"/>
      <c r="B113" s="232"/>
      <c r="C113" s="233"/>
      <c r="E113" s="233"/>
      <c r="F113" s="233"/>
      <c r="H113" s="233"/>
      <c r="L113" s="233"/>
      <c r="M113" s="235"/>
      <c r="N113" s="236"/>
      <c r="P113" s="236"/>
      <c r="R113" s="237"/>
      <c r="AD113" s="233"/>
      <c r="AH113" s="233"/>
      <c r="AJ113" s="237"/>
      <c r="AL113" s="238"/>
      <c r="AM113" s="232"/>
    </row>
  </sheetData>
  <mergeCells count="18">
    <mergeCell ref="Q9:Q10"/>
    <mergeCell ref="R9:R10"/>
    <mergeCell ref="S9:S10"/>
    <mergeCell ref="T9:U9"/>
    <mergeCell ref="AA9:AB9"/>
    <mergeCell ref="AJ9:AL9"/>
    <mergeCell ref="B7:AL7"/>
    <mergeCell ref="B8:B10"/>
    <mergeCell ref="C8:C10"/>
    <mergeCell ref="D8:D10"/>
    <mergeCell ref="E8:U8"/>
    <mergeCell ref="V8:AB8"/>
    <mergeCell ref="AC8:AL8"/>
    <mergeCell ref="E9:I9"/>
    <mergeCell ref="J9:N9"/>
    <mergeCell ref="O9:O10"/>
    <mergeCell ref="AC9:AI9"/>
    <mergeCell ref="P9:P1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8"/>
  <sheetViews>
    <sheetView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I22" sqref="I22"/>
    </sheetView>
  </sheetViews>
  <sheetFormatPr defaultRowHeight="15" x14ac:dyDescent="0.25"/>
  <cols>
    <col min="1" max="1" width="9.5703125" bestFit="1" customWidth="1"/>
    <col min="2" max="2" width="9.28515625" bestFit="1" customWidth="1"/>
    <col min="3" max="3" width="9.5703125" bestFit="1" customWidth="1"/>
  </cols>
  <sheetData>
    <row r="1" spans="1:3" ht="18.75" x14ac:dyDescent="0.3">
      <c r="A1" s="28" t="s">
        <v>28</v>
      </c>
    </row>
    <row r="2" spans="1:3" ht="18.75" x14ac:dyDescent="0.3">
      <c r="A2" s="281">
        <v>44197</v>
      </c>
      <c r="B2" s="282"/>
      <c r="C2" s="282"/>
    </row>
    <row r="3" spans="1:3" x14ac:dyDescent="0.25">
      <c r="A3" s="284" t="s">
        <v>1</v>
      </c>
      <c r="B3" s="283" t="s">
        <v>2</v>
      </c>
      <c r="C3" s="283" t="s">
        <v>3</v>
      </c>
    </row>
    <row r="4" spans="1:3" x14ac:dyDescent="0.25">
      <c r="A4" s="284"/>
      <c r="B4" s="283"/>
      <c r="C4" s="283"/>
    </row>
    <row r="5" spans="1:3" x14ac:dyDescent="0.25">
      <c r="A5" s="284"/>
      <c r="B5" s="283"/>
      <c r="C5" s="283"/>
    </row>
    <row r="6" spans="1:3" x14ac:dyDescent="0.25">
      <c r="A6" s="2">
        <v>1</v>
      </c>
      <c r="B6" s="2">
        <v>42</v>
      </c>
      <c r="C6" s="2">
        <v>423</v>
      </c>
    </row>
    <row r="7" spans="1:3" x14ac:dyDescent="0.25">
      <c r="A7" s="2">
        <v>2</v>
      </c>
      <c r="B7" s="2">
        <v>37</v>
      </c>
      <c r="C7" s="2">
        <v>341</v>
      </c>
    </row>
    <row r="8" spans="1:3" x14ac:dyDescent="0.25">
      <c r="A8" s="2">
        <f>A7+1</f>
        <v>3</v>
      </c>
      <c r="B8" s="2">
        <v>29</v>
      </c>
      <c r="C8" s="2">
        <v>252</v>
      </c>
    </row>
    <row r="9" spans="1:3" x14ac:dyDescent="0.25">
      <c r="A9" s="2">
        <f>A8+1</f>
        <v>4</v>
      </c>
      <c r="B9" s="2">
        <v>23</v>
      </c>
      <c r="C9" s="2">
        <v>199</v>
      </c>
    </row>
    <row r="10" spans="1:3" x14ac:dyDescent="0.25">
      <c r="A10" s="2">
        <f t="shared" ref="A10:A36" si="0">A9+1</f>
        <v>5</v>
      </c>
      <c r="B10" s="2">
        <v>18</v>
      </c>
      <c r="C10" s="2">
        <v>137</v>
      </c>
    </row>
    <row r="11" spans="1:3" x14ac:dyDescent="0.25">
      <c r="A11" s="2">
        <f t="shared" si="0"/>
        <v>6</v>
      </c>
      <c r="B11" s="2">
        <v>14</v>
      </c>
      <c r="C11" s="2">
        <v>168</v>
      </c>
    </row>
    <row r="12" spans="1:3" x14ac:dyDescent="0.25">
      <c r="A12" s="2">
        <f t="shared" si="0"/>
        <v>7</v>
      </c>
      <c r="B12" s="2">
        <v>14</v>
      </c>
      <c r="C12" s="2">
        <v>131</v>
      </c>
    </row>
    <row r="13" spans="1:3" x14ac:dyDescent="0.25">
      <c r="A13" s="2">
        <f t="shared" si="0"/>
        <v>8</v>
      </c>
      <c r="B13" s="2">
        <v>13</v>
      </c>
      <c r="C13" s="2">
        <v>125</v>
      </c>
    </row>
    <row r="14" spans="1:3" x14ac:dyDescent="0.25">
      <c r="A14" s="2">
        <f t="shared" si="0"/>
        <v>9</v>
      </c>
      <c r="B14" s="2">
        <v>11</v>
      </c>
      <c r="C14" s="2">
        <v>146</v>
      </c>
    </row>
    <row r="15" spans="1:3" x14ac:dyDescent="0.25">
      <c r="A15" s="2">
        <f t="shared" si="0"/>
        <v>10</v>
      </c>
      <c r="B15" s="2">
        <v>10</v>
      </c>
      <c r="C15" s="2">
        <v>116</v>
      </c>
    </row>
    <row r="16" spans="1:3" x14ac:dyDescent="0.25">
      <c r="A16" s="2">
        <f t="shared" si="0"/>
        <v>11</v>
      </c>
      <c r="B16" s="2">
        <v>11</v>
      </c>
      <c r="C16" s="2">
        <v>79</v>
      </c>
    </row>
    <row r="17" spans="1:3" x14ac:dyDescent="0.25">
      <c r="A17" s="2">
        <f t="shared" si="0"/>
        <v>12</v>
      </c>
      <c r="B17" s="2">
        <v>10</v>
      </c>
      <c r="C17" s="2">
        <v>85</v>
      </c>
    </row>
    <row r="18" spans="1:3" x14ac:dyDescent="0.25">
      <c r="A18" s="2">
        <f t="shared" si="0"/>
        <v>13</v>
      </c>
      <c r="B18" s="2">
        <v>10</v>
      </c>
      <c r="C18" s="2">
        <v>81</v>
      </c>
    </row>
    <row r="19" spans="1:3" x14ac:dyDescent="0.25">
      <c r="A19" s="2">
        <f t="shared" si="0"/>
        <v>14</v>
      </c>
      <c r="B19" s="2">
        <v>9</v>
      </c>
      <c r="C19" s="2">
        <v>82</v>
      </c>
    </row>
    <row r="20" spans="1:3" x14ac:dyDescent="0.25">
      <c r="A20" s="2">
        <f t="shared" si="0"/>
        <v>15</v>
      </c>
      <c r="B20" s="2">
        <v>9</v>
      </c>
      <c r="C20" s="2">
        <v>52</v>
      </c>
    </row>
    <row r="21" spans="1:3" x14ac:dyDescent="0.25">
      <c r="A21" s="2">
        <f t="shared" si="0"/>
        <v>16</v>
      </c>
      <c r="B21" s="2">
        <v>8</v>
      </c>
      <c r="C21" s="2">
        <v>68</v>
      </c>
    </row>
    <row r="22" spans="1:3" x14ac:dyDescent="0.25">
      <c r="A22" s="2">
        <f t="shared" si="0"/>
        <v>17</v>
      </c>
      <c r="B22" s="2">
        <v>5</v>
      </c>
      <c r="C22" s="2">
        <v>83</v>
      </c>
    </row>
    <row r="23" spans="1:3" x14ac:dyDescent="0.25">
      <c r="A23" s="2">
        <f t="shared" si="0"/>
        <v>18</v>
      </c>
      <c r="B23" s="2">
        <v>5</v>
      </c>
      <c r="C23" s="2">
        <v>63</v>
      </c>
    </row>
    <row r="24" spans="1:3" x14ac:dyDescent="0.25">
      <c r="A24" s="2">
        <f t="shared" si="0"/>
        <v>19</v>
      </c>
      <c r="B24" s="2">
        <v>4</v>
      </c>
      <c r="C24" s="2">
        <v>26</v>
      </c>
    </row>
    <row r="25" spans="1:3" x14ac:dyDescent="0.25">
      <c r="A25" s="2">
        <f t="shared" si="0"/>
        <v>20</v>
      </c>
      <c r="B25" s="2" t="s">
        <v>54</v>
      </c>
      <c r="C25" s="2">
        <v>24</v>
      </c>
    </row>
    <row r="26" spans="1:3" x14ac:dyDescent="0.25">
      <c r="A26" s="2">
        <f t="shared" si="0"/>
        <v>21</v>
      </c>
      <c r="B26" s="2">
        <v>2</v>
      </c>
      <c r="C26" s="2">
        <v>28</v>
      </c>
    </row>
    <row r="27" spans="1:3" x14ac:dyDescent="0.25">
      <c r="A27" s="2">
        <f t="shared" si="0"/>
        <v>22</v>
      </c>
      <c r="B27" s="2">
        <v>2</v>
      </c>
      <c r="C27" s="2">
        <v>28</v>
      </c>
    </row>
    <row r="28" spans="1:3" x14ac:dyDescent="0.25">
      <c r="A28" s="2">
        <f t="shared" si="0"/>
        <v>23</v>
      </c>
      <c r="B28" s="2" t="s">
        <v>54</v>
      </c>
      <c r="C28" s="2">
        <v>28</v>
      </c>
    </row>
    <row r="29" spans="1:3" x14ac:dyDescent="0.25">
      <c r="A29" s="2">
        <f t="shared" si="0"/>
        <v>24</v>
      </c>
      <c r="B29" s="2">
        <v>1</v>
      </c>
      <c r="C29" s="2">
        <v>43</v>
      </c>
    </row>
    <row r="30" spans="1:3" x14ac:dyDescent="0.25">
      <c r="A30" s="2">
        <f t="shared" si="0"/>
        <v>25</v>
      </c>
      <c r="B30" s="2">
        <v>3</v>
      </c>
      <c r="C30" s="2">
        <v>25</v>
      </c>
    </row>
    <row r="31" spans="1:3" x14ac:dyDescent="0.25">
      <c r="A31" s="2">
        <f t="shared" si="0"/>
        <v>26</v>
      </c>
      <c r="B31" s="2">
        <v>3</v>
      </c>
      <c r="C31" s="2">
        <v>47</v>
      </c>
    </row>
    <row r="32" spans="1:3" x14ac:dyDescent="0.25">
      <c r="A32" s="2">
        <f t="shared" si="0"/>
        <v>27</v>
      </c>
      <c r="B32" s="2">
        <v>3</v>
      </c>
      <c r="C32" s="2">
        <v>26</v>
      </c>
    </row>
    <row r="33" spans="1:3" x14ac:dyDescent="0.25">
      <c r="A33" s="2">
        <f t="shared" si="0"/>
        <v>28</v>
      </c>
      <c r="B33" s="2">
        <v>3</v>
      </c>
      <c r="C33" s="2">
        <v>33</v>
      </c>
    </row>
    <row r="34" spans="1:3" x14ac:dyDescent="0.25">
      <c r="A34" s="2">
        <f t="shared" si="0"/>
        <v>29</v>
      </c>
      <c r="B34" s="2">
        <v>5</v>
      </c>
      <c r="C34" s="2">
        <v>12</v>
      </c>
    </row>
    <row r="35" spans="1:3" x14ac:dyDescent="0.25">
      <c r="A35" s="2">
        <f t="shared" si="0"/>
        <v>30</v>
      </c>
      <c r="B35" s="2">
        <v>5</v>
      </c>
      <c r="C35" s="2">
        <v>56</v>
      </c>
    </row>
    <row r="36" spans="1:3" x14ac:dyDescent="0.25">
      <c r="A36" s="2">
        <f t="shared" si="0"/>
        <v>31</v>
      </c>
      <c r="B36" s="2">
        <v>4</v>
      </c>
      <c r="C36" s="2">
        <v>115</v>
      </c>
    </row>
    <row r="38" spans="1:3" x14ac:dyDescent="0.25">
      <c r="B38" s="6">
        <f>SUM(B6:B36)</f>
        <v>313</v>
      </c>
      <c r="C38" s="6">
        <f>SUM(C6:C36)</f>
        <v>3122</v>
      </c>
    </row>
  </sheetData>
  <mergeCells count="4">
    <mergeCell ref="A2:C2"/>
    <mergeCell ref="C3:C5"/>
    <mergeCell ref="A3:A5"/>
    <mergeCell ref="B3:B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45EEB51336BE84FB6092730DF548814" ma:contentTypeVersion="13" ma:contentTypeDescription="Create a new document." ma:contentTypeScope="" ma:versionID="8ef1ac0fa7950221b240831bd00c37d2">
  <xsd:schema xmlns:xsd="http://www.w3.org/2001/XMLSchema" xmlns:xs="http://www.w3.org/2001/XMLSchema" xmlns:p="http://schemas.microsoft.com/office/2006/metadata/properties" xmlns:ns2="2e11796f-5f26-4c51-a1e5-22e0f1616a71" xmlns:ns3="a2b08d59-ce98-408b-b7f1-7ea559ce0d50" targetNamespace="http://schemas.microsoft.com/office/2006/metadata/properties" ma:root="true" ma:fieldsID="daaea8e627dc5dd4dabc3c1c97dc2457" ns2:_="" ns3:_="">
    <xsd:import namespace="2e11796f-5f26-4c51-a1e5-22e0f1616a71"/>
    <xsd:import namespace="a2b08d59-ce98-408b-b7f1-7ea559ce0d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11796f-5f26-4c51-a1e5-22e0f1616a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b08d59-ce98-408b-b7f1-7ea559ce0d50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EAE74F4-7ADC-443D-BDD6-B8BBEBD453E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92A51AE-1DB1-46E9-ACB7-2F3BB3ABF83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e11796f-5f26-4c51-a1e5-22e0f1616a71"/>
    <ds:schemaRef ds:uri="a2b08d59-ce98-408b-b7f1-7ea559ce0d5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F63AC17-9EFD-48DA-BB12-4FD1F7102A5E}">
  <ds:schemaRefs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ed2f2222-2bff-489f-89bb-9539c67e7b9c"/>
    <ds:schemaRef ds:uri="http://purl.org/dc/terms/"/>
    <ds:schemaRef ds:uri="http://schemas.openxmlformats.org/package/2006/metadata/core-properties"/>
    <ds:schemaRef ds:uri="77842aba-bda6-4832-96cd-e75cb5324294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FS Jimbaran January 2021</vt:lpstr>
      <vt:lpstr>RNs &amp; Covers January 2021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Wu</dc:creator>
  <cp:lastModifiedBy>Tjokorda Gde Sparsa Krisyana Krisyana</cp:lastModifiedBy>
  <cp:lastPrinted>2020-11-17T04:34:44Z</cp:lastPrinted>
  <dcterms:created xsi:type="dcterms:W3CDTF">2020-09-16T08:52:25Z</dcterms:created>
  <dcterms:modified xsi:type="dcterms:W3CDTF">2022-04-15T04:23:13Z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0x010100545EEB51336BE84FB6092730DF548814</vt:lpwstr>
  </property>
</Properties>
</file>