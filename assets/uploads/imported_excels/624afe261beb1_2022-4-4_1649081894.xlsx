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L31" i="1" l="1"/>
  <c r="K31" i="1"/>
  <c r="I31" i="1"/>
  <c r="G31" i="1"/>
  <c r="E31" i="1"/>
  <c r="D31" i="1"/>
  <c r="B31" i="1"/>
  <c r="L30" i="1"/>
  <c r="K30" i="1"/>
  <c r="I30" i="1"/>
  <c r="G30" i="1"/>
  <c r="E30" i="1"/>
  <c r="D30" i="1"/>
  <c r="B30" i="1"/>
  <c r="D31" i="3"/>
  <c r="B31" i="3"/>
  <c r="D30" i="3"/>
  <c r="B30" i="3"/>
  <c r="C3" i="3" l="1"/>
  <c r="C4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<sst xmlns="http://schemas.openxmlformats.org/spreadsheetml/2006/main" count="106" uniqueCount="33">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</sst>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B37" sqref="B3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4</v>
      </c>
      <c r="D2" s="9">
        <f>Submetering!D2</f>
        <v>2022</v>
      </c>
      <c r="E2" s="20">
        <f>Submetering!E2</f>
        <v>7619.59</v>
      </c>
      <c r="F2" s="16">
        <v>0.12</v>
      </c>
      <c r="G2" s="20">
        <f>Submetering!F2+Submetering!G2</f>
        <v>471.28000000000003</v>
      </c>
      <c r="H2" s="16">
        <v>0.71</v>
      </c>
      <c r="I2" s="20">
        <f>Submetering!J2+Submetering!I2+Submetering!H2</f>
        <v>34.869999999999997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4</v>
      </c>
      <c r="D3" s="9">
        <f>Submetering!D3</f>
        <v>2022</v>
      </c>
      <c r="E3" s="20">
        <f>Submetering!E3</f>
        <v>7458.45</v>
      </c>
      <c r="F3" s="16">
        <v>0.12</v>
      </c>
      <c r="G3" s="20">
        <f>Submetering!F3+Submetering!G3</f>
        <v>550.41999999999996</v>
      </c>
      <c r="H3" s="16">
        <v>0.71</v>
      </c>
      <c r="I3" s="20">
        <f>Submetering!J3+Submetering!I3+Submetering!H3</f>
        <v>32.49</v>
      </c>
      <c r="J3" s="16">
        <v>2.3196172978505634</v>
      </c>
      <c r="K3" s="20">
        <f>Submetering!K3</f>
        <v>100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4</v>
      </c>
      <c r="D4" s="9">
        <f>Submetering!D4</f>
        <v>2022</v>
      </c>
      <c r="E4" s="20">
        <f>Submetering!E4</f>
        <v>7055.29</v>
      </c>
      <c r="F4" s="16">
        <v>0.12</v>
      </c>
      <c r="G4" s="20">
        <f>Submetering!F4+Submetering!G4</f>
        <v>0</v>
      </c>
      <c r="H4" s="16">
        <v>0.71</v>
      </c>
      <c r="I4" s="20">
        <f>Submetering!J4+Submetering!I4+Submetering!H4</f>
        <v>0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4</v>
      </c>
      <c r="D5" s="9">
        <f>Submetering!D5</f>
        <v>2022</v>
      </c>
      <c r="E5" s="20">
        <f>Submetering!E5</f>
        <v>0</v>
      </c>
      <c r="F5" s="16">
        <v>0.12</v>
      </c>
      <c r="G5" s="20">
        <f>Submetering!F5+Submetering!G5</f>
        <v>0</v>
      </c>
      <c r="H5" s="16">
        <v>0.71</v>
      </c>
      <c r="I5" s="20">
        <f>Submetering!J5+Submetering!I5+Submetering!H5</f>
        <v>0</v>
      </c>
      <c r="J5" s="16">
        <v>2.3196172978505634</v>
      </c>
      <c r="K5" s="20">
        <f>Submetering!K5</f>
        <v>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4</v>
      </c>
      <c r="D6" s="9">
        <f>Submetering!D6</f>
        <v>2022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4</v>
      </c>
      <c r="D7" s="9">
        <f>Submetering!D7</f>
        <v>2022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4</v>
      </c>
      <c r="D8" s="9">
        <f>Submetering!D8</f>
        <v>2022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4</v>
      </c>
      <c r="D9" s="9">
        <f>Submetering!D9</f>
        <v>2022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4</v>
      </c>
      <c r="D10" s="9">
        <f>Submetering!D10</f>
        <v>2022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4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4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4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4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4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4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4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4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4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4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4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4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4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4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4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4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4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4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4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4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4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7" sqref="J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4</v>
      </c>
      <c r="D2" s="40">
        <v>2022</v>
      </c>
      <c r="E2" s="37">
        <v>7619.59</v>
      </c>
      <c r="F2" s="37">
        <v>454.35</v>
      </c>
      <c r="G2" s="37">
        <v>16.93</v>
      </c>
      <c r="H2" s="37">
        <v>2.37</v>
      </c>
      <c r="I2" s="37">
        <v>32.5</v>
      </c>
      <c r="J2" s="37"/>
      <c r="K2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4</v>
      </c>
      <c r="D3" s="40">
        <f>D2</f>
        <v>2022</v>
      </c>
      <c r="E3" s="37">
        <v>7458.45</v>
      </c>
      <c r="F3" s="37">
        <v>531.5</v>
      </c>
      <c r="G3" s="37">
        <v>18.920000000000002</v>
      </c>
      <c r="H3" s="37">
        <v>1.99</v>
      </c>
      <c r="I3" s="37">
        <v>30.5</v>
      </c>
      <c r="J3" s="37"/>
      <c r="K3">
        <v>100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4</v>
      </c>
      <c r="D4" s="40">
        <f t="shared" ref="D4:D32" si="2">D3</f>
        <v>2022</v>
      </c>
      <c r="E4" s="37">
        <v>7055.29</v>
      </c>
      <c r="F4" s="37"/>
      <c r="G4" s="37"/>
      <c r="H4" s="37"/>
      <c r="I4" s="37"/>
      <c r="J4" s="37"/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4</v>
      </c>
      <c r="D5" s="40">
        <f t="shared" si="2"/>
        <v>2022</v>
      </c>
      <c r="E5" s="37"/>
      <c r="F5" s="37"/>
      <c r="G5" s="37"/>
      <c r="H5" s="37"/>
      <c r="I5" s="37"/>
      <c r="J5" s="37"/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4</v>
      </c>
      <c r="D6" s="40">
        <f t="shared" si="2"/>
        <v>2022</v>
      </c>
      <c r="E6" s="37"/>
      <c r="F6" s="37"/>
      <c r="G6" s="37"/>
      <c r="H6" s="37"/>
      <c r="I6" s="37"/>
      <c r="J6" s="37"/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4</v>
      </c>
      <c r="D7" s="40">
        <f t="shared" si="2"/>
        <v>2022</v>
      </c>
      <c r="E7" s="37"/>
      <c r="F7" s="37"/>
      <c r="G7" s="37"/>
      <c r="H7" s="37"/>
      <c r="I7" s="37"/>
      <c r="J7" s="37"/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4</v>
      </c>
      <c r="D8" s="40">
        <f t="shared" si="2"/>
        <v>2022</v>
      </c>
      <c r="E8" s="37"/>
      <c r="F8" s="37"/>
      <c r="G8" s="37"/>
      <c r="H8" s="37"/>
      <c r="I8" s="37"/>
      <c r="J8" s="37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4</v>
      </c>
      <c r="D9" s="40">
        <f t="shared" si="2"/>
        <v>2022</v>
      </c>
      <c r="E9" s="37"/>
      <c r="F9" s="37"/>
      <c r="G9" s="37"/>
      <c r="H9" s="37"/>
      <c r="I9" s="37"/>
      <c r="J9" s="37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4</v>
      </c>
      <c r="D10" s="40">
        <f t="shared" si="2"/>
        <v>2022</v>
      </c>
      <c r="E10" s="37"/>
      <c r="F10" s="37"/>
      <c r="G10" s="37"/>
      <c r="H10" s="37"/>
      <c r="I10" s="37"/>
      <c r="J10" s="37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4</v>
      </c>
      <c r="D11" s="40">
        <f t="shared" si="2"/>
        <v>2022</v>
      </c>
      <c r="E11" s="37"/>
      <c r="F11" s="37"/>
      <c r="G11" s="37"/>
      <c r="H11" s="37"/>
      <c r="I11" s="37"/>
      <c r="J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4</v>
      </c>
      <c r="D12" s="40">
        <f t="shared" si="2"/>
        <v>2022</v>
      </c>
      <c r="E12" s="37"/>
      <c r="F12" s="37"/>
      <c r="G12" s="37"/>
      <c r="H12" s="37"/>
      <c r="I12" s="37"/>
      <c r="J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4</v>
      </c>
      <c r="D13" s="40">
        <f t="shared" si="2"/>
        <v>2022</v>
      </c>
      <c r="E13" s="37"/>
      <c r="F13" s="37"/>
      <c r="G13" s="37"/>
      <c r="H13" s="37"/>
      <c r="I13" s="37"/>
      <c r="J13" s="37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4</v>
      </c>
      <c r="D14" s="40">
        <f t="shared" si="2"/>
        <v>2022</v>
      </c>
      <c r="E14" s="37"/>
      <c r="F14" s="37"/>
      <c r="G14" s="37"/>
      <c r="H14" s="37"/>
      <c r="I14" s="37"/>
      <c r="J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4</v>
      </c>
      <c r="D15" s="40">
        <f t="shared" si="2"/>
        <v>2022</v>
      </c>
      <c r="E15" s="37"/>
      <c r="F15" s="37"/>
      <c r="G15" s="37"/>
      <c r="H15" s="37"/>
      <c r="I15" s="37"/>
      <c r="J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4</v>
      </c>
      <c r="D16" s="40">
        <f t="shared" si="2"/>
        <v>2022</v>
      </c>
      <c r="E16" s="37"/>
      <c r="F16" s="37"/>
      <c r="G16" s="37"/>
      <c r="H16" s="37"/>
      <c r="I16" s="37"/>
      <c r="J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4</v>
      </c>
      <c r="D17" s="40">
        <f t="shared" si="2"/>
        <v>2022</v>
      </c>
      <c r="E17" s="37"/>
      <c r="F17" s="37"/>
      <c r="G17" s="37"/>
      <c r="H17" s="37"/>
      <c r="I17" s="37"/>
      <c r="J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4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4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4</v>
      </c>
      <c r="D20" s="40">
        <f t="shared" si="2"/>
        <v>2022</v>
      </c>
      <c r="E20" s="37"/>
      <c r="F20" s="37"/>
      <c r="G20" s="37"/>
      <c r="H20" s="37"/>
      <c r="I20" s="37"/>
      <c r="J20" s="37"/>
      <c r="K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4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4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4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4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4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4</v>
      </c>
      <c r="D26" s="40">
        <f t="shared" si="2"/>
        <v>2022</v>
      </c>
      <c r="E26" s="37"/>
      <c r="F26" s="37"/>
      <c r="G26" s="37"/>
      <c r="H26" s="37"/>
      <c r="I26" s="37"/>
      <c r="J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4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4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4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4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4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2"/>
      <c r="C1" s="1"/>
      <c r="D1" s="11"/>
      <c r="E1" s="1"/>
      <c r="F1" s="14"/>
      <c r="G1" s="1"/>
      <c r="H1" s="1"/>
      <c r="I1" s="53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52"/>
      <c r="C2" s="46" t="s">
        <v>22</v>
      </c>
      <c r="D2" s="47"/>
      <c r="E2" s="56" t="s">
        <v>23</v>
      </c>
      <c r="F2" s="56"/>
      <c r="G2" s="56" t="s">
        <v>24</v>
      </c>
      <c r="H2" s="56"/>
      <c r="I2" s="54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5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2"/>
      <c r="C4" s="18">
        <v>22342913</v>
      </c>
      <c r="D4" s="49">
        <f>IF((C5-C4&lt;0), "",C5-C4)</f>
        <v>7975</v>
      </c>
      <c r="E4" s="18">
        <v>23837512</v>
      </c>
      <c r="F4" s="50">
        <f>IF((E5-E4&lt;0), "",E5-E4)</f>
        <v>5799</v>
      </c>
      <c r="G4" s="18">
        <v>9975816</v>
      </c>
      <c r="H4" s="49">
        <f>IF((G5-G4&lt;0), "",G5-G4)</f>
        <v>3477</v>
      </c>
      <c r="I4" s="54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2"/>
      <c r="C5" s="18">
        <v>22350888</v>
      </c>
      <c r="D5" s="49"/>
      <c r="E5" s="18">
        <v>23843311</v>
      </c>
      <c r="F5" s="51"/>
      <c r="G5" s="18">
        <v>9979293</v>
      </c>
      <c r="H5" s="49"/>
      <c r="I5" s="54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5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2022-04-04T13:48:59Z</dcterms:modified>
</cp:coreProperties>
</file>