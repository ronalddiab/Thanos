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14" documentId="13_ncr:1_{76C55D63-F869-4AF5-AAA3-3D809A91432B}" xr6:coauthVersionLast="47" xr6:coauthVersionMax="47" xr10:uidLastSave="{7BFD07D8-948E-458D-B352-D3EA57E314A4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" i="27" l="1"/>
  <c r="J6" i="27"/>
  <c r="J5" i="27"/>
  <c r="L37" i="27"/>
  <c r="L36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<sst xmlns="http://schemas.openxmlformats.org/spreadsheetml/2006/main" count="72" uniqueCount="33">
  <si>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</si>
  <si>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</si>
  <si>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</si>
  <si>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</si>
  <si>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</si>
  <si>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</si>
  <si>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</si>
  <si>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</si>
  <si>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</si>
  <si>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</si>
  <si>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</si>
  <si>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</si>
  <si>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</si>
  <si>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</si>
  <si>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</si>
  <si>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August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</si>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</sst>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7" xfId="6" applyFont="1" applyBorder="1" applyAlignment="1">
      <alignment vertical="center"/>
    </xf>
    <xf numFmtId="0" fontId="10" fillId="0" borderId="59" xfId="6" applyFont="1" applyBorder="1" applyAlignment="1">
      <alignment vertical="center"/>
    </xf>
    <xf numFmtId="0" fontId="10" fillId="0" borderId="67" xfId="6" applyFont="1" applyBorder="1" applyAlignment="1">
      <alignment vertical="center"/>
    </xf>
    <xf numFmtId="0" fontId="10" fillId="0" borderId="49" xfId="6" applyFont="1" applyBorder="1" applyAlignment="1">
      <alignment vertical="center"/>
    </xf>
    <xf numFmtId="0" fontId="10" fillId="0" borderId="82" xfId="6" applyFont="1" applyBorder="1" applyAlignment="1">
      <alignment vertical="center"/>
    </xf>
    <xf numFmtId="0" fontId="10" fillId="0" borderId="54" xfId="6" applyFont="1" applyBorder="1" applyAlignment="1">
      <alignment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164" fontId="10" fillId="3" borderId="5" xfId="6" applyNumberFormat="1" applyFont="1" applyFill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8</v>
      </c>
      <c r="D2" s="10">
        <v>2022</v>
      </c>
      <c r="E2" s="11">
        <f>IF(Electricity!F8&lt;0,0,Electricity!F8)</f>
        <v>22447.750000005726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1293</v>
      </c>
      <c r="J2" s="82">
        <v>0.21186441</v>
      </c>
      <c r="K2" s="11">
        <f>IF('Water, Gas, Diesel'!F6&lt;0,0,'Water, Gas, Diesel'!F6)</f>
        <v>220</v>
      </c>
      <c r="L2" s="82">
        <v>1.6949000000000001</v>
      </c>
      <c r="M2" s="11">
        <f>Electricity!H8</f>
        <v>94</v>
      </c>
      <c r="O2" s="104"/>
    </row>
    <row r="3" spans="1:15">
      <c r="A3" s="8" t="s">
        <v>13</v>
      </c>
      <c r="B3" s="9">
        <f>B2+1</f>
        <v>2</v>
      </c>
      <c r="C3" s="9">
        <v>8</v>
      </c>
      <c r="D3" s="10">
        <v>2022</v>
      </c>
      <c r="E3" s="11">
        <f>IF(Electricity!F9&lt;0,0,Electricity!F9)</f>
        <v>0</v>
      </c>
      <c r="F3" s="82">
        <v>9.3200000000000005E-2</v>
      </c>
      <c r="G3" s="11">
        <f>IF('Water, Gas, Diesel'!K7&lt;0,0,'Water, Gas, Diesel'!K7)</f>
        <v>11630</v>
      </c>
      <c r="H3" s="82">
        <v>0.7</v>
      </c>
      <c r="I3" s="11">
        <f>IF('Water, Gas, Diesel'!C7&lt;0,0,'Water, Gas, Diesel'!C7)</f>
        <v>0</v>
      </c>
      <c r="J3" s="82">
        <v>0.21186441</v>
      </c>
      <c r="K3" s="11">
        <f>IF('Water, Gas, Diesel'!F7&lt;0,0,'Water, Gas, Diesel'!F7)</f>
        <v>0</v>
      </c>
      <c r="L3" s="82">
        <v>1.6949000000000001</v>
      </c>
      <c r="M3" s="11">
        <f>Electricity!H9</f>
        <v>0</v>
      </c>
    </row>
    <row r="4" spans="1:15">
      <c r="A4" s="8" t="s">
        <v>13</v>
      </c>
      <c r="B4" s="9">
        <f t="shared" ref="B4:B32" si="0">B3+1</f>
        <v>3</v>
      </c>
      <c r="C4" s="9">
        <v>8</v>
      </c>
      <c r="D4" s="10">
        <v>2022</v>
      </c>
      <c r="E4" s="11">
        <f>IF(Electricity!F10&lt;0,0,Electricity!F10)</f>
        <v>0</v>
      </c>
      <c r="F4" s="82">
        <v>9.3200000000000005E-2</v>
      </c>
      <c r="G4" s="11">
        <f>IF('Water, Gas, Diesel'!K8&lt;0,0,'Water, Gas, Diesel'!K8)</f>
        <v>0</v>
      </c>
      <c r="H4" s="82">
        <v>0.7</v>
      </c>
      <c r="I4" s="11">
        <f>IF('Water, Gas, Diesel'!C8&lt;0,0,'Water, Gas, Diesel'!C8)</f>
        <v>0</v>
      </c>
      <c r="J4" s="82">
        <v>0.21186441</v>
      </c>
      <c r="K4" s="11">
        <f>IF('Water, Gas, Diesel'!F8&lt;0,0,'Water, Gas, Diesel'!F8)</f>
        <v>0</v>
      </c>
      <c r="L4" s="82">
        <v>1.6949000000000001</v>
      </c>
      <c r="M4" s="11">
        <f>Electricity!H10</f>
        <v>0</v>
      </c>
    </row>
    <row r="5" spans="1:15">
      <c r="A5" s="8" t="s">
        <v>13</v>
      </c>
      <c r="B5" s="9">
        <f t="shared" si="0"/>
        <v>4</v>
      </c>
      <c r="C5" s="9">
        <v>8</v>
      </c>
      <c r="D5" s="10">
        <v>2022</v>
      </c>
      <c r="E5" s="11">
        <f>IF(Electricity!F11&lt;0,0,Electricity!F11)</f>
        <v>0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0</v>
      </c>
      <c r="J5" s="82">
        <v>0.21186441</v>
      </c>
      <c r="K5" s="11">
        <f>IF('Water, Gas, Diesel'!F9&lt;0,0,'Water, Gas, Diesel'!F9)</f>
        <v>0</v>
      </c>
      <c r="L5" s="82">
        <v>1.6949000000000001</v>
      </c>
      <c r="M5" s="11">
        <f>Electricity!H11</f>
        <v>0</v>
      </c>
    </row>
    <row r="6" spans="1:15">
      <c r="A6" s="8" t="s">
        <v>13</v>
      </c>
      <c r="B6" s="9">
        <f t="shared" si="0"/>
        <v>5</v>
      </c>
      <c r="C6" s="9">
        <v>8</v>
      </c>
      <c r="D6" s="10">
        <v>2022</v>
      </c>
      <c r="E6" s="11">
        <f>IF(Electricity!F12&lt;0,0,Electricity!F12)</f>
        <v>0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0</v>
      </c>
      <c r="J6" s="82">
        <v>0.21186441</v>
      </c>
      <c r="K6" s="11">
        <f>IF('Water, Gas, Diesel'!F10&lt;0,0,'Water, Gas, Diesel'!F10)</f>
        <v>0</v>
      </c>
      <c r="L6" s="82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8</v>
      </c>
      <c r="D7" s="10">
        <v>2022</v>
      </c>
      <c r="E7" s="11">
        <f>IF(Electricity!F13&lt;0,0,Electricity!F13)</f>
        <v>0</v>
      </c>
      <c r="F7" s="82">
        <v>9.3200000000000005E-2</v>
      </c>
      <c r="G7" s="11">
        <f>IF('Water, Gas, Diesel'!K11&lt;0,0,'Water, Gas, Diesel'!K11)</f>
        <v>0</v>
      </c>
      <c r="H7" s="82">
        <v>0.7</v>
      </c>
      <c r="I7" s="11">
        <f>IF('Water, Gas, Diesel'!C11&lt;0,0,'Water, Gas, Diesel'!C11)</f>
        <v>0</v>
      </c>
      <c r="J7" s="82">
        <v>0.21186441</v>
      </c>
      <c r="K7" s="11">
        <f>IF('Water, Gas, Diesel'!F11&lt;0,0,'Water, Gas, Diesel'!F11)</f>
        <v>0</v>
      </c>
      <c r="L7" s="82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8</v>
      </c>
      <c r="D8" s="10">
        <v>2022</v>
      </c>
      <c r="E8" s="11">
        <f>IF(Electricity!F14&lt;0,0,Electricity!F14)</f>
        <v>0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0</v>
      </c>
      <c r="J8" s="82">
        <v>0.21186441</v>
      </c>
      <c r="K8" s="11">
        <f>IF('Water, Gas, Diesel'!F12&lt;0,0,'Water, Gas, Diesel'!F12)</f>
        <v>0</v>
      </c>
      <c r="L8" s="82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8</v>
      </c>
      <c r="D9" s="10">
        <v>2022</v>
      </c>
      <c r="E9" s="11">
        <f>IF(Electricity!F15&lt;0,0,Electricity!F15)</f>
        <v>0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0</v>
      </c>
      <c r="J9" s="82">
        <v>0.21186441</v>
      </c>
      <c r="K9" s="11">
        <f>IF('Water, Gas, Diesel'!F13&lt;0,0,'Water, Gas, Diesel'!F13)</f>
        <v>0</v>
      </c>
      <c r="L9" s="82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8</v>
      </c>
      <c r="D10" s="10">
        <v>2022</v>
      </c>
      <c r="E10" s="11">
        <f>IF(Electricity!F16&lt;0,0,Electricity!F16)</f>
        <v>0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0</v>
      </c>
      <c r="J10" s="82">
        <v>0.21186441</v>
      </c>
      <c r="K10" s="11">
        <f>IF('Water, Gas, Diesel'!F14&lt;0,0,'Water, Gas, Diesel'!F14)</f>
        <v>0</v>
      </c>
      <c r="L10" s="82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8</v>
      </c>
      <c r="D11" s="10">
        <v>2022</v>
      </c>
      <c r="E11" s="11">
        <f>IF(Electricity!F17&lt;0,0,Electricity!F17)</f>
        <v>0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0</v>
      </c>
      <c r="J11" s="82">
        <v>0.21186441</v>
      </c>
      <c r="K11" s="11">
        <f>IF('Water, Gas, Diesel'!F15&lt;0,0,'Water, Gas, Diesel'!F15)</f>
        <v>0</v>
      </c>
      <c r="L11" s="82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8</v>
      </c>
      <c r="D12" s="10">
        <v>2022</v>
      </c>
      <c r="E12" s="11">
        <f>IF(Electricity!F18&lt;0,0,Electricity!F18)</f>
        <v>0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0</v>
      </c>
      <c r="J12" s="82">
        <v>0.21186441</v>
      </c>
      <c r="K12" s="11">
        <f>IF('Water, Gas, Diesel'!F16&lt;0,0,'Water, Gas, Diesel'!F16)</f>
        <v>0</v>
      </c>
      <c r="L12" s="82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8</v>
      </c>
      <c r="D13" s="10">
        <v>2022</v>
      </c>
      <c r="E13" s="11">
        <f>IF(Electricity!F19&lt;0,0,Electricity!F19)</f>
        <v>0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0</v>
      </c>
      <c r="J13" s="82">
        <v>0.21186441</v>
      </c>
      <c r="K13" s="11">
        <f>IF('Water, Gas, Diesel'!F17&lt;0,0,'Water, Gas, Diesel'!F17)</f>
        <v>0</v>
      </c>
      <c r="L13" s="82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8</v>
      </c>
      <c r="D14" s="10">
        <v>2022</v>
      </c>
      <c r="E14" s="11">
        <f>IF(Electricity!F20&lt;0,0,Electricity!F20)</f>
        <v>0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0</v>
      </c>
      <c r="J14" s="82">
        <v>0.21186441</v>
      </c>
      <c r="K14" s="11">
        <f>IF('Water, Gas, Diesel'!F18&lt;0,0,'Water, Gas, Diesel'!F18)</f>
        <v>0</v>
      </c>
      <c r="L14" s="82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8</v>
      </c>
      <c r="D15" s="10">
        <v>2022</v>
      </c>
      <c r="E15" s="11">
        <f>IF(Electricity!F21&lt;0,0,Electricity!F21)</f>
        <v>0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0</v>
      </c>
      <c r="J15" s="82">
        <v>0.21186441</v>
      </c>
      <c r="K15" s="11">
        <f>IF('Water, Gas, Diesel'!F19&lt;0,0,'Water, Gas, Diesel'!F19)</f>
        <v>0</v>
      </c>
      <c r="L15" s="82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8</v>
      </c>
      <c r="D16" s="10">
        <v>2022</v>
      </c>
      <c r="E16" s="11">
        <f>IF(Electricity!F22&lt;0,0,Electricity!F22)</f>
        <v>0</v>
      </c>
      <c r="F16" s="82">
        <v>9.3200000000000005E-2</v>
      </c>
      <c r="G16" s="11">
        <f>IF('Water, Gas, Diesel'!K20&lt;0,0,'Water, Gas, Diesel'!K20)</f>
        <v>0</v>
      </c>
      <c r="H16" s="82">
        <v>0.7</v>
      </c>
      <c r="I16" s="11">
        <f>IF('Water, Gas, Diesel'!C20&lt;0,0,'Water, Gas, Diesel'!C20)</f>
        <v>0</v>
      </c>
      <c r="J16" s="82">
        <v>0.21186441</v>
      </c>
      <c r="K16" s="11">
        <f>IF('Water, Gas, Diesel'!F20&lt;0,0,'Water, Gas, Diesel'!F20)</f>
        <v>0</v>
      </c>
      <c r="L16" s="82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8</v>
      </c>
      <c r="D17" s="10">
        <v>2022</v>
      </c>
      <c r="E17" s="11">
        <f>IF(Electricity!F23&lt;0,0,Electricity!F23)</f>
        <v>0</v>
      </c>
      <c r="F17" s="82">
        <v>9.3200000000000005E-2</v>
      </c>
      <c r="G17" s="11">
        <f>IF('Water, Gas, Diesel'!K21&lt;0,0,'Water, Gas, Diesel'!K21)</f>
        <v>0</v>
      </c>
      <c r="H17" s="82">
        <v>0.7</v>
      </c>
      <c r="I17" s="11">
        <f>IF('Water, Gas, Diesel'!C21&lt;0,0,'Water, Gas, Diesel'!C21)</f>
        <v>0</v>
      </c>
      <c r="J17" s="82">
        <v>0.21186441</v>
      </c>
      <c r="K17" s="11">
        <f>IF('Water, Gas, Diesel'!F21&lt;0,0,'Water, Gas, Diesel'!F21)</f>
        <v>0</v>
      </c>
      <c r="L17" s="82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8</v>
      </c>
      <c r="D18" s="10">
        <v>2022</v>
      </c>
      <c r="E18" s="11">
        <f>IF(Electricity!F24&lt;0,0,Electricity!F24)</f>
        <v>0</v>
      </c>
      <c r="F18" s="82">
        <v>9.3200000000000005E-2</v>
      </c>
      <c r="G18" s="11">
        <f>IF('Water, Gas, Diesel'!K22&lt;0,0,'Water, Gas, Diesel'!K22)</f>
        <v>0</v>
      </c>
      <c r="H18" s="82">
        <v>0.7</v>
      </c>
      <c r="I18" s="11">
        <f>IF('Water, Gas, Diesel'!C22&lt;0,0,'Water, Gas, Diesel'!C22)</f>
        <v>0</v>
      </c>
      <c r="J18" s="82">
        <v>0.21186441</v>
      </c>
      <c r="K18" s="11">
        <f>IF('Water, Gas, Diesel'!F22&lt;0,0,'Water, Gas, Diesel'!F22)</f>
        <v>0</v>
      </c>
      <c r="L18" s="82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8</v>
      </c>
      <c r="D19" s="10">
        <v>2022</v>
      </c>
      <c r="E19" s="11">
        <f>IF(Electricity!F25&lt;0,0,Electricity!F25)</f>
        <v>0</v>
      </c>
      <c r="F19" s="82">
        <v>9.3200000000000005E-2</v>
      </c>
      <c r="G19" s="11">
        <f>IF('Water, Gas, Diesel'!K23&lt;0,0,'Water, Gas, Diesel'!K23)</f>
        <v>0</v>
      </c>
      <c r="H19" s="82">
        <v>0.7</v>
      </c>
      <c r="I19" s="11">
        <f>IF('Water, Gas, Diesel'!C23&lt;0,0,'Water, Gas, Diesel'!C23)</f>
        <v>0</v>
      </c>
      <c r="J19" s="82">
        <v>0.21186441</v>
      </c>
      <c r="K19" s="11">
        <f>IF('Water, Gas, Diesel'!F23&lt;0,0,'Water, Gas, Diesel'!F23)</f>
        <v>0</v>
      </c>
      <c r="L19" s="82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8</v>
      </c>
      <c r="D20" s="10">
        <v>2022</v>
      </c>
      <c r="E20" s="11">
        <f>IF(Electricity!F26&lt;0,0,Electricity!F26)</f>
        <v>0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0</v>
      </c>
      <c r="J20" s="82">
        <v>0.21186441</v>
      </c>
      <c r="K20" s="11">
        <f>IF('Water, Gas, Diesel'!F24&lt;0,0,'Water, Gas, Diesel'!F24)</f>
        <v>0</v>
      </c>
      <c r="L20" s="8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8</v>
      </c>
      <c r="D21" s="10">
        <v>2022</v>
      </c>
      <c r="E21" s="11">
        <f>IF(Electricity!F27&lt;0,0,Electricity!F27)</f>
        <v>0</v>
      </c>
      <c r="F21" s="82">
        <v>9.3200000000000005E-2</v>
      </c>
      <c r="G21" s="11">
        <f>IF('Water, Gas, Diesel'!K25&lt;0,0,'Water, Gas, Diesel'!K25)</f>
        <v>0</v>
      </c>
      <c r="H21" s="82">
        <v>0.7</v>
      </c>
      <c r="I21" s="11">
        <f>IF('Water, Gas, Diesel'!C25&lt;0,0,'Water, Gas, Diesel'!C25)</f>
        <v>0</v>
      </c>
      <c r="J21" s="82">
        <v>0.21186441</v>
      </c>
      <c r="K21" s="11">
        <f>IF('Water, Gas, Diesel'!F25&lt;0,0,'Water, Gas, Diesel'!F25)</f>
        <v>0</v>
      </c>
      <c r="L21" s="8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8</v>
      </c>
      <c r="D22" s="10">
        <v>2022</v>
      </c>
      <c r="E22" s="11">
        <f>IF(Electricity!F28&lt;0,0,Electricity!F28)</f>
        <v>0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0</v>
      </c>
      <c r="J22" s="82">
        <v>0.21186441</v>
      </c>
      <c r="K22" s="11">
        <f>IF('Water, Gas, Diesel'!F26&lt;0,0,'Water, Gas, Diesel'!F26)</f>
        <v>0</v>
      </c>
      <c r="L22" s="8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8</v>
      </c>
      <c r="D23" s="10">
        <v>2022</v>
      </c>
      <c r="E23" s="11">
        <f>IF(Electricity!F29&lt;0,0,Electricity!F29)</f>
        <v>0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0</v>
      </c>
      <c r="J23" s="82">
        <v>0.21186441</v>
      </c>
      <c r="K23" s="11">
        <f>IF('Water, Gas, Diesel'!F27&lt;0,0,'Water, Gas, Diesel'!F27)</f>
        <v>0</v>
      </c>
      <c r="L23" s="8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8</v>
      </c>
      <c r="D24" s="10">
        <v>2022</v>
      </c>
      <c r="E24" s="11">
        <f>IF(Electricity!F30&lt;0,0,Electricity!F30)</f>
        <v>0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0</v>
      </c>
      <c r="J24" s="82">
        <v>0.21186441</v>
      </c>
      <c r="K24" s="11">
        <f>IF('Water, Gas, Diesel'!F28&lt;0,0,'Water, Gas, Diesel'!F28)</f>
        <v>0</v>
      </c>
      <c r="L24" s="8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8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8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8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8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8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8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8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8</v>
      </c>
      <c r="D32" s="10">
        <v>2022</v>
      </c>
      <c r="E32" s="11">
        <f>IF(Electricity!F38&lt;0,0,Electricity!F38)</f>
        <v>0</v>
      </c>
      <c r="F32" s="82">
        <v>9.3200000000000005E-2</v>
      </c>
      <c r="G32" s="11">
        <f>IF('Water, Gas, Diesel'!K36&lt;0,0,'Water, Gas, Diesel'!K36)</f>
        <v>0</v>
      </c>
      <c r="H32" s="82">
        <v>0.7</v>
      </c>
      <c r="I32" s="11">
        <f>IF('Water, Gas, Diesel'!C36&lt;0,0,'Water, Gas, Diesel'!C36)</f>
        <v>0</v>
      </c>
      <c r="J32" s="82">
        <v>0.21186441</v>
      </c>
      <c r="K32" s="11">
        <f>IF('Water, Gas, Diesel'!F36&lt;0,0,'Water, Gas, Diesel'!F36)</f>
        <v>0</v>
      </c>
      <c r="L32" s="8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7" activePane="bottomLeft" state="frozen"/>
      <selection pane="bottomLeft" activeCell="N13" sqref="N13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60" bestFit="1" customWidth="1"/>
    <col min="9" max="16384" width="9.140625" style="16"/>
  </cols>
  <sheetData>
    <row r="1" spans="1:8" ht="28.5" customHeight="1">
      <c r="A1" s="95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62" t="s">
        <v>23</v>
      </c>
      <c r="D5" s="63" t="s">
        <v>22</v>
      </c>
      <c r="E5" s="62" t="s">
        <v>23</v>
      </c>
      <c r="F5" s="154"/>
      <c r="G5" s="156"/>
      <c r="H5" s="146"/>
    </row>
    <row r="6" spans="1:8" ht="15.75" hidden="1">
      <c r="A6" s="96"/>
      <c r="B6" s="24"/>
      <c r="C6" s="64"/>
      <c r="D6" s="65"/>
      <c r="E6" s="64"/>
      <c r="F6" s="27"/>
      <c r="G6" s="66"/>
      <c r="H6" s="140"/>
    </row>
    <row r="7" spans="1:8" ht="27.75" customHeight="1">
      <c r="A7" s="97">
        <v>31</v>
      </c>
      <c r="B7" s="68">
        <v>15540.606</v>
      </c>
      <c r="C7" s="69">
        <f t="shared" ref="C7:C24" si="0">(B8-B7)*2500</f>
        <v>13854.750000000422</v>
      </c>
      <c r="D7" s="68">
        <v>15923.325999999999</v>
      </c>
      <c r="E7" s="69">
        <f t="shared" ref="E7:E24" si="1">(D8-D7)*2500</f>
        <v>16340.000000000146</v>
      </c>
      <c r="F7" s="94">
        <f t="shared" ref="F7:F38" si="2">C7+E7</f>
        <v>30194.750000000568</v>
      </c>
      <c r="G7" s="67">
        <f>F7*0.0932</f>
        <v>2814.1507000000529</v>
      </c>
      <c r="H7" s="141">
        <v>103</v>
      </c>
    </row>
    <row r="8" spans="1:8" ht="30.95" customHeight="1">
      <c r="A8" s="98">
        <v>1</v>
      </c>
      <c r="B8" s="93">
        <v>15546.1479</v>
      </c>
      <c r="C8" s="70">
        <f t="shared" si="0"/>
        <v>12830.250000001797</v>
      </c>
      <c r="D8" s="71">
        <v>15929.861999999999</v>
      </c>
      <c r="E8" s="70">
        <f t="shared" si="1"/>
        <v>9617.500000003929</v>
      </c>
      <c r="F8" s="51">
        <f t="shared" si="2"/>
        <v>22447.750000005726</v>
      </c>
      <c r="G8" s="67">
        <f t="shared" ref="G8:G39" si="3">F8*0.0932</f>
        <v>2092.1303000005337</v>
      </c>
      <c r="H8" s="99">
        <v>94</v>
      </c>
    </row>
    <row r="9" spans="1:8" ht="30.95" customHeight="1">
      <c r="A9" s="100">
        <v>2</v>
      </c>
      <c r="B9" s="170">
        <v>15551.28</v>
      </c>
      <c r="C9" s="39">
        <f t="shared" si="0"/>
        <v>-38878200</v>
      </c>
      <c r="D9" s="71">
        <v>15933.709000000001</v>
      </c>
      <c r="E9" s="39">
        <f t="shared" si="1"/>
        <v>-39834272.5</v>
      </c>
      <c r="F9" s="47">
        <f t="shared" si="2"/>
        <v>-78712472.5</v>
      </c>
      <c r="G9" s="67">
        <f t="shared" si="3"/>
        <v>-7336002.4370000008</v>
      </c>
      <c r="H9" s="136"/>
    </row>
    <row r="10" spans="1:8" ht="30.95" customHeight="1">
      <c r="A10" s="98">
        <v>3</v>
      </c>
      <c r="B10" s="72"/>
      <c r="C10" s="70">
        <f t="shared" si="0"/>
        <v>0</v>
      </c>
      <c r="D10" s="73"/>
      <c r="E10" s="70">
        <f t="shared" si="1"/>
        <v>0</v>
      </c>
      <c r="F10" s="51">
        <f t="shared" si="2"/>
        <v>0</v>
      </c>
      <c r="G10" s="67">
        <f t="shared" si="3"/>
        <v>0</v>
      </c>
      <c r="H10" s="136"/>
    </row>
    <row r="11" spans="1:8" ht="30.95" customHeight="1">
      <c r="A11" s="100">
        <v>4</v>
      </c>
      <c r="B11" s="74"/>
      <c r="C11" s="39">
        <f t="shared" si="0"/>
        <v>0</v>
      </c>
      <c r="D11" s="75"/>
      <c r="E11" s="39">
        <f t="shared" si="1"/>
        <v>0</v>
      </c>
      <c r="F11" s="47">
        <f t="shared" si="2"/>
        <v>0</v>
      </c>
      <c r="G11" s="67">
        <f t="shared" si="3"/>
        <v>0</v>
      </c>
      <c r="H11" s="136"/>
    </row>
    <row r="12" spans="1:8" ht="30.95" customHeight="1">
      <c r="A12" s="98">
        <v>5</v>
      </c>
      <c r="B12" s="76"/>
      <c r="C12" s="70">
        <f t="shared" si="0"/>
        <v>0</v>
      </c>
      <c r="D12" s="73"/>
      <c r="E12" s="70">
        <f t="shared" si="1"/>
        <v>0</v>
      </c>
      <c r="F12" s="51">
        <f t="shared" si="2"/>
        <v>0</v>
      </c>
      <c r="G12" s="67">
        <f t="shared" si="3"/>
        <v>0</v>
      </c>
      <c r="H12" s="136"/>
    </row>
    <row r="13" spans="1:8" ht="30.95" customHeight="1">
      <c r="A13" s="100">
        <v>6</v>
      </c>
      <c r="B13" s="74"/>
      <c r="C13" s="39">
        <f t="shared" si="0"/>
        <v>0</v>
      </c>
      <c r="D13" s="75"/>
      <c r="E13" s="39">
        <f t="shared" si="1"/>
        <v>0</v>
      </c>
      <c r="F13" s="47">
        <f t="shared" si="2"/>
        <v>0</v>
      </c>
      <c r="G13" s="67">
        <f t="shared" si="3"/>
        <v>0</v>
      </c>
      <c r="H13" s="136"/>
    </row>
    <row r="14" spans="1:8" ht="30.95" customHeight="1">
      <c r="A14" s="98">
        <v>7</v>
      </c>
      <c r="B14" s="76"/>
      <c r="C14" s="70">
        <f t="shared" si="0"/>
        <v>0</v>
      </c>
      <c r="D14" s="101"/>
      <c r="E14" s="70">
        <f t="shared" si="1"/>
        <v>0</v>
      </c>
      <c r="F14" s="51">
        <f t="shared" si="2"/>
        <v>0</v>
      </c>
      <c r="G14" s="67">
        <f t="shared" si="3"/>
        <v>0</v>
      </c>
      <c r="H14" s="136"/>
    </row>
    <row r="15" spans="1:8" ht="30.95" customHeight="1">
      <c r="A15" s="100">
        <v>8</v>
      </c>
      <c r="B15" s="74"/>
      <c r="C15" s="39">
        <f t="shared" si="0"/>
        <v>0</v>
      </c>
      <c r="D15" s="77"/>
      <c r="E15" s="39">
        <f t="shared" si="1"/>
        <v>0</v>
      </c>
      <c r="F15" s="47">
        <f t="shared" si="2"/>
        <v>0</v>
      </c>
      <c r="G15" s="67">
        <f t="shared" si="3"/>
        <v>0</v>
      </c>
      <c r="H15" s="136"/>
    </row>
    <row r="16" spans="1:8" ht="30.95" customHeight="1">
      <c r="A16" s="98">
        <v>9</v>
      </c>
      <c r="B16" s="78"/>
      <c r="C16" s="70">
        <f t="shared" si="0"/>
        <v>0</v>
      </c>
      <c r="D16" s="79"/>
      <c r="E16" s="70">
        <f t="shared" si="1"/>
        <v>0</v>
      </c>
      <c r="F16" s="51">
        <f t="shared" si="2"/>
        <v>0</v>
      </c>
      <c r="G16" s="67">
        <f t="shared" si="3"/>
        <v>0</v>
      </c>
      <c r="H16" s="136"/>
    </row>
    <row r="17" spans="1:8" ht="30.95" customHeight="1">
      <c r="A17" s="100">
        <v>10</v>
      </c>
      <c r="B17" s="76"/>
      <c r="C17" s="39">
        <f t="shared" si="0"/>
        <v>0</v>
      </c>
      <c r="D17" s="101"/>
      <c r="E17" s="39">
        <f t="shared" si="1"/>
        <v>0</v>
      </c>
      <c r="F17" s="47">
        <f t="shared" si="2"/>
        <v>0</v>
      </c>
      <c r="G17" s="67">
        <f t="shared" si="3"/>
        <v>0</v>
      </c>
      <c r="H17" s="136"/>
    </row>
    <row r="18" spans="1:8" ht="30.95" customHeight="1">
      <c r="A18" s="98">
        <v>11</v>
      </c>
      <c r="B18" s="74"/>
      <c r="C18" s="70">
        <f t="shared" si="0"/>
        <v>0</v>
      </c>
      <c r="D18" s="77"/>
      <c r="E18" s="70">
        <f t="shared" si="1"/>
        <v>0</v>
      </c>
      <c r="F18" s="51">
        <f t="shared" si="2"/>
        <v>0</v>
      </c>
      <c r="G18" s="67">
        <f t="shared" si="3"/>
        <v>0</v>
      </c>
      <c r="H18" s="136"/>
    </row>
    <row r="19" spans="1:8" ht="30.95" customHeight="1">
      <c r="A19" s="100">
        <v>12</v>
      </c>
      <c r="B19" s="76"/>
      <c r="C19" s="39">
        <f t="shared" si="0"/>
        <v>0</v>
      </c>
      <c r="D19" s="101"/>
      <c r="E19" s="39">
        <f t="shared" si="1"/>
        <v>0</v>
      </c>
      <c r="F19" s="47">
        <f t="shared" si="2"/>
        <v>0</v>
      </c>
      <c r="G19" s="67">
        <f t="shared" si="3"/>
        <v>0</v>
      </c>
      <c r="H19" s="136"/>
    </row>
    <row r="20" spans="1:8" ht="30.95" customHeight="1">
      <c r="A20" s="98">
        <v>13</v>
      </c>
      <c r="B20" s="74"/>
      <c r="C20" s="70">
        <f t="shared" si="0"/>
        <v>0</v>
      </c>
      <c r="D20" s="80"/>
      <c r="E20" s="70">
        <f t="shared" si="1"/>
        <v>0</v>
      </c>
      <c r="F20" s="51">
        <f t="shared" si="2"/>
        <v>0</v>
      </c>
      <c r="G20" s="67">
        <f t="shared" si="3"/>
        <v>0</v>
      </c>
      <c r="H20" s="136"/>
    </row>
    <row r="21" spans="1:8" ht="30.95" customHeight="1">
      <c r="A21" s="100">
        <v>14</v>
      </c>
      <c r="B21" s="74"/>
      <c r="C21" s="39">
        <f t="shared" si="0"/>
        <v>0</v>
      </c>
      <c r="D21" s="77"/>
      <c r="E21" s="39">
        <f t="shared" si="1"/>
        <v>0</v>
      </c>
      <c r="F21" s="47">
        <f t="shared" si="2"/>
        <v>0</v>
      </c>
      <c r="G21" s="67">
        <f t="shared" si="3"/>
        <v>0</v>
      </c>
      <c r="H21" s="136"/>
    </row>
    <row r="22" spans="1:8" ht="30.95" customHeight="1">
      <c r="A22" s="98">
        <v>15</v>
      </c>
      <c r="B22" s="74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36"/>
    </row>
    <row r="23" spans="1:8" ht="30.95" customHeight="1">
      <c r="A23" s="100">
        <v>16</v>
      </c>
      <c r="B23" s="83"/>
      <c r="C23" s="39">
        <f t="shared" si="0"/>
        <v>0</v>
      </c>
      <c r="D23" s="84"/>
      <c r="E23" s="39">
        <f t="shared" si="1"/>
        <v>0</v>
      </c>
      <c r="F23" s="47">
        <f t="shared" si="2"/>
        <v>0</v>
      </c>
      <c r="G23" s="67">
        <f t="shared" si="3"/>
        <v>0</v>
      </c>
      <c r="H23" s="136"/>
    </row>
    <row r="24" spans="1:8" ht="30.95" customHeight="1">
      <c r="A24" s="98">
        <v>17</v>
      </c>
      <c r="B24" s="85"/>
      <c r="C24" s="70">
        <f t="shared" si="0"/>
        <v>0</v>
      </c>
      <c r="D24" s="101"/>
      <c r="E24" s="70">
        <f t="shared" si="1"/>
        <v>0</v>
      </c>
      <c r="F24" s="51">
        <f t="shared" si="2"/>
        <v>0</v>
      </c>
      <c r="G24" s="67">
        <f t="shared" si="3"/>
        <v>0</v>
      </c>
      <c r="H24" s="136"/>
    </row>
    <row r="25" spans="1:8" ht="30.95" customHeight="1">
      <c r="A25" s="100">
        <v>18</v>
      </c>
      <c r="B25" s="74"/>
      <c r="C25" s="39">
        <f>(B26-B25)*2500</f>
        <v>0</v>
      </c>
      <c r="D25" s="77"/>
      <c r="E25" s="39">
        <f>(D26-D25)*2500</f>
        <v>0</v>
      </c>
      <c r="F25" s="47">
        <f t="shared" si="2"/>
        <v>0</v>
      </c>
      <c r="G25" s="67">
        <f t="shared" si="3"/>
        <v>0</v>
      </c>
      <c r="H25" s="136"/>
    </row>
    <row r="26" spans="1:8" ht="30.95" customHeight="1">
      <c r="A26" s="98">
        <v>19</v>
      </c>
      <c r="B26" s="76"/>
      <c r="C26" s="70">
        <f t="shared" ref="C26:C38" si="4">(B27-B26)*2500</f>
        <v>0</v>
      </c>
      <c r="D26" s="101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36"/>
    </row>
    <row r="27" spans="1:8" ht="30.95" customHeight="1">
      <c r="A27" s="100">
        <v>20</v>
      </c>
      <c r="B27" s="74"/>
      <c r="C27" s="39">
        <f t="shared" si="4"/>
        <v>0</v>
      </c>
      <c r="D27" s="80"/>
      <c r="E27" s="39">
        <f t="shared" si="5"/>
        <v>0</v>
      </c>
      <c r="F27" s="51">
        <f t="shared" si="2"/>
        <v>0</v>
      </c>
      <c r="G27" s="67">
        <f t="shared" si="3"/>
        <v>0</v>
      </c>
      <c r="H27" s="136"/>
    </row>
    <row r="28" spans="1:8" ht="30.95" customHeight="1">
      <c r="A28" s="98">
        <v>21</v>
      </c>
      <c r="B28" s="76"/>
      <c r="C28" s="70">
        <f t="shared" si="4"/>
        <v>0</v>
      </c>
      <c r="D28" s="101"/>
      <c r="E28" s="70">
        <f t="shared" si="5"/>
        <v>0</v>
      </c>
      <c r="F28" s="47">
        <f t="shared" si="2"/>
        <v>0</v>
      </c>
      <c r="G28" s="67">
        <f t="shared" si="3"/>
        <v>0</v>
      </c>
      <c r="H28" s="136"/>
    </row>
    <row r="29" spans="1:8" ht="30.95" customHeight="1">
      <c r="A29" s="100">
        <v>22</v>
      </c>
      <c r="B29" s="74"/>
      <c r="C29" s="39">
        <f t="shared" si="4"/>
        <v>0</v>
      </c>
      <c r="D29" s="77"/>
      <c r="E29" s="39">
        <f t="shared" si="5"/>
        <v>0</v>
      </c>
      <c r="F29" s="51">
        <f t="shared" si="2"/>
        <v>0</v>
      </c>
      <c r="G29" s="67">
        <f t="shared" si="3"/>
        <v>0</v>
      </c>
      <c r="H29" s="136"/>
    </row>
    <row r="30" spans="1:8" ht="30.95" customHeight="1">
      <c r="A30" s="98">
        <v>23</v>
      </c>
      <c r="B30" s="76"/>
      <c r="C30" s="70">
        <f t="shared" si="4"/>
        <v>0</v>
      </c>
      <c r="D30" s="101"/>
      <c r="E30" s="70">
        <f t="shared" si="5"/>
        <v>0</v>
      </c>
      <c r="F30" s="47">
        <f t="shared" si="2"/>
        <v>0</v>
      </c>
      <c r="G30" s="67">
        <f t="shared" si="3"/>
        <v>0</v>
      </c>
      <c r="H30" s="136"/>
    </row>
    <row r="31" spans="1:8" ht="30.95" customHeight="1">
      <c r="A31" s="100">
        <v>24</v>
      </c>
      <c r="B31" s="74"/>
      <c r="C31" s="39">
        <f t="shared" si="4"/>
        <v>0</v>
      </c>
      <c r="D31" s="77"/>
      <c r="E31" s="39">
        <f t="shared" si="5"/>
        <v>0</v>
      </c>
      <c r="F31" s="51">
        <f t="shared" si="2"/>
        <v>0</v>
      </c>
      <c r="G31" s="67">
        <f t="shared" si="3"/>
        <v>0</v>
      </c>
      <c r="H31" s="136"/>
    </row>
    <row r="32" spans="1:8" ht="30.95" customHeight="1">
      <c r="A32" s="98">
        <v>25</v>
      </c>
      <c r="B32" s="76"/>
      <c r="C32" s="70">
        <f t="shared" si="4"/>
        <v>0</v>
      </c>
      <c r="D32" s="101"/>
      <c r="E32" s="70">
        <f t="shared" si="5"/>
        <v>0</v>
      </c>
      <c r="F32" s="47">
        <f t="shared" si="2"/>
        <v>0</v>
      </c>
      <c r="G32" s="67">
        <f t="shared" si="3"/>
        <v>0</v>
      </c>
      <c r="H32" s="136"/>
    </row>
    <row r="33" spans="1:8" ht="30.95" customHeight="1">
      <c r="A33" s="100">
        <v>26</v>
      </c>
      <c r="B33" s="74"/>
      <c r="C33" s="39">
        <f t="shared" si="4"/>
        <v>0</v>
      </c>
      <c r="D33" s="77"/>
      <c r="E33" s="39">
        <f t="shared" si="5"/>
        <v>0</v>
      </c>
      <c r="F33" s="51">
        <f t="shared" si="2"/>
        <v>0</v>
      </c>
      <c r="G33" s="67">
        <f t="shared" si="3"/>
        <v>0</v>
      </c>
      <c r="H33" s="136"/>
    </row>
    <row r="34" spans="1:8" ht="30.95" customHeight="1">
      <c r="A34" s="98">
        <v>27</v>
      </c>
      <c r="B34" s="76"/>
      <c r="C34" s="70">
        <f t="shared" si="4"/>
        <v>0</v>
      </c>
      <c r="D34" s="101"/>
      <c r="E34" s="39">
        <f t="shared" si="5"/>
        <v>0</v>
      </c>
      <c r="F34" s="47">
        <f t="shared" si="2"/>
        <v>0</v>
      </c>
      <c r="G34" s="67">
        <f t="shared" si="3"/>
        <v>0</v>
      </c>
      <c r="H34" s="136"/>
    </row>
    <row r="35" spans="1:8" ht="30.95" customHeight="1">
      <c r="A35" s="100">
        <v>28</v>
      </c>
      <c r="B35" s="81"/>
      <c r="C35" s="39">
        <f t="shared" si="4"/>
        <v>0</v>
      </c>
      <c r="D35" s="77"/>
      <c r="E35" s="39">
        <f t="shared" si="5"/>
        <v>0</v>
      </c>
      <c r="F35" s="47">
        <f t="shared" si="2"/>
        <v>0</v>
      </c>
      <c r="G35" s="67">
        <f t="shared" si="3"/>
        <v>0</v>
      </c>
      <c r="H35" s="136"/>
    </row>
    <row r="36" spans="1:8" ht="30.95" customHeight="1">
      <c r="A36" s="98">
        <v>29</v>
      </c>
      <c r="B36" s="76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35"/>
    </row>
    <row r="37" spans="1:8" ht="30.95" customHeight="1">
      <c r="A37" s="105">
        <v>30</v>
      </c>
      <c r="B37" s="106"/>
      <c r="C37" s="107">
        <f>(B38-B37)*2500</f>
        <v>0</v>
      </c>
      <c r="D37" s="108"/>
      <c r="E37" s="107">
        <f>(D38-D37)*2500</f>
        <v>0</v>
      </c>
      <c r="F37" s="109">
        <f t="shared" si="2"/>
        <v>0</v>
      </c>
      <c r="G37" s="67">
        <f t="shared" si="3"/>
        <v>0</v>
      </c>
      <c r="H37" s="137"/>
    </row>
    <row r="38" spans="1:8" ht="30.95" customHeight="1">
      <c r="A38" s="98">
        <v>31</v>
      </c>
      <c r="B38" s="40"/>
      <c r="C38" s="70">
        <f t="shared" si="4"/>
        <v>0</v>
      </c>
      <c r="D38" s="101"/>
      <c r="E38" s="70">
        <f t="shared" si="5"/>
        <v>0</v>
      </c>
      <c r="F38" s="51">
        <f t="shared" si="2"/>
        <v>0</v>
      </c>
      <c r="G38" s="134">
        <f t="shared" si="3"/>
        <v>0</v>
      </c>
      <c r="H38" s="138"/>
    </row>
    <row r="39" spans="1:8" ht="30.95" customHeight="1">
      <c r="A39" s="128">
        <v>1</v>
      </c>
      <c r="B39" s="129"/>
      <c r="C39" s="130">
        <f t="shared" ref="C39" si="6">(B40-B39)*2500</f>
        <v>0</v>
      </c>
      <c r="D39" s="131"/>
      <c r="E39" s="130">
        <f t="shared" ref="E39" si="7">(D40-D39)*2500</f>
        <v>0</v>
      </c>
      <c r="F39" s="132">
        <f t="shared" ref="F39" si="8">C39+E39</f>
        <v>0</v>
      </c>
      <c r="G39" s="133">
        <f t="shared" si="3"/>
        <v>0</v>
      </c>
      <c r="H39" s="139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5" activePane="bottomLeft" state="frozen"/>
      <selection pane="bottomLeft" activeCell="J7" sqref="J7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0">
        <v>31</v>
      </c>
      <c r="B5" s="90">
        <v>6963781</v>
      </c>
      <c r="C5" s="102">
        <f>B6-B5</f>
        <v>1491</v>
      </c>
      <c r="D5" s="34">
        <f>C5*0.21186441</f>
        <v>315.88983531000002</v>
      </c>
      <c r="E5" s="35">
        <v>549092</v>
      </c>
      <c r="F5" s="103">
        <f>E6-E5</f>
        <v>249</v>
      </c>
      <c r="G5" s="36">
        <f>F5*0.84746</f>
        <v>211.01754</v>
      </c>
      <c r="H5" s="36">
        <f>F5*0.84746</f>
        <v>211.01754</v>
      </c>
      <c r="I5" s="91">
        <f>G5+H5</f>
        <v>422.03507999999999</v>
      </c>
      <c r="J5" s="37">
        <f>5360+6350</f>
        <v>11710</v>
      </c>
      <c r="K5" s="38">
        <f>J5-J6</f>
        <v>80</v>
      </c>
      <c r="L5" s="39">
        <f>K5*0.7</f>
        <v>56</v>
      </c>
    </row>
    <row r="6" spans="1:12" ht="32.450000000000003" customHeight="1">
      <c r="A6" s="40">
        <v>1</v>
      </c>
      <c r="B6" s="90">
        <v>6965272</v>
      </c>
      <c r="C6" s="53">
        <f t="shared" ref="C6:C15" si="0">B7-B6</f>
        <v>1293</v>
      </c>
      <c r="D6" s="41">
        <f>C6*0.21186441</f>
        <v>273.94068213000003</v>
      </c>
      <c r="E6" s="42">
        <v>549341</v>
      </c>
      <c r="F6" s="54">
        <f t="shared" ref="F6:F15" si="1">E7-E6</f>
        <v>220</v>
      </c>
      <c r="G6" s="43">
        <f>F6*0.84746</f>
        <v>186.44120000000001</v>
      </c>
      <c r="H6" s="43">
        <f>F6*0.84746</f>
        <v>186.44120000000001</v>
      </c>
      <c r="I6" s="44">
        <f t="shared" ref="I6:I36" si="2">G6+H6</f>
        <v>372.88240000000002</v>
      </c>
      <c r="J6" s="37">
        <f>5280+6350</f>
        <v>11630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6966565</v>
      </c>
      <c r="C7" s="55">
        <f t="shared" si="0"/>
        <v>-6966565</v>
      </c>
      <c r="D7" s="46">
        <f>C7*0.21186441</f>
        <v>-1475967.18345165</v>
      </c>
      <c r="E7" s="47">
        <v>549561</v>
      </c>
      <c r="F7" s="56">
        <f t="shared" si="1"/>
        <v>-549561</v>
      </c>
      <c r="G7" s="48">
        <f t="shared" ref="G7:G36" si="4">F7*0.84746</f>
        <v>-465730.96506000002</v>
      </c>
      <c r="H7" s="48">
        <f t="shared" ref="H7:H36" si="5">F7*0.84746</f>
        <v>-465730.96506000002</v>
      </c>
      <c r="I7" s="49">
        <f t="shared" si="2"/>
        <v>-931461.93012000003</v>
      </c>
      <c r="J7" s="37">
        <f>5280+6350</f>
        <v>11630</v>
      </c>
      <c r="K7" s="38">
        <f t="shared" si="3"/>
        <v>11630</v>
      </c>
      <c r="L7" s="39">
        <f t="shared" ref="L7:L35" si="6">K7*0.7</f>
        <v>8140.9999999999991</v>
      </c>
    </row>
    <row r="8" spans="1:12" ht="32.450000000000003" customHeight="1">
      <c r="A8" s="40">
        <v>3</v>
      </c>
      <c r="B8" s="40"/>
      <c r="C8" s="53">
        <f t="shared" si="0"/>
        <v>0</v>
      </c>
      <c r="D8" s="46">
        <f t="shared" ref="D8:D36" si="7">C8*0.21186441</f>
        <v>0</v>
      </c>
      <c r="E8" s="47"/>
      <c r="F8" s="54">
        <f t="shared" si="1"/>
        <v>0</v>
      </c>
      <c r="G8" s="43">
        <f t="shared" si="4"/>
        <v>0</v>
      </c>
      <c r="H8" s="43">
        <f t="shared" si="5"/>
        <v>0</v>
      </c>
      <c r="I8" s="49">
        <f t="shared" si="2"/>
        <v>0</v>
      </c>
      <c r="J8" s="37"/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/>
      <c r="C9" s="55">
        <f t="shared" si="0"/>
        <v>0</v>
      </c>
      <c r="D9" s="46">
        <f t="shared" si="7"/>
        <v>0</v>
      </c>
      <c r="E9" s="47"/>
      <c r="F9" s="56">
        <f t="shared" si="1"/>
        <v>0</v>
      </c>
      <c r="G9" s="48">
        <f t="shared" si="4"/>
        <v>0</v>
      </c>
      <c r="H9" s="48">
        <f t="shared" si="5"/>
        <v>0</v>
      </c>
      <c r="I9" s="49">
        <f t="shared" si="2"/>
        <v>0</v>
      </c>
      <c r="J9" s="37"/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4"/>
        <v>0</v>
      </c>
      <c r="H10" s="43">
        <f t="shared" si="5"/>
        <v>0</v>
      </c>
      <c r="I10" s="49">
        <f t="shared" si="2"/>
        <v>0</v>
      </c>
      <c r="J10" s="37"/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4"/>
        <v>0</v>
      </c>
      <c r="H11" s="48">
        <f t="shared" si="5"/>
        <v>0</v>
      </c>
      <c r="I11" s="49">
        <f t="shared" si="2"/>
        <v>0</v>
      </c>
      <c r="J11" s="37"/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4"/>
        <v>0</v>
      </c>
      <c r="H12" s="43">
        <f t="shared" si="5"/>
        <v>0</v>
      </c>
      <c r="I12" s="49">
        <f t="shared" si="2"/>
        <v>0</v>
      </c>
      <c r="J12" s="37"/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/>
      <c r="C21" s="55">
        <f t="shared" si="8"/>
        <v>0</v>
      </c>
      <c r="D21" s="46">
        <f t="shared" si="7"/>
        <v>0</v>
      </c>
      <c r="E21" s="86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7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9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9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2022-08-03T04:40:26Z</dcterms:modified>
  <cp:category/>
  <cp:contentStatus/>
</cp:coreProperties>
</file>