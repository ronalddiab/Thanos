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E15" i="117"/>
  <c r="D26" i="119"/>
  <c r="E23" i="117"/>
  <c r="D33" i="119"/>
  <c r="E30" i="117"/>
  <c r="D34" i="119"/>
  <c r="E31" i="117"/>
  <c r="H34" i="119"/>
  <c r="I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/>
  <c r="F31" i="119"/>
  <c r="G28" i="117"/>
  <c r="D31" i="119"/>
  <c r="E28" i="117"/>
  <c r="H30" i="119"/>
  <c r="I27" i="117"/>
  <c r="F30" i="119"/>
  <c r="G27" i="117"/>
  <c r="D30" i="119"/>
  <c r="E27" i="117"/>
  <c r="H29" i="119"/>
  <c r="I26" i="117"/>
  <c r="F29" i="119"/>
  <c r="G26" i="117"/>
  <c r="D29" i="119"/>
  <c r="E26" i="117"/>
  <c r="H28" i="119"/>
  <c r="I25" i="117"/>
  <c r="F28" i="119"/>
  <c r="G25" i="117"/>
  <c r="D28" i="119"/>
  <c r="E25" i="117"/>
  <c r="H27" i="119"/>
  <c r="I24" i="117"/>
  <c r="F27" i="119"/>
  <c r="G24" i="117"/>
  <c r="D27" i="119"/>
  <c r="E24" i="117"/>
  <c r="H26" i="119"/>
  <c r="I23" i="117"/>
  <c r="F26" i="119"/>
  <c r="G23" i="117"/>
  <c r="H25" i="119"/>
  <c r="I22" i="117"/>
  <c r="F25" i="119"/>
  <c r="G22" i="117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/>
  <c r="D21" i="119"/>
  <c r="E18" i="117"/>
  <c r="H20" i="119"/>
  <c r="I17" i="117"/>
  <c r="F20" i="119"/>
  <c r="G17" i="117"/>
  <c r="D20" i="119"/>
  <c r="E17" i="117"/>
  <c r="H19" i="119"/>
  <c r="I16" i="117"/>
  <c r="F19" i="119"/>
  <c r="G16" i="117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/>
  <c r="D12" i="119"/>
  <c r="E9" i="117"/>
  <c r="H11" i="119"/>
  <c r="I8" i="117"/>
  <c r="F11" i="119"/>
  <c r="G8" i="117"/>
  <c r="D11" i="119"/>
  <c r="E8" i="117"/>
  <c r="H10" i="119"/>
  <c r="I7" i="117"/>
  <c r="F10" i="119"/>
  <c r="G7" i="117"/>
  <c r="D10" i="119"/>
  <c r="E7" i="117"/>
  <c r="H9" i="119"/>
  <c r="I6" i="117"/>
  <c r="F9" i="119"/>
  <c r="G6" i="117"/>
  <c r="D9" i="119"/>
  <c r="E6" i="117"/>
  <c r="H8" i="119"/>
  <c r="I5" i="117"/>
  <c r="F8" i="119"/>
  <c r="G5" i="117"/>
  <c r="D8" i="119"/>
  <c r="E5" i="117"/>
  <c r="H7" i="119"/>
  <c r="I4" i="117"/>
  <c r="F7" i="119"/>
  <c r="G4" i="117"/>
  <c r="D7" i="119"/>
  <c r="E4" i="117"/>
  <c r="H6" i="119"/>
  <c r="I3" i="117"/>
  <c r="F6" i="119"/>
  <c r="G3" i="117"/>
  <c r="D6" i="119"/>
  <c r="E3" i="117"/>
  <c r="F5" i="119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<sst xmlns="http://schemas.openxmlformats.org/spreadsheetml/2006/main" count="55" uniqueCount="25">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</sst>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1" fontId="6" fillId="0" borderId="11" xfId="11" applyNumberFormat="1" applyFont="1" applyBorder="1" applyAlignment="1">
      <alignment horizontal="center"/>
    </xf>
    <xf numFmtId="0" fontId="1" fillId="9" borderId="14" xfId="11" applyFill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21" sqref="P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4</v>
      </c>
      <c r="D2" s="7">
        <v>2022</v>
      </c>
      <c r="E2" s="9">
        <f>'Shenzhen Daily'!D5</f>
        <v>18.940000000002328</v>
      </c>
      <c r="F2" s="30">
        <v>0.93</v>
      </c>
      <c r="G2" s="9">
        <f>'Shenzhen Daily'!F5</f>
        <v>1919</v>
      </c>
      <c r="H2" s="30">
        <v>4.3899999999999997</v>
      </c>
      <c r="I2" s="9">
        <f>'Shenzhen Daily'!H5</f>
        <v>477</v>
      </c>
      <c r="J2" s="30">
        <v>1.72</v>
      </c>
      <c r="K2" s="9">
        <f>'Shenzhen Daily'!I5</f>
        <v>227.13739999999999</v>
      </c>
      <c r="L2" s="9">
        <f>'Shenzhen Daily'!J5</f>
        <v>473</v>
      </c>
    </row>
    <row r="3" spans="1:12" ht="15" x14ac:dyDescent="0.25">
      <c r="A3" s="6" t="s">
        <v>23</v>
      </c>
      <c r="B3" s="7">
        <f>B2+1</f>
        <v>2</v>
      </c>
      <c r="C3" s="8">
        <v>4</v>
      </c>
      <c r="D3" s="7">
        <v>2022</v>
      </c>
      <c r="E3" s="9">
        <f>'Shenzhen Daily'!D6</f>
        <v>17.499999999996362</v>
      </c>
      <c r="F3" s="30">
        <v>0.93</v>
      </c>
      <c r="G3" s="9">
        <f>'Shenzhen Daily'!F6</f>
        <v>1706</v>
      </c>
      <c r="H3" s="30">
        <v>4.3899999999999997</v>
      </c>
      <c r="I3" s="9">
        <f>'Shenzhen Daily'!H6</f>
        <v>423</v>
      </c>
      <c r="J3" s="30">
        <v>1.72</v>
      </c>
      <c r="K3" s="9">
        <f>'Shenzhen Daily'!I6</f>
        <v>199.73939999999999</v>
      </c>
      <c r="L3" s="9">
        <f>'Shenzhen Daily'!J6</f>
        <v>345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4</v>
      </c>
      <c r="D4" s="7">
        <v>2022</v>
      </c>
      <c r="E4" s="9">
        <f>'Shenzhen Daily'!D7</f>
        <v>18.149999999997817</v>
      </c>
      <c r="F4" s="30">
        <v>0.93</v>
      </c>
      <c r="G4" s="9">
        <f>'Shenzhen Daily'!F7</f>
        <v>1648</v>
      </c>
      <c r="H4" s="30">
        <v>4.3899999999999997</v>
      </c>
      <c r="I4" s="9">
        <f>'Shenzhen Daily'!H7</f>
        <v>379</v>
      </c>
      <c r="J4" s="30">
        <v>1.72</v>
      </c>
      <c r="K4" s="9">
        <f>'Shenzhen Daily'!I7</f>
        <v>182.68879999999999</v>
      </c>
      <c r="L4" s="9">
        <f>'Shenzhen Daily'!J7</f>
        <v>335</v>
      </c>
    </row>
    <row r="5" spans="1:12" ht="15" x14ac:dyDescent="0.25">
      <c r="A5" s="6" t="s">
        <v>23</v>
      </c>
      <c r="B5" s="7">
        <f t="shared" si="0"/>
        <v>4</v>
      </c>
      <c r="C5" s="8">
        <v>4</v>
      </c>
      <c r="D5" s="7">
        <v>2022</v>
      </c>
      <c r="E5" s="9">
        <f>'Shenzhen Daily'!D8</f>
        <v>16.720000000004802</v>
      </c>
      <c r="F5" s="30">
        <v>0.93</v>
      </c>
      <c r="G5" s="9">
        <f>'Shenzhen Daily'!F8</f>
        <v>1466</v>
      </c>
      <c r="H5" s="30">
        <v>4.3899999999999997</v>
      </c>
      <c r="I5" s="9">
        <f>'Shenzhen Daily'!H8</f>
        <v>333</v>
      </c>
      <c r="J5" s="30">
        <v>1.72</v>
      </c>
      <c r="K5" s="9">
        <f>'Shenzhen Daily'!I8</f>
        <v>154.91840000000002</v>
      </c>
      <c r="L5" s="9">
        <f>'Shenzhen Daily'!J8</f>
        <v>209</v>
      </c>
    </row>
    <row r="6" spans="1:12" ht="15" x14ac:dyDescent="0.25">
      <c r="A6" s="6" t="s">
        <v>23</v>
      </c>
      <c r="B6" s="7">
        <f t="shared" si="0"/>
        <v>5</v>
      </c>
      <c r="C6" s="8">
        <v>4</v>
      </c>
      <c r="D6" s="7">
        <v>2022</v>
      </c>
      <c r="E6" s="9">
        <f>'Shenzhen Daily'!D9</f>
        <v>17.570000000003347</v>
      </c>
      <c r="F6" s="30">
        <v>0.93</v>
      </c>
      <c r="G6" s="9">
        <f>'Shenzhen Daily'!F9</f>
        <v>1448</v>
      </c>
      <c r="H6" s="30">
        <v>4.3899999999999997</v>
      </c>
      <c r="I6" s="9">
        <f>'Shenzhen Daily'!H9</f>
        <v>305</v>
      </c>
      <c r="J6" s="30">
        <v>1.72</v>
      </c>
      <c r="K6" s="9">
        <f>'Shenzhen Daily'!I9</f>
        <v>149.5718</v>
      </c>
      <c r="L6" s="9">
        <f>'Shenzhen Daily'!J9</f>
        <v>247</v>
      </c>
    </row>
    <row r="7" spans="1:12" ht="15" x14ac:dyDescent="0.25">
      <c r="A7" s="6" t="s">
        <v>23</v>
      </c>
      <c r="B7" s="7">
        <f t="shared" si="0"/>
        <v>6</v>
      </c>
      <c r="C7" s="8">
        <v>4</v>
      </c>
      <c r="D7" s="7">
        <v>2022</v>
      </c>
      <c r="E7" s="9">
        <f>'Shenzhen Daily'!D10</f>
        <v>19.269999999996799</v>
      </c>
      <c r="F7" s="30">
        <v>0.93</v>
      </c>
      <c r="G7" s="9">
        <f>'Shenzhen Daily'!F10</f>
        <v>1671</v>
      </c>
      <c r="H7" s="30">
        <v>4.3899999999999997</v>
      </c>
      <c r="I7" s="9">
        <f>'Shenzhen Daily'!H10</f>
        <v>383</v>
      </c>
      <c r="J7" s="30">
        <v>1.72</v>
      </c>
      <c r="K7" s="9">
        <f>'Shenzhen Daily'!I10</f>
        <v>157.3922</v>
      </c>
      <c r="L7" s="9">
        <f>'Shenzhen Daily'!J10</f>
        <v>375</v>
      </c>
    </row>
    <row r="8" spans="1:12" ht="15" x14ac:dyDescent="0.25">
      <c r="A8" s="6" t="s">
        <v>23</v>
      </c>
      <c r="B8" s="7">
        <f t="shared" si="0"/>
        <v>7</v>
      </c>
      <c r="C8" s="8">
        <v>4</v>
      </c>
      <c r="D8" s="7">
        <v>2022</v>
      </c>
      <c r="E8" s="9">
        <f>'Shenzhen Daily'!D11</f>
        <v>18.240000000001601</v>
      </c>
      <c r="F8" s="30">
        <v>0.93</v>
      </c>
      <c r="G8" s="9">
        <f>'Shenzhen Daily'!F11</f>
        <v>1790</v>
      </c>
      <c r="H8" s="30">
        <v>4.3899999999999997</v>
      </c>
      <c r="I8" s="9">
        <f>'Shenzhen Daily'!H11</f>
        <v>506</v>
      </c>
      <c r="J8" s="30">
        <v>1.72</v>
      </c>
      <c r="K8" s="9">
        <f>'Shenzhen Daily'!I11</f>
        <v>170.79859999999999</v>
      </c>
      <c r="L8" s="9">
        <f>'Shenzhen Daily'!J11</f>
        <v>455</v>
      </c>
    </row>
    <row r="9" spans="1:12" ht="15" x14ac:dyDescent="0.25">
      <c r="A9" s="6" t="s">
        <v>23</v>
      </c>
      <c r="B9" s="7">
        <f t="shared" si="0"/>
        <v>8</v>
      </c>
      <c r="C9" s="8">
        <v>4</v>
      </c>
      <c r="D9" s="7">
        <v>2022</v>
      </c>
      <c r="E9" s="9">
        <f>'Shenzhen Daily'!D12</f>
        <v>18.979999999999563</v>
      </c>
      <c r="F9" s="30">
        <v>0.93</v>
      </c>
      <c r="G9" s="9">
        <f>'Shenzhen Daily'!F12</f>
        <v>1868</v>
      </c>
      <c r="H9" s="30">
        <v>4.3899999999999997</v>
      </c>
      <c r="I9" s="9">
        <f>'Shenzhen Daily'!H12</f>
        <v>411</v>
      </c>
      <c r="J9" s="30">
        <v>1.72</v>
      </c>
      <c r="K9" s="9">
        <f>'Shenzhen Daily'!I12</f>
        <v>174.94819999999999</v>
      </c>
      <c r="L9" s="9">
        <f>'Shenzhen Daily'!J12</f>
        <v>295</v>
      </c>
    </row>
    <row r="10" spans="1:12" ht="15" x14ac:dyDescent="0.25">
      <c r="A10" s="6" t="s">
        <v>23</v>
      </c>
      <c r="B10" s="7">
        <f t="shared" si="0"/>
        <v>9</v>
      </c>
      <c r="C10" s="8">
        <v>4</v>
      </c>
      <c r="D10" s="7">
        <v>2022</v>
      </c>
      <c r="E10" s="9">
        <f>'Shenzhen Daily'!D13</f>
        <v>16.490000000001601</v>
      </c>
      <c r="F10" s="30">
        <v>0.93</v>
      </c>
      <c r="G10" s="9">
        <f>'Shenzhen Daily'!F13</f>
        <v>1592</v>
      </c>
      <c r="H10" s="30">
        <v>4.3899999999999997</v>
      </c>
      <c r="I10" s="9">
        <f>'Shenzhen Daily'!H13</f>
        <v>341</v>
      </c>
      <c r="J10" s="30">
        <v>1.72</v>
      </c>
      <c r="K10" s="9">
        <f>'Shenzhen Daily'!I13</f>
        <v>172.15520000000001</v>
      </c>
      <c r="L10" s="9">
        <f>'Shenzhen Daily'!J13</f>
        <v>241</v>
      </c>
    </row>
    <row r="11" spans="1:12" ht="15" x14ac:dyDescent="0.25">
      <c r="A11" s="6" t="s">
        <v>23</v>
      </c>
      <c r="B11" s="7">
        <f t="shared" si="0"/>
        <v>10</v>
      </c>
      <c r="C11" s="8">
        <v>4</v>
      </c>
      <c r="D11" s="7">
        <v>2022</v>
      </c>
      <c r="E11" s="9">
        <f>'Shenzhen Daily'!D14</f>
        <v>15.81000000000131</v>
      </c>
      <c r="F11" s="30">
        <v>0.93</v>
      </c>
      <c r="G11" s="9">
        <f>'Shenzhen Daily'!F14</f>
        <v>1425</v>
      </c>
      <c r="H11" s="30">
        <v>4.3899999999999997</v>
      </c>
      <c r="I11" s="9">
        <f>'Shenzhen Daily'!H14</f>
        <v>357</v>
      </c>
      <c r="J11" s="30">
        <v>1.72</v>
      </c>
      <c r="K11" s="9">
        <f>'Shenzhen Daily'!I14</f>
        <v>164.38800000000001</v>
      </c>
      <c r="L11" s="9">
        <f>'Shenzhen Daily'!J14</f>
        <v>205</v>
      </c>
    </row>
    <row r="12" spans="1:12" ht="15" x14ac:dyDescent="0.25">
      <c r="A12" s="6" t="s">
        <v>23</v>
      </c>
      <c r="B12" s="7">
        <f t="shared" si="0"/>
        <v>11</v>
      </c>
      <c r="C12" s="8">
        <v>4</v>
      </c>
      <c r="D12" s="7">
        <v>2022</v>
      </c>
      <c r="E12" s="9">
        <f>'Shenzhen Daily'!D15</f>
        <v>18.639999999992142</v>
      </c>
      <c r="F12" s="30">
        <v>0.93</v>
      </c>
      <c r="G12" s="9">
        <f>'Shenzhen Daily'!F15</f>
        <v>1447</v>
      </c>
      <c r="H12" s="30">
        <v>4.3899999999999997</v>
      </c>
      <c r="I12" s="9">
        <f>'Shenzhen Daily'!H15</f>
        <v>314</v>
      </c>
      <c r="J12" s="30">
        <v>1.72</v>
      </c>
      <c r="K12" s="9">
        <f>'Shenzhen Daily'!I15</f>
        <v>157.60500000000002</v>
      </c>
      <c r="L12" s="9">
        <f>'Shenzhen Daily'!J15</f>
        <v>307</v>
      </c>
    </row>
    <row r="13" spans="1:12" ht="15" x14ac:dyDescent="0.25">
      <c r="A13" s="6" t="s">
        <v>23</v>
      </c>
      <c r="B13" s="7">
        <f t="shared" si="0"/>
        <v>12</v>
      </c>
      <c r="C13" s="8">
        <v>4</v>
      </c>
      <c r="D13" s="7">
        <v>2022</v>
      </c>
      <c r="E13" s="9">
        <f>'Shenzhen Daily'!D16</f>
        <v>15.870000000006257</v>
      </c>
      <c r="F13" s="30">
        <v>0.93</v>
      </c>
      <c r="G13" s="9">
        <f>'Shenzhen Daily'!F16</f>
        <v>1421</v>
      </c>
      <c r="H13" s="30">
        <v>4.3899999999999997</v>
      </c>
      <c r="I13" s="9">
        <f>'Shenzhen Daily'!H16</f>
        <v>305</v>
      </c>
      <c r="J13" s="30">
        <v>1.72</v>
      </c>
      <c r="K13" s="9">
        <f>'Shenzhen Daily'!I16</f>
        <v>151.1944</v>
      </c>
      <c r="L13" s="9">
        <f>'Shenzhen Daily'!J16</f>
        <v>217</v>
      </c>
    </row>
    <row r="14" spans="1:12" ht="15" x14ac:dyDescent="0.25">
      <c r="A14" s="6" t="s">
        <v>23</v>
      </c>
      <c r="B14" s="7">
        <f t="shared" si="0"/>
        <v>13</v>
      </c>
      <c r="C14" s="8">
        <v>4</v>
      </c>
      <c r="D14" s="7">
        <v>2022</v>
      </c>
      <c r="E14" s="9">
        <f>'Shenzhen Daily'!D17</f>
        <v>14.569999999999709</v>
      </c>
      <c r="F14" s="30">
        <v>0.93</v>
      </c>
      <c r="G14" s="9">
        <f>'Shenzhen Daily'!F17</f>
        <v>1518</v>
      </c>
      <c r="H14" s="30">
        <v>4.3899999999999997</v>
      </c>
      <c r="I14" s="9">
        <f>'Shenzhen Daily'!H17</f>
        <v>332</v>
      </c>
      <c r="J14" s="30">
        <v>1.72</v>
      </c>
      <c r="K14" s="9">
        <f>'Shenzhen Daily'!I17</f>
        <v>145.55520000000001</v>
      </c>
      <c r="L14" s="9">
        <f>'Shenzhen Daily'!J17</f>
        <v>199</v>
      </c>
    </row>
    <row r="15" spans="1:12" ht="15" x14ac:dyDescent="0.25">
      <c r="A15" s="6" t="s">
        <v>23</v>
      </c>
      <c r="B15" s="7">
        <f t="shared" si="0"/>
        <v>14</v>
      </c>
      <c r="C15" s="8">
        <v>4</v>
      </c>
      <c r="D15" s="7">
        <v>2022</v>
      </c>
      <c r="E15" s="9">
        <f>'Shenzhen Daily'!D18</f>
        <v>14.139999999999418</v>
      </c>
      <c r="F15" s="30">
        <v>0.93</v>
      </c>
      <c r="G15" s="9">
        <f>'Shenzhen Daily'!F18</f>
        <v>1415</v>
      </c>
      <c r="H15" s="30">
        <v>4.3899999999999997</v>
      </c>
      <c r="I15" s="9">
        <f>'Shenzhen Daily'!H18</f>
        <v>306</v>
      </c>
      <c r="J15" s="30">
        <v>1.72</v>
      </c>
      <c r="K15" s="9">
        <f>'Shenzhen Daily'!I18</f>
        <v>139.43719999999999</v>
      </c>
      <c r="L15" s="9">
        <f>'Shenzhen Daily'!J18</f>
        <v>275</v>
      </c>
    </row>
    <row r="16" spans="1:12" ht="15" x14ac:dyDescent="0.25">
      <c r="A16" s="6" t="s">
        <v>23</v>
      </c>
      <c r="B16" s="7">
        <f t="shared" si="0"/>
        <v>15</v>
      </c>
      <c r="C16" s="8">
        <v>4</v>
      </c>
      <c r="D16" s="7">
        <v>2022</v>
      </c>
      <c r="E16" s="9">
        <f>'Shenzhen Daily'!D19</f>
        <v>14.500000000003638</v>
      </c>
      <c r="F16" s="30">
        <v>0.93</v>
      </c>
      <c r="G16" s="9">
        <f>'Shenzhen Daily'!F19</f>
        <v>1301</v>
      </c>
      <c r="H16" s="30">
        <v>4.3899999999999997</v>
      </c>
      <c r="I16" s="9">
        <f>'Shenzhen Daily'!H19</f>
        <v>256</v>
      </c>
      <c r="J16" s="30">
        <v>1.72</v>
      </c>
      <c r="K16" s="9">
        <f>'Shenzhen Daily'!I19</f>
        <v>134.64920000000001</v>
      </c>
      <c r="L16" s="9">
        <f>'Shenzhen Daily'!J19</f>
        <v>233</v>
      </c>
    </row>
    <row r="17" spans="1:12" ht="15" x14ac:dyDescent="0.25">
      <c r="A17" s="6" t="s">
        <v>23</v>
      </c>
      <c r="B17" s="7">
        <f t="shared" si="0"/>
        <v>16</v>
      </c>
      <c r="C17" s="8">
        <v>4</v>
      </c>
      <c r="D17" s="7">
        <v>2022</v>
      </c>
      <c r="E17" s="9">
        <f>'Shenzhen Daily'!D20</f>
        <v>15.969999999997526</v>
      </c>
      <c r="F17" s="30">
        <v>0.93</v>
      </c>
      <c r="G17" s="9">
        <f>'Shenzhen Daily'!F20</f>
        <v>1397</v>
      </c>
      <c r="H17" s="30">
        <v>4.3899999999999997</v>
      </c>
      <c r="I17" s="9">
        <f>'Shenzhen Daily'!H20</f>
        <v>249</v>
      </c>
      <c r="J17" s="30">
        <v>1.72</v>
      </c>
      <c r="K17" s="9">
        <f>'Shenzhen Daily'!I20</f>
        <v>130.15379999999999</v>
      </c>
      <c r="L17" s="9">
        <f>'Shenzhen Daily'!J20</f>
        <v>166</v>
      </c>
    </row>
    <row r="18" spans="1:12" ht="15" x14ac:dyDescent="0.25">
      <c r="A18" s="6" t="s">
        <v>23</v>
      </c>
      <c r="B18" s="7">
        <f t="shared" si="0"/>
        <v>17</v>
      </c>
      <c r="C18" s="8">
        <v>4</v>
      </c>
      <c r="D18" s="7">
        <v>2022</v>
      </c>
      <c r="E18" s="9">
        <f>'Shenzhen Daily'!D21</f>
        <v>14.149999999997817</v>
      </c>
      <c r="F18" s="30">
        <v>0.93</v>
      </c>
      <c r="G18" s="9">
        <f>'Shenzhen Daily'!F21</f>
        <v>1310</v>
      </c>
      <c r="H18" s="30">
        <v>4.3899999999999997</v>
      </c>
      <c r="I18" s="9">
        <f>'Shenzhen Daily'!H21</f>
        <v>298</v>
      </c>
      <c r="J18" s="30">
        <v>1.72</v>
      </c>
      <c r="K18" s="9">
        <f>'Shenzhen Daily'!I21</f>
        <v>125.02</v>
      </c>
      <c r="L18" s="9">
        <f>'Shenzhen Daily'!J21</f>
        <v>186</v>
      </c>
    </row>
    <row r="19" spans="1:12" ht="15" x14ac:dyDescent="0.25">
      <c r="A19" s="6" t="s">
        <v>23</v>
      </c>
      <c r="B19" s="7">
        <f t="shared" si="0"/>
        <v>18</v>
      </c>
      <c r="C19" s="8">
        <v>4</v>
      </c>
      <c r="D19" s="7">
        <v>2022</v>
      </c>
      <c r="E19" s="9">
        <f>'Shenzhen Daily'!D22</f>
        <v>13.020000000000437</v>
      </c>
      <c r="F19" s="30">
        <v>0.93</v>
      </c>
      <c r="G19" s="9">
        <f>'Shenzhen Daily'!F22</f>
        <v>1259</v>
      </c>
      <c r="H19" s="30">
        <v>4.3899999999999997</v>
      </c>
      <c r="I19" s="9">
        <f>'Shenzhen Daily'!H22</f>
        <v>252</v>
      </c>
      <c r="J19" s="30">
        <v>1.72</v>
      </c>
      <c r="K19" s="9">
        <f>'Shenzhen Daily'!I22</f>
        <v>120.9768</v>
      </c>
      <c r="L19" s="9">
        <f>'Shenzhen Daily'!J22</f>
        <v>228</v>
      </c>
    </row>
    <row r="20" spans="1:12" ht="15" x14ac:dyDescent="0.25">
      <c r="A20" s="6" t="s">
        <v>23</v>
      </c>
      <c r="B20" s="7">
        <f t="shared" si="0"/>
        <v>19</v>
      </c>
      <c r="C20" s="8">
        <v>4</v>
      </c>
      <c r="D20" s="7">
        <v>2022</v>
      </c>
      <c r="E20" s="9">
        <f>'Shenzhen Daily'!D23</f>
        <v>13.229999999995925</v>
      </c>
      <c r="F20" s="30">
        <v>0.93</v>
      </c>
      <c r="G20" s="9">
        <f>'Shenzhen Daily'!F23</f>
        <v>1332</v>
      </c>
      <c r="H20" s="30">
        <v>4.3899999999999997</v>
      </c>
      <c r="I20" s="9">
        <f>'Shenzhen Daily'!H23</f>
        <v>292</v>
      </c>
      <c r="J20" s="30">
        <v>1.72</v>
      </c>
      <c r="K20" s="9">
        <f>'Shenzhen Daily'!I23</f>
        <v>116.88040000000001</v>
      </c>
      <c r="L20" s="9">
        <f>'Shenzhen Daily'!J23</f>
        <v>258</v>
      </c>
    </row>
    <row r="21" spans="1:12" ht="15" x14ac:dyDescent="0.25">
      <c r="A21" s="6" t="s">
        <v>23</v>
      </c>
      <c r="B21" s="7">
        <f t="shared" si="0"/>
        <v>20</v>
      </c>
      <c r="C21" s="8">
        <v>4</v>
      </c>
      <c r="D21" s="7">
        <v>2022</v>
      </c>
      <c r="E21" s="9">
        <f>'Shenzhen Daily'!D24</f>
        <v>13.080000000005384</v>
      </c>
      <c r="F21" s="30">
        <v>0.93</v>
      </c>
      <c r="G21" s="9">
        <f>'Shenzhen Daily'!F24</f>
        <v>1339</v>
      </c>
      <c r="H21" s="30">
        <v>4.3899999999999997</v>
      </c>
      <c r="I21" s="9">
        <f>'Shenzhen Daily'!H24</f>
        <v>255</v>
      </c>
      <c r="J21" s="30">
        <v>1.72</v>
      </c>
      <c r="K21" s="9">
        <f>'Shenzhen Daily'!I24</f>
        <v>113.63520000000001</v>
      </c>
      <c r="L21" s="9">
        <f>'Shenzhen Daily'!J24</f>
        <v>227</v>
      </c>
    </row>
    <row r="22" spans="1:12" ht="15" x14ac:dyDescent="0.25">
      <c r="A22" s="6" t="s">
        <v>23</v>
      </c>
      <c r="B22" s="7">
        <f t="shared" si="0"/>
        <v>21</v>
      </c>
      <c r="C22" s="8">
        <v>4</v>
      </c>
      <c r="D22" s="7">
        <v>2022</v>
      </c>
      <c r="E22" s="9">
        <f>'Shenzhen Daily'!D25</f>
        <v>13.44999999999709</v>
      </c>
      <c r="F22" s="30">
        <v>0.93</v>
      </c>
      <c r="G22" s="9">
        <f>'Shenzhen Daily'!F25</f>
        <v>1483</v>
      </c>
      <c r="H22" s="30">
        <v>4.3899999999999997</v>
      </c>
      <c r="I22" s="9">
        <f>'Shenzhen Daily'!H25</f>
        <v>373</v>
      </c>
      <c r="J22" s="30">
        <v>1.72</v>
      </c>
      <c r="K22" s="9">
        <f>'Shenzhen Daily'!I25</f>
        <v>68.361999999999995</v>
      </c>
      <c r="L22" s="9">
        <f>'Shenzhen Daily'!J25</f>
        <v>375</v>
      </c>
    </row>
    <row r="23" spans="1:12" ht="15" x14ac:dyDescent="0.25">
      <c r="A23" s="6" t="s">
        <v>23</v>
      </c>
      <c r="B23" s="7">
        <f t="shared" si="0"/>
        <v>22</v>
      </c>
      <c r="C23" s="8">
        <v>4</v>
      </c>
      <c r="D23" s="7">
        <v>2022</v>
      </c>
      <c r="E23" s="9">
        <f>'Shenzhen Daily'!D26</f>
        <v>13.030000000006112</v>
      </c>
      <c r="F23" s="30">
        <v>0.93</v>
      </c>
      <c r="G23" s="9">
        <f>'Shenzhen Daily'!F26</f>
        <v>1400</v>
      </c>
      <c r="H23" s="30">
        <v>4.3899999999999997</v>
      </c>
      <c r="I23" s="9">
        <f>'Shenzhen Daily'!H26</f>
        <v>308</v>
      </c>
      <c r="J23" s="30">
        <v>1.72</v>
      </c>
      <c r="K23" s="9">
        <f>'Shenzhen Daily'!I26</f>
        <v>65.17</v>
      </c>
      <c r="L23" s="9">
        <f>'Shenzhen Daily'!J26</f>
        <v>248</v>
      </c>
    </row>
    <row r="24" spans="1:12" ht="15" x14ac:dyDescent="0.25">
      <c r="A24" s="6" t="s">
        <v>23</v>
      </c>
      <c r="B24" s="7">
        <f t="shared" si="0"/>
        <v>23</v>
      </c>
      <c r="C24" s="8">
        <v>4</v>
      </c>
      <c r="D24" s="7">
        <v>2022</v>
      </c>
      <c r="E24" s="9">
        <f>'Shenzhen Daily'!D27</f>
        <v>14.429999999996653</v>
      </c>
      <c r="F24" s="30">
        <v>0.93</v>
      </c>
      <c r="G24" s="9">
        <f>'Shenzhen Daily'!F27</f>
        <v>1257</v>
      </c>
      <c r="H24" s="30">
        <v>4.3899999999999997</v>
      </c>
      <c r="I24" s="9">
        <f>'Shenzhen Daily'!H27</f>
        <v>260</v>
      </c>
      <c r="J24" s="30">
        <v>1.72</v>
      </c>
      <c r="K24" s="9">
        <f>'Shenzhen Daily'!I27</f>
        <v>51.072000000000003</v>
      </c>
      <c r="L24" s="9">
        <f>'Shenzhen Daily'!J27</f>
        <v>271</v>
      </c>
    </row>
    <row r="25" spans="1:12" ht="15" x14ac:dyDescent="0.25">
      <c r="A25" s="6" t="s">
        <v>23</v>
      </c>
      <c r="B25" s="7">
        <f t="shared" si="0"/>
        <v>24</v>
      </c>
      <c r="C25" s="8">
        <v>4</v>
      </c>
      <c r="D25" s="7">
        <v>2022</v>
      </c>
      <c r="E25" s="9">
        <f>'Shenzhen Daily'!D28</f>
        <v>13.38999999999578</v>
      </c>
      <c r="F25" s="30">
        <v>0.93</v>
      </c>
      <c r="G25" s="9">
        <f>'Shenzhen Daily'!F28</f>
        <v>1352</v>
      </c>
      <c r="H25" s="30">
        <v>4.3899999999999997</v>
      </c>
      <c r="I25" s="9">
        <f>'Shenzhen Daily'!H28</f>
        <v>296</v>
      </c>
      <c r="J25" s="30">
        <v>1.72</v>
      </c>
      <c r="K25" s="9">
        <f>'Shenzhen Daily'!I28</f>
        <v>53.2</v>
      </c>
      <c r="L25" s="9">
        <f>'Shenzhen Daily'!J28</f>
        <v>198</v>
      </c>
    </row>
    <row r="26" spans="1:12" ht="15" x14ac:dyDescent="0.25">
      <c r="A26" s="6" t="s">
        <v>23</v>
      </c>
      <c r="B26" s="7">
        <f>B25+1</f>
        <v>25</v>
      </c>
      <c r="C26" s="8">
        <v>4</v>
      </c>
      <c r="D26" s="7">
        <v>2022</v>
      </c>
      <c r="E26" s="9">
        <f>'Shenzhen Daily'!D29</f>
        <v>13.730000000006839</v>
      </c>
      <c r="F26" s="30">
        <v>0.93</v>
      </c>
      <c r="G26" s="9">
        <f>'Shenzhen Daily'!F29</f>
        <v>1274</v>
      </c>
      <c r="H26" s="30">
        <v>4.3899999999999997</v>
      </c>
      <c r="I26" s="9">
        <f>'Shenzhen Daily'!H29</f>
        <v>279</v>
      </c>
      <c r="J26" s="30">
        <v>1.72</v>
      </c>
      <c r="K26" s="9">
        <f>'Shenzhen Daily'!I29</f>
        <v>55.327999999999996</v>
      </c>
      <c r="L26" s="9">
        <f>'Shenzhen Daily'!J29</f>
        <v>259</v>
      </c>
    </row>
    <row r="27" spans="1:12" ht="15" x14ac:dyDescent="0.25">
      <c r="A27" s="6" t="s">
        <v>23</v>
      </c>
      <c r="B27" s="7">
        <f t="shared" si="0"/>
        <v>26</v>
      </c>
      <c r="C27" s="8">
        <v>4</v>
      </c>
      <c r="D27" s="7">
        <v>2022</v>
      </c>
      <c r="E27" s="9">
        <f>'Shenzhen Daily'!D30</f>
        <v>14.119999999995343</v>
      </c>
      <c r="F27" s="30">
        <v>0.93</v>
      </c>
      <c r="G27" s="9">
        <f>'Shenzhen Daily'!F30</f>
        <v>1332</v>
      </c>
      <c r="H27" s="30">
        <v>4.3899999999999997</v>
      </c>
      <c r="I27" s="9">
        <f>'Shenzhen Daily'!H30</f>
        <v>293</v>
      </c>
      <c r="J27" s="30">
        <v>1.72</v>
      </c>
      <c r="K27" s="9">
        <f>'Shenzhen Daily'!I30</f>
        <v>58.253999999999998</v>
      </c>
      <c r="L27" s="9">
        <f>'Shenzhen Daily'!J30</f>
        <v>367</v>
      </c>
    </row>
    <row r="28" spans="1:12" ht="15" x14ac:dyDescent="0.25">
      <c r="A28" s="6" t="s">
        <v>23</v>
      </c>
      <c r="B28" s="7">
        <f t="shared" si="0"/>
        <v>27</v>
      </c>
      <c r="C28" s="8">
        <v>4</v>
      </c>
      <c r="D28" s="7">
        <v>2022</v>
      </c>
      <c r="E28" s="9">
        <f>'Shenzhen Daily'!D31</f>
        <v>14.479999999999563</v>
      </c>
      <c r="F28" s="30">
        <v>0.93</v>
      </c>
      <c r="G28" s="9">
        <f>'Shenzhen Daily'!F31</f>
        <v>1395</v>
      </c>
      <c r="H28" s="30">
        <v>4.3899999999999997</v>
      </c>
      <c r="I28" s="9">
        <f>'Shenzhen Daily'!H31</f>
        <v>273</v>
      </c>
      <c r="J28" s="30">
        <v>1.72</v>
      </c>
      <c r="K28" s="9">
        <f>'Shenzhen Daily'!I31</f>
        <v>61.18</v>
      </c>
      <c r="L28" s="9">
        <f>'Shenzhen Daily'!J31</f>
        <v>289</v>
      </c>
    </row>
    <row r="29" spans="1:12" ht="15" x14ac:dyDescent="0.25">
      <c r="A29" s="6" t="s">
        <v>23</v>
      </c>
      <c r="B29" s="7">
        <f t="shared" si="0"/>
        <v>28</v>
      </c>
      <c r="C29" s="8">
        <v>4</v>
      </c>
      <c r="D29" s="7">
        <v>2022</v>
      </c>
      <c r="E29" s="9">
        <f>'Shenzhen Daily'!D32</f>
        <v>13.579999999998108</v>
      </c>
      <c r="F29" s="30">
        <v>0.93</v>
      </c>
      <c r="G29" s="9">
        <f>'Shenzhen Daily'!F32</f>
        <v>1390</v>
      </c>
      <c r="H29" s="30">
        <v>4.3899999999999997</v>
      </c>
      <c r="I29" s="9">
        <f>'Shenzhen Daily'!H32</f>
        <v>281</v>
      </c>
      <c r="J29" s="30">
        <v>1.72</v>
      </c>
      <c r="K29" s="9">
        <f>'Shenzhen Daily'!I32</f>
        <v>48.172600000000003</v>
      </c>
      <c r="L29" s="9">
        <f>'Shenzhen Daily'!J32</f>
        <v>179</v>
      </c>
    </row>
    <row r="30" spans="1:12" ht="15" x14ac:dyDescent="0.25">
      <c r="A30" s="6" t="s">
        <v>23</v>
      </c>
      <c r="B30" s="7">
        <f t="shared" si="0"/>
        <v>29</v>
      </c>
      <c r="C30" s="8">
        <v>4</v>
      </c>
      <c r="D30" s="7">
        <v>2022</v>
      </c>
      <c r="E30" s="9">
        <f>'Shenzhen Daily'!D33</f>
        <v>14.330000000005384</v>
      </c>
      <c r="F30" s="30">
        <v>0.93</v>
      </c>
      <c r="G30" s="9">
        <f>'Shenzhen Daily'!F33</f>
        <v>1324</v>
      </c>
      <c r="H30" s="30">
        <v>4.3899999999999997</v>
      </c>
      <c r="I30" s="9">
        <f>'Shenzhen Daily'!H33</f>
        <v>247</v>
      </c>
      <c r="J30" s="30">
        <v>1.72</v>
      </c>
      <c r="K30" s="9">
        <f>'Shenzhen Daily'!I33</f>
        <v>55.195</v>
      </c>
      <c r="L30" s="9">
        <f>'Shenzhen Daily'!J33</f>
        <v>172</v>
      </c>
    </row>
    <row r="31" spans="1:12" ht="15" x14ac:dyDescent="0.25">
      <c r="A31" s="6" t="s">
        <v>23</v>
      </c>
      <c r="B31" s="7">
        <f t="shared" si="0"/>
        <v>30</v>
      </c>
      <c r="C31" s="8">
        <v>4</v>
      </c>
      <c r="D31" s="7">
        <v>2022</v>
      </c>
      <c r="E31" s="9">
        <f>'Shenzhen Daily'!D34</f>
        <v>16.429999999996653</v>
      </c>
      <c r="F31" s="30">
        <v>0.93</v>
      </c>
      <c r="G31" s="9">
        <f>'Shenzhen Daily'!F34</f>
        <v>1422</v>
      </c>
      <c r="H31" s="30">
        <v>4.3899999999999997</v>
      </c>
      <c r="I31" s="9">
        <f>'Shenzhen Daily'!H34</f>
        <v>275</v>
      </c>
      <c r="J31" s="30">
        <v>1.72</v>
      </c>
      <c r="K31" s="9">
        <f>'Shenzhen Daily'!I34</f>
        <v>44.155999999999999</v>
      </c>
      <c r="L31" s="9">
        <f>'Shenzhen Daily'!J34</f>
        <v>141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E44" sqref="E4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2"/>
      <c r="C1" s="10"/>
      <c r="D1" s="11"/>
      <c r="E1" s="10"/>
      <c r="F1" s="10"/>
      <c r="G1" s="33"/>
      <c r="H1" s="33"/>
      <c r="I1" s="12"/>
      <c r="J1" s="12"/>
    </row>
    <row r="2" spans="1:10" ht="35.25" customHeight="1" thickBot="1" x14ac:dyDescent="0.2">
      <c r="A2" s="14" t="s">
        <v>10</v>
      </c>
      <c r="B2" s="32"/>
      <c r="C2" s="34" t="s">
        <v>20</v>
      </c>
      <c r="D2" s="35"/>
      <c r="E2" s="36" t="s">
        <v>21</v>
      </c>
      <c r="F2" s="36"/>
      <c r="G2" s="37" t="s">
        <v>11</v>
      </c>
      <c r="H2" s="38"/>
      <c r="I2" s="15"/>
      <c r="J2" s="15"/>
    </row>
    <row r="3" spans="1:10" ht="44.25" customHeight="1" x14ac:dyDescent="0.15">
      <c r="A3" s="16" t="s">
        <v>12</v>
      </c>
      <c r="B3" s="32"/>
      <c r="C3" s="49" t="s">
        <v>13</v>
      </c>
      <c r="D3" s="17" t="s">
        <v>14</v>
      </c>
      <c r="E3" s="53" t="s">
        <v>15</v>
      </c>
      <c r="F3" s="18" t="s">
        <v>14</v>
      </c>
      <c r="G3" s="5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44561</v>
      </c>
      <c r="B4" s="47"/>
      <c r="C4" s="50">
        <v>27108.19</v>
      </c>
      <c r="D4" s="51"/>
      <c r="E4" s="50">
        <v>3008640</v>
      </c>
      <c r="F4" s="54"/>
      <c r="G4" s="50">
        <v>548721</v>
      </c>
      <c r="H4" s="56"/>
      <c r="I4" s="23">
        <v>226</v>
      </c>
      <c r="J4" s="23">
        <v>450</v>
      </c>
    </row>
    <row r="5" spans="1:10" ht="33" customHeight="1" x14ac:dyDescent="0.2">
      <c r="A5" s="24">
        <v>44562</v>
      </c>
      <c r="B5" s="47"/>
      <c r="C5" s="50">
        <v>27127.13</v>
      </c>
      <c r="D5" s="52">
        <f t="shared" ref="D5:D22" si="0">IF((C5-C4&lt;0), "0",C5-C4)</f>
        <v>18.940000000002328</v>
      </c>
      <c r="E5" s="50">
        <v>3010559</v>
      </c>
      <c r="F5" s="52">
        <f>IF((E5-E4&lt;0), "0",E5-E4)</f>
        <v>1919</v>
      </c>
      <c r="G5" s="50">
        <v>549198</v>
      </c>
      <c r="H5" s="48">
        <f>IF((G5-G4&lt;0), "0",G5-G4)</f>
        <v>477</v>
      </c>
      <c r="I5" s="26">
        <v>227.13739999999999</v>
      </c>
      <c r="J5" s="26">
        <v>473</v>
      </c>
    </row>
    <row r="6" spans="1:10" ht="45" customHeight="1" x14ac:dyDescent="0.2">
      <c r="A6" s="24">
        <v>44563</v>
      </c>
      <c r="B6" s="47"/>
      <c r="C6" s="50">
        <v>27144.629999999997</v>
      </c>
      <c r="D6" s="52">
        <f t="shared" si="0"/>
        <v>17.499999999996362</v>
      </c>
      <c r="E6" s="50">
        <v>3012265</v>
      </c>
      <c r="F6" s="52">
        <f t="shared" ref="F6:F34" si="1">IF((E6-E5&lt;0), "0",E6-E5)</f>
        <v>1706</v>
      </c>
      <c r="G6" s="50">
        <v>549621</v>
      </c>
      <c r="H6" s="57">
        <f t="shared" ref="H6:H34" si="2">IF((G6-G5&lt;0), "0",G6-G5)</f>
        <v>423</v>
      </c>
      <c r="I6" s="46">
        <v>199.73939999999999</v>
      </c>
      <c r="J6" s="46">
        <v>345</v>
      </c>
    </row>
    <row r="7" spans="1:10" ht="45" customHeight="1" x14ac:dyDescent="0.2">
      <c r="A7" s="24">
        <v>44564</v>
      </c>
      <c r="B7" s="47"/>
      <c r="C7" s="50">
        <v>27162.779999999995</v>
      </c>
      <c r="D7" s="52">
        <f t="shared" si="0"/>
        <v>18.149999999997817</v>
      </c>
      <c r="E7" s="50">
        <v>3013913</v>
      </c>
      <c r="F7" s="52">
        <f t="shared" si="1"/>
        <v>1648</v>
      </c>
      <c r="G7" s="50">
        <v>550000</v>
      </c>
      <c r="H7" s="48">
        <f t="shared" si="2"/>
        <v>379</v>
      </c>
      <c r="I7" s="12">
        <v>182.68879999999999</v>
      </c>
      <c r="J7" s="12">
        <v>335</v>
      </c>
    </row>
    <row r="8" spans="1:10" ht="45" customHeight="1" x14ac:dyDescent="0.2">
      <c r="A8" s="24">
        <v>44565</v>
      </c>
      <c r="B8" s="32"/>
      <c r="C8" s="31">
        <v>27179.5</v>
      </c>
      <c r="D8" s="45">
        <f t="shared" si="0"/>
        <v>16.720000000004802</v>
      </c>
      <c r="E8" s="31">
        <v>3015379</v>
      </c>
      <c r="F8" s="55">
        <f t="shared" si="1"/>
        <v>1466</v>
      </c>
      <c r="G8" s="50">
        <v>550333</v>
      </c>
      <c r="H8" s="48">
        <f t="shared" si="2"/>
        <v>333</v>
      </c>
      <c r="I8" s="12">
        <v>154.91840000000002</v>
      </c>
      <c r="J8" s="12">
        <v>209</v>
      </c>
    </row>
    <row r="9" spans="1:10" ht="45" customHeight="1" x14ac:dyDescent="0.2">
      <c r="A9" s="24">
        <v>44566</v>
      </c>
      <c r="B9" s="32"/>
      <c r="C9" s="31">
        <v>27197.070000000003</v>
      </c>
      <c r="D9" s="25">
        <f t="shared" si="0"/>
        <v>17.570000000003347</v>
      </c>
      <c r="E9" s="31">
        <v>3016827</v>
      </c>
      <c r="F9" s="25">
        <f t="shared" si="1"/>
        <v>1448</v>
      </c>
      <c r="G9" s="31">
        <v>550638</v>
      </c>
      <c r="H9" s="25">
        <f t="shared" si="2"/>
        <v>305</v>
      </c>
      <c r="I9" s="12">
        <v>149.5718</v>
      </c>
      <c r="J9" s="12">
        <v>247</v>
      </c>
    </row>
    <row r="10" spans="1:10" ht="45" customHeight="1" x14ac:dyDescent="0.2">
      <c r="A10" s="24">
        <v>44567</v>
      </c>
      <c r="B10" s="32"/>
      <c r="C10" s="31">
        <v>27216.34</v>
      </c>
      <c r="D10" s="25">
        <f t="shared" si="0"/>
        <v>19.269999999996799</v>
      </c>
      <c r="E10" s="31">
        <v>3018498</v>
      </c>
      <c r="F10" s="25">
        <f t="shared" si="1"/>
        <v>1671</v>
      </c>
      <c r="G10" s="31">
        <v>551021</v>
      </c>
      <c r="H10" s="25">
        <f t="shared" si="2"/>
        <v>383</v>
      </c>
      <c r="I10" s="12">
        <v>157.3922</v>
      </c>
      <c r="J10" s="12">
        <v>375</v>
      </c>
    </row>
    <row r="11" spans="1:10" ht="45" customHeight="1" x14ac:dyDescent="0.2">
      <c r="A11" s="24">
        <v>44568</v>
      </c>
      <c r="B11" s="32"/>
      <c r="C11" s="31">
        <v>27234.58</v>
      </c>
      <c r="D11" s="25">
        <f t="shared" si="0"/>
        <v>18.240000000001601</v>
      </c>
      <c r="E11" s="31">
        <v>3020288</v>
      </c>
      <c r="F11" s="25">
        <f t="shared" si="1"/>
        <v>1790</v>
      </c>
      <c r="G11" s="31">
        <v>551527</v>
      </c>
      <c r="H11" s="25">
        <f t="shared" si="2"/>
        <v>506</v>
      </c>
      <c r="I11" s="12">
        <v>170.79859999999999</v>
      </c>
      <c r="J11" s="12">
        <v>455</v>
      </c>
    </row>
    <row r="12" spans="1:10" ht="45" customHeight="1" x14ac:dyDescent="0.2">
      <c r="A12" s="24">
        <v>44569</v>
      </c>
      <c r="B12" s="32"/>
      <c r="C12" s="31">
        <v>27253.56</v>
      </c>
      <c r="D12" s="25">
        <f t="shared" si="0"/>
        <v>18.979999999999563</v>
      </c>
      <c r="E12" s="31">
        <v>3022156</v>
      </c>
      <c r="F12" s="25">
        <f t="shared" si="1"/>
        <v>1868</v>
      </c>
      <c r="G12" s="31">
        <v>551938</v>
      </c>
      <c r="H12" s="25">
        <f t="shared" si="2"/>
        <v>411</v>
      </c>
      <c r="I12" s="12">
        <v>174.94819999999999</v>
      </c>
      <c r="J12" s="12">
        <v>295</v>
      </c>
    </row>
    <row r="13" spans="1:10" ht="45" customHeight="1" x14ac:dyDescent="0.2">
      <c r="A13" s="24">
        <v>44570</v>
      </c>
      <c r="B13" s="32"/>
      <c r="C13" s="31">
        <v>27270.050000000003</v>
      </c>
      <c r="D13" s="25">
        <f t="shared" si="0"/>
        <v>16.490000000001601</v>
      </c>
      <c r="E13" s="31">
        <v>3023748</v>
      </c>
      <c r="F13" s="25">
        <f t="shared" si="1"/>
        <v>1592</v>
      </c>
      <c r="G13" s="31">
        <v>552279</v>
      </c>
      <c r="H13" s="25">
        <f t="shared" si="2"/>
        <v>341</v>
      </c>
      <c r="I13" s="12">
        <v>172.15520000000001</v>
      </c>
      <c r="J13" s="12">
        <v>241</v>
      </c>
    </row>
    <row r="14" spans="1:10" ht="45" customHeight="1" x14ac:dyDescent="0.2">
      <c r="A14" s="24">
        <v>44571</v>
      </c>
      <c r="B14" s="32"/>
      <c r="C14" s="31">
        <v>27285.860000000004</v>
      </c>
      <c r="D14" s="25">
        <f t="shared" si="0"/>
        <v>15.81000000000131</v>
      </c>
      <c r="E14" s="31">
        <v>3025173</v>
      </c>
      <c r="F14" s="25">
        <f t="shared" si="1"/>
        <v>1425</v>
      </c>
      <c r="G14" s="31">
        <v>552636</v>
      </c>
      <c r="H14" s="25">
        <f t="shared" si="2"/>
        <v>357</v>
      </c>
      <c r="I14" s="12">
        <v>164.38800000000001</v>
      </c>
      <c r="J14" s="12">
        <v>205</v>
      </c>
    </row>
    <row r="15" spans="1:10" ht="45" customHeight="1" x14ac:dyDescent="0.2">
      <c r="A15" s="24">
        <v>44572</v>
      </c>
      <c r="B15" s="32"/>
      <c r="C15" s="31">
        <v>27304.499999999996</v>
      </c>
      <c r="D15" s="25">
        <f t="shared" si="0"/>
        <v>18.639999999992142</v>
      </c>
      <c r="E15" s="31">
        <v>3026620</v>
      </c>
      <c r="F15" s="25">
        <f t="shared" si="1"/>
        <v>1447</v>
      </c>
      <c r="G15" s="31">
        <v>552950</v>
      </c>
      <c r="H15" s="25">
        <f t="shared" si="2"/>
        <v>314</v>
      </c>
      <c r="I15" s="12">
        <v>157.60500000000002</v>
      </c>
      <c r="J15" s="12">
        <v>307</v>
      </c>
    </row>
    <row r="16" spans="1:10" ht="45" customHeight="1" x14ac:dyDescent="0.2">
      <c r="A16" s="24">
        <v>44573</v>
      </c>
      <c r="B16" s="32"/>
      <c r="C16" s="31">
        <v>27320.370000000003</v>
      </c>
      <c r="D16" s="25">
        <f t="shared" si="0"/>
        <v>15.870000000006257</v>
      </c>
      <c r="E16" s="31">
        <v>3028041</v>
      </c>
      <c r="F16" s="25">
        <f t="shared" si="1"/>
        <v>1421</v>
      </c>
      <c r="G16" s="31">
        <v>553255</v>
      </c>
      <c r="H16" s="25">
        <f t="shared" si="2"/>
        <v>305</v>
      </c>
      <c r="I16" s="12">
        <v>151.1944</v>
      </c>
      <c r="J16" s="12">
        <v>217</v>
      </c>
    </row>
    <row r="17" spans="1:15" ht="45" customHeight="1" x14ac:dyDescent="0.2">
      <c r="A17" s="24">
        <v>44574</v>
      </c>
      <c r="B17" s="32"/>
      <c r="C17" s="31">
        <v>27334.940000000002</v>
      </c>
      <c r="D17" s="25">
        <f t="shared" si="0"/>
        <v>14.569999999999709</v>
      </c>
      <c r="E17" s="31">
        <v>3029559</v>
      </c>
      <c r="F17" s="25">
        <f t="shared" si="1"/>
        <v>1518</v>
      </c>
      <c r="G17" s="31">
        <v>553587</v>
      </c>
      <c r="H17" s="25">
        <f t="shared" si="2"/>
        <v>332</v>
      </c>
      <c r="I17" s="12">
        <v>145.55520000000001</v>
      </c>
      <c r="J17" s="12">
        <v>199</v>
      </c>
    </row>
    <row r="18" spans="1:15" ht="45" customHeight="1" x14ac:dyDescent="0.2">
      <c r="A18" s="24">
        <v>44575</v>
      </c>
      <c r="B18" s="32"/>
      <c r="C18" s="31">
        <v>27349.08</v>
      </c>
      <c r="D18" s="25">
        <f t="shared" si="0"/>
        <v>14.139999999999418</v>
      </c>
      <c r="E18" s="31">
        <v>3030974</v>
      </c>
      <c r="F18" s="25">
        <f t="shared" si="1"/>
        <v>1415</v>
      </c>
      <c r="G18" s="31">
        <v>553893</v>
      </c>
      <c r="H18" s="25">
        <f t="shared" si="2"/>
        <v>306</v>
      </c>
      <c r="I18" s="12">
        <v>139.43719999999999</v>
      </c>
      <c r="J18" s="12">
        <v>275</v>
      </c>
    </row>
    <row r="19" spans="1:15" ht="45" customHeight="1" x14ac:dyDescent="0.2">
      <c r="A19" s="24">
        <v>44576</v>
      </c>
      <c r="B19" s="32"/>
      <c r="C19" s="31">
        <v>27363.580000000005</v>
      </c>
      <c r="D19" s="25">
        <f t="shared" si="0"/>
        <v>14.500000000003638</v>
      </c>
      <c r="E19" s="31">
        <v>3032275</v>
      </c>
      <c r="F19" s="25">
        <f t="shared" si="1"/>
        <v>1301</v>
      </c>
      <c r="G19" s="31">
        <v>554149</v>
      </c>
      <c r="H19" s="25">
        <f t="shared" si="2"/>
        <v>256</v>
      </c>
      <c r="I19" s="12">
        <v>134.64920000000001</v>
      </c>
      <c r="J19" s="12">
        <v>233</v>
      </c>
    </row>
    <row r="20" spans="1:15" ht="45" customHeight="1" x14ac:dyDescent="0.2">
      <c r="A20" s="24">
        <v>44577</v>
      </c>
      <c r="B20" s="32"/>
      <c r="C20" s="31">
        <v>27379.550000000003</v>
      </c>
      <c r="D20" s="25">
        <f t="shared" si="0"/>
        <v>15.969999999997526</v>
      </c>
      <c r="E20" s="31">
        <v>3033672</v>
      </c>
      <c r="F20" s="25">
        <f t="shared" si="1"/>
        <v>1397</v>
      </c>
      <c r="G20" s="31">
        <v>554398</v>
      </c>
      <c r="H20" s="25">
        <f t="shared" si="2"/>
        <v>249</v>
      </c>
      <c r="I20" s="12">
        <v>130.15379999999999</v>
      </c>
      <c r="J20" s="12">
        <v>166</v>
      </c>
    </row>
    <row r="21" spans="1:15" ht="45" customHeight="1" x14ac:dyDescent="0.2">
      <c r="A21" s="24">
        <v>44578</v>
      </c>
      <c r="B21" s="32"/>
      <c r="C21" s="31">
        <v>27393.7</v>
      </c>
      <c r="D21" s="25">
        <f t="shared" si="0"/>
        <v>14.149999999997817</v>
      </c>
      <c r="E21" s="31">
        <v>3034982</v>
      </c>
      <c r="F21" s="25">
        <f t="shared" si="1"/>
        <v>1310</v>
      </c>
      <c r="G21" s="31">
        <v>554696</v>
      </c>
      <c r="H21" s="25">
        <f t="shared" si="2"/>
        <v>298</v>
      </c>
      <c r="I21" s="12">
        <v>125.02</v>
      </c>
      <c r="J21" s="12">
        <v>186</v>
      </c>
    </row>
    <row r="22" spans="1:15" ht="45" customHeight="1" x14ac:dyDescent="0.2">
      <c r="A22" s="24">
        <v>44579</v>
      </c>
      <c r="B22" s="32"/>
      <c r="C22" s="31">
        <v>27406.720000000001</v>
      </c>
      <c r="D22" s="25">
        <f t="shared" si="0"/>
        <v>13.020000000000437</v>
      </c>
      <c r="E22" s="31">
        <v>3036241</v>
      </c>
      <c r="F22" s="25">
        <f t="shared" si="1"/>
        <v>1259</v>
      </c>
      <c r="G22" s="31">
        <v>554948</v>
      </c>
      <c r="H22" s="25">
        <f t="shared" si="2"/>
        <v>252</v>
      </c>
      <c r="I22" s="12">
        <v>120.9768</v>
      </c>
      <c r="J22" s="12">
        <v>228</v>
      </c>
    </row>
    <row r="23" spans="1:15" ht="45" customHeight="1" x14ac:dyDescent="0.2">
      <c r="A23" s="24">
        <v>44580</v>
      </c>
      <c r="B23" s="32"/>
      <c r="C23" s="31">
        <v>27419.949999999997</v>
      </c>
      <c r="D23" s="25">
        <f>IF((C23-C22&lt;0), "0",C23-C22)</f>
        <v>13.229999999995925</v>
      </c>
      <c r="E23" s="31">
        <v>3037573</v>
      </c>
      <c r="F23" s="25">
        <f t="shared" si="1"/>
        <v>1332</v>
      </c>
      <c r="G23" s="31">
        <v>555240</v>
      </c>
      <c r="H23" s="25">
        <f t="shared" si="2"/>
        <v>292</v>
      </c>
      <c r="I23" s="12">
        <v>116.88040000000001</v>
      </c>
      <c r="J23" s="12">
        <v>258</v>
      </c>
    </row>
    <row r="24" spans="1:15" ht="45" customHeight="1" x14ac:dyDescent="0.2">
      <c r="A24" s="24">
        <v>44581</v>
      </c>
      <c r="B24" s="32"/>
      <c r="C24" s="31">
        <v>27433.030000000002</v>
      </c>
      <c r="D24" s="25">
        <f t="shared" ref="D24:D34" si="3">IF((C24-C23&lt;0), "0",C24-C23)</f>
        <v>13.080000000005384</v>
      </c>
      <c r="E24" s="31">
        <v>3038912</v>
      </c>
      <c r="F24" s="25">
        <f t="shared" si="1"/>
        <v>1339</v>
      </c>
      <c r="G24" s="31">
        <v>555495</v>
      </c>
      <c r="H24" s="25">
        <f t="shared" si="2"/>
        <v>255</v>
      </c>
      <c r="I24" s="12">
        <v>113.63520000000001</v>
      </c>
      <c r="J24" s="12">
        <v>227</v>
      </c>
    </row>
    <row r="25" spans="1:15" ht="45" customHeight="1" x14ac:dyDescent="0.2">
      <c r="A25" s="24">
        <v>44582</v>
      </c>
      <c r="B25" s="32"/>
      <c r="C25" s="31">
        <v>27446.48</v>
      </c>
      <c r="D25" s="25">
        <f t="shared" si="3"/>
        <v>13.44999999999709</v>
      </c>
      <c r="E25" s="31">
        <v>3040395</v>
      </c>
      <c r="F25" s="25">
        <f t="shared" si="1"/>
        <v>1483</v>
      </c>
      <c r="G25" s="31">
        <v>555868</v>
      </c>
      <c r="H25" s="25">
        <f t="shared" si="2"/>
        <v>373</v>
      </c>
      <c r="I25" s="12">
        <v>68.361999999999995</v>
      </c>
      <c r="J25" s="12">
        <v>375</v>
      </c>
    </row>
    <row r="26" spans="1:15" ht="45" customHeight="1" x14ac:dyDescent="0.2">
      <c r="A26" s="24">
        <v>44583</v>
      </c>
      <c r="B26" s="32"/>
      <c r="C26" s="31">
        <v>27459.510000000006</v>
      </c>
      <c r="D26" s="25">
        <f t="shared" si="3"/>
        <v>13.030000000006112</v>
      </c>
      <c r="E26" s="31">
        <v>3041795</v>
      </c>
      <c r="F26" s="25">
        <f t="shared" si="1"/>
        <v>1400</v>
      </c>
      <c r="G26" s="31">
        <v>556176</v>
      </c>
      <c r="H26" s="25">
        <f t="shared" si="2"/>
        <v>308</v>
      </c>
      <c r="I26" s="12">
        <v>65.17</v>
      </c>
      <c r="J26" s="12">
        <v>248</v>
      </c>
    </row>
    <row r="27" spans="1:15" ht="45" customHeight="1" x14ac:dyDescent="0.2">
      <c r="A27" s="24">
        <v>44584</v>
      </c>
      <c r="B27" s="32"/>
      <c r="C27" s="31">
        <v>27473.940000000002</v>
      </c>
      <c r="D27" s="25">
        <f t="shared" si="3"/>
        <v>14.429999999996653</v>
      </c>
      <c r="E27" s="31">
        <v>3043052</v>
      </c>
      <c r="F27" s="25">
        <f t="shared" si="1"/>
        <v>1257</v>
      </c>
      <c r="G27" s="31">
        <v>556436</v>
      </c>
      <c r="H27" s="25">
        <f t="shared" si="2"/>
        <v>260</v>
      </c>
      <c r="I27" s="12">
        <v>51.072000000000003</v>
      </c>
      <c r="J27" s="12">
        <v>271</v>
      </c>
    </row>
    <row r="28" spans="1:15" ht="45" customHeight="1" x14ac:dyDescent="0.2">
      <c r="A28" s="24">
        <v>44585</v>
      </c>
      <c r="B28" s="32"/>
      <c r="C28" s="31">
        <v>27487.329999999998</v>
      </c>
      <c r="D28" s="25">
        <f t="shared" si="3"/>
        <v>13.38999999999578</v>
      </c>
      <c r="E28" s="31">
        <v>3044404</v>
      </c>
      <c r="F28" s="25">
        <f t="shared" si="1"/>
        <v>1352</v>
      </c>
      <c r="G28" s="31">
        <v>556732</v>
      </c>
      <c r="H28" s="25">
        <f t="shared" si="2"/>
        <v>296</v>
      </c>
      <c r="I28" s="12">
        <v>53.2</v>
      </c>
      <c r="J28" s="12">
        <v>198</v>
      </c>
    </row>
    <row r="29" spans="1:15" ht="45" customHeight="1" x14ac:dyDescent="0.2">
      <c r="A29" s="24">
        <v>44586</v>
      </c>
      <c r="B29" s="32"/>
      <c r="C29" s="31">
        <v>27501.060000000005</v>
      </c>
      <c r="D29" s="25">
        <f t="shared" si="3"/>
        <v>13.730000000006839</v>
      </c>
      <c r="E29" s="31">
        <v>3045678</v>
      </c>
      <c r="F29" s="25">
        <f t="shared" si="1"/>
        <v>1274</v>
      </c>
      <c r="G29" s="31">
        <v>557011</v>
      </c>
      <c r="H29" s="25">
        <f t="shared" si="2"/>
        <v>279</v>
      </c>
      <c r="I29" s="12">
        <v>55.327999999999996</v>
      </c>
      <c r="J29" s="12">
        <v>259</v>
      </c>
    </row>
    <row r="30" spans="1:15" ht="45" customHeight="1" x14ac:dyDescent="0.2">
      <c r="A30" s="24">
        <v>44587</v>
      </c>
      <c r="B30" s="32"/>
      <c r="C30" s="31">
        <v>27515.18</v>
      </c>
      <c r="D30" s="25">
        <f t="shared" si="3"/>
        <v>14.119999999995343</v>
      </c>
      <c r="E30" s="31">
        <v>3047010</v>
      </c>
      <c r="F30" s="25">
        <f t="shared" si="1"/>
        <v>1332</v>
      </c>
      <c r="G30" s="31">
        <v>557304</v>
      </c>
      <c r="H30" s="25">
        <f t="shared" si="2"/>
        <v>293</v>
      </c>
      <c r="I30" s="12">
        <v>58.253999999999998</v>
      </c>
      <c r="J30" s="12">
        <v>367</v>
      </c>
      <c r="O30" s="42"/>
    </row>
    <row r="31" spans="1:15" ht="45" customHeight="1" x14ac:dyDescent="0.2">
      <c r="A31" s="24">
        <v>44588</v>
      </c>
      <c r="B31" s="32"/>
      <c r="C31" s="31">
        <v>27529.66</v>
      </c>
      <c r="D31" s="25">
        <f t="shared" si="3"/>
        <v>14.479999999999563</v>
      </c>
      <c r="E31" s="31">
        <v>3048405</v>
      </c>
      <c r="F31" s="25">
        <f t="shared" si="1"/>
        <v>1395</v>
      </c>
      <c r="G31" s="31">
        <v>557577</v>
      </c>
      <c r="H31" s="25">
        <f t="shared" si="2"/>
        <v>273</v>
      </c>
      <c r="I31" s="12">
        <v>61.18</v>
      </c>
      <c r="J31" s="12">
        <v>289</v>
      </c>
    </row>
    <row r="32" spans="1:15" ht="45" customHeight="1" x14ac:dyDescent="0.2">
      <c r="A32" s="24">
        <v>44589</v>
      </c>
      <c r="B32" s="32"/>
      <c r="C32" s="31">
        <v>27543.239999999998</v>
      </c>
      <c r="D32" s="25">
        <f t="shared" si="3"/>
        <v>13.579999999998108</v>
      </c>
      <c r="E32" s="31">
        <v>3049795</v>
      </c>
      <c r="F32" s="25">
        <f t="shared" si="1"/>
        <v>1390</v>
      </c>
      <c r="G32" s="31">
        <v>557858</v>
      </c>
      <c r="H32" s="25">
        <f t="shared" si="2"/>
        <v>281</v>
      </c>
      <c r="I32" s="12">
        <v>48.172600000000003</v>
      </c>
      <c r="J32" s="12">
        <v>179</v>
      </c>
    </row>
    <row r="33" spans="1:10" ht="36" customHeight="1" x14ac:dyDescent="0.2">
      <c r="A33" s="24">
        <v>44590</v>
      </c>
      <c r="B33" s="44"/>
      <c r="C33" s="31">
        <v>27557.570000000003</v>
      </c>
      <c r="D33" s="25">
        <f t="shared" si="3"/>
        <v>14.330000000005384</v>
      </c>
      <c r="E33" s="31">
        <v>3051119</v>
      </c>
      <c r="F33" s="25">
        <f t="shared" si="1"/>
        <v>1324</v>
      </c>
      <c r="G33" s="31">
        <v>558105</v>
      </c>
      <c r="H33" s="25">
        <f t="shared" si="2"/>
        <v>247</v>
      </c>
      <c r="I33" s="12">
        <v>55.195</v>
      </c>
      <c r="J33" s="12">
        <v>172</v>
      </c>
    </row>
    <row r="34" spans="1:10" ht="45.6" customHeight="1" x14ac:dyDescent="0.2">
      <c r="A34" s="24">
        <v>44591</v>
      </c>
      <c r="B34" s="58"/>
      <c r="C34" s="50">
        <v>27574</v>
      </c>
      <c r="D34" s="59">
        <f t="shared" si="3"/>
        <v>16.429999999996653</v>
      </c>
      <c r="E34" s="31">
        <v>3052541</v>
      </c>
      <c r="F34" s="39">
        <f t="shared" si="1"/>
        <v>1422</v>
      </c>
      <c r="G34" s="31">
        <v>558380</v>
      </c>
      <c r="H34" s="39">
        <f t="shared" si="2"/>
        <v>275</v>
      </c>
      <c r="I34" s="40">
        <v>44.155999999999999</v>
      </c>
      <c r="J34" s="40">
        <v>141</v>
      </c>
    </row>
    <row r="35" spans="1:10" ht="36.75" customHeight="1" x14ac:dyDescent="0.15">
      <c r="A35" s="24">
        <v>44592</v>
      </c>
      <c r="B35" s="58"/>
      <c r="C35" s="61">
        <v>27680.950000000004</v>
      </c>
      <c r="D35" s="60"/>
      <c r="E35" s="43">
        <v>3054054</v>
      </c>
      <c r="F35" s="41"/>
      <c r="G35" s="43">
        <v>558671</v>
      </c>
      <c r="H35" s="42"/>
      <c r="I35" s="12">
        <v>39.155200000000001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2023-03-06T03:09:27Z</dcterms:modified>
</cp:coreProperties>
</file>