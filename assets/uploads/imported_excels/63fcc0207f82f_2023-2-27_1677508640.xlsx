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19" documentId="8_{9B439D3B-B023-4087-B27B-CB56FE35C246}" xr6:coauthVersionLast="47" xr6:coauthVersionMax="47" xr10:uidLastSave="{5B972482-FFD6-431D-A51B-4058427AE298}"/>
  <bookViews>
    <workbookView xWindow="-108" yWindow="-108" windowWidth="23256" windowHeight="12456" tabRatio="193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N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Q42" i="3" l="1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2" i="3"/>
  <c r="V44" i="3" s="1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<sst xmlns="http://schemas.openxmlformats.org/spreadsheetml/2006/main" count="90" uniqueCount="53">
  <si>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</si>
  <si>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</si>
  <si>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</si>
  <si>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</si>
  <si>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</si>
  <si>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</si>
  <si>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</si>
  <si>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</si>
  <si>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</si>
  <si>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</si>
  <si>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</si>
  <si>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</si>
  <si>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</si>
  <si>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</si>
  <si>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</si>
  <si>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</si>
  <si>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APRIL 2018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</si>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</sst>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H2" sqref="H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4</v>
      </c>
      <c r="D2" s="97">
        <v>2018</v>
      </c>
      <c r="E2" s="99">
        <f>'Localize Daily Bali Jimbaran'!P7</f>
        <v>15160.000000010768</v>
      </c>
      <c r="F2" s="100">
        <f>'Localize Daily Bali Jimbaran'!O7/'Localize Daily Bali Jimbaran'!P7</f>
        <v>1253.2869676779787</v>
      </c>
      <c r="G2" s="99">
        <f>'Localize Daily Bali Jimbaran'!AC7</f>
        <v>107.18163999998944</v>
      </c>
      <c r="H2" s="100">
        <f>'Localize Daily Bali Jimbaran'!AD7/'Localize Daily Bali Jimbaran'!AC7</f>
        <v>10317.804345221828</v>
      </c>
      <c r="I2" s="99">
        <f>'Localize Daily Bali Jimbaran'!AH7</f>
        <v>501.60000000003492</v>
      </c>
      <c r="J2" s="101">
        <f>'Localize Daily Bali Jimbaran'!AI7/'Localize Daily Bali Jimbaran'!AH7</f>
        <v>8700</v>
      </c>
      <c r="K2" s="99">
        <f>'Localize Daily Bali Jimbaran'!Q7</f>
        <v>1013</v>
      </c>
      <c r="L2" s="100">
        <f>'Localize Daily Bali Jimbaran'!V7/'Localize Daily Bali Jimbaran'!Q7</f>
        <v>10652.084363277394</v>
      </c>
      <c r="M2" s="99">
        <f>'Localize Daily Bali Jimbaran'!C7</f>
        <v>71</v>
      </c>
      <c r="N2" s="99">
        <f>'Localize Daily Bali Jimbaran'!D7</f>
        <v>723</v>
      </c>
    </row>
    <row r="3" spans="1:14" ht="15">
      <c r="A3" s="96" t="s">
        <v>14</v>
      </c>
      <c r="B3" s="97">
        <v>2</v>
      </c>
      <c r="C3" s="98">
        <v>4</v>
      </c>
      <c r="D3" s="97">
        <v>2018</v>
      </c>
      <c r="E3" s="99">
        <f>'Localize Daily Bali Jimbaran'!P8</f>
        <v>26299.999999979264</v>
      </c>
      <c r="F3" s="100">
        <f>'Localize Daily Bali Jimbaran'!O8/'Localize Daily Bali Jimbaran'!P8</f>
        <v>1181.8525482890279</v>
      </c>
      <c r="G3" s="99">
        <f>'Localize Daily Bali Jimbaran'!AC8</f>
        <v>119.9538399999953</v>
      </c>
      <c r="H3" s="100">
        <f>'Localize Daily Bali Jimbaran'!AD8/'Localize Daily Bali Jimbaran'!AC8</f>
        <v>10153</v>
      </c>
      <c r="I3" s="99">
        <f>'Localize Daily Bali Jimbaran'!AH8</f>
        <v>454.29999999993015</v>
      </c>
      <c r="J3" s="101">
        <f>'Localize Daily Bali Jimbaran'!AI8/'Localize Daily Bali Jimbaran'!AH8</f>
        <v>8700</v>
      </c>
      <c r="K3" s="99">
        <f>'Localize Daily Bali Jimbaran'!Q8</f>
        <v>727</v>
      </c>
      <c r="L3" s="100">
        <f>'Localize Daily Bali Jimbaran'!V8/'Localize Daily Bali Jimbaran'!Q8</f>
        <v>10002.618844566712</v>
      </c>
      <c r="M3" s="99">
        <f>'Localize Daily Bali Jimbaran'!C8</f>
        <v>68</v>
      </c>
      <c r="N3" s="99">
        <f>'Localize Daily Bali Jimbaran'!D8</f>
        <v>752</v>
      </c>
    </row>
    <row r="4" spans="1:14" ht="15">
      <c r="A4" s="96" t="s">
        <v>14</v>
      </c>
      <c r="B4" s="97">
        <v>3</v>
      </c>
      <c r="C4" s="98">
        <v>4</v>
      </c>
      <c r="D4" s="97">
        <v>2018</v>
      </c>
      <c r="E4" s="99">
        <f>'Localize Daily Bali Jimbaran'!P9</f>
        <v>22019.999999997141</v>
      </c>
      <c r="F4" s="100">
        <f>'Localize Daily Bali Jimbaran'!O9/'Localize Daily Bali Jimbaran'!P9</f>
        <v>1201.1661253406091</v>
      </c>
      <c r="G4" s="99">
        <f>'Localize Daily Bali Jimbaran'!AC9</f>
        <v>107.06424000000702</v>
      </c>
      <c r="H4" s="100">
        <f>'Localize Daily Bali Jimbaran'!AD9/'Localize Daily Bali Jimbaran'!AC9</f>
        <v>10153</v>
      </c>
      <c r="I4" s="99">
        <f>'Localize Daily Bali Jimbaran'!AH9</f>
        <v>6718.600000000024</v>
      </c>
      <c r="J4" s="101">
        <f>'Localize Daily Bali Jimbaran'!AI9/'Localize Daily Bali Jimbaran'!AH9</f>
        <v>8700</v>
      </c>
      <c r="K4" s="99">
        <f>'Localize Daily Bali Jimbaran'!Q9</f>
        <v>858</v>
      </c>
      <c r="L4" s="100">
        <f>'Localize Daily Bali Jimbaran'!V9/'Localize Daily Bali Jimbaran'!Q9</f>
        <v>9422.9553846153849</v>
      </c>
      <c r="M4" s="99">
        <f>'Localize Daily Bali Jimbaran'!C9</f>
        <v>63</v>
      </c>
      <c r="N4" s="99">
        <f>'Localize Daily Bali Jimbaran'!D9</f>
        <v>606</v>
      </c>
    </row>
    <row r="5" spans="1:14" ht="15">
      <c r="A5" s="96" t="s">
        <v>14</v>
      </c>
      <c r="B5" s="97">
        <v>4</v>
      </c>
      <c r="C5" s="98">
        <v>4</v>
      </c>
      <c r="D5" s="97">
        <v>2018</v>
      </c>
      <c r="E5" s="99">
        <f>'Localize Daily Bali Jimbaran'!P10</f>
        <v>26320.000000015625</v>
      </c>
      <c r="F5" s="100">
        <f>'Localize Daily Bali Jimbaran'!O10/'Localize Daily Bali Jimbaran'!P10</f>
        <v>1180.9544840424596</v>
      </c>
      <c r="G5" s="99">
        <f>'Localize Daily Bali Jimbaran'!AC10</f>
        <v>62</v>
      </c>
      <c r="H5" s="100">
        <f>'Localize Daily Bali Jimbaran'!AD10/'Localize Daily Bali Jimbaran'!AC10</f>
        <v>11258.064516129032</v>
      </c>
      <c r="I5" s="99">
        <f>'Localize Daily Bali Jimbaran'!AH10</f>
        <v>618.60000000000582</v>
      </c>
      <c r="J5" s="101">
        <f>'Localize Daily Bali Jimbaran'!AI10/'Localize Daily Bali Jimbaran'!AH10</f>
        <v>8700</v>
      </c>
      <c r="K5" s="99">
        <f>'Localize Daily Bali Jimbaran'!Q10</f>
        <v>623</v>
      </c>
      <c r="L5" s="100">
        <f>'Localize Daily Bali Jimbaran'!V10/'Localize Daily Bali Jimbaran'!Q10</f>
        <v>10463.844975922953</v>
      </c>
      <c r="M5" s="99">
        <f>'Localize Daily Bali Jimbaran'!C10</f>
        <v>67</v>
      </c>
      <c r="N5" s="99">
        <f>'Localize Daily Bali Jimbaran'!D10</f>
        <v>584</v>
      </c>
    </row>
    <row r="6" spans="1:14" ht="15">
      <c r="A6" s="96" t="s">
        <v>14</v>
      </c>
      <c r="B6" s="97">
        <v>5</v>
      </c>
      <c r="C6" s="98">
        <v>4</v>
      </c>
      <c r="D6" s="97">
        <v>2018</v>
      </c>
      <c r="E6" s="99">
        <f>'Localize Daily Bali Jimbaran'!P11</f>
        <v>27059.999999997559</v>
      </c>
      <c r="F6" s="100">
        <f>'Localize Daily Bali Jimbaran'!O11/'Localize Daily Bali Jimbaran'!P11</f>
        <v>1180.4102560975648</v>
      </c>
      <c r="G6" s="99">
        <f>'Localize Daily Bali Jimbaran'!AC11</f>
        <v>505.73500000000001</v>
      </c>
      <c r="H6" s="100">
        <f>'Localize Daily Bali Jimbaran'!AD11/'Localize Daily Bali Jimbaran'!AC11</f>
        <v>10957.373832145293</v>
      </c>
      <c r="I6" s="99">
        <f>'Localize Daily Bali Jimbaran'!AH11</f>
        <v>788.20000000006985</v>
      </c>
      <c r="J6" s="101">
        <f>'Localize Daily Bali Jimbaran'!AI11/'Localize Daily Bali Jimbaran'!AH11</f>
        <v>8700</v>
      </c>
      <c r="K6" s="99">
        <f>'Localize Daily Bali Jimbaran'!Q11</f>
        <v>775.5</v>
      </c>
      <c r="L6" s="100">
        <f>'Localize Daily Bali Jimbaran'!V11/'Localize Daily Bali Jimbaran'!Q11</f>
        <v>9036.1822695035462</v>
      </c>
      <c r="M6" s="99">
        <f>'Localize Daily Bali Jimbaran'!C11</f>
        <v>55</v>
      </c>
      <c r="N6" s="99">
        <f>'Localize Daily Bali Jimbaran'!D11</f>
        <v>553</v>
      </c>
    </row>
    <row r="7" spans="1:14" ht="15">
      <c r="A7" s="96" t="s">
        <v>14</v>
      </c>
      <c r="B7" s="97">
        <v>6</v>
      </c>
      <c r="C7" s="98">
        <v>4</v>
      </c>
      <c r="D7" s="97">
        <v>2018</v>
      </c>
      <c r="E7" s="99">
        <f>'Localize Daily Bali Jimbaran'!P12</f>
        <v>25840.000000008786</v>
      </c>
      <c r="F7" s="100">
        <f>'Localize Daily Bali Jimbaran'!O12/'Localize Daily Bali Jimbaran'!P12</f>
        <v>1182.6891989164142</v>
      </c>
      <c r="G7" s="99">
        <f>'Localize Daily Bali Jimbaran'!AC12</f>
        <v>390.8925599999871</v>
      </c>
      <c r="H7" s="100">
        <f>'Localize Daily Bali Jimbaran'!AD12/'Localize Daily Bali Jimbaran'!AC12</f>
        <v>10893.812257976997</v>
      </c>
      <c r="I7" s="99">
        <f>'Localize Daily Bali Jimbaran'!AH12</f>
        <v>617.70000000004075</v>
      </c>
      <c r="J7" s="101">
        <f>'Localize Daily Bali Jimbaran'!AI12/'Localize Daily Bali Jimbaran'!AH12</f>
        <v>8700</v>
      </c>
      <c r="K7" s="99">
        <f>'Localize Daily Bali Jimbaran'!Q12</f>
        <v>506</v>
      </c>
      <c r="L7" s="100">
        <f>'Localize Daily Bali Jimbaran'!V12/'Localize Daily Bali Jimbaran'!Q12</f>
        <v>12981.606086956521</v>
      </c>
      <c r="M7" s="99">
        <f>'Localize Daily Bali Jimbaran'!C12</f>
        <v>48</v>
      </c>
      <c r="N7" s="99">
        <f>'Localize Daily Bali Jimbaran'!D12</f>
        <v>753</v>
      </c>
    </row>
    <row r="8" spans="1:14" ht="15">
      <c r="A8" s="96" t="s">
        <v>14</v>
      </c>
      <c r="B8" s="97">
        <v>7</v>
      </c>
      <c r="C8" s="98">
        <v>4</v>
      </c>
      <c r="D8" s="97">
        <v>2018</v>
      </c>
      <c r="E8" s="99">
        <f>'Localize Daily Bali Jimbaran'!P13</f>
        <v>25139.999999987482</v>
      </c>
      <c r="F8" s="100">
        <f>'Localize Daily Bali Jimbaran'!O13/'Localize Daily Bali Jimbaran'!P13</f>
        <v>1182.7421026253257</v>
      </c>
      <c r="G8" s="99">
        <f>'Localize Daily Bali Jimbaran'!AC13</f>
        <v>107.8295599999871</v>
      </c>
      <c r="H8" s="100">
        <f>'Localize Daily Bali Jimbaran'!AD13/'Localize Daily Bali Jimbaran'!AC13</f>
        <v>10153</v>
      </c>
      <c r="I8" s="99">
        <f>'Localize Daily Bali Jimbaran'!AH13</f>
        <v>490.99999999991269</v>
      </c>
      <c r="J8" s="101">
        <f>'Localize Daily Bali Jimbaran'!AI13/'Localize Daily Bali Jimbaran'!AH13</f>
        <v>8700</v>
      </c>
      <c r="K8" s="99">
        <f>'Localize Daily Bali Jimbaran'!Q13</f>
        <v>825.19999999999709</v>
      </c>
      <c r="L8" s="100">
        <f>'Localize Daily Bali Jimbaran'!V13/'Localize Daily Bali Jimbaran'!Q13</f>
        <v>9224.8969752787361</v>
      </c>
      <c r="M8" s="99">
        <f>'Localize Daily Bali Jimbaran'!C13</f>
        <v>51</v>
      </c>
      <c r="N8" s="99">
        <f>'Localize Daily Bali Jimbaran'!D13</f>
        <v>596</v>
      </c>
    </row>
    <row r="9" spans="1:14" ht="15">
      <c r="A9" s="96" t="s">
        <v>14</v>
      </c>
      <c r="B9" s="97">
        <v>8</v>
      </c>
      <c r="C9" s="98">
        <v>4</v>
      </c>
      <c r="D9" s="97">
        <v>2018</v>
      </c>
      <c r="E9" s="99">
        <f>'Localize Daily Bali Jimbaran'!P14</f>
        <v>25640.000000002146</v>
      </c>
      <c r="F9" s="100">
        <f>'Localize Daily Bali Jimbaran'!O14/'Localize Daily Bali Jimbaran'!P14</f>
        <v>1181.3103217628643</v>
      </c>
      <c r="G9" s="99">
        <f>'Localize Daily Bali Jimbaran'!AC14</f>
        <v>101.42504000000116</v>
      </c>
      <c r="H9" s="100">
        <f>'Localize Daily Bali Jimbaran'!AD14/'Localize Daily Bali Jimbaran'!AC14</f>
        <v>10153</v>
      </c>
      <c r="I9" s="99">
        <f>'Localize Daily Bali Jimbaran'!AH14</f>
        <v>381.60000000003492</v>
      </c>
      <c r="J9" s="101">
        <f>'Localize Daily Bali Jimbaran'!AI14/'Localize Daily Bali Jimbaran'!AH14</f>
        <v>8700</v>
      </c>
      <c r="K9" s="99">
        <f>'Localize Daily Bali Jimbaran'!Q14</f>
        <v>764.30000000000291</v>
      </c>
      <c r="L9" s="100">
        <f>'Localize Daily Bali Jimbaran'!V14/'Localize Daily Bali Jimbaran'!Q14</f>
        <v>9134.7116132408573</v>
      </c>
      <c r="M9" s="99">
        <f>'Localize Daily Bali Jimbaran'!C14</f>
        <v>38</v>
      </c>
      <c r="N9" s="99">
        <f>'Localize Daily Bali Jimbaran'!D14</f>
        <v>460</v>
      </c>
    </row>
    <row r="10" spans="1:14" ht="15">
      <c r="A10" s="96" t="s">
        <v>14</v>
      </c>
      <c r="B10" s="97">
        <v>9</v>
      </c>
      <c r="C10" s="98">
        <v>4</v>
      </c>
      <c r="D10" s="97">
        <v>2018</v>
      </c>
      <c r="E10" s="99">
        <f>'Localize Daily Bali Jimbaran'!P15</f>
        <v>26200.000000006527</v>
      </c>
      <c r="F10" s="100">
        <f>'Localize Daily Bali Jimbaran'!O15/'Localize Daily Bali Jimbaran'!P15</f>
        <v>1180.9671011450503</v>
      </c>
      <c r="G10" s="99">
        <f>'Localize Daily Bali Jimbaran'!AC15</f>
        <v>108.35320000000586</v>
      </c>
      <c r="H10" s="100">
        <f>'Localize Daily Bali Jimbaran'!AD15/'Localize Daily Bali Jimbaran'!AC15</f>
        <v>10153</v>
      </c>
      <c r="I10" s="99">
        <f>'Localize Daily Bali Jimbaran'!AH15</f>
        <v>532.20000000001164</v>
      </c>
      <c r="J10" s="101">
        <f>'Localize Daily Bali Jimbaran'!AI15/'Localize Daily Bali Jimbaran'!AH15</f>
        <v>8700</v>
      </c>
      <c r="K10" s="99">
        <f>'Localize Daily Bali Jimbaran'!Q15</f>
        <v>697.40000000000146</v>
      </c>
      <c r="L10" s="100">
        <f>'Localize Daily Bali Jimbaran'!V15/'Localize Daily Bali Jimbaran'!Q15</f>
        <v>10018.775835962133</v>
      </c>
      <c r="M10" s="99">
        <f>'Localize Daily Bali Jimbaran'!C15</f>
        <v>30</v>
      </c>
      <c r="N10" s="99">
        <f>'Localize Daily Bali Jimbaran'!D15</f>
        <v>358</v>
      </c>
    </row>
    <row r="11" spans="1:14" ht="15">
      <c r="A11" s="96" t="s">
        <v>14</v>
      </c>
      <c r="B11" s="97">
        <v>10</v>
      </c>
      <c r="C11" s="98">
        <v>4</v>
      </c>
      <c r="D11" s="97">
        <v>2018</v>
      </c>
      <c r="E11" s="99">
        <f>'Localize Daily Bali Jimbaran'!P16</f>
        <v>26019.999999991229</v>
      </c>
      <c r="F11" s="100">
        <f>'Localize Daily Bali Jimbaran'!O16/'Localize Daily Bali Jimbaran'!P16</f>
        <v>1181.6132063796992</v>
      </c>
      <c r="G11" s="99">
        <f>'Localize Daily Bali Jimbaran'!AC16</f>
        <v>550.13608000000227</v>
      </c>
      <c r="H11" s="100">
        <f>'Localize Daily Bali Jimbaran'!AD16/'Localize Daily Bali Jimbaran'!AC16</f>
        <v>10984.885085595546</v>
      </c>
      <c r="I11" s="99">
        <f>'Localize Daily Bali Jimbaran'!AH16</f>
        <v>475.39999999993597</v>
      </c>
      <c r="J11" s="101">
        <f>'Localize Daily Bali Jimbaran'!AI16/'Localize Daily Bali Jimbaran'!AH16</f>
        <v>8700</v>
      </c>
      <c r="K11" s="99">
        <f>'Localize Daily Bali Jimbaran'!Q16</f>
        <v>769</v>
      </c>
      <c r="L11" s="100">
        <f>'Localize Daily Bali Jimbaran'!V16/'Localize Daily Bali Jimbaran'!Q16</f>
        <v>10213.188270481143</v>
      </c>
      <c r="M11" s="99">
        <f>'Localize Daily Bali Jimbaran'!C16</f>
        <v>36</v>
      </c>
      <c r="N11" s="99">
        <f>'Localize Daily Bali Jimbaran'!D16</f>
        <v>315</v>
      </c>
    </row>
    <row r="12" spans="1:14" ht="15">
      <c r="A12" s="96" t="s">
        <v>14</v>
      </c>
      <c r="B12" s="97">
        <v>11</v>
      </c>
      <c r="C12" s="98">
        <v>4</v>
      </c>
      <c r="D12" s="97">
        <v>2018</v>
      </c>
      <c r="E12" s="99">
        <f>'Localize Daily Bali Jimbaran'!P17</f>
        <v>26800.000000001091</v>
      </c>
      <c r="F12" s="100">
        <f>'Localize Daily Bali Jimbaran'!O17/'Localize Daily Bali Jimbaran'!P17</f>
        <v>1182.9341921642272</v>
      </c>
      <c r="G12" s="99">
        <f>'Localize Daily Bali Jimbaran'!AC17</f>
        <v>130.34608000000233</v>
      </c>
      <c r="H12" s="100">
        <f>'Localize Daily Bali Jimbaran'!AD17/'Localize Daily Bali Jimbaran'!AC17</f>
        <v>10153</v>
      </c>
      <c r="I12" s="99">
        <f>'Localize Daily Bali Jimbaran'!AH17</f>
        <v>611.20000000009895</v>
      </c>
      <c r="J12" s="101">
        <f>'Localize Daily Bali Jimbaran'!AI17/'Localize Daily Bali Jimbaran'!AH17</f>
        <v>8700</v>
      </c>
      <c r="K12" s="99">
        <f>'Localize Daily Bali Jimbaran'!Q17</f>
        <v>783.69999999999709</v>
      </c>
      <c r="L12" s="100">
        <f>'Localize Daily Bali Jimbaran'!V17/'Localize Daily Bali Jimbaran'!Q17</f>
        <v>9702.6413091744471</v>
      </c>
      <c r="M12" s="99">
        <f>'Localize Daily Bali Jimbaran'!C17</f>
        <v>56</v>
      </c>
      <c r="N12" s="99">
        <f>'Localize Daily Bali Jimbaran'!D17</f>
        <v>403</v>
      </c>
    </row>
    <row r="13" spans="1:14" ht="15">
      <c r="A13" s="96" t="s">
        <v>14</v>
      </c>
      <c r="B13" s="97">
        <v>12</v>
      </c>
      <c r="C13" s="98">
        <v>4</v>
      </c>
      <c r="D13" s="97">
        <v>2018</v>
      </c>
      <c r="E13" s="99">
        <f>'Localize Daily Bali Jimbaran'!P18</f>
        <v>26740.000000001488</v>
      </c>
      <c r="F13" s="100">
        <f>'Localize Daily Bali Jimbaran'!O18/'Localize Daily Bali Jimbaran'!P18</f>
        <v>1182.7414554973343</v>
      </c>
      <c r="G13" s="99">
        <f>'Localize Daily Bali Jimbaran'!AC18</f>
        <v>374.05895999999882</v>
      </c>
      <c r="H13" s="100">
        <f>'Localize Daily Bali Jimbaran'!AD18/'Localize Daily Bali Jimbaran'!AC18</f>
        <v>10879.928182658694</v>
      </c>
      <c r="I13" s="99">
        <f>'Localize Daily Bali Jimbaran'!AH18</f>
        <v>738.19999999992433</v>
      </c>
      <c r="J13" s="101">
        <f>'Localize Daily Bali Jimbaran'!AI18/'Localize Daily Bali Jimbaran'!AH18</f>
        <v>8700</v>
      </c>
      <c r="K13" s="99">
        <f>'Localize Daily Bali Jimbaran'!Q18</f>
        <v>829.09999999999854</v>
      </c>
      <c r="L13" s="100">
        <f>'Localize Daily Bali Jimbaran'!V18/'Localize Daily Bali Jimbaran'!Q18</f>
        <v>9219.5647593776466</v>
      </c>
      <c r="M13" s="99">
        <f>'Localize Daily Bali Jimbaran'!C18</f>
        <v>48</v>
      </c>
      <c r="N13" s="99">
        <f>'Localize Daily Bali Jimbaran'!D18</f>
        <v>477</v>
      </c>
    </row>
    <row r="14" spans="1:14" ht="15">
      <c r="A14" s="96" t="s">
        <v>14</v>
      </c>
      <c r="B14" s="97">
        <v>13</v>
      </c>
      <c r="C14" s="98">
        <v>4</v>
      </c>
      <c r="D14" s="97">
        <v>2018</v>
      </c>
      <c r="E14" s="99">
        <f>'Localize Daily Bali Jimbaran'!P19</f>
        <v>27480.000000005475</v>
      </c>
      <c r="F14" s="100">
        <f>'Localize Daily Bali Jimbaran'!O19/'Localize Daily Bali Jimbaran'!P19</f>
        <v>1177.0124475982709</v>
      </c>
      <c r="G14" s="99">
        <f>'Localize Daily Bali Jimbaran'!AC19</f>
        <v>110.88740000001171</v>
      </c>
      <c r="H14" s="100">
        <f>'Localize Daily Bali Jimbaran'!AD19/'Localize Daily Bali Jimbaran'!AC19</f>
        <v>10312.296728032203</v>
      </c>
      <c r="I14" s="99">
        <f>'Localize Daily Bali Jimbaran'!AH19</f>
        <v>360.89999999996508</v>
      </c>
      <c r="J14" s="101">
        <f>'Localize Daily Bali Jimbaran'!AI19/'Localize Daily Bali Jimbaran'!AH19</f>
        <v>8700</v>
      </c>
      <c r="K14" s="99">
        <f>'Localize Daily Bali Jimbaran'!Q19</f>
        <v>697.80000000000291</v>
      </c>
      <c r="L14" s="100">
        <f>'Localize Daily Bali Jimbaran'!V19/'Localize Daily Bali Jimbaran'!Q19</f>
        <v>9673.0176497563571</v>
      </c>
      <c r="M14" s="99">
        <f>'Localize Daily Bali Jimbaran'!C19</f>
        <v>48</v>
      </c>
      <c r="N14" s="99">
        <f>'Localize Daily Bali Jimbaran'!D19</f>
        <v>373</v>
      </c>
    </row>
    <row r="15" spans="1:14" ht="15">
      <c r="A15" s="96" t="s">
        <v>14</v>
      </c>
      <c r="B15" s="97">
        <v>14</v>
      </c>
      <c r="C15" s="98">
        <v>4</v>
      </c>
      <c r="D15" s="97">
        <v>2018</v>
      </c>
      <c r="E15" s="99">
        <f>'Localize Daily Bali Jimbaran'!P20</f>
        <v>26879.999999998745</v>
      </c>
      <c r="F15" s="100">
        <f>'Localize Daily Bali Jimbaran'!O20/'Localize Daily Bali Jimbaran'!P20</f>
        <v>1181.4365625000021</v>
      </c>
      <c r="G15" s="99">
        <f>'Localize Daily Bali Jimbaran'!AC20</f>
        <v>126.55287999999648</v>
      </c>
      <c r="H15" s="100">
        <f>'Localize Daily Bali Jimbaran'!AD20/'Localize Daily Bali Jimbaran'!AC20</f>
        <v>10432.15603343046</v>
      </c>
      <c r="I15" s="99">
        <f>'Localize Daily Bali Jimbaran'!AH20</f>
        <v>451.30000000004657</v>
      </c>
      <c r="J15" s="101">
        <f>'Localize Daily Bali Jimbaran'!AI20/'Localize Daily Bali Jimbaran'!AH20</f>
        <v>8700</v>
      </c>
      <c r="K15" s="99">
        <f>'Localize Daily Bali Jimbaran'!Q20</f>
        <v>531.19999999999709</v>
      </c>
      <c r="L15" s="100">
        <f>'Localize Daily Bali Jimbaran'!V20/'Localize Daily Bali Jimbaran'!Q20</f>
        <v>12688.048915662694</v>
      </c>
      <c r="M15" s="99">
        <f>'Localize Daily Bali Jimbaran'!C20</f>
        <v>50</v>
      </c>
      <c r="N15" s="99">
        <f>'Localize Daily Bali Jimbaran'!D20</f>
        <v>466</v>
      </c>
    </row>
    <row r="16" spans="1:14" ht="15">
      <c r="A16" s="96" t="s">
        <v>14</v>
      </c>
      <c r="B16" s="97">
        <v>15</v>
      </c>
      <c r="C16" s="98">
        <v>4</v>
      </c>
      <c r="D16" s="97">
        <v>2018</v>
      </c>
      <c r="E16" s="99">
        <f>'Localize Daily Bali Jimbaran'!P21</f>
        <v>26499.999999997159</v>
      </c>
      <c r="F16" s="100">
        <f>'Localize Daily Bali Jimbaran'!O21/'Localize Daily Bali Jimbaran'!P21</f>
        <v>1179.9097641508949</v>
      </c>
      <c r="G16" s="99">
        <f>'Localize Daily Bali Jimbaran'!AC21</f>
        <v>494.81912000000352</v>
      </c>
      <c r="H16" s="100">
        <f>'Localize Daily Bali Jimbaran'!AD21/'Localize Daily Bali Jimbaran'!AC21</f>
        <v>10975.118595578921</v>
      </c>
      <c r="I16" s="99">
        <f>'Localize Daily Bali Jimbaran'!AH21</f>
        <v>335</v>
      </c>
      <c r="J16" s="101">
        <f>'Localize Daily Bali Jimbaran'!AI21/'Localize Daily Bali Jimbaran'!AH21</f>
        <v>8700</v>
      </c>
      <c r="K16" s="99">
        <f>'Localize Daily Bali Jimbaran'!Q21</f>
        <v>458</v>
      </c>
      <c r="L16" s="100">
        <f>'Localize Daily Bali Jimbaran'!V21/'Localize Daily Bali Jimbaran'!Q21</f>
        <v>12661.837467248908</v>
      </c>
      <c r="M16" s="99">
        <f>'Localize Daily Bali Jimbaran'!C21</f>
        <v>31</v>
      </c>
      <c r="N16" s="99">
        <f>'Localize Daily Bali Jimbaran'!D21</f>
        <v>451</v>
      </c>
    </row>
    <row r="17" spans="1:14" ht="15">
      <c r="A17" s="96" t="s">
        <v>14</v>
      </c>
      <c r="B17" s="97">
        <v>16</v>
      </c>
      <c r="C17" s="98">
        <v>4</v>
      </c>
      <c r="D17" s="97">
        <v>2018</v>
      </c>
      <c r="E17" s="99">
        <f>'Localize Daily Bali Jimbaran'!P22</f>
        <v>26779.999999998381</v>
      </c>
      <c r="F17" s="100">
        <f>'Localize Daily Bali Jimbaran'!O22/'Localize Daily Bali Jimbaran'!P22</f>
        <v>1181.3809637789432</v>
      </c>
      <c r="G17" s="99">
        <f>'Localize Daily Bali Jimbaran'!AC22</f>
        <v>133.66155999998711</v>
      </c>
      <c r="H17" s="100">
        <f>'Localize Daily Bali Jimbaran'!AD22/'Localize Daily Bali Jimbaran'!AC22</f>
        <v>10533.438474607095</v>
      </c>
      <c r="I17" s="99">
        <f>'Localize Daily Bali Jimbaran'!AH22</f>
        <v>404.70000000001164</v>
      </c>
      <c r="J17" s="101">
        <f>'Localize Daily Bali Jimbaran'!AI22/'Localize Daily Bali Jimbaran'!AH22</f>
        <v>8700</v>
      </c>
      <c r="K17" s="99">
        <f>'Localize Daily Bali Jimbaran'!Q22</f>
        <v>443</v>
      </c>
      <c r="L17" s="100">
        <f>'Localize Daily Bali Jimbaran'!V22/'Localize Daily Bali Jimbaran'!Q22</f>
        <v>12512.086275395035</v>
      </c>
      <c r="M17" s="99">
        <f>'Localize Daily Bali Jimbaran'!C22</f>
        <v>38</v>
      </c>
      <c r="N17" s="99">
        <f>'Localize Daily Bali Jimbaran'!D22</f>
        <v>334</v>
      </c>
    </row>
    <row r="18" spans="1:14" ht="15">
      <c r="A18" s="96" t="s">
        <v>14</v>
      </c>
      <c r="B18" s="97">
        <v>17</v>
      </c>
      <c r="C18" s="98">
        <v>4</v>
      </c>
      <c r="D18" s="97">
        <v>2018</v>
      </c>
      <c r="E18" s="99">
        <f>'Localize Daily Bali Jimbaran'!P23</f>
        <v>25840.000000010605</v>
      </c>
      <c r="F18" s="100">
        <f>'Localize Daily Bali Jimbaran'!O23/'Localize Daily Bali Jimbaran'!P23</f>
        <v>1184.3727422600969</v>
      </c>
      <c r="G18" s="99">
        <f>'Localize Daily Bali Jimbaran'!AC23</f>
        <v>101.90840000001171</v>
      </c>
      <c r="H18" s="100">
        <f>'Localize Daily Bali Jimbaran'!AD23/'Localize Daily Bali Jimbaran'!AC23</f>
        <v>10153</v>
      </c>
      <c r="I18" s="99">
        <f>'Localize Daily Bali Jimbaran'!AH23</f>
        <v>530.09999999994761</v>
      </c>
      <c r="J18" s="101">
        <f>'Localize Daily Bali Jimbaran'!AI23/'Localize Daily Bali Jimbaran'!AH23</f>
        <v>8700</v>
      </c>
      <c r="K18" s="99">
        <f>'Localize Daily Bali Jimbaran'!Q23</f>
        <v>467</v>
      </c>
      <c r="L18" s="100">
        <f>'Localize Daily Bali Jimbaran'!V23/'Localize Daily Bali Jimbaran'!Q23</f>
        <v>12678.794646680941</v>
      </c>
      <c r="M18" s="99">
        <f>'Localize Daily Bali Jimbaran'!C23</f>
        <v>35</v>
      </c>
      <c r="N18" s="99">
        <f>'Localize Daily Bali Jimbaran'!D23</f>
        <v>319</v>
      </c>
    </row>
    <row r="19" spans="1:14" ht="15">
      <c r="A19" s="96" t="s">
        <v>14</v>
      </c>
      <c r="B19" s="97">
        <v>18</v>
      </c>
      <c r="C19" s="98">
        <v>4</v>
      </c>
      <c r="D19" s="97">
        <v>2018</v>
      </c>
      <c r="E19" s="99">
        <f>'Localize Daily Bali Jimbaran'!P24</f>
        <v>27319.999999978223</v>
      </c>
      <c r="F19" s="100">
        <f>'Localize Daily Bali Jimbaran'!O24/'Localize Daily Bali Jimbaran'!P24</f>
        <v>1180.7209568082314</v>
      </c>
      <c r="G19" s="99">
        <f>'Localize Daily Bali Jimbaran'!AC24</f>
        <v>367.28847999998476</v>
      </c>
      <c r="H19" s="100">
        <f>'Localize Daily Bali Jimbaran'!AD24/'Localize Daily Bali Jimbaran'!AC24</f>
        <v>10941.421134253957</v>
      </c>
      <c r="I19" s="99">
        <f>'Localize Daily Bali Jimbaran'!AH24</f>
        <v>551.90000000002328</v>
      </c>
      <c r="J19" s="101">
        <f>'Localize Daily Bali Jimbaran'!AI24/'Localize Daily Bali Jimbaran'!AH24</f>
        <v>8700</v>
      </c>
      <c r="K19" s="99">
        <f>'Localize Daily Bali Jimbaran'!Q24</f>
        <v>448</v>
      </c>
      <c r="L19" s="100">
        <f>'Localize Daily Bali Jimbaran'!V24/'Localize Daily Bali Jimbaran'!Q24</f>
        <v>12484.038035714286</v>
      </c>
      <c r="M19" s="99">
        <f>'Localize Daily Bali Jimbaran'!C24</f>
        <v>40</v>
      </c>
      <c r="N19" s="99">
        <f>'Localize Daily Bali Jimbaran'!D24</f>
        <v>314</v>
      </c>
    </row>
    <row r="20" spans="1:14" ht="15">
      <c r="A20" s="96" t="s">
        <v>14</v>
      </c>
      <c r="B20" s="97">
        <v>19</v>
      </c>
      <c r="C20" s="98">
        <v>4</v>
      </c>
      <c r="D20" s="97">
        <v>2018</v>
      </c>
      <c r="E20" s="99">
        <f>'Localize Daily Bali Jimbaran'!P25</f>
        <v>26300.000000002001</v>
      </c>
      <c r="F20" s="100">
        <f>'Localize Daily Bali Jimbaran'!O25/'Localize Daily Bali Jimbaran'!P25</f>
        <v>1178.1308292775996</v>
      </c>
      <c r="G20" s="99">
        <f>'Localize Daily Bali Jimbaran'!AC25</f>
        <v>90.186919999997642</v>
      </c>
      <c r="H20" s="100">
        <f>'Localize Daily Bali Jimbaran'!AD25/'Localize Daily Bali Jimbaran'!AC25</f>
        <v>10153</v>
      </c>
      <c r="I20" s="99">
        <f>'Localize Daily Bali Jimbaran'!AH25</f>
        <v>778.30000000005271</v>
      </c>
      <c r="J20" s="101">
        <f>'Localize Daily Bali Jimbaran'!AI25/'Localize Daily Bali Jimbaran'!AH25</f>
        <v>8700</v>
      </c>
      <c r="K20" s="99">
        <f>'Localize Daily Bali Jimbaran'!Q25</f>
        <v>471</v>
      </c>
      <c r="L20" s="100">
        <f>'Localize Daily Bali Jimbaran'!V25/'Localize Daily Bali Jimbaran'!Q25</f>
        <v>12780.145520169852</v>
      </c>
      <c r="M20" s="99">
        <f>'Localize Daily Bali Jimbaran'!C25</f>
        <v>39</v>
      </c>
      <c r="N20" s="99">
        <f>'Localize Daily Bali Jimbaran'!D25</f>
        <v>342</v>
      </c>
    </row>
    <row r="21" spans="1:14" ht="15">
      <c r="A21" s="96" t="s">
        <v>14</v>
      </c>
      <c r="B21" s="97">
        <v>20</v>
      </c>
      <c r="C21" s="98">
        <v>4</v>
      </c>
      <c r="D21" s="97">
        <v>2018</v>
      </c>
      <c r="E21" s="99">
        <f>'Localize Daily Bali Jimbaran'!P26</f>
        <v>26600.000000009913</v>
      </c>
      <c r="F21" s="100">
        <f>'Localize Daily Bali Jimbaran'!O26/'Localize Daily Bali Jimbaran'!P26</f>
        <v>1180.7891999999272</v>
      </c>
      <c r="G21" s="99">
        <f>'Localize Daily Bali Jimbaran'!AC26</f>
        <v>97.07480000002343</v>
      </c>
      <c r="H21" s="100">
        <f>'Localize Daily Bali Jimbaran'!AD26/'Localize Daily Bali Jimbaran'!AC26</f>
        <v>10153</v>
      </c>
      <c r="I21" s="99">
        <f>'Localize Daily Bali Jimbaran'!AH26</f>
        <v>1251.1999999999477</v>
      </c>
      <c r="J21" s="101">
        <f>'Localize Daily Bali Jimbaran'!AI26/'Localize Daily Bali Jimbaran'!AH26</f>
        <v>8700</v>
      </c>
      <c r="K21" s="99">
        <f>'Localize Daily Bali Jimbaran'!Q26</f>
        <v>453</v>
      </c>
      <c r="L21" s="100">
        <f>'Localize Daily Bali Jimbaran'!V26/'Localize Daily Bali Jimbaran'!Q26</f>
        <v>12427.281456953642</v>
      </c>
      <c r="M21" s="99">
        <f>'Localize Daily Bali Jimbaran'!C26</f>
        <v>38</v>
      </c>
      <c r="N21" s="99">
        <f>'Localize Daily Bali Jimbaran'!D26</f>
        <v>469</v>
      </c>
    </row>
    <row r="22" spans="1:14" ht="15">
      <c r="A22" s="96" t="s">
        <v>14</v>
      </c>
      <c r="B22" s="97">
        <v>21</v>
      </c>
      <c r="C22" s="98">
        <v>4</v>
      </c>
      <c r="D22" s="97">
        <v>2018</v>
      </c>
      <c r="E22" s="99">
        <f>'Localize Daily Bali Jimbaran'!P27</f>
        <v>26080.000000007545</v>
      </c>
      <c r="F22" s="100">
        <f>'Localize Daily Bali Jimbaran'!O27/'Localize Daily Bali Jimbaran'!P27</f>
        <v>1179.3117837423422</v>
      </c>
      <c r="G22" s="99">
        <f>'Localize Daily Bali Jimbaran'!AC27</f>
        <v>487.36387999999647</v>
      </c>
      <c r="H22" s="100">
        <f>'Localize Daily Bali Jimbaran'!AD27/'Localize Daily Bali Jimbaran'!AC27</f>
        <v>11023.938568529131</v>
      </c>
      <c r="I22" s="99">
        <f>'Localize Daily Bali Jimbaran'!AH27</f>
        <v>456.69999999998254</v>
      </c>
      <c r="J22" s="101">
        <f>'Localize Daily Bali Jimbaran'!AI27/'Localize Daily Bali Jimbaran'!AH27</f>
        <v>8700</v>
      </c>
      <c r="K22" s="99">
        <f>'Localize Daily Bali Jimbaran'!Q27</f>
        <v>823.90000000000146</v>
      </c>
      <c r="L22" s="100">
        <f>'Localize Daily Bali Jimbaran'!V27/'Localize Daily Bali Jimbaran'!Q27</f>
        <v>9764.1844859812991</v>
      </c>
      <c r="M22" s="99">
        <f>'Localize Daily Bali Jimbaran'!C27</f>
        <v>31</v>
      </c>
      <c r="N22" s="99">
        <f>'Localize Daily Bali Jimbaran'!D27</f>
        <v>414</v>
      </c>
    </row>
    <row r="23" spans="1:14" ht="15">
      <c r="A23" s="96" t="s">
        <v>14</v>
      </c>
      <c r="B23" s="97">
        <v>22</v>
      </c>
      <c r="C23" s="98">
        <v>4</v>
      </c>
      <c r="D23" s="97">
        <v>2018</v>
      </c>
      <c r="E23" s="99">
        <f>'Localize Daily Bali Jimbaran'!P28</f>
        <v>26799.999999980628</v>
      </c>
      <c r="F23" s="100">
        <f>'Localize Daily Bali Jimbaran'!O28/'Localize Daily Bali Jimbaran'!P28</f>
        <v>1180.4993361940587</v>
      </c>
      <c r="G23" s="99">
        <f>'Localize Daily Bali Jimbaran'!AC28</f>
        <v>186.57916000000466</v>
      </c>
      <c r="H23" s="100">
        <f>'Localize Daily Bali Jimbaran'!AD28/'Localize Daily Bali Jimbaran'!AC28</f>
        <v>10709.557334699104</v>
      </c>
      <c r="I23" s="99">
        <f>'Localize Daily Bali Jimbaran'!AH28</f>
        <v>658.60000000000582</v>
      </c>
      <c r="J23" s="101">
        <f>'Localize Daily Bali Jimbaran'!AI28/'Localize Daily Bali Jimbaran'!AH28</f>
        <v>8700</v>
      </c>
      <c r="K23" s="99">
        <f>'Localize Daily Bali Jimbaran'!Q28</f>
        <v>630.5</v>
      </c>
      <c r="L23" s="100">
        <f>'Localize Daily Bali Jimbaran'!V28/'Localize Daily Bali Jimbaran'!Q28</f>
        <v>10331.88816812054</v>
      </c>
      <c r="M23" s="99">
        <f>'Localize Daily Bali Jimbaran'!C28</f>
        <v>35</v>
      </c>
      <c r="N23" s="99">
        <f>'Localize Daily Bali Jimbaran'!D28</f>
        <v>398</v>
      </c>
    </row>
    <row r="24" spans="1:14" ht="15">
      <c r="A24" s="96" t="s">
        <v>14</v>
      </c>
      <c r="B24" s="97">
        <v>23</v>
      </c>
      <c r="C24" s="98">
        <v>4</v>
      </c>
      <c r="D24" s="97">
        <v>2018</v>
      </c>
      <c r="E24" s="99">
        <f>'Localize Daily Bali Jimbaran'!P29</f>
        <v>26299.999999998363</v>
      </c>
      <c r="F24" s="100">
        <f>'Localize Daily Bali Jimbaran'!O29/'Localize Daily Bali Jimbaran'!P29</f>
        <v>1184.7472186311998</v>
      </c>
      <c r="G24" s="99">
        <f>'Localize Daily Bali Jimbaran'!AC29</f>
        <v>107.8295599999871</v>
      </c>
      <c r="H24" s="100">
        <f>'Localize Daily Bali Jimbaran'!AD29/'Localize Daily Bali Jimbaran'!AC29</f>
        <v>10153</v>
      </c>
      <c r="I24" s="99">
        <f>'Localize Daily Bali Jimbaran'!AH29</f>
        <v>500</v>
      </c>
      <c r="J24" s="101">
        <f>'Localize Daily Bali Jimbaran'!AI29/'Localize Daily Bali Jimbaran'!AH29</f>
        <v>8700</v>
      </c>
      <c r="K24" s="99">
        <f>'Localize Daily Bali Jimbaran'!Q29</f>
        <v>651.20000000000437</v>
      </c>
      <c r="L24" s="100">
        <f>'Localize Daily Bali Jimbaran'!V29/'Localize Daily Bali Jimbaran'!Q29</f>
        <v>9846.3618918918582</v>
      </c>
      <c r="M24" s="99">
        <f>'Localize Daily Bali Jimbaran'!C29</f>
        <v>54</v>
      </c>
      <c r="N24" s="99">
        <f>'Localize Daily Bali Jimbaran'!D29</f>
        <v>432</v>
      </c>
    </row>
    <row r="25" spans="1:14" ht="15">
      <c r="A25" s="96" t="s">
        <v>14</v>
      </c>
      <c r="B25" s="97">
        <v>24</v>
      </c>
      <c r="C25" s="98">
        <v>4</v>
      </c>
      <c r="D25" s="97">
        <v>2018</v>
      </c>
      <c r="E25" s="99">
        <f>'Localize Daily Bali Jimbaran'!P30</f>
        <v>25920.000000019172</v>
      </c>
      <c r="F25" s="100">
        <f>'Localize Daily Bali Jimbaran'!O30/'Localize Daily Bali Jimbaran'!P30</f>
        <v>1182.8152048610016</v>
      </c>
      <c r="G25" s="99">
        <f>'Localize Daily Bali Jimbaran'!AC30</f>
        <v>422.67004000000117</v>
      </c>
      <c r="H25" s="100">
        <f>'Localize Daily Bali Jimbaran'!AD30/'Localize Daily Bali Jimbaran'!AC30</f>
        <v>10879.907447710273</v>
      </c>
      <c r="I25" s="99">
        <f>'Localize Daily Bali Jimbaran'!AH30</f>
        <v>444.10000000003492</v>
      </c>
      <c r="J25" s="101">
        <f>'Localize Daily Bali Jimbaran'!AI30/'Localize Daily Bali Jimbaran'!AH30</f>
        <v>8700</v>
      </c>
      <c r="K25" s="99">
        <f>'Localize Daily Bali Jimbaran'!Q30</f>
        <v>855.39999999999418</v>
      </c>
      <c r="L25" s="100">
        <f>'Localize Daily Bali Jimbaran'!V30/'Localize Daily Bali Jimbaran'!Q30</f>
        <v>8986.9531774608677</v>
      </c>
      <c r="M25" s="99">
        <f>'Localize Daily Bali Jimbaran'!C30</f>
        <v>52</v>
      </c>
      <c r="N25" s="99">
        <f>'Localize Daily Bali Jimbaran'!D30</f>
        <v>431</v>
      </c>
    </row>
    <row r="26" spans="1:14" ht="15">
      <c r="A26" s="96" t="s">
        <v>14</v>
      </c>
      <c r="B26" s="97">
        <v>25</v>
      </c>
      <c r="C26" s="98">
        <v>4</v>
      </c>
      <c r="D26" s="97">
        <v>2018</v>
      </c>
      <c r="E26" s="99">
        <f>'Localize Daily Bali Jimbaran'!P31</f>
        <v>26159.999999978936</v>
      </c>
      <c r="F26" s="100">
        <f>'Localize Daily Bali Jimbaran'!O31/'Localize Daily Bali Jimbaran'!P31</f>
        <v>1178.6154873854157</v>
      </c>
      <c r="G26" s="99">
        <f>'Localize Daily Bali Jimbaran'!AC31</f>
        <v>91.959240000007028</v>
      </c>
      <c r="H26" s="100">
        <f>'Localize Daily Bali Jimbaran'!AD31/'Localize Daily Bali Jimbaran'!AC31</f>
        <v>10153</v>
      </c>
      <c r="I26" s="99">
        <f>'Localize Daily Bali Jimbaran'!AH31</f>
        <v>628.69999999995343</v>
      </c>
      <c r="J26" s="101">
        <f>'Localize Daily Bali Jimbaran'!AI31/'Localize Daily Bali Jimbaran'!AH31</f>
        <v>8700</v>
      </c>
      <c r="K26" s="99">
        <f>'Localize Daily Bali Jimbaran'!Q31</f>
        <v>840.80000000000291</v>
      </c>
      <c r="L26" s="100">
        <f>'Localize Daily Bali Jimbaran'!V31/'Localize Daily Bali Jimbaran'!Q31</f>
        <v>8903.6486393910418</v>
      </c>
      <c r="M26" s="99">
        <f>'Localize Daily Bali Jimbaran'!C31</f>
        <v>50</v>
      </c>
      <c r="N26" s="99">
        <f>'Localize Daily Bali Jimbaran'!D31</f>
        <v>351</v>
      </c>
    </row>
    <row r="27" spans="1:14" ht="15">
      <c r="A27" s="96" t="s">
        <v>14</v>
      </c>
      <c r="B27" s="97">
        <v>26</v>
      </c>
      <c r="C27" s="98">
        <v>4</v>
      </c>
      <c r="D27" s="97">
        <v>2018</v>
      </c>
      <c r="E27" s="99">
        <f>'Localize Daily Bali Jimbaran'!P32</f>
        <v>26400.000000001455</v>
      </c>
      <c r="F27" s="100">
        <f>'Localize Daily Bali Jimbaran'!O32/'Localize Daily Bali Jimbaran'!P32</f>
        <v>1181.4954136363949</v>
      </c>
      <c r="G27" s="99">
        <f>'Localize Daily Bali Jimbaran'!AC32</f>
        <v>503.03279999999415</v>
      </c>
      <c r="H27" s="100">
        <f>'Localize Daily Bali Jimbaran'!AD32/'Localize Daily Bali Jimbaran'!AC32</f>
        <v>10996.809787353837</v>
      </c>
      <c r="I27" s="99">
        <f>'Localize Daily Bali Jimbaran'!AH32</f>
        <v>598.60000000000582</v>
      </c>
      <c r="J27" s="101">
        <f>'Localize Daily Bali Jimbaran'!AI32/'Localize Daily Bali Jimbaran'!AH32</f>
        <v>8700</v>
      </c>
      <c r="K27" s="99">
        <f>'Localize Daily Bali Jimbaran'!Q32</f>
        <v>465</v>
      </c>
      <c r="L27" s="100">
        <f>'Localize Daily Bali Jimbaran'!V32/'Localize Daily Bali Jimbaran'!Q32</f>
        <v>12198.905333333332</v>
      </c>
      <c r="M27" s="99">
        <f>'Localize Daily Bali Jimbaran'!C32</f>
        <v>51</v>
      </c>
      <c r="N27" s="99">
        <f>'Localize Daily Bali Jimbaran'!D32</f>
        <v>420</v>
      </c>
    </row>
    <row r="28" spans="1:14" ht="15">
      <c r="A28" s="96" t="s">
        <v>14</v>
      </c>
      <c r="B28" s="97">
        <v>27</v>
      </c>
      <c r="C28" s="98">
        <v>4</v>
      </c>
      <c r="D28" s="97">
        <v>2018</v>
      </c>
      <c r="E28" s="99">
        <f>'Localize Daily Bali Jimbaran'!P33</f>
        <v>26880.000000011478</v>
      </c>
      <c r="F28" s="100">
        <f>'Localize Daily Bali Jimbaran'!O33/'Localize Daily Bali Jimbaran'!P33</f>
        <v>1181.4365624999575</v>
      </c>
      <c r="G28" s="99">
        <f>'Localize Daily Bali Jimbaran'!AC33</f>
        <v>155.47047999998475</v>
      </c>
      <c r="H28" s="100">
        <f>'Localize Daily Bali Jimbaran'!AD33/'Localize Daily Bali Jimbaran'!AC33</f>
        <v>10493.849272479285</v>
      </c>
      <c r="I28" s="99">
        <f>'Localize Daily Bali Jimbaran'!AH33</f>
        <v>695.80000000001746</v>
      </c>
      <c r="J28" s="101">
        <f>'Localize Daily Bali Jimbaran'!AI33/'Localize Daily Bali Jimbaran'!AH33</f>
        <v>8700</v>
      </c>
      <c r="K28" s="99">
        <f>'Localize Daily Bali Jimbaran'!Q33</f>
        <v>795</v>
      </c>
      <c r="L28" s="100">
        <f>'Localize Daily Bali Jimbaran'!V33/'Localize Daily Bali Jimbaran'!Q33</f>
        <v>8060.4712201257853</v>
      </c>
      <c r="M28" s="99">
        <f>'Localize Daily Bali Jimbaran'!C33</f>
        <v>78</v>
      </c>
      <c r="N28" s="99">
        <f>'Localize Daily Bali Jimbaran'!D33</f>
        <v>559</v>
      </c>
    </row>
    <row r="29" spans="1:14" ht="15">
      <c r="A29" s="96" t="s">
        <v>14</v>
      </c>
      <c r="B29" s="97">
        <v>28</v>
      </c>
      <c r="C29" s="98">
        <v>4</v>
      </c>
      <c r="D29" s="97">
        <v>2018</v>
      </c>
      <c r="E29" s="99">
        <f>'Localize Daily Bali Jimbaran'!P34</f>
        <v>26219.999999988886</v>
      </c>
      <c r="F29" s="100">
        <f>'Localize Daily Bali Jimbaran'!O34/'Localize Daily Bali Jimbaran'!P34</f>
        <v>1183.3845755148936</v>
      </c>
      <c r="G29" s="99">
        <f>'Localize Daily Bali Jimbaran'!AC34</f>
        <v>163.82784000002459</v>
      </c>
      <c r="H29" s="100">
        <f>'Localize Daily Bali Jimbaran'!AD34/'Localize Daily Bali Jimbaran'!AC34</f>
        <v>10571.207308354855</v>
      </c>
      <c r="I29" s="99">
        <f>'Localize Daily Bali Jimbaran'!AH34</f>
        <v>746.80000000007567</v>
      </c>
      <c r="J29" s="101">
        <f>'Localize Daily Bali Jimbaran'!AI34/'Localize Daily Bali Jimbaran'!AH34</f>
        <v>8700</v>
      </c>
      <c r="K29" s="99">
        <f>'Localize Daily Bali Jimbaran'!Q34</f>
        <v>817</v>
      </c>
      <c r="L29" s="100">
        <f>'Localize Daily Bali Jimbaran'!V34/'Localize Daily Bali Jimbaran'!Q34</f>
        <v>10538.834198286413</v>
      </c>
      <c r="M29" s="99">
        <f>'Localize Daily Bali Jimbaran'!C34</f>
        <v>96</v>
      </c>
      <c r="N29" s="99">
        <f>'Localize Daily Bali Jimbaran'!D34</f>
        <v>684</v>
      </c>
    </row>
    <row r="30" spans="1:14" ht="15">
      <c r="A30" s="96" t="s">
        <v>14</v>
      </c>
      <c r="B30" s="97">
        <v>29</v>
      </c>
      <c r="C30" s="98">
        <v>4</v>
      </c>
      <c r="D30" s="97">
        <v>2018</v>
      </c>
      <c r="E30" s="99">
        <f>'Localize Daily Bali Jimbaran'!P35</f>
        <v>26540.00000000724</v>
      </c>
      <c r="F30" s="100">
        <f>'Localize Daily Bali Jimbaran'!O35/'Localize Daily Bali Jimbaran'!P35</f>
        <v>1181.8195162018947</v>
      </c>
      <c r="G30" s="99">
        <f>'Localize Daily Bali Jimbaran'!AC35</f>
        <v>134.45119999997655</v>
      </c>
      <c r="H30" s="100">
        <f>'Localize Daily Bali Jimbaran'!AD35/'Localize Daily Bali Jimbaran'!AC35</f>
        <v>10284.378522467654</v>
      </c>
      <c r="I30" s="99">
        <f>'Localize Daily Bali Jimbaran'!AH35</f>
        <v>636.39999999999418</v>
      </c>
      <c r="J30" s="101">
        <f>'Localize Daily Bali Jimbaran'!AI35/'Localize Daily Bali Jimbaran'!AH35</f>
        <v>8700</v>
      </c>
      <c r="K30" s="99">
        <f>'Localize Daily Bali Jimbaran'!Q35</f>
        <v>668.19999999999709</v>
      </c>
      <c r="L30" s="100">
        <f>'Localize Daily Bali Jimbaran'!V35/'Localize Daily Bali Jimbaran'!Q35</f>
        <v>6474.2279616881242</v>
      </c>
      <c r="M30" s="99">
        <f>'Localize Daily Bali Jimbaran'!C35</f>
        <v>98</v>
      </c>
      <c r="N30" s="99">
        <f>'Localize Daily Bali Jimbaran'!D35</f>
        <v>720</v>
      </c>
    </row>
    <row r="31" spans="1:14" ht="15">
      <c r="A31" s="96" t="s">
        <v>14</v>
      </c>
      <c r="B31" s="97">
        <v>30</v>
      </c>
      <c r="C31" s="98">
        <v>4</v>
      </c>
      <c r="D31" s="97">
        <v>2018</v>
      </c>
      <c r="E31" s="99">
        <f>'Localize Daily Bali Jimbaran'!P36</f>
        <v>37320.000000006534</v>
      </c>
      <c r="F31" s="100">
        <f>'Localize Daily Bali Jimbaran'!O36/'Localize Daily Bali Jimbaran'!P36</f>
        <v>1154.0121221864958</v>
      </c>
      <c r="G31" s="99">
        <f>'Localize Daily Bali Jimbaran'!AC36</f>
        <v>351.66672000002109</v>
      </c>
      <c r="H31" s="100">
        <f>'Localize Daily Bali Jimbaran'!AD36/'Localize Daily Bali Jimbaran'!AC36</f>
        <v>10875.985672343362</v>
      </c>
      <c r="I31" s="99">
        <f>'Localize Daily Bali Jimbaran'!AH36</f>
        <v>441.69999999988931</v>
      </c>
      <c r="J31" s="101">
        <f>'Localize Daily Bali Jimbaran'!AI36/'Localize Daily Bali Jimbaran'!AH36</f>
        <v>8700</v>
      </c>
      <c r="K31" s="99">
        <f>'Localize Daily Bali Jimbaran'!Q36</f>
        <v>526.80000000000291</v>
      </c>
      <c r="L31" s="100">
        <f>'Localize Daily Bali Jimbaran'!V36/'Localize Daily Bali Jimbaran'!Q36</f>
        <v>4684.82</v>
      </c>
      <c r="M31" s="99">
        <f>'Localize Daily Bali Jimbaran'!C36</f>
        <v>96</v>
      </c>
      <c r="N31" s="99">
        <f>'Localize Daily Bali Jimbaran'!D36</f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N5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71</v>
      </c>
      <c r="D7" s="103">
        <v>723</v>
      </c>
      <c r="E7" s="156">
        <v>9480.0000000104774</v>
      </c>
      <c r="F7" s="156">
        <v>10310154.120011395</v>
      </c>
      <c r="G7" s="116">
        <v>4159.9999999998545</v>
      </c>
      <c r="H7" s="157">
        <v>6786430.559999763</v>
      </c>
      <c r="I7" s="105">
        <f>F7+H7</f>
        <v>17096584.680011157</v>
      </c>
      <c r="J7" s="115">
        <v>1060.0000000004002</v>
      </c>
      <c r="K7" s="115">
        <v>1152823.1400004353</v>
      </c>
      <c r="L7" s="119">
        <v>460.00000000003638</v>
      </c>
      <c r="M7" s="121">
        <v>750422.61000005936</v>
      </c>
      <c r="N7" s="107">
        <f>K7+M7</f>
        <v>1903245.7500004945</v>
      </c>
      <c r="O7" s="105">
        <f>I7+N7</f>
        <v>18999830.430011652</v>
      </c>
      <c r="P7" s="107">
        <f>E7+G7+J7+L7</f>
        <v>15160.000000010768</v>
      </c>
      <c r="Q7" s="123">
        <f>R7+T7</f>
        <v>1013</v>
      </c>
      <c r="R7" s="115">
        <v>455</v>
      </c>
      <c r="S7" s="115">
        <v>8176431.9000000004</v>
      </c>
      <c r="T7" s="115">
        <v>558</v>
      </c>
      <c r="U7" s="115">
        <v>2614129.56</v>
      </c>
      <c r="V7" s="115">
        <f>S7+U7</f>
        <v>10790561.460000001</v>
      </c>
      <c r="W7" s="115">
        <v>95.181639999989443</v>
      </c>
      <c r="X7" s="106"/>
      <c r="Y7" s="110"/>
      <c r="Z7" s="108"/>
      <c r="AA7" s="108"/>
      <c r="AB7" s="112">
        <v>12</v>
      </c>
      <c r="AC7" s="123">
        <f>W7+X7+Y7+Z7+AA7+AB7</f>
        <v>107.18163999998944</v>
      </c>
      <c r="AD7" s="104">
        <v>1105879.1909198929</v>
      </c>
      <c r="AE7" s="109"/>
      <c r="AF7" s="128">
        <v>501.60000000003492</v>
      </c>
      <c r="AG7" s="130">
        <v>0</v>
      </c>
      <c r="AH7" s="130">
        <f>AF7+AG7</f>
        <v>501.60000000003492</v>
      </c>
      <c r="AI7" s="132">
        <v>4363920.0000003036</v>
      </c>
      <c r="AJ7" s="18"/>
    </row>
    <row r="8" spans="1:36" ht="15">
      <c r="A8" s="19"/>
      <c r="B8" s="64">
        <v>2</v>
      </c>
      <c r="C8" s="65">
        <v>68</v>
      </c>
      <c r="D8" s="65">
        <v>752</v>
      </c>
      <c r="E8" s="124">
        <v>19759.999999980209</v>
      </c>
      <c r="F8" s="124">
        <v>21490363.439978477</v>
      </c>
      <c r="G8" s="111">
        <v>4119.9999999989814</v>
      </c>
      <c r="H8" s="111">
        <v>6721176.4199983394</v>
      </c>
      <c r="I8" s="105">
        <f>F8+H8</f>
        <v>28211539.859976817</v>
      </c>
      <c r="J8" s="158">
        <v>1980.0000000000182</v>
      </c>
      <c r="K8" s="158">
        <v>2153386.6200000197</v>
      </c>
      <c r="L8" s="120">
        <v>440.00000000005457</v>
      </c>
      <c r="M8" s="122">
        <v>717795.54000008909</v>
      </c>
      <c r="N8" s="107">
        <f>K8+M8</f>
        <v>2871182.1600001086</v>
      </c>
      <c r="O8" s="105">
        <f>I8+N8</f>
        <v>31082722.019976925</v>
      </c>
      <c r="P8" s="107">
        <f>E8+G8+J8+L8</f>
        <v>26299.999999979264</v>
      </c>
      <c r="Q8" s="123">
        <f>R8+T8</f>
        <v>727</v>
      </c>
      <c r="R8" s="124">
        <v>291</v>
      </c>
      <c r="S8" s="124">
        <v>5229322.38</v>
      </c>
      <c r="T8" s="117">
        <v>436</v>
      </c>
      <c r="U8" s="117">
        <v>2042581.5199999998</v>
      </c>
      <c r="V8" s="115">
        <f>S8+U8</f>
        <v>7271903.8999999994</v>
      </c>
      <c r="W8" s="126">
        <v>119.9538399999953</v>
      </c>
      <c r="X8" s="112"/>
      <c r="Y8" s="110"/>
      <c r="Z8" s="112"/>
      <c r="AA8" s="112"/>
      <c r="AB8" s="112">
        <v>0</v>
      </c>
      <c r="AC8" s="123">
        <f>W8+X8+Y8+Z8+AA8+AB8</f>
        <v>119.9538399999953</v>
      </c>
      <c r="AD8" s="110">
        <v>1217891.3375199523</v>
      </c>
      <c r="AE8" s="113"/>
      <c r="AF8" s="129">
        <v>454.29999999993015</v>
      </c>
      <c r="AG8" s="131">
        <v>0</v>
      </c>
      <c r="AH8" s="130">
        <f>AF8+AG8</f>
        <v>454.29999999993015</v>
      </c>
      <c r="AI8" s="133">
        <v>3952409.9999993923</v>
      </c>
      <c r="AJ8" s="21"/>
    </row>
    <row r="9" spans="1:36" ht="15">
      <c r="A9" s="19"/>
      <c r="B9" s="81">
        <v>3</v>
      </c>
      <c r="C9" s="65">
        <v>63</v>
      </c>
      <c r="D9" s="65">
        <v>606</v>
      </c>
      <c r="E9" s="124">
        <v>15559.999999997672</v>
      </c>
      <c r="F9" s="124">
        <v>16922573.639997467</v>
      </c>
      <c r="G9" s="111">
        <v>4159.9999999998545</v>
      </c>
      <c r="H9" s="111">
        <v>6786430.559999763</v>
      </c>
      <c r="I9" s="105">
        <f>F9+H9</f>
        <v>23709004.199997231</v>
      </c>
      <c r="J9" s="158">
        <v>1859.9999999996726</v>
      </c>
      <c r="K9" s="158">
        <v>2022878.3399996439</v>
      </c>
      <c r="L9" s="120">
        <v>439.99999999994088</v>
      </c>
      <c r="M9" s="122">
        <v>717795.53999990365</v>
      </c>
      <c r="N9" s="107">
        <f>K9+M9</f>
        <v>2740673.8799995473</v>
      </c>
      <c r="O9" s="105">
        <f>I9+N9</f>
        <v>26449678.07999678</v>
      </c>
      <c r="P9" s="107">
        <f>E9+G9+J9+L9</f>
        <v>22019.999999997141</v>
      </c>
      <c r="Q9" s="123">
        <f>R9+T9</f>
        <v>858</v>
      </c>
      <c r="R9" s="124">
        <v>306</v>
      </c>
      <c r="S9" s="124">
        <v>5498875.0800000001</v>
      </c>
      <c r="T9" s="117">
        <v>552</v>
      </c>
      <c r="U9" s="117">
        <v>2586020.6399999997</v>
      </c>
      <c r="V9" s="115">
        <f>S9+U9</f>
        <v>8084895.7199999997</v>
      </c>
      <c r="W9" s="126">
        <v>107.06424000000702</v>
      </c>
      <c r="X9" s="112"/>
      <c r="Y9" s="110"/>
      <c r="Z9" s="112"/>
      <c r="AA9" s="112"/>
      <c r="AB9" s="112">
        <v>0</v>
      </c>
      <c r="AC9" s="123">
        <f>W9+X9+Y9+Z9+AA9+AB9</f>
        <v>107.06424000000702</v>
      </c>
      <c r="AD9" s="110">
        <v>1087023.2287200713</v>
      </c>
      <c r="AE9" s="113"/>
      <c r="AF9" s="129">
        <v>374.40000000002328</v>
      </c>
      <c r="AG9" s="131">
        <v>6344.2000000000007</v>
      </c>
      <c r="AH9" s="130">
        <f>AF9+AG9</f>
        <v>6718.600000000024</v>
      </c>
      <c r="AI9" s="133">
        <v>58451820.000000209</v>
      </c>
      <c r="AJ9" s="21"/>
    </row>
    <row r="10" spans="1:36" ht="15">
      <c r="A10" s="19"/>
      <c r="B10" s="64">
        <v>4</v>
      </c>
      <c r="C10" s="65">
        <v>67</v>
      </c>
      <c r="D10" s="65">
        <v>584</v>
      </c>
      <c r="E10" s="124">
        <v>19800.000000017462</v>
      </c>
      <c r="F10" s="124">
        <v>21533866.200018991</v>
      </c>
      <c r="G10" s="111">
        <v>4079.9999999981083</v>
      </c>
      <c r="H10" s="111">
        <v>6655922.2799969148</v>
      </c>
      <c r="I10" s="105">
        <f>F10+H10</f>
        <v>28189788.480015904</v>
      </c>
      <c r="J10" s="158">
        <v>2000</v>
      </c>
      <c r="K10" s="158">
        <v>2175138</v>
      </c>
      <c r="L10" s="120">
        <v>440.00000000005457</v>
      </c>
      <c r="M10" s="122">
        <v>717795.54000008909</v>
      </c>
      <c r="N10" s="107">
        <f>K10+M10</f>
        <v>2892933.540000089</v>
      </c>
      <c r="O10" s="105">
        <f>I10+N10</f>
        <v>31082722.020015992</v>
      </c>
      <c r="P10" s="107">
        <f>E10+G10+J10+L10</f>
        <v>26320.000000015625</v>
      </c>
      <c r="Q10" s="123">
        <f>R10+T10</f>
        <v>623</v>
      </c>
      <c r="R10" s="124">
        <v>271</v>
      </c>
      <c r="S10" s="124">
        <v>4869918.78</v>
      </c>
      <c r="T10" s="117">
        <v>352</v>
      </c>
      <c r="U10" s="117">
        <v>1649056.64</v>
      </c>
      <c r="V10" s="115">
        <f>S10+U10</f>
        <v>6518975.4199999999</v>
      </c>
      <c r="W10" s="126">
        <v>0</v>
      </c>
      <c r="X10" s="112"/>
      <c r="Y10" s="110"/>
      <c r="Z10" s="112">
        <v>50</v>
      </c>
      <c r="AA10" s="112"/>
      <c r="AB10" s="112">
        <v>12</v>
      </c>
      <c r="AC10" s="123">
        <f>W10+X10+Y10+Z10+AA10+AB10</f>
        <v>62</v>
      </c>
      <c r="AD10" s="110">
        <v>698000</v>
      </c>
      <c r="AE10" s="113"/>
      <c r="AF10" s="129">
        <v>618.60000000000582</v>
      </c>
      <c r="AG10" s="131">
        <v>0</v>
      </c>
      <c r="AH10" s="130">
        <f>AF10+AG10</f>
        <v>618.60000000000582</v>
      </c>
      <c r="AI10" s="133">
        <v>5381820.0000000503</v>
      </c>
      <c r="AJ10" s="21"/>
    </row>
    <row r="11" spans="1:36" ht="15">
      <c r="A11" s="19"/>
      <c r="B11" s="81">
        <v>5</v>
      </c>
      <c r="C11" s="65">
        <v>55</v>
      </c>
      <c r="D11" s="65">
        <v>553</v>
      </c>
      <c r="E11" s="124">
        <v>20559.999999997672</v>
      </c>
      <c r="F11" s="124">
        <v>22360418.639997467</v>
      </c>
      <c r="G11" s="111">
        <v>4159.9999999998545</v>
      </c>
      <c r="H11" s="111">
        <v>6786430.559999763</v>
      </c>
      <c r="I11" s="105">
        <f>F11+H11</f>
        <v>29146849.199997231</v>
      </c>
      <c r="J11" s="158">
        <v>1880.0000000001091</v>
      </c>
      <c r="K11" s="158">
        <v>2044629.7200001187</v>
      </c>
      <c r="L11" s="120">
        <v>459.99999999992269</v>
      </c>
      <c r="M11" s="122">
        <v>750422.60999987391</v>
      </c>
      <c r="N11" s="107">
        <f>K11+M11</f>
        <v>2795052.3299999926</v>
      </c>
      <c r="O11" s="105">
        <f>I11+N11</f>
        <v>31941901.529997222</v>
      </c>
      <c r="P11" s="107">
        <f>E11+G11+J11+L11</f>
        <v>27059.999999997559</v>
      </c>
      <c r="Q11" s="123">
        <f>R11+T11</f>
        <v>775.5</v>
      </c>
      <c r="R11" s="124">
        <v>254</v>
      </c>
      <c r="S11" s="124">
        <v>4564425.72</v>
      </c>
      <c r="T11" s="117">
        <v>521.5</v>
      </c>
      <c r="U11" s="117">
        <v>2443133.63</v>
      </c>
      <c r="V11" s="115">
        <f>S11+U11</f>
        <v>7007559.3499999996</v>
      </c>
      <c r="W11" s="126">
        <v>105.73499999999999</v>
      </c>
      <c r="X11" s="112"/>
      <c r="Y11" s="110">
        <v>400</v>
      </c>
      <c r="Z11" s="112"/>
      <c r="AA11" s="112"/>
      <c r="AB11" s="112">
        <v>0</v>
      </c>
      <c r="AC11" s="123">
        <f>W11+X11+Y11+Z11+AA11+AB11</f>
        <v>505.73500000000001</v>
      </c>
      <c r="AD11" s="110">
        <v>5541527.4550000001</v>
      </c>
      <c r="AE11" s="113"/>
      <c r="AF11" s="129">
        <v>788.20000000006985</v>
      </c>
      <c r="AG11" s="131">
        <v>0</v>
      </c>
      <c r="AH11" s="130">
        <f>AF11+AG11</f>
        <v>788.20000000006985</v>
      </c>
      <c r="AI11" s="133">
        <v>6857340.0000006072</v>
      </c>
      <c r="AJ11" s="21"/>
    </row>
    <row r="12" spans="1:36" ht="15">
      <c r="A12" s="19"/>
      <c r="B12" s="64">
        <v>6</v>
      </c>
      <c r="C12" s="65">
        <v>48</v>
      </c>
      <c r="D12" s="65">
        <v>753</v>
      </c>
      <c r="E12" s="124">
        <v>19320.000000006985</v>
      </c>
      <c r="F12" s="124">
        <v>21011833.080007598</v>
      </c>
      <c r="G12" s="111">
        <v>4080.0000000017462</v>
      </c>
      <c r="H12" s="111">
        <v>6655922.2800028492</v>
      </c>
      <c r="I12" s="105">
        <f>F12+H12</f>
        <v>27667755.360010445</v>
      </c>
      <c r="J12" s="158">
        <v>2000</v>
      </c>
      <c r="K12" s="158">
        <v>2175138</v>
      </c>
      <c r="L12" s="120">
        <v>440.00000000005457</v>
      </c>
      <c r="M12" s="122">
        <v>717795.54000008909</v>
      </c>
      <c r="N12" s="107">
        <f>K12+M12</f>
        <v>2892933.540000089</v>
      </c>
      <c r="O12" s="105">
        <f>I12+N12</f>
        <v>30560688.900010534</v>
      </c>
      <c r="P12" s="107">
        <f>E12+G12+J12+L12</f>
        <v>25840.000000008786</v>
      </c>
      <c r="Q12" s="123">
        <f>R12+T12</f>
        <v>506</v>
      </c>
      <c r="R12" s="124">
        <v>316</v>
      </c>
      <c r="S12" s="124">
        <v>5678576.8799999999</v>
      </c>
      <c r="T12" s="117">
        <v>190</v>
      </c>
      <c r="U12" s="117">
        <v>890115.79999999993</v>
      </c>
      <c r="V12" s="115">
        <f>S12+U12</f>
        <v>6568692.6799999997</v>
      </c>
      <c r="W12" s="126">
        <v>116.89255999998709</v>
      </c>
      <c r="X12" s="112">
        <v>250</v>
      </c>
      <c r="Y12" s="110"/>
      <c r="Z12" s="112"/>
      <c r="AA12" s="112"/>
      <c r="AB12" s="112">
        <v>24</v>
      </c>
      <c r="AC12" s="123">
        <f>W12+X12+Y12+Z12+AA12+AB12</f>
        <v>390.8925599999871</v>
      </c>
      <c r="AD12" s="110">
        <v>4258310.1616798686</v>
      </c>
      <c r="AE12" s="113"/>
      <c r="AF12" s="129">
        <v>617.70000000004075</v>
      </c>
      <c r="AG12" s="131">
        <v>0</v>
      </c>
      <c r="AH12" s="130">
        <f>AF12+AG12</f>
        <v>617.70000000004075</v>
      </c>
      <c r="AI12" s="133">
        <v>5373990.0000003548</v>
      </c>
      <c r="AJ12" s="21"/>
    </row>
    <row r="13" spans="1:36" ht="15">
      <c r="A13" s="19"/>
      <c r="B13" s="81">
        <v>7</v>
      </c>
      <c r="C13" s="65">
        <v>51</v>
      </c>
      <c r="D13" s="65">
        <v>596</v>
      </c>
      <c r="E13" s="124">
        <v>18799.999999988358</v>
      </c>
      <c r="F13" s="124">
        <v>20446297.199987341</v>
      </c>
      <c r="G13" s="111">
        <v>3959.9999999991269</v>
      </c>
      <c r="H13" s="111">
        <v>6460159.8599985763</v>
      </c>
      <c r="I13" s="105">
        <f>F13+H13</f>
        <v>26906457.059985917</v>
      </c>
      <c r="J13" s="158">
        <v>1940.0000000000546</v>
      </c>
      <c r="K13" s="158">
        <v>2109883.8600000595</v>
      </c>
      <c r="L13" s="120">
        <v>439.99999999994088</v>
      </c>
      <c r="M13" s="122">
        <v>717795.53999990365</v>
      </c>
      <c r="N13" s="107">
        <f>K13+M13</f>
        <v>2827679.3999999631</v>
      </c>
      <c r="O13" s="105">
        <f>I13+N13</f>
        <v>29734136.459985882</v>
      </c>
      <c r="P13" s="107">
        <f>E13+G13+J13+L13</f>
        <v>25139.999999987482</v>
      </c>
      <c r="Q13" s="123">
        <f>R13+T13</f>
        <v>825.19999999999709</v>
      </c>
      <c r="R13" s="124">
        <v>282</v>
      </c>
      <c r="S13" s="124">
        <v>5067590.76</v>
      </c>
      <c r="T13" s="117">
        <v>543.19999999999709</v>
      </c>
      <c r="U13" s="117">
        <v>2544794.2239999864</v>
      </c>
      <c r="V13" s="115">
        <f>S13+U13</f>
        <v>7612384.9839999862</v>
      </c>
      <c r="W13" s="126">
        <v>107.8295599999871</v>
      </c>
      <c r="X13" s="112"/>
      <c r="Y13" s="110"/>
      <c r="Z13" s="112"/>
      <c r="AA13" s="112"/>
      <c r="AB13" s="112">
        <v>0</v>
      </c>
      <c r="AC13" s="123">
        <f>W13+X13+Y13+Z13+AA13+AB13</f>
        <v>107.8295599999871</v>
      </c>
      <c r="AD13" s="110">
        <v>1094793.5226798691</v>
      </c>
      <c r="AE13" s="113"/>
      <c r="AF13" s="129">
        <v>490.99999999991269</v>
      </c>
      <c r="AG13" s="131">
        <v>0</v>
      </c>
      <c r="AH13" s="130">
        <f>AF13+AG13</f>
        <v>490.99999999991269</v>
      </c>
      <c r="AI13" s="133">
        <v>4271699.99999924</v>
      </c>
      <c r="AJ13" s="21"/>
    </row>
    <row r="14" spans="1:36" ht="15">
      <c r="A14" s="19"/>
      <c r="B14" s="64">
        <v>8</v>
      </c>
      <c r="C14" s="65">
        <v>38</v>
      </c>
      <c r="D14" s="65">
        <v>460</v>
      </c>
      <c r="E14" s="124">
        <v>19440.000000002328</v>
      </c>
      <c r="F14" s="124">
        <v>21142341.360002533</v>
      </c>
      <c r="G14" s="111">
        <v>4000</v>
      </c>
      <c r="H14" s="111">
        <v>6525414</v>
      </c>
      <c r="I14" s="105">
        <f>F14+H14</f>
        <v>27667755.360002533</v>
      </c>
      <c r="J14" s="158">
        <v>1779.9999999997453</v>
      </c>
      <c r="K14" s="158">
        <v>1935872.819999723</v>
      </c>
      <c r="L14" s="120">
        <v>420.00000000007276</v>
      </c>
      <c r="M14" s="122">
        <v>685168.47000011872</v>
      </c>
      <c r="N14" s="107">
        <f>K14+M14</f>
        <v>2621041.2899998417</v>
      </c>
      <c r="O14" s="105">
        <f>I14+N14</f>
        <v>30288796.650002375</v>
      </c>
      <c r="P14" s="107">
        <f>E14+G14+J14+L14</f>
        <v>25640.000000002146</v>
      </c>
      <c r="Q14" s="123">
        <f>R14+T14</f>
        <v>764.30000000000291</v>
      </c>
      <c r="R14" s="124">
        <v>256</v>
      </c>
      <c r="S14" s="124">
        <v>4600366.08</v>
      </c>
      <c r="T14" s="117">
        <v>508.30000000000291</v>
      </c>
      <c r="U14" s="117">
        <v>2381294.0060000136</v>
      </c>
      <c r="V14" s="115">
        <f>S14+U14</f>
        <v>6981660.0860000141</v>
      </c>
      <c r="W14" s="126">
        <v>101.42504000000116</v>
      </c>
      <c r="X14" s="112"/>
      <c r="Y14" s="110"/>
      <c r="Z14" s="112"/>
      <c r="AA14" s="112"/>
      <c r="AB14" s="112">
        <v>0</v>
      </c>
      <c r="AC14" s="123">
        <f>W14+X14+Y14+Z14+AA14+AB14</f>
        <v>101.42504000000116</v>
      </c>
      <c r="AD14" s="110">
        <v>1029768.4311200118</v>
      </c>
      <c r="AE14" s="113"/>
      <c r="AF14" s="129">
        <v>381.60000000003492</v>
      </c>
      <c r="AG14" s="131">
        <v>0</v>
      </c>
      <c r="AH14" s="130">
        <f>AF14+AG14</f>
        <v>381.60000000003492</v>
      </c>
      <c r="AI14" s="133">
        <v>3319920.0000003036</v>
      </c>
      <c r="AJ14" s="21"/>
    </row>
    <row r="15" spans="1:36" ht="15">
      <c r="A15" s="19"/>
      <c r="B15" s="81">
        <v>9</v>
      </c>
      <c r="C15" s="65">
        <v>30</v>
      </c>
      <c r="D15" s="65">
        <v>358</v>
      </c>
      <c r="E15" s="124">
        <v>19880.000000004657</v>
      </c>
      <c r="F15" s="124">
        <v>21620871.720005065</v>
      </c>
      <c r="G15" s="111">
        <v>4080.0000000017462</v>
      </c>
      <c r="H15" s="111">
        <v>6655922.2800028492</v>
      </c>
      <c r="I15" s="105">
        <f>F15+H15</f>
        <v>28276794.000007913</v>
      </c>
      <c r="J15" s="158">
        <v>1820.0000000001637</v>
      </c>
      <c r="K15" s="158">
        <v>1979375.5800001782</v>
      </c>
      <c r="L15" s="120">
        <v>419.99999999995907</v>
      </c>
      <c r="M15" s="122">
        <v>685168.46999993327</v>
      </c>
      <c r="N15" s="107">
        <f>K15+M15</f>
        <v>2664544.0500001116</v>
      </c>
      <c r="O15" s="105">
        <f>I15+N15</f>
        <v>30941338.050008025</v>
      </c>
      <c r="P15" s="107">
        <f>E15+G15+J15+L15</f>
        <v>26200.000000006527</v>
      </c>
      <c r="Q15" s="123">
        <f>R15+T15</f>
        <v>697.40000000000146</v>
      </c>
      <c r="R15" s="124">
        <v>280</v>
      </c>
      <c r="S15" s="124">
        <v>5031650.4000000004</v>
      </c>
      <c r="T15" s="117">
        <v>417.40000000000146</v>
      </c>
      <c r="U15" s="117">
        <v>1955443.8680000068</v>
      </c>
      <c r="V15" s="115">
        <f>S15+U15</f>
        <v>6987094.2680000067</v>
      </c>
      <c r="W15" s="126">
        <v>108.35320000000586</v>
      </c>
      <c r="X15" s="112"/>
      <c r="Y15" s="110"/>
      <c r="Z15" s="112"/>
      <c r="AA15" s="112"/>
      <c r="AB15" s="112">
        <v>0</v>
      </c>
      <c r="AC15" s="123">
        <f>W15+X15+Y15+Z15+AA15+AB15</f>
        <v>108.35320000000586</v>
      </c>
      <c r="AD15" s="110">
        <v>1100110.0396000594</v>
      </c>
      <c r="AE15" s="113"/>
      <c r="AF15" s="129">
        <v>532.20000000001164</v>
      </c>
      <c r="AG15" s="131">
        <v>0</v>
      </c>
      <c r="AH15" s="130">
        <f>AF15+AG15</f>
        <v>532.20000000001164</v>
      </c>
      <c r="AI15" s="133">
        <v>4630140.0000001015</v>
      </c>
      <c r="AJ15" s="21"/>
    </row>
    <row r="16" spans="1:36" ht="15">
      <c r="A16" s="19"/>
      <c r="B16" s="64">
        <v>10</v>
      </c>
      <c r="C16" s="65">
        <v>36</v>
      </c>
      <c r="D16" s="65">
        <v>315</v>
      </c>
      <c r="E16" s="124">
        <v>19679.999999993015</v>
      </c>
      <c r="F16" s="124">
        <v>21403357.919992402</v>
      </c>
      <c r="G16" s="111">
        <v>4079.9999999981083</v>
      </c>
      <c r="H16" s="111">
        <v>6655922.2799969148</v>
      </c>
      <c r="I16" s="105">
        <f>F16+H16</f>
        <v>28059280.199989319</v>
      </c>
      <c r="J16" s="158">
        <v>1840.0000000001455</v>
      </c>
      <c r="K16" s="158">
        <v>2001126.9600001583</v>
      </c>
      <c r="L16" s="120">
        <v>419.99999999995907</v>
      </c>
      <c r="M16" s="122">
        <v>685168.46999993327</v>
      </c>
      <c r="N16" s="107">
        <f>K16+M16</f>
        <v>2686295.4300000914</v>
      </c>
      <c r="O16" s="105">
        <f>I16+N16</f>
        <v>30745575.629989412</v>
      </c>
      <c r="P16" s="107">
        <f>E16+G16+J16+L16</f>
        <v>26019.999999991229</v>
      </c>
      <c r="Q16" s="123">
        <f>R16+T16</f>
        <v>769</v>
      </c>
      <c r="R16" s="124">
        <v>320</v>
      </c>
      <c r="S16" s="124">
        <v>5750457.5999999996</v>
      </c>
      <c r="T16" s="117">
        <v>449</v>
      </c>
      <c r="U16" s="117">
        <v>2103484.1799999997</v>
      </c>
      <c r="V16" s="115">
        <f>S16+U16</f>
        <v>7853941.7799999993</v>
      </c>
      <c r="W16" s="126">
        <v>100.13608000000234</v>
      </c>
      <c r="X16" s="112"/>
      <c r="Y16" s="110">
        <v>400</v>
      </c>
      <c r="Z16" s="112">
        <v>50</v>
      </c>
      <c r="AA16" s="112"/>
      <c r="AB16" s="112">
        <v>0</v>
      </c>
      <c r="AC16" s="123">
        <f>W16+X16+Y16+Z16+AA16+AB16</f>
        <v>550.13608000000227</v>
      </c>
      <c r="AD16" s="110">
        <v>6043181.6202400234</v>
      </c>
      <c r="AE16" s="113"/>
      <c r="AF16" s="129">
        <v>475.39999999993597</v>
      </c>
      <c r="AG16" s="131">
        <v>0</v>
      </c>
      <c r="AH16" s="130">
        <f>AF16+AG16</f>
        <v>475.39999999993597</v>
      </c>
      <c r="AI16" s="133">
        <v>4135979.9999994431</v>
      </c>
      <c r="AJ16" s="21"/>
    </row>
    <row r="17" spans="1:36" ht="15">
      <c r="A17" s="19"/>
      <c r="B17" s="81">
        <v>11</v>
      </c>
      <c r="C17" s="65">
        <v>56</v>
      </c>
      <c r="D17" s="65">
        <v>403</v>
      </c>
      <c r="E17" s="124">
        <v>20279.999999998836</v>
      </c>
      <c r="F17" s="124">
        <v>22055899.319998737</v>
      </c>
      <c r="G17" s="111">
        <v>4280.0000000024738</v>
      </c>
      <c r="H17" s="111">
        <v>6982192.9800040368</v>
      </c>
      <c r="I17" s="105">
        <f>F17+H17</f>
        <v>29038092.300002776</v>
      </c>
      <c r="J17" s="158">
        <v>1819.999999999709</v>
      </c>
      <c r="K17" s="158">
        <v>1979375.5799996837</v>
      </c>
      <c r="L17" s="120">
        <v>420.00000000007276</v>
      </c>
      <c r="M17" s="122">
        <v>685168.47000011872</v>
      </c>
      <c r="N17" s="107">
        <f>K17+M17</f>
        <v>2664544.0499998024</v>
      </c>
      <c r="O17" s="105">
        <f>I17+N17</f>
        <v>31702636.350002579</v>
      </c>
      <c r="P17" s="107">
        <f>E17+G17+J17+L17</f>
        <v>26800.000000001091</v>
      </c>
      <c r="Q17" s="123">
        <f>R17+T17</f>
        <v>783.69999999999709</v>
      </c>
      <c r="R17" s="124">
        <v>296</v>
      </c>
      <c r="S17" s="124">
        <v>5319173.28</v>
      </c>
      <c r="T17" s="117">
        <v>487.69999999999709</v>
      </c>
      <c r="U17" s="117">
        <v>2284786.7139999862</v>
      </c>
      <c r="V17" s="115">
        <f>S17+U17</f>
        <v>7603959.993999986</v>
      </c>
      <c r="W17" s="126">
        <v>130.34608000000233</v>
      </c>
      <c r="X17" s="112"/>
      <c r="Y17" s="110"/>
      <c r="Z17" s="112"/>
      <c r="AA17" s="112"/>
      <c r="AB17" s="112">
        <v>0</v>
      </c>
      <c r="AC17" s="123">
        <f>W17+X17+Y17+Z17+AA17+AB17</f>
        <v>130.34608000000233</v>
      </c>
      <c r="AD17" s="110">
        <v>1323403.7502400237</v>
      </c>
      <c r="AE17" s="113"/>
      <c r="AF17" s="129">
        <v>611.20000000009895</v>
      </c>
      <c r="AG17" s="131">
        <v>0</v>
      </c>
      <c r="AH17" s="130">
        <f>AF17+AG17</f>
        <v>611.20000000009895</v>
      </c>
      <c r="AI17" s="133">
        <v>5317440.0000008605</v>
      </c>
      <c r="AJ17" s="21"/>
    </row>
    <row r="18" spans="1:36" ht="15">
      <c r="A18" s="19"/>
      <c r="B18" s="64">
        <v>12</v>
      </c>
      <c r="C18" s="65">
        <v>48</v>
      </c>
      <c r="D18" s="65">
        <v>477</v>
      </c>
      <c r="E18" s="124">
        <v>20160.000000003492</v>
      </c>
      <c r="F18" s="124">
        <v>21925391.040003799</v>
      </c>
      <c r="G18" s="111">
        <v>4239.9999999979627</v>
      </c>
      <c r="H18" s="111">
        <v>6916938.8399966769</v>
      </c>
      <c r="I18" s="105">
        <f>F18+H18</f>
        <v>28842329.880000476</v>
      </c>
      <c r="J18" s="158">
        <v>1900.0000000000909</v>
      </c>
      <c r="K18" s="158">
        <v>2066381.1000000988</v>
      </c>
      <c r="L18" s="120">
        <v>439.99999999994088</v>
      </c>
      <c r="M18" s="122">
        <v>717795.53999990365</v>
      </c>
      <c r="N18" s="107">
        <f>K18+M18</f>
        <v>2784176.6400000025</v>
      </c>
      <c r="O18" s="105">
        <f>I18+N18</f>
        <v>31626506.52000048</v>
      </c>
      <c r="P18" s="107">
        <f>E18+G18+J18+L18</f>
        <v>26740.000000001488</v>
      </c>
      <c r="Q18" s="123">
        <f>R18+T18</f>
        <v>829.09999999999854</v>
      </c>
      <c r="R18" s="124">
        <v>283</v>
      </c>
      <c r="S18" s="124">
        <v>5085560.9400000004</v>
      </c>
      <c r="T18" s="117">
        <v>546.09999999999854</v>
      </c>
      <c r="U18" s="117">
        <v>2558380.2019999931</v>
      </c>
      <c r="V18" s="115">
        <f>S18+U18</f>
        <v>7643941.1419999935</v>
      </c>
      <c r="W18" s="126">
        <v>112.05895999999882</v>
      </c>
      <c r="X18" s="112">
        <v>250</v>
      </c>
      <c r="Y18" s="110"/>
      <c r="Z18" s="112"/>
      <c r="AA18" s="112"/>
      <c r="AB18" s="112">
        <v>12</v>
      </c>
      <c r="AC18" s="123">
        <f>W18+X18+Y18+Z18+AA18+AB18</f>
        <v>374.05895999999882</v>
      </c>
      <c r="AD18" s="110">
        <v>4069734.6208799882</v>
      </c>
      <c r="AE18" s="113"/>
      <c r="AF18" s="129">
        <v>738.19999999992433</v>
      </c>
      <c r="AG18" s="131">
        <v>0</v>
      </c>
      <c r="AH18" s="130">
        <f>AF18+AG18</f>
        <v>738.19999999992433</v>
      </c>
      <c r="AI18" s="133">
        <v>6422339.9999993416</v>
      </c>
      <c r="AJ18" s="21"/>
    </row>
    <row r="19" spans="1:36" ht="15">
      <c r="A19" s="19"/>
      <c r="B19" s="81">
        <v>13</v>
      </c>
      <c r="C19" s="65">
        <v>48</v>
      </c>
      <c r="D19" s="65">
        <v>373</v>
      </c>
      <c r="E19" s="124">
        <v>21160.000000003492</v>
      </c>
      <c r="F19" s="124">
        <v>23012960.040003799</v>
      </c>
      <c r="G19" s="111">
        <v>4080.0000000017462</v>
      </c>
      <c r="H19" s="111">
        <v>6655922.2800028492</v>
      </c>
      <c r="I19" s="105">
        <f>F19+H19</f>
        <v>29668882.320006646</v>
      </c>
      <c r="J19" s="158">
        <v>1800.0000000001819</v>
      </c>
      <c r="K19" s="158">
        <v>1957624.2000001979</v>
      </c>
      <c r="L19" s="120">
        <v>440.00000000005457</v>
      </c>
      <c r="M19" s="122">
        <v>717795.54000008909</v>
      </c>
      <c r="N19" s="107">
        <f>K19+M19</f>
        <v>2675419.7400002871</v>
      </c>
      <c r="O19" s="105">
        <f>I19+N19</f>
        <v>32344302.060006931</v>
      </c>
      <c r="P19" s="107">
        <f>E19+G19+J19+L19</f>
        <v>27480.000000005475</v>
      </c>
      <c r="Q19" s="123">
        <f>R19+T19</f>
        <v>697.80000000000291</v>
      </c>
      <c r="R19" s="124">
        <v>262</v>
      </c>
      <c r="S19" s="124">
        <v>4708187.16</v>
      </c>
      <c r="T19" s="117">
        <v>435.80000000000291</v>
      </c>
      <c r="U19" s="117">
        <v>2041644.5560000136</v>
      </c>
      <c r="V19" s="115">
        <f>S19+U19</f>
        <v>6749831.716000014</v>
      </c>
      <c r="W19" s="126">
        <v>98.887400000011709</v>
      </c>
      <c r="X19" s="112"/>
      <c r="Y19" s="110"/>
      <c r="Z19" s="112"/>
      <c r="AA19" s="112"/>
      <c r="AB19" s="112">
        <v>12</v>
      </c>
      <c r="AC19" s="123">
        <f>W19+X19+Y19+Z19+AA19+AB19</f>
        <v>110.88740000001171</v>
      </c>
      <c r="AD19" s="110">
        <v>1143503.7722001188</v>
      </c>
      <c r="AE19" s="113"/>
      <c r="AF19" s="129">
        <v>360.89999999996508</v>
      </c>
      <c r="AG19" s="131">
        <v>0</v>
      </c>
      <c r="AH19" s="130">
        <f>AF19+AG19</f>
        <v>360.89999999996508</v>
      </c>
      <c r="AI19" s="133">
        <v>3139829.9999996964</v>
      </c>
      <c r="AJ19" s="21"/>
    </row>
    <row r="20" spans="1:36" ht="15">
      <c r="A20" s="19"/>
      <c r="B20" s="64">
        <v>14</v>
      </c>
      <c r="C20" s="65">
        <v>50</v>
      </c>
      <c r="D20" s="65">
        <v>466</v>
      </c>
      <c r="E20" s="124">
        <v>20279.999999998836</v>
      </c>
      <c r="F20" s="124">
        <v>22055899.319998737</v>
      </c>
      <c r="G20" s="111">
        <v>4159.9999999998545</v>
      </c>
      <c r="H20" s="111">
        <v>6786430.559999763</v>
      </c>
      <c r="I20" s="105">
        <f>F20+H20</f>
        <v>28842329.879998501</v>
      </c>
      <c r="J20" s="158">
        <v>1960.0000000000364</v>
      </c>
      <c r="K20" s="158">
        <v>2131635.2400000393</v>
      </c>
      <c r="L20" s="120">
        <v>480.00000000001819</v>
      </c>
      <c r="M20" s="122">
        <v>783049.68000002974</v>
      </c>
      <c r="N20" s="107">
        <f>K20+M20</f>
        <v>2914684.9200000688</v>
      </c>
      <c r="O20" s="105">
        <f>I20+N20</f>
        <v>31757014.79999857</v>
      </c>
      <c r="P20" s="107">
        <f>E20+G20+J20+L20</f>
        <v>26879.999999998745</v>
      </c>
      <c r="Q20" s="123">
        <f>R20+T20</f>
        <v>531.19999999999709</v>
      </c>
      <c r="R20" s="124">
        <v>320</v>
      </c>
      <c r="S20" s="124">
        <v>5750457.5999999996</v>
      </c>
      <c r="T20" s="117">
        <v>211.19999999999709</v>
      </c>
      <c r="U20" s="117">
        <v>989433.98399998632</v>
      </c>
      <c r="V20" s="115">
        <f>S20+U20</f>
        <v>6739891.5839999858</v>
      </c>
      <c r="W20" s="126">
        <v>102.55287999999648</v>
      </c>
      <c r="X20" s="112"/>
      <c r="Y20" s="110"/>
      <c r="Z20" s="112"/>
      <c r="AA20" s="112"/>
      <c r="AB20" s="112">
        <v>24</v>
      </c>
      <c r="AC20" s="123">
        <f>W20+X20+Y20+Z20+AA20+AB20</f>
        <v>126.55287999999648</v>
      </c>
      <c r="AD20" s="110">
        <v>1320219.3906399643</v>
      </c>
      <c r="AE20" s="113"/>
      <c r="AF20" s="129">
        <v>451.30000000004657</v>
      </c>
      <c r="AG20" s="131">
        <v>0</v>
      </c>
      <c r="AH20" s="130">
        <f>AF20+AG20</f>
        <v>451.30000000004657</v>
      </c>
      <c r="AI20" s="133">
        <v>3926310.0000004051</v>
      </c>
      <c r="AJ20" s="21"/>
    </row>
    <row r="21" spans="1:36" ht="15">
      <c r="A21" s="19"/>
      <c r="B21" s="81">
        <v>15</v>
      </c>
      <c r="C21" s="71">
        <v>31</v>
      </c>
      <c r="D21" s="71">
        <v>451</v>
      </c>
      <c r="E21" s="117">
        <v>20000</v>
      </c>
      <c r="F21" s="117">
        <v>21751380</v>
      </c>
      <c r="G21" s="114">
        <v>4039.9999999972351</v>
      </c>
      <c r="H21" s="114">
        <v>6590668.1399954902</v>
      </c>
      <c r="I21" s="105">
        <f>F21+H21</f>
        <v>28342048.139995489</v>
      </c>
      <c r="J21" s="114">
        <v>2000</v>
      </c>
      <c r="K21" s="114">
        <v>2175138</v>
      </c>
      <c r="L21" s="114">
        <v>459.99999999992269</v>
      </c>
      <c r="M21" s="117">
        <v>750422.60999987391</v>
      </c>
      <c r="N21" s="107">
        <f>K21+M21</f>
        <v>2925560.6099998737</v>
      </c>
      <c r="O21" s="105">
        <f>I21+N21</f>
        <v>31267608.749995362</v>
      </c>
      <c r="P21" s="107">
        <f>E21+G21+J21+L21</f>
        <v>26499.999999997159</v>
      </c>
      <c r="Q21" s="123">
        <f>R21+T21</f>
        <v>458</v>
      </c>
      <c r="R21" s="124">
        <v>275</v>
      </c>
      <c r="S21" s="124">
        <v>4941799.5</v>
      </c>
      <c r="T21" s="117">
        <v>183</v>
      </c>
      <c r="U21" s="117">
        <v>857322.05999999994</v>
      </c>
      <c r="V21" s="115">
        <f>S21+U21</f>
        <v>5799121.5599999996</v>
      </c>
      <c r="W21" s="126">
        <v>94.819120000003508</v>
      </c>
      <c r="X21" s="112"/>
      <c r="Y21" s="110">
        <v>400</v>
      </c>
      <c r="Z21" s="112"/>
      <c r="AA21" s="112"/>
      <c r="AB21" s="112">
        <v>0</v>
      </c>
      <c r="AC21" s="123">
        <f>W21+X21+Y21+Z21+AA21+AB21</f>
        <v>494.81912000000352</v>
      </c>
      <c r="AD21" s="110">
        <v>5430698.5253600357</v>
      </c>
      <c r="AE21" s="113"/>
      <c r="AF21" s="129">
        <v>335</v>
      </c>
      <c r="AG21" s="131">
        <v>0</v>
      </c>
      <c r="AH21" s="130">
        <f>AF21+AG21</f>
        <v>335</v>
      </c>
      <c r="AI21" s="133">
        <v>2914500</v>
      </c>
      <c r="AJ21" s="21"/>
    </row>
    <row r="22" spans="1:36" ht="15">
      <c r="A22" s="19"/>
      <c r="B22" s="64">
        <v>16</v>
      </c>
      <c r="C22" s="71">
        <v>38</v>
      </c>
      <c r="D22" s="71">
        <v>334</v>
      </c>
      <c r="E22" s="117">
        <v>20279.999999998836</v>
      </c>
      <c r="F22" s="117">
        <v>22055899.319998737</v>
      </c>
      <c r="G22" s="114">
        <v>4159.9999999998545</v>
      </c>
      <c r="H22" s="114">
        <v>6786430.559999763</v>
      </c>
      <c r="I22" s="105">
        <f>F22+H22</f>
        <v>28842329.879998501</v>
      </c>
      <c r="J22" s="114">
        <v>1879.9999999996544</v>
      </c>
      <c r="K22" s="114">
        <v>2044629.7199996242</v>
      </c>
      <c r="L22" s="114">
        <v>460.00000000003638</v>
      </c>
      <c r="M22" s="117">
        <v>750422.61000005936</v>
      </c>
      <c r="N22" s="107">
        <f>K22+M22</f>
        <v>2795052.3299996834</v>
      </c>
      <c r="O22" s="105">
        <f>I22+N22</f>
        <v>31637382.209998183</v>
      </c>
      <c r="P22" s="107">
        <f>E22+G22+J22+L22</f>
        <v>26779.999999998381</v>
      </c>
      <c r="Q22" s="123">
        <f>R22+T22</f>
        <v>443</v>
      </c>
      <c r="R22" s="124">
        <v>261</v>
      </c>
      <c r="S22" s="124">
        <v>4690216.9800000004</v>
      </c>
      <c r="T22" s="117">
        <v>182</v>
      </c>
      <c r="U22" s="117">
        <v>852637.24</v>
      </c>
      <c r="V22" s="115">
        <f>S22+U22</f>
        <v>5542854.2200000007</v>
      </c>
      <c r="W22" s="126">
        <v>83.661559999987091</v>
      </c>
      <c r="X22" s="112"/>
      <c r="Y22" s="110"/>
      <c r="Z22" s="112">
        <v>50</v>
      </c>
      <c r="AA22" s="112"/>
      <c r="AB22" s="112">
        <v>0</v>
      </c>
      <c r="AC22" s="123">
        <f>W22+X22+Y22+Z22+AA22+AB22</f>
        <v>133.66155999998711</v>
      </c>
      <c r="AD22" s="110">
        <v>1407915.8186798689</v>
      </c>
      <c r="AE22" s="113"/>
      <c r="AF22" s="129">
        <v>404.70000000001164</v>
      </c>
      <c r="AG22" s="131">
        <v>0</v>
      </c>
      <c r="AH22" s="130">
        <f>AF22+AG22</f>
        <v>404.70000000001164</v>
      </c>
      <c r="AI22" s="133">
        <v>3520890.0000001015</v>
      </c>
      <c r="AJ22" s="21"/>
    </row>
    <row r="23" spans="1:36" ht="15">
      <c r="A23" s="19"/>
      <c r="B23" s="81">
        <v>17</v>
      </c>
      <c r="C23" s="71">
        <v>35</v>
      </c>
      <c r="D23" s="71">
        <v>319</v>
      </c>
      <c r="E23" s="117">
        <v>19320.000000006985</v>
      </c>
      <c r="F23" s="117">
        <v>21011833.080007598</v>
      </c>
      <c r="G23" s="114">
        <v>4160.0000000034925</v>
      </c>
      <c r="H23" s="114">
        <v>6786430.5600056974</v>
      </c>
      <c r="I23" s="105">
        <f>F23+H23</f>
        <v>27798263.640013296</v>
      </c>
      <c r="J23" s="114">
        <v>1920.0000000000728</v>
      </c>
      <c r="K23" s="114">
        <v>2088132.4800000791</v>
      </c>
      <c r="L23" s="114">
        <v>440.00000000005457</v>
      </c>
      <c r="M23" s="117">
        <v>717795.54000008909</v>
      </c>
      <c r="N23" s="107">
        <f>K23+M23</f>
        <v>2805928.0200001681</v>
      </c>
      <c r="O23" s="105">
        <f>I23+N23</f>
        <v>30604191.660013463</v>
      </c>
      <c r="P23" s="107">
        <f>E23+G23+J23+L23</f>
        <v>25840.000000010605</v>
      </c>
      <c r="Q23" s="123">
        <f>R23+T23</f>
        <v>467</v>
      </c>
      <c r="R23" s="124">
        <v>281</v>
      </c>
      <c r="S23" s="124">
        <v>5049620.58</v>
      </c>
      <c r="T23" s="117">
        <v>186</v>
      </c>
      <c r="U23" s="117">
        <v>871376.5199999999</v>
      </c>
      <c r="V23" s="115">
        <f>S23+U23</f>
        <v>5920997.0999999996</v>
      </c>
      <c r="W23" s="126">
        <v>101.90840000001171</v>
      </c>
      <c r="X23" s="112"/>
      <c r="Y23" s="110"/>
      <c r="Z23" s="112"/>
      <c r="AA23" s="112"/>
      <c r="AB23" s="112">
        <v>0</v>
      </c>
      <c r="AC23" s="123">
        <f>W23+X23+Y23+Z23+AA23+AB23</f>
        <v>101.90840000001171</v>
      </c>
      <c r="AD23" s="110">
        <v>1034675.9852001189</v>
      </c>
      <c r="AE23" s="113"/>
      <c r="AF23" s="129">
        <v>530.09999999994761</v>
      </c>
      <c r="AG23" s="131">
        <v>0</v>
      </c>
      <c r="AH23" s="130">
        <f>AF23+AG23</f>
        <v>530.09999999994761</v>
      </c>
      <c r="AI23" s="133">
        <v>4611869.9999995446</v>
      </c>
      <c r="AJ23" s="21"/>
    </row>
    <row r="24" spans="1:36" ht="15">
      <c r="A24" s="19"/>
      <c r="B24" s="64">
        <v>18</v>
      </c>
      <c r="C24" s="71">
        <v>40</v>
      </c>
      <c r="D24" s="71">
        <v>314</v>
      </c>
      <c r="E24" s="117">
        <v>20759.999999980209</v>
      </c>
      <c r="F24" s="117">
        <v>22577932.439978477</v>
      </c>
      <c r="G24" s="114">
        <v>4239.9999999979627</v>
      </c>
      <c r="H24" s="114">
        <v>6916938.8399966769</v>
      </c>
      <c r="I24" s="105">
        <f>F24+H24</f>
        <v>29494871.279975154</v>
      </c>
      <c r="J24" s="114">
        <v>1880.0000000001091</v>
      </c>
      <c r="K24" s="118">
        <v>2044629.7200001187</v>
      </c>
      <c r="L24" s="114">
        <v>439.99999999994088</v>
      </c>
      <c r="M24" s="117">
        <v>717795.53999990365</v>
      </c>
      <c r="N24" s="107">
        <f>K24+M24</f>
        <v>2762425.2600000221</v>
      </c>
      <c r="O24" s="105">
        <f>I24+N24</f>
        <v>32257296.539975174</v>
      </c>
      <c r="P24" s="107">
        <f>E24+G24+J24+L24</f>
        <v>27319.999999978223</v>
      </c>
      <c r="Q24" s="123">
        <f>R24+T24</f>
        <v>448</v>
      </c>
      <c r="R24" s="124">
        <v>263</v>
      </c>
      <c r="S24" s="124">
        <v>4726157.34</v>
      </c>
      <c r="T24" s="117">
        <v>185</v>
      </c>
      <c r="U24" s="117">
        <v>866691.7</v>
      </c>
      <c r="V24" s="115">
        <f>S24+U24</f>
        <v>5592849.04</v>
      </c>
      <c r="W24" s="126">
        <v>93.288479999984744</v>
      </c>
      <c r="X24" s="112">
        <v>250</v>
      </c>
      <c r="Y24" s="110"/>
      <c r="Z24" s="112"/>
      <c r="AA24" s="112"/>
      <c r="AB24" s="112">
        <v>24</v>
      </c>
      <c r="AC24" s="123">
        <f>W24+X24+Y24+Z24+AA24+AB24</f>
        <v>367.28847999998476</v>
      </c>
      <c r="AD24" s="110">
        <v>4018657.9374398449</v>
      </c>
      <c r="AE24" s="113"/>
      <c r="AF24" s="129">
        <v>551.90000000002328</v>
      </c>
      <c r="AG24" s="131">
        <v>0</v>
      </c>
      <c r="AH24" s="130">
        <f>AF24+AG24</f>
        <v>551.90000000002328</v>
      </c>
      <c r="AI24" s="133">
        <v>4801530.000000203</v>
      </c>
      <c r="AJ24" s="21"/>
    </row>
    <row r="25" spans="1:36" ht="15">
      <c r="A25" s="19"/>
      <c r="B25" s="81">
        <v>19</v>
      </c>
      <c r="C25" s="71">
        <v>39</v>
      </c>
      <c r="D25" s="71">
        <v>342</v>
      </c>
      <c r="E25" s="117">
        <v>20000</v>
      </c>
      <c r="F25" s="117">
        <v>21751380</v>
      </c>
      <c r="G25" s="114">
        <v>3920.0000000018917</v>
      </c>
      <c r="H25" s="114">
        <v>6394905.7200030871</v>
      </c>
      <c r="I25" s="105">
        <f>F25+H25</f>
        <v>28146285.720003087</v>
      </c>
      <c r="J25" s="114">
        <v>1920.0000000000728</v>
      </c>
      <c r="K25" s="114">
        <v>2088132.4800000791</v>
      </c>
      <c r="L25" s="114">
        <v>460.00000000003638</v>
      </c>
      <c r="M25" s="117">
        <v>750422.61000005936</v>
      </c>
      <c r="N25" s="107">
        <f>K25+M25</f>
        <v>2838555.0900001386</v>
      </c>
      <c r="O25" s="105">
        <f>I25+N25</f>
        <v>30984840.810003225</v>
      </c>
      <c r="P25" s="107">
        <f>E25+G25+J25+L25</f>
        <v>26300.000000002001</v>
      </c>
      <c r="Q25" s="123">
        <f>R25+T25</f>
        <v>471</v>
      </c>
      <c r="R25" s="124">
        <v>287</v>
      </c>
      <c r="S25" s="124">
        <v>5157441.66</v>
      </c>
      <c r="T25" s="117">
        <v>184</v>
      </c>
      <c r="U25" s="117">
        <v>862006.87999999989</v>
      </c>
      <c r="V25" s="115">
        <f>S25+U25</f>
        <v>6019448.54</v>
      </c>
      <c r="W25" s="126">
        <v>90.186919999997642</v>
      </c>
      <c r="X25" s="112"/>
      <c r="Y25" s="110"/>
      <c r="Z25" s="112"/>
      <c r="AA25" s="112"/>
      <c r="AB25" s="112">
        <v>0</v>
      </c>
      <c r="AC25" s="123">
        <f>W25+X25+Y25+Z25+AA25+AB25</f>
        <v>90.186919999997642</v>
      </c>
      <c r="AD25" s="110">
        <v>915667.79875997605</v>
      </c>
      <c r="AE25" s="113"/>
      <c r="AF25" s="129">
        <v>714.90000000005239</v>
      </c>
      <c r="AG25" s="131">
        <v>63.400000000000318</v>
      </c>
      <c r="AH25" s="130">
        <f>AF25+AG25</f>
        <v>778.30000000005271</v>
      </c>
      <c r="AI25" s="133">
        <v>6771210.0000004582</v>
      </c>
      <c r="AJ25" s="21"/>
    </row>
    <row r="26" spans="1:36" ht="15">
      <c r="A26" s="19"/>
      <c r="B26" s="64">
        <v>20</v>
      </c>
      <c r="C26" s="71">
        <v>38</v>
      </c>
      <c r="D26" s="71">
        <v>469</v>
      </c>
      <c r="E26" s="117">
        <v>20200.000000011642</v>
      </c>
      <c r="F26" s="117">
        <v>21968893.800012663</v>
      </c>
      <c r="G26" s="114">
        <v>4079.9999999981083</v>
      </c>
      <c r="H26" s="114">
        <v>6655922.2799969148</v>
      </c>
      <c r="I26" s="105">
        <f>F26+H26</f>
        <v>28624816.08000958</v>
      </c>
      <c r="J26" s="114">
        <v>1840.0000000001455</v>
      </c>
      <c r="K26" s="114">
        <v>2001126.9600001583</v>
      </c>
      <c r="L26" s="114">
        <v>480.00000000001819</v>
      </c>
      <c r="M26" s="117">
        <v>783049.68000002974</v>
      </c>
      <c r="N26" s="107">
        <f>K26+M26</f>
        <v>2784176.6400001878</v>
      </c>
      <c r="O26" s="105">
        <f>I26+N26</f>
        <v>31408992.720009767</v>
      </c>
      <c r="P26" s="107">
        <f>E26+G26+J26+L26</f>
        <v>26600.000000009913</v>
      </c>
      <c r="Q26" s="123">
        <f>R26+T26</f>
        <v>453</v>
      </c>
      <c r="R26" s="124">
        <v>264</v>
      </c>
      <c r="S26" s="124">
        <v>4744127.5200000005</v>
      </c>
      <c r="T26" s="117">
        <v>189</v>
      </c>
      <c r="U26" s="117">
        <v>885430.98</v>
      </c>
      <c r="V26" s="115">
        <f>S26+U26</f>
        <v>5629558.5</v>
      </c>
      <c r="W26" s="126">
        <v>97.07480000002343</v>
      </c>
      <c r="X26" s="112"/>
      <c r="Y26" s="110"/>
      <c r="Z26" s="112"/>
      <c r="AA26" s="112"/>
      <c r="AB26" s="112">
        <v>0</v>
      </c>
      <c r="AC26" s="123">
        <f>W26+X26+Y26+Z26+AA26+AB26</f>
        <v>97.07480000002343</v>
      </c>
      <c r="AD26" s="110">
        <v>985600.44440023787</v>
      </c>
      <c r="AE26" s="113"/>
      <c r="AF26" s="129">
        <v>555.09999999994761</v>
      </c>
      <c r="AG26" s="131">
        <v>696.10000000000014</v>
      </c>
      <c r="AH26" s="130">
        <f>AF26+AG26</f>
        <v>1251.1999999999477</v>
      </c>
      <c r="AI26" s="133">
        <v>10885439.999999546</v>
      </c>
      <c r="AJ26" s="21"/>
    </row>
    <row r="27" spans="1:36" ht="15">
      <c r="A27" s="19"/>
      <c r="B27" s="81">
        <v>21</v>
      </c>
      <c r="C27" s="65">
        <v>31</v>
      </c>
      <c r="D27" s="65">
        <v>414</v>
      </c>
      <c r="E27" s="124">
        <v>19600.000000005821</v>
      </c>
      <c r="F27" s="124">
        <v>21316352.400006332</v>
      </c>
      <c r="G27" s="111">
        <v>3920.0000000018917</v>
      </c>
      <c r="H27" s="111">
        <v>6394905.7200030871</v>
      </c>
      <c r="I27" s="105">
        <f>F27+H27</f>
        <v>27711258.120009419</v>
      </c>
      <c r="J27" s="158">
        <v>2079.9999999999272</v>
      </c>
      <c r="K27" s="158">
        <v>2262143.5199999209</v>
      </c>
      <c r="L27" s="120">
        <v>479.9999999999045</v>
      </c>
      <c r="M27" s="122">
        <v>783049.67999984429</v>
      </c>
      <c r="N27" s="107">
        <f>K27+M27</f>
        <v>3045193.199999765</v>
      </c>
      <c r="O27" s="105">
        <f>I27+N27</f>
        <v>30756451.320009183</v>
      </c>
      <c r="P27" s="107">
        <f>E27+G27+J27+L27</f>
        <v>26080.000000007545</v>
      </c>
      <c r="Q27" s="123">
        <f>R27+T27</f>
        <v>823.90000000000146</v>
      </c>
      <c r="R27" s="124">
        <v>315</v>
      </c>
      <c r="S27" s="124">
        <v>5660606.7000000002</v>
      </c>
      <c r="T27" s="117">
        <v>508.90000000000146</v>
      </c>
      <c r="U27" s="117">
        <v>2384104.8980000066</v>
      </c>
      <c r="V27" s="115">
        <f>S27+U27</f>
        <v>8044711.5980000068</v>
      </c>
      <c r="W27" s="126">
        <v>75.36387999999647</v>
      </c>
      <c r="X27" s="112"/>
      <c r="Y27" s="110">
        <v>400</v>
      </c>
      <c r="Z27" s="112"/>
      <c r="AA27" s="112"/>
      <c r="AB27" s="112">
        <v>12</v>
      </c>
      <c r="AC27" s="123">
        <f>W27+X27+Y27+Z27+AA27+AB27</f>
        <v>487.36387999999647</v>
      </c>
      <c r="AD27" s="110">
        <v>5372669.4736399641</v>
      </c>
      <c r="AE27" s="113"/>
      <c r="AF27" s="129">
        <v>456.69999999998254</v>
      </c>
      <c r="AG27" s="131">
        <v>0</v>
      </c>
      <c r="AH27" s="130">
        <f>AF27+AG27</f>
        <v>456.69999999998254</v>
      </c>
      <c r="AI27" s="133">
        <v>3973289.9999998482</v>
      </c>
      <c r="AJ27" s="21"/>
    </row>
    <row r="28" spans="1:36" ht="15">
      <c r="A28" s="19"/>
      <c r="B28" s="64">
        <v>22</v>
      </c>
      <c r="C28" s="65">
        <v>35</v>
      </c>
      <c r="D28" s="65">
        <v>398</v>
      </c>
      <c r="E28" s="124">
        <v>20199.999999982538</v>
      </c>
      <c r="F28" s="124">
        <v>21968893.799981009</v>
      </c>
      <c r="G28" s="111">
        <v>4079.9999999981083</v>
      </c>
      <c r="H28" s="111">
        <v>6655922.2799969148</v>
      </c>
      <c r="I28" s="105">
        <f>F28+H28</f>
        <v>28624816.079977922</v>
      </c>
      <c r="J28" s="158">
        <v>2019.9999999999818</v>
      </c>
      <c r="K28" s="158">
        <v>2196889.3799999803</v>
      </c>
      <c r="L28" s="120">
        <v>500</v>
      </c>
      <c r="M28" s="122">
        <v>815676.75</v>
      </c>
      <c r="N28" s="107">
        <f>K28+M28</f>
        <v>3012566.1299999803</v>
      </c>
      <c r="O28" s="105">
        <f>I28+N28</f>
        <v>31637382.209977902</v>
      </c>
      <c r="P28" s="107">
        <f>E28+G28+J28+L28</f>
        <v>26799.999999980628</v>
      </c>
      <c r="Q28" s="123">
        <f>R28+T28</f>
        <v>630.5</v>
      </c>
      <c r="R28" s="124">
        <v>268</v>
      </c>
      <c r="S28" s="124">
        <v>4816008.24</v>
      </c>
      <c r="T28" s="117">
        <v>362.5</v>
      </c>
      <c r="U28" s="117">
        <v>1698247.25</v>
      </c>
      <c r="V28" s="115">
        <f>S28+U28</f>
        <v>6514255.4900000002</v>
      </c>
      <c r="W28" s="126">
        <v>100.57916000000468</v>
      </c>
      <c r="X28" s="112"/>
      <c r="Y28" s="110"/>
      <c r="Z28" s="112">
        <v>50</v>
      </c>
      <c r="AA28" s="112"/>
      <c r="AB28" s="112">
        <v>36</v>
      </c>
      <c r="AC28" s="123">
        <f>W28+X28+Y28+Z28+AA28+AB28</f>
        <v>186.57916000000466</v>
      </c>
      <c r="AD28" s="110">
        <v>1998180.2114800476</v>
      </c>
      <c r="AE28" s="113"/>
      <c r="AF28" s="129">
        <v>658.60000000000582</v>
      </c>
      <c r="AG28" s="131">
        <v>0</v>
      </c>
      <c r="AH28" s="130">
        <f>AF28+AG28</f>
        <v>658.60000000000582</v>
      </c>
      <c r="AI28" s="133">
        <v>5729820.0000000503</v>
      </c>
      <c r="AJ28" s="21"/>
    </row>
    <row r="29" spans="1:36" ht="15">
      <c r="A29" s="19"/>
      <c r="B29" s="81">
        <v>23</v>
      </c>
      <c r="C29" s="65">
        <v>54</v>
      </c>
      <c r="D29" s="65">
        <v>432</v>
      </c>
      <c r="E29" s="124">
        <v>19559.999999997672</v>
      </c>
      <c r="F29" s="124">
        <v>21272849.639997467</v>
      </c>
      <c r="G29" s="111">
        <v>4200.0000000007276</v>
      </c>
      <c r="H29" s="111">
        <v>6851684.7000011876</v>
      </c>
      <c r="I29" s="105">
        <f>F29+H29</f>
        <v>28124534.339998655</v>
      </c>
      <c r="J29" s="158">
        <v>2039.9999999999636</v>
      </c>
      <c r="K29" s="158">
        <v>2218640.7599999607</v>
      </c>
      <c r="L29" s="120">
        <v>500</v>
      </c>
      <c r="M29" s="122">
        <v>815676.75</v>
      </c>
      <c r="N29" s="107">
        <f>K29+M29</f>
        <v>3034317.5099999607</v>
      </c>
      <c r="O29" s="105">
        <f>I29+N29</f>
        <v>31158851.849998616</v>
      </c>
      <c r="P29" s="107">
        <f>E29+G29+J29+L29</f>
        <v>26299.999999998363</v>
      </c>
      <c r="Q29" s="123">
        <f>R29+T29</f>
        <v>651.20000000000437</v>
      </c>
      <c r="R29" s="124">
        <v>253</v>
      </c>
      <c r="S29" s="124">
        <v>4546455.54</v>
      </c>
      <c r="T29" s="117">
        <v>398.20000000000437</v>
      </c>
      <c r="U29" s="117">
        <v>1865495.3240000203</v>
      </c>
      <c r="V29" s="115">
        <f>S29+U29</f>
        <v>6411950.8640000205</v>
      </c>
      <c r="W29" s="126">
        <v>107.8295599999871</v>
      </c>
      <c r="X29" s="112"/>
      <c r="Y29" s="110"/>
      <c r="Z29" s="112"/>
      <c r="AA29" s="112"/>
      <c r="AB29" s="112">
        <v>0</v>
      </c>
      <c r="AC29" s="123">
        <f>W29+X29+Y29+Z29+AA29+AB29</f>
        <v>107.8295599999871</v>
      </c>
      <c r="AD29" s="110">
        <v>1094793.5226798691</v>
      </c>
      <c r="AE29" s="113"/>
      <c r="AF29" s="129">
        <v>500</v>
      </c>
      <c r="AG29" s="131">
        <v>0</v>
      </c>
      <c r="AH29" s="130">
        <f>AF29+AG29</f>
        <v>500</v>
      </c>
      <c r="AI29" s="133">
        <v>4350000</v>
      </c>
      <c r="AJ29" s="21"/>
    </row>
    <row r="30" spans="1:36" ht="15">
      <c r="A30" s="19"/>
      <c r="B30" s="64">
        <v>24</v>
      </c>
      <c r="C30" s="65">
        <v>52</v>
      </c>
      <c r="D30" s="65">
        <v>431</v>
      </c>
      <c r="E30" s="124">
        <v>18960.000000020955</v>
      </c>
      <c r="F30" s="124">
        <v>20620308.24002279</v>
      </c>
      <c r="G30" s="111">
        <v>4079.9999999981083</v>
      </c>
      <c r="H30" s="111">
        <v>6655922.2799969148</v>
      </c>
      <c r="I30" s="105">
        <f>F30+H30</f>
        <v>27276230.520019703</v>
      </c>
      <c r="J30" s="158">
        <v>2420.0000000000728</v>
      </c>
      <c r="K30" s="158">
        <v>2631916.9800000791</v>
      </c>
      <c r="L30" s="120">
        <v>460.00000000003638</v>
      </c>
      <c r="M30" s="122">
        <v>750422.61000005936</v>
      </c>
      <c r="N30" s="107">
        <f>K30+M30</f>
        <v>3382339.5900001386</v>
      </c>
      <c r="O30" s="105">
        <f>I30+N30</f>
        <v>30658570.11001984</v>
      </c>
      <c r="P30" s="107">
        <f>E30+G30+J30+L30</f>
        <v>25920.000000019172</v>
      </c>
      <c r="Q30" s="123">
        <f>R30+T30</f>
        <v>855.39999999999418</v>
      </c>
      <c r="R30" s="124">
        <v>277</v>
      </c>
      <c r="S30" s="124">
        <v>4977739.8600000003</v>
      </c>
      <c r="T30" s="117">
        <v>578.39999999999418</v>
      </c>
      <c r="U30" s="117">
        <v>2709699.8879999728</v>
      </c>
      <c r="V30" s="115">
        <f>S30+U30</f>
        <v>7687439.7479999736</v>
      </c>
      <c r="W30" s="126">
        <v>136.67004000000117</v>
      </c>
      <c r="X30" s="112">
        <v>250</v>
      </c>
      <c r="Y30" s="110"/>
      <c r="Z30" s="112"/>
      <c r="AA30" s="112"/>
      <c r="AB30" s="112">
        <v>36</v>
      </c>
      <c r="AC30" s="123">
        <f>W30+X30+Y30+Z30+AA30+AB30</f>
        <v>422.67004000000117</v>
      </c>
      <c r="AD30" s="110">
        <v>4598610.9161200114</v>
      </c>
      <c r="AE30" s="113"/>
      <c r="AF30" s="129">
        <v>444.10000000003492</v>
      </c>
      <c r="AG30" s="131">
        <v>0</v>
      </c>
      <c r="AH30" s="130">
        <f>AF30+AG30</f>
        <v>444.10000000003492</v>
      </c>
      <c r="AI30" s="133">
        <v>3863670.0000003036</v>
      </c>
      <c r="AJ30" s="21"/>
    </row>
    <row r="31" spans="1:36" ht="15">
      <c r="A31" s="19"/>
      <c r="B31" s="81">
        <v>25</v>
      </c>
      <c r="C31" s="65">
        <v>50</v>
      </c>
      <c r="D31" s="65">
        <v>351</v>
      </c>
      <c r="E31" s="124">
        <v>20319.999999977881</v>
      </c>
      <c r="F31" s="124">
        <v>22099402.079975948</v>
      </c>
      <c r="G31" s="111">
        <v>3880.0000000010186</v>
      </c>
      <c r="H31" s="111">
        <v>6329651.5800016625</v>
      </c>
      <c r="I31" s="105">
        <f>F31+H31</f>
        <v>28429053.659977611</v>
      </c>
      <c r="J31" s="158">
        <v>1460.0000000000364</v>
      </c>
      <c r="K31" s="158">
        <v>1587850.7400000396</v>
      </c>
      <c r="L31" s="120">
        <v>500</v>
      </c>
      <c r="M31" s="122">
        <v>815676.75</v>
      </c>
      <c r="N31" s="107">
        <f>K31+M31</f>
        <v>2403527.4900000393</v>
      </c>
      <c r="O31" s="105">
        <f>I31+N31</f>
        <v>30832581.14997765</v>
      </c>
      <c r="P31" s="107">
        <f>E31+G31+J31+L31</f>
        <v>26159.999999978936</v>
      </c>
      <c r="Q31" s="123">
        <f>R31+T31</f>
        <v>840.80000000000291</v>
      </c>
      <c r="R31" s="124">
        <v>267</v>
      </c>
      <c r="S31" s="124">
        <v>4798038.0600000005</v>
      </c>
      <c r="T31" s="117">
        <v>573.80000000000291</v>
      </c>
      <c r="U31" s="117">
        <v>2688149.7160000135</v>
      </c>
      <c r="V31" s="115">
        <f>S31+U31</f>
        <v>7486187.7760000136</v>
      </c>
      <c r="W31" s="126">
        <v>91.959240000007028</v>
      </c>
      <c r="X31" s="112"/>
      <c r="Y31" s="110"/>
      <c r="Z31" s="112"/>
      <c r="AA31" s="112"/>
      <c r="AB31" s="112">
        <v>0</v>
      </c>
      <c r="AC31" s="123">
        <f>W31+X31+Y31+Z31+AA31+AB31</f>
        <v>91.959240000007028</v>
      </c>
      <c r="AD31" s="110">
        <v>933662.16372007132</v>
      </c>
      <c r="AE31" s="113"/>
      <c r="AF31" s="129">
        <v>628.69999999995343</v>
      </c>
      <c r="AG31" s="131">
        <v>0</v>
      </c>
      <c r="AH31" s="130">
        <f>AF31+AG31</f>
        <v>628.69999999995343</v>
      </c>
      <c r="AI31" s="133">
        <v>5469689.9999995949</v>
      </c>
      <c r="AJ31" s="21"/>
    </row>
    <row r="32" spans="1:36" ht="15">
      <c r="A32" s="19"/>
      <c r="B32" s="64">
        <v>26</v>
      </c>
      <c r="C32" s="65">
        <v>51</v>
      </c>
      <c r="D32" s="65">
        <v>420</v>
      </c>
      <c r="E32" s="124">
        <v>20000</v>
      </c>
      <c r="F32" s="124">
        <v>21751380</v>
      </c>
      <c r="G32" s="111">
        <v>4080.0000000017462</v>
      </c>
      <c r="H32" s="111">
        <v>6655922.2800028492</v>
      </c>
      <c r="I32" s="105">
        <f>F32+H32</f>
        <v>28407302.280002847</v>
      </c>
      <c r="J32" s="158">
        <v>1839.9999999996908</v>
      </c>
      <c r="K32" s="158">
        <v>2001126.9599996638</v>
      </c>
      <c r="L32" s="120">
        <v>480.00000000001819</v>
      </c>
      <c r="M32" s="122">
        <v>783049.68000002974</v>
      </c>
      <c r="N32" s="107">
        <f>K32+M32</f>
        <v>2784176.6399996933</v>
      </c>
      <c r="O32" s="105">
        <f>I32+N32</f>
        <v>31191478.920002542</v>
      </c>
      <c r="P32" s="107">
        <f>E32+G32+J32+L32</f>
        <v>26400.000000001455</v>
      </c>
      <c r="Q32" s="123">
        <f>R32+T32</f>
        <v>465</v>
      </c>
      <c r="R32" s="124">
        <v>263</v>
      </c>
      <c r="S32" s="124">
        <v>4726157.34</v>
      </c>
      <c r="T32" s="117">
        <v>202</v>
      </c>
      <c r="U32" s="117">
        <v>946333.6399999999</v>
      </c>
      <c r="V32" s="115">
        <f>S32+U32</f>
        <v>5672490.9799999995</v>
      </c>
      <c r="W32" s="126">
        <v>91.032799999994126</v>
      </c>
      <c r="X32" s="112"/>
      <c r="Y32" s="110">
        <v>400</v>
      </c>
      <c r="Z32" s="112"/>
      <c r="AA32" s="112"/>
      <c r="AB32" s="112">
        <v>12</v>
      </c>
      <c r="AC32" s="123">
        <f>W32+X32+Y32+Z32+AA32+AB32</f>
        <v>503.03279999999415</v>
      </c>
      <c r="AD32" s="110">
        <v>5531756.0183999408</v>
      </c>
      <c r="AE32" s="113"/>
      <c r="AF32" s="129">
        <v>598.60000000000582</v>
      </c>
      <c r="AG32" s="131">
        <v>0</v>
      </c>
      <c r="AH32" s="130">
        <f>AF32+AG32</f>
        <v>598.60000000000582</v>
      </c>
      <c r="AI32" s="133">
        <v>5207820.0000000503</v>
      </c>
      <c r="AJ32" s="21"/>
    </row>
    <row r="33" spans="1:36" ht="15">
      <c r="A33" s="19"/>
      <c r="B33" s="81">
        <v>27</v>
      </c>
      <c r="C33" s="65">
        <v>78</v>
      </c>
      <c r="D33" s="65">
        <v>559</v>
      </c>
      <c r="E33" s="124">
        <v>20200.000000011642</v>
      </c>
      <c r="F33" s="124">
        <v>21968893.800012663</v>
      </c>
      <c r="G33" s="111">
        <v>4159.9999999998545</v>
      </c>
      <c r="H33" s="111">
        <v>6786430.559999763</v>
      </c>
      <c r="I33" s="105">
        <f>F33+H33</f>
        <v>28755324.360012427</v>
      </c>
      <c r="J33" s="158">
        <v>2039.9999999999636</v>
      </c>
      <c r="K33" s="158">
        <v>2218640.7599999607</v>
      </c>
      <c r="L33" s="120">
        <v>480.00000000001819</v>
      </c>
      <c r="M33" s="122">
        <v>783049.68000002974</v>
      </c>
      <c r="N33" s="107">
        <f>K33+M33</f>
        <v>3001690.4399999902</v>
      </c>
      <c r="O33" s="105">
        <f>I33+N33</f>
        <v>31757014.800012417</v>
      </c>
      <c r="P33" s="107">
        <f>E33+G33+J33+L33</f>
        <v>26880.000000011478</v>
      </c>
      <c r="Q33" s="123">
        <f>R33+T33</f>
        <v>795</v>
      </c>
      <c r="R33" s="124">
        <v>202</v>
      </c>
      <c r="S33" s="124">
        <v>3629976.36</v>
      </c>
      <c r="T33" s="117">
        <v>593</v>
      </c>
      <c r="U33" s="117">
        <v>2778098.26</v>
      </c>
      <c r="V33" s="115">
        <f>S33+U33</f>
        <v>6408074.6199999992</v>
      </c>
      <c r="W33" s="126">
        <v>119.47047999998475</v>
      </c>
      <c r="X33" s="112"/>
      <c r="Y33" s="110"/>
      <c r="Z33" s="112"/>
      <c r="AA33" s="112"/>
      <c r="AB33" s="112">
        <v>36</v>
      </c>
      <c r="AC33" s="123">
        <f>W33+X33+Y33+Z33+AA33+AB33</f>
        <v>155.47047999998475</v>
      </c>
      <c r="AD33" s="110">
        <v>1631483.7834398451</v>
      </c>
      <c r="AE33" s="113"/>
      <c r="AF33" s="129">
        <v>695.80000000001746</v>
      </c>
      <c r="AG33" s="131">
        <v>0</v>
      </c>
      <c r="AH33" s="130">
        <f>AF33+AG33</f>
        <v>695.80000000001746</v>
      </c>
      <c r="AI33" s="133">
        <v>6053460.0000001518</v>
      </c>
      <c r="AJ33" s="21"/>
    </row>
    <row r="34" spans="1:36" ht="15">
      <c r="A34" s="19"/>
      <c r="B34" s="64">
        <v>28</v>
      </c>
      <c r="C34" s="65">
        <v>96</v>
      </c>
      <c r="D34" s="65">
        <v>684</v>
      </c>
      <c r="E34" s="124">
        <v>19519.999999989523</v>
      </c>
      <c r="F34" s="124">
        <v>21229346.879988603</v>
      </c>
      <c r="G34" s="111">
        <v>4119.9999999989814</v>
      </c>
      <c r="H34" s="111">
        <v>6721176.4199983394</v>
      </c>
      <c r="I34" s="105">
        <f>F34+H34</f>
        <v>27950523.299986944</v>
      </c>
      <c r="J34" s="158">
        <v>2080.000000000382</v>
      </c>
      <c r="K34" s="158">
        <v>2262143.5200004154</v>
      </c>
      <c r="L34" s="120">
        <v>500</v>
      </c>
      <c r="M34" s="122">
        <v>815676.75</v>
      </c>
      <c r="N34" s="107">
        <f>K34+M34</f>
        <v>3077820.2700004154</v>
      </c>
      <c r="O34" s="105">
        <f>I34+N34</f>
        <v>31028343.56998736</v>
      </c>
      <c r="P34" s="107">
        <f>E34+G34+J34+L34</f>
        <v>26219.999999988886</v>
      </c>
      <c r="Q34" s="123">
        <f>R34+T34</f>
        <v>817</v>
      </c>
      <c r="R34" s="124">
        <v>360</v>
      </c>
      <c r="S34" s="124">
        <v>6469264.7999999998</v>
      </c>
      <c r="T34" s="117">
        <v>457</v>
      </c>
      <c r="U34" s="117">
        <v>2140962.7399999998</v>
      </c>
      <c r="V34" s="115">
        <f>S34+U34</f>
        <v>8610227.5399999991</v>
      </c>
      <c r="W34" s="126">
        <v>101.82784000002461</v>
      </c>
      <c r="X34" s="112"/>
      <c r="Y34" s="110"/>
      <c r="Z34" s="112">
        <v>50</v>
      </c>
      <c r="AA34" s="112"/>
      <c r="AB34" s="112">
        <v>12</v>
      </c>
      <c r="AC34" s="123">
        <f>W34+X34+Y34+Z34+AA34+AB34</f>
        <v>163.82784000002459</v>
      </c>
      <c r="AD34" s="110">
        <v>1731858.0595202497</v>
      </c>
      <c r="AE34" s="113"/>
      <c r="AF34" s="129">
        <v>746.80000000007567</v>
      </c>
      <c r="AG34" s="131">
        <v>0</v>
      </c>
      <c r="AH34" s="130">
        <f>AF34+AG34</f>
        <v>746.80000000007567</v>
      </c>
      <c r="AI34" s="133">
        <v>6497160.0000006584</v>
      </c>
      <c r="AJ34" s="21"/>
    </row>
    <row r="35" spans="1:36" ht="15">
      <c r="A35" s="19"/>
      <c r="B35" s="81">
        <v>29</v>
      </c>
      <c r="C35" s="65">
        <v>98</v>
      </c>
      <c r="D35" s="65">
        <v>720</v>
      </c>
      <c r="E35" s="124">
        <v>19760.000000009313</v>
      </c>
      <c r="F35" s="124">
        <v>21490363.44001013</v>
      </c>
      <c r="G35" s="111">
        <v>4079.9999999981083</v>
      </c>
      <c r="H35" s="111">
        <v>6655922.2799969148</v>
      </c>
      <c r="I35" s="105">
        <f>F35+H35</f>
        <v>28146285.720007047</v>
      </c>
      <c r="J35" s="158">
        <v>2179.9999999998363</v>
      </c>
      <c r="K35" s="158">
        <v>2370900.419999822</v>
      </c>
      <c r="L35" s="120">
        <v>519.99999999998181</v>
      </c>
      <c r="M35" s="122">
        <v>848303.81999997038</v>
      </c>
      <c r="N35" s="107">
        <f>K35+M35</f>
        <v>3219204.2399997925</v>
      </c>
      <c r="O35" s="105">
        <f>I35+N35</f>
        <v>31365489.960006841</v>
      </c>
      <c r="P35" s="107">
        <f>E35+G35+J35+L35</f>
        <v>26540.00000000724</v>
      </c>
      <c r="Q35" s="123">
        <f>R35+T35</f>
        <v>668.19999999999709</v>
      </c>
      <c r="R35" s="124">
        <v>90</v>
      </c>
      <c r="S35" s="124">
        <v>1617316.2</v>
      </c>
      <c r="T35" s="117">
        <v>578.19999999999709</v>
      </c>
      <c r="U35" s="117">
        <v>2708762.9239999861</v>
      </c>
      <c r="V35" s="115">
        <f>S35+U35</f>
        <v>4326079.1239999859</v>
      </c>
      <c r="W35" s="126">
        <v>122.45119999997654</v>
      </c>
      <c r="X35" s="112"/>
      <c r="Y35" s="110"/>
      <c r="Z35" s="112"/>
      <c r="AA35" s="112"/>
      <c r="AB35" s="112">
        <v>12</v>
      </c>
      <c r="AC35" s="123">
        <f>W35+X35+Y35+Z35+AA35+AB35</f>
        <v>134.45119999997655</v>
      </c>
      <c r="AD35" s="110">
        <v>1382747.0335997618</v>
      </c>
      <c r="AE35" s="113"/>
      <c r="AF35" s="129">
        <v>636.39999999999418</v>
      </c>
      <c r="AG35" s="131">
        <v>0</v>
      </c>
      <c r="AH35" s="130">
        <f>AF35+AG35</f>
        <v>636.39999999999418</v>
      </c>
      <c r="AI35" s="133">
        <v>5536679.9999999497</v>
      </c>
      <c r="AJ35" s="21"/>
    </row>
    <row r="36" spans="1:36" ht="15">
      <c r="A36" s="19"/>
      <c r="B36" s="64">
        <v>30</v>
      </c>
      <c r="C36" s="65">
        <v>96</v>
      </c>
      <c r="D36" s="65">
        <v>695</v>
      </c>
      <c r="E36" s="124">
        <v>29600.000000005821</v>
      </c>
      <c r="F36" s="124">
        <v>32192042.400006332</v>
      </c>
      <c r="G36" s="111">
        <v>4040.0000000008731</v>
      </c>
      <c r="H36" s="111">
        <v>6590668.1400014246</v>
      </c>
      <c r="I36" s="105">
        <f>F36+H36</f>
        <v>38782710.540007755</v>
      </c>
      <c r="J36" s="158">
        <v>3159.9999999998545</v>
      </c>
      <c r="K36" s="158">
        <v>3436718.0399998422</v>
      </c>
      <c r="L36" s="120">
        <v>519.99999999998181</v>
      </c>
      <c r="M36" s="122">
        <v>848303.81999997038</v>
      </c>
      <c r="N36" s="107">
        <f>K36+M36</f>
        <v>4285021.8599998122</v>
      </c>
      <c r="O36" s="105">
        <f>I36+N36</f>
        <v>43067732.400007568</v>
      </c>
      <c r="P36" s="107">
        <f>E36+G36+J36+L36</f>
        <v>37320.000000006534</v>
      </c>
      <c r="Q36" s="123">
        <f>R36+T36</f>
        <v>526.80000000000291</v>
      </c>
      <c r="R36" s="124">
        <v>0</v>
      </c>
      <c r="S36" s="124">
        <v>0</v>
      </c>
      <c r="T36" s="117">
        <v>526.80000000000291</v>
      </c>
      <c r="U36" s="117">
        <v>2467963.1760000135</v>
      </c>
      <c r="V36" s="115">
        <f>S36+U36</f>
        <v>2467963.1760000135</v>
      </c>
      <c r="W36" s="126">
        <v>101.66672000002109</v>
      </c>
      <c r="X36" s="112">
        <v>250</v>
      </c>
      <c r="Y36" s="110"/>
      <c r="Z36" s="112"/>
      <c r="AA36" s="112"/>
      <c r="AB36" s="112">
        <v>0</v>
      </c>
      <c r="AC36" s="123">
        <f>W36+X36+Y36+Z36+AA36+AB36</f>
        <v>351.66672000002109</v>
      </c>
      <c r="AD36" s="110">
        <v>3824722.2081602141</v>
      </c>
      <c r="AE36" s="113"/>
      <c r="AF36" s="129">
        <v>441.59999999988941</v>
      </c>
      <c r="AG36" s="131">
        <v>9.9999999999909051E-2</v>
      </c>
      <c r="AH36" s="130">
        <f>AF36+AG36</f>
        <v>441.69999999988931</v>
      </c>
      <c r="AI36" s="133">
        <v>3842789.999999037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1591</v>
      </c>
      <c r="D42" s="134">
        <f>SUM(D7:D36)</f>
        <v>14752</v>
      </c>
      <c r="E42" s="135">
        <f>SUM(E7:E36)</f>
        <v>592440.00000000233</v>
      </c>
      <c r="F42" s="135">
        <f>SUM(F7:F36)</f>
        <v>644319378.36000252</v>
      </c>
      <c r="G42" s="135">
        <f>SUM(G7:G36)</f>
        <v>122879.99999999738</v>
      </c>
      <c r="H42" s="135">
        <f>SUM(H7:H36)</f>
        <v>200460718.07999569</v>
      </c>
      <c r="I42" s="135">
        <f>SUM(I7:I36)</f>
        <v>844780096.43999815</v>
      </c>
      <c r="J42" s="135">
        <f>SUM(J7:J36)</f>
        <v>58400.000000000102</v>
      </c>
      <c r="K42" s="135">
        <f>SUM(K7:K36)</f>
        <v>63514029.600000098</v>
      </c>
      <c r="L42" s="135">
        <f>SUM(L7:L36)</f>
        <v>13840.000000000033</v>
      </c>
      <c r="M42" s="135">
        <f>SUM(M7:M36)</f>
        <v>22577932.440000053</v>
      </c>
      <c r="N42" s="135">
        <f>SUM(N7:N36)</f>
        <v>86091962.040000141</v>
      </c>
      <c r="O42" s="136">
        <f>SUM(O7:O36)</f>
        <v>930872058.47999871</v>
      </c>
      <c r="P42" s="137">
        <f>SUM(P7:P36)</f>
        <v>787560</v>
      </c>
      <c r="Q42" s="138">
        <f>SUM(Q7:Q36)</f>
        <v>20214</v>
      </c>
      <c r="R42" s="135">
        <f>SUM(R7:R36)</f>
        <v>8118</v>
      </c>
      <c r="S42" s="135">
        <f>SUM(S7:S36)</f>
        <v>145881921.24000001</v>
      </c>
      <c r="T42" s="135">
        <f>SUM(T7:T36)</f>
        <v>12096</v>
      </c>
      <c r="U42" s="135">
        <f>SUM(U7:U36)</f>
        <v>56667582.719999999</v>
      </c>
      <c r="V42" s="139">
        <f>SUM(V8:V37)</f>
        <v>191758942.5</v>
      </c>
      <c r="W42" s="140">
        <f>SUM(W7:W36)</f>
        <v>3016.2066799999898</v>
      </c>
      <c r="X42" s="135">
        <f>SUM(X7:X36)</f>
        <v>1250</v>
      </c>
      <c r="Y42" s="135">
        <f>SUM(Y7:Y36)</f>
        <v>2000</v>
      </c>
      <c r="Z42" s="135">
        <f>SUM(Z7:Z36)</f>
        <v>250</v>
      </c>
      <c r="AA42" s="135">
        <f>SUM(AA7:AA36)</f>
        <v>0</v>
      </c>
      <c r="AB42" s="135">
        <f>SUM(AB7:AB36)</f>
        <v>276</v>
      </c>
      <c r="AC42" s="141">
        <f>SUM(AC7:AC36)</f>
        <v>6792.206679999992</v>
      </c>
      <c r="AD42" s="141">
        <f>SUM(AD7:AD36)</f>
        <v>72927046.422039896</v>
      </c>
      <c r="AE42" s="142">
        <f>SUM(AE8:AE38)</f>
        <v>0</v>
      </c>
      <c r="AF42" s="135">
        <f>SUM(AF7:AF36)</f>
        <v>16295.599999999977</v>
      </c>
      <c r="AG42" s="135">
        <f>SUM(AG7:AG36)</f>
        <v>7103.8000000000011</v>
      </c>
      <c r="AH42" s="143">
        <f>SUM(AH7:AH36)</f>
        <v>23399.399999999976</v>
      </c>
      <c r="AI42" s="143">
        <f>SUM(AI7:AI36)</f>
        <v>203574779.99999982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1181.969701965563</v>
      </c>
      <c r="Q44" s="43"/>
      <c r="R44" s="43"/>
      <c r="S44" s="43"/>
      <c r="T44" s="36"/>
      <c r="U44" s="36"/>
      <c r="V44" s="43">
        <f>V42/Q42</f>
        <v>9486.4421935292376</v>
      </c>
      <c r="W44" s="43"/>
      <c r="X44" s="36"/>
      <c r="Y44" s="43"/>
      <c r="Z44" s="43"/>
      <c r="AA44" s="43"/>
      <c r="AB44" s="43"/>
      <c r="AC44" s="36"/>
      <c r="AD44" s="36">
        <f>AD42/AC42</f>
        <v>10736.870925435382</v>
      </c>
      <c r="AE44" s="40"/>
      <c r="AF44" s="40"/>
      <c r="AG44" s="40"/>
      <c r="AH44" s="40"/>
      <c r="AI44" s="43">
        <f>AI42/AH42</f>
        <v>8700.0000000000018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