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8" i="7" l="1"/>
  <c r="AU9" i="7"/>
  <c r="AU10" i="7"/>
  <c r="AU11" i="7"/>
  <c r="AU12" i="7"/>
  <c r="AU13" i="7"/>
  <c r="AU14" i="7"/>
  <c r="AU7" i="7"/>
  <c r="AY37" i="7" l="1"/>
  <c r="AY38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7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C28" i="7" l="1"/>
  <c r="BC32" i="7"/>
  <c r="BC36" i="7"/>
  <c r="BA47" i="7"/>
  <c r="BA46" i="7"/>
  <c r="BB28" i="7"/>
  <c r="S23" i="9" s="1"/>
  <c r="BB29" i="7"/>
  <c r="S24" i="9" s="1"/>
  <c r="BB30" i="7"/>
  <c r="S25" i="9" s="1"/>
  <c r="BB32" i="7"/>
  <c r="S27" i="9" s="1"/>
  <c r="BB33" i="7"/>
  <c r="S28" i="9" s="1"/>
  <c r="BB34" i="7"/>
  <c r="S29" i="9" s="1"/>
  <c r="BB36" i="7"/>
  <c r="S31" i="9" s="1"/>
  <c r="BB37" i="7"/>
  <c r="S32" i="9" s="1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A28" i="7"/>
  <c r="BA29" i="7"/>
  <c r="BA30" i="7"/>
  <c r="BA31" i="7"/>
  <c r="BB31" i="7" s="1"/>
  <c r="BA32" i="7"/>
  <c r="BA33" i="7"/>
  <c r="BA34" i="7"/>
  <c r="BA35" i="7"/>
  <c r="BB35" i="7" s="1"/>
  <c r="BA36" i="7"/>
  <c r="BA37" i="7"/>
  <c r="BA38" i="7"/>
  <c r="BA7" i="7"/>
  <c r="BB7" i="7" s="1"/>
  <c r="S19" i="9" l="1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<sst xmlns="http://schemas.openxmlformats.org/spreadsheetml/2006/main" count="140" uniqueCount="60">
  <si>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</si>
  <si>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</si>
  <si>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</si>
  <si>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</si>
  <si>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</si>
  <si>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</si>
  <si>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</si>
  <si>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</si>
  <si>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</si>
  <si>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</si>
  <si>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</si>
  <si>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</si>
  <si>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</si>
  <si>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</si>
  <si>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</si>
  <si>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</si>
  <si>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</si>
  <si>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</si>
  <si>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</si>
  <si>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</si>
  <si>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</si>
  <si>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</si>
  <si>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</si>
  <si>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</si>
  <si>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</si>
  <si>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</si>
  <si>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</si>
  <si>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</si>
  <si>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</si>
  <si>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</si>
  <si>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</si>
  <si>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</si>
  <si>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</si>
  <si>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</si>
  <si>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</si>
  <si>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</si>
  <si>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</si>
  <si>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</si>
  <si>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</si>
  <si>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</si>
  <si>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</si>
  <si>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</si>
  <si>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</si>
  <si>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</si>
  <si>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</si>
  <si>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</si>
  <si>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</si>
  <si>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</si>
  <si>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</si>
  <si>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</si>
  <si>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</si>
  <si>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</si>
  <si>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</si>
  <si>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</si>
  <si>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</si>
  <si>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</si>
  <si>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</si>
  <si>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</si>
  <si>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Feb</t>
  </si>
  <si>
    <t>Fuel Consumption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</si>
</sst>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I2" sqref="I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 x14ac:dyDescent="0.25">
      <c r="A3" s="21" t="s">
        <v>31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31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31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Hotel!BB7</f>
        <v>365.54699999999997</v>
      </c>
      <c r="T2" s="4">
        <f>Hotel!AY7</f>
        <v>0</v>
      </c>
      <c r="U2" s="4">
        <f>Hotel!B7</f>
        <v>141</v>
      </c>
    </row>
    <row r="3" spans="1:21" x14ac:dyDescent="0.25">
      <c r="A3" s="21" t="s">
        <v>31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Hotel!BB8</f>
        <v>438.16500000000002</v>
      </c>
      <c r="T3" s="4">
        <f>Hotel!AY8</f>
        <v>0</v>
      </c>
      <c r="U3" s="4">
        <f>Hotel!B8</f>
        <v>144</v>
      </c>
    </row>
    <row r="4" spans="1:21" x14ac:dyDescent="0.25">
      <c r="A4" s="21" t="s">
        <v>31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Hotel!BB9</f>
        <v>361.99799999999999</v>
      </c>
      <c r="T4" s="4">
        <f>Hotel!AY9</f>
        <v>0</v>
      </c>
      <c r="U4" s="4">
        <f>Hotel!B9</f>
        <v>184</v>
      </c>
    </row>
    <row r="5" spans="1:21" x14ac:dyDescent="0.25">
      <c r="A5" s="21" t="s">
        <v>31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Hotel!BB10</f>
        <v>429.15600000000001</v>
      </c>
      <c r="T5" s="4">
        <f>Hotel!AY10</f>
        <v>0</v>
      </c>
      <c r="U5" s="4">
        <f>Hotel!B10</f>
        <v>119</v>
      </c>
    </row>
    <row r="6" spans="1:21" x14ac:dyDescent="0.25">
      <c r="A6" s="21" t="s">
        <v>31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Hotel!BB11</f>
        <v>398.03399999999999</v>
      </c>
      <c r="T6" s="4">
        <f>Hotel!AY11</f>
        <v>0</v>
      </c>
      <c r="U6" s="4">
        <f>Hotel!B11</f>
        <v>125</v>
      </c>
    </row>
    <row r="7" spans="1:21" x14ac:dyDescent="0.25">
      <c r="A7" s="21" t="s">
        <v>31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Hotel!BB12</f>
        <v>420.42</v>
      </c>
      <c r="T7" s="4">
        <f>Hotel!AY12</f>
        <v>0</v>
      </c>
      <c r="U7" s="4">
        <f>Hotel!B12</f>
        <v>159</v>
      </c>
    </row>
    <row r="8" spans="1:21" x14ac:dyDescent="0.25">
      <c r="A8" s="21" t="s">
        <v>31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Hotel!BB13</f>
        <v>333.06</v>
      </c>
      <c r="T8" s="4">
        <f>Hotel!AY13</f>
        <v>0</v>
      </c>
      <c r="U8" s="4">
        <f>Hotel!B13</f>
        <v>140</v>
      </c>
    </row>
    <row r="9" spans="1:21" x14ac:dyDescent="0.25">
      <c r="A9" s="21" t="s">
        <v>31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Hotel!BB14</f>
        <v>526.61699999999996</v>
      </c>
      <c r="T9" s="4">
        <f>Hotel!AY14</f>
        <v>0</v>
      </c>
      <c r="U9" s="4">
        <f>Hotel!B14</f>
        <v>142</v>
      </c>
    </row>
    <row r="10" spans="1:21" x14ac:dyDescent="0.25">
      <c r="A10" s="21" t="s">
        <v>31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Hotel!BB15</f>
        <v>472.83600000000001</v>
      </c>
      <c r="T10" s="4">
        <f>Hotel!AY15</f>
        <v>0</v>
      </c>
      <c r="U10" s="4">
        <f>Hotel!B15</f>
        <v>156</v>
      </c>
    </row>
    <row r="11" spans="1:21" x14ac:dyDescent="0.25">
      <c r="A11" s="21" t="s">
        <v>31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Hotel!BB16</f>
        <v>332.24099999999999</v>
      </c>
      <c r="T11" s="4">
        <f>Hotel!AY16</f>
        <v>0</v>
      </c>
      <c r="U11" s="4">
        <f>Hotel!B16</f>
        <v>161</v>
      </c>
    </row>
    <row r="12" spans="1:21" x14ac:dyDescent="0.25">
      <c r="A12" s="21" t="s">
        <v>31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Hotel!BB17</f>
        <v>468.74099999999999</v>
      </c>
      <c r="T12" s="4">
        <f>Hotel!AY17</f>
        <v>0</v>
      </c>
      <c r="U12" s="4">
        <f>Hotel!B17</f>
        <v>101</v>
      </c>
    </row>
    <row r="13" spans="1:21" x14ac:dyDescent="0.25">
      <c r="A13" s="21" t="s">
        <v>31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Hotel!BB18</f>
        <v>419.32799999999997</v>
      </c>
      <c r="T13" s="4">
        <f>Hotel!AY18</f>
        <v>261195.43</v>
      </c>
      <c r="U13" s="4">
        <f>Hotel!B18</f>
        <v>110</v>
      </c>
    </row>
    <row r="14" spans="1:21" x14ac:dyDescent="0.25">
      <c r="A14" s="21" t="s">
        <v>31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Hotel!BB19</f>
        <v>412.50299999999999</v>
      </c>
      <c r="T14" s="4">
        <f>Hotel!AY19</f>
        <v>121.28</v>
      </c>
      <c r="U14" s="4">
        <f>Hotel!B19</f>
        <v>150</v>
      </c>
    </row>
    <row r="15" spans="1:21" x14ac:dyDescent="0.25">
      <c r="A15" s="21" t="s">
        <v>31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Hotel!BB20</f>
        <v>455.09100000000001</v>
      </c>
      <c r="T15" s="4">
        <f>Hotel!AY20</f>
        <v>132.65</v>
      </c>
      <c r="U15" s="4">
        <f>Hotel!B20</f>
        <v>179</v>
      </c>
    </row>
    <row r="16" spans="1:21" x14ac:dyDescent="0.25">
      <c r="A16" s="21" t="s">
        <v>31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Hotel!BB21</f>
        <v>403.22100000000006</v>
      </c>
      <c r="T16" s="4">
        <f>Hotel!AY21</f>
        <v>106.12</v>
      </c>
      <c r="U16" s="4">
        <f>Hotel!B21</f>
        <v>156</v>
      </c>
    </row>
    <row r="17" spans="1:21" x14ac:dyDescent="0.25">
      <c r="A17" s="21" t="s">
        <v>31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Hotel!BB22</f>
        <v>450.17700000000002</v>
      </c>
      <c r="T17" s="4">
        <f>Hotel!AY22</f>
        <v>159.18</v>
      </c>
      <c r="U17" s="4">
        <f>Hotel!B22</f>
        <v>128</v>
      </c>
    </row>
    <row r="18" spans="1:21" x14ac:dyDescent="0.25">
      <c r="A18" s="21" t="s">
        <v>31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Hotel!BB23</f>
        <v>281.73599999999999</v>
      </c>
      <c r="T18" s="4">
        <f>Hotel!AY23</f>
        <v>246.35</v>
      </c>
      <c r="U18" s="4">
        <f>Hotel!B23</f>
        <v>145</v>
      </c>
    </row>
    <row r="19" spans="1:21" x14ac:dyDescent="0.25">
      <c r="A19" s="21" t="s">
        <v>31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Hotel!BB24</f>
        <v>444.71700000000004</v>
      </c>
      <c r="T19" s="4">
        <f>Hotel!AY24</f>
        <v>306.99</v>
      </c>
      <c r="U19" s="4">
        <f>Hotel!B24</f>
        <v>95</v>
      </c>
    </row>
    <row r="20" spans="1:21" x14ac:dyDescent="0.25">
      <c r="A20" s="21" t="s">
        <v>31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Hotel!BB25</f>
        <v>410.59200000000004</v>
      </c>
      <c r="T20" s="4">
        <f>Hotel!AY25</f>
        <v>416.9</v>
      </c>
      <c r="U20" s="4">
        <f>Hotel!B25</f>
        <v>72</v>
      </c>
    </row>
    <row r="21" spans="1:21" x14ac:dyDescent="0.25">
      <c r="A21" s="21" t="s">
        <v>31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Hotel!BB26</f>
        <v>391.75500000000005</v>
      </c>
      <c r="T21" s="4">
        <f>Hotel!AY26</f>
        <v>352.46999999999997</v>
      </c>
      <c r="U21" s="4">
        <f>Hotel!B26</f>
        <v>74</v>
      </c>
    </row>
    <row r="22" spans="1:21" x14ac:dyDescent="0.25">
      <c r="A22" s="21" t="s">
        <v>31</v>
      </c>
      <c r="B22" s="2">
        <f t="shared" si="0"/>
        <v>21</v>
      </c>
      <c r="C22" s="3">
        <v>2</v>
      </c>
      <c r="D22" s="11">
        <v>2023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Hotel!AU27</f>
        <v>0</v>
      </c>
      <c r="S22" s="4">
        <f>Hotel!BB27</f>
        <v>0</v>
      </c>
      <c r="T22" s="4">
        <f>Hotel!AY27</f>
        <v>0</v>
      </c>
      <c r="U22" s="4">
        <f>Hotel!B27</f>
        <v>0</v>
      </c>
    </row>
    <row r="23" spans="1:21" x14ac:dyDescent="0.25">
      <c r="A23" s="21" t="s">
        <v>31</v>
      </c>
      <c r="B23" s="2">
        <f t="shared" si="0"/>
        <v>22</v>
      </c>
      <c r="C23" s="3">
        <v>2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Hotel!BB28</f>
        <v>0</v>
      </c>
      <c r="T23" s="4">
        <f>Hotel!AY28</f>
        <v>0</v>
      </c>
      <c r="U23" s="4">
        <f>Hotel!B28</f>
        <v>0</v>
      </c>
    </row>
    <row r="24" spans="1:21" x14ac:dyDescent="0.25">
      <c r="A24" s="21" t="s">
        <v>31</v>
      </c>
      <c r="B24" s="2">
        <f t="shared" si="0"/>
        <v>23</v>
      </c>
      <c r="C24" s="3">
        <v>2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Hotel!BB29</f>
        <v>0</v>
      </c>
      <c r="T24" s="4">
        <f>Hotel!AY29</f>
        <v>0</v>
      </c>
      <c r="U24" s="4">
        <f>Hotel!B29</f>
        <v>0</v>
      </c>
    </row>
    <row r="25" spans="1:21" x14ac:dyDescent="0.25">
      <c r="A25" s="21" t="s">
        <v>31</v>
      </c>
      <c r="B25" s="2">
        <f t="shared" si="0"/>
        <v>24</v>
      </c>
      <c r="C25" s="3">
        <v>2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Hotel!BB30</f>
        <v>0</v>
      </c>
      <c r="T25" s="4">
        <f>Hotel!AY30</f>
        <v>0</v>
      </c>
      <c r="U25" s="4">
        <f>Hotel!B30</f>
        <v>0</v>
      </c>
    </row>
    <row r="26" spans="1:21" x14ac:dyDescent="0.25">
      <c r="A26" s="21" t="s">
        <v>31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Hotel!BB31</f>
        <v>0</v>
      </c>
      <c r="T26" s="4">
        <f>Hotel!AY31</f>
        <v>0</v>
      </c>
      <c r="U26" s="4">
        <f>Hotel!B31</f>
        <v>0</v>
      </c>
    </row>
    <row r="27" spans="1:21" x14ac:dyDescent="0.25">
      <c r="A27" s="21" t="s">
        <v>31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Hotel!BB32</f>
        <v>0</v>
      </c>
      <c r="T27" s="4">
        <f>Hotel!AY32</f>
        <v>0</v>
      </c>
      <c r="U27" s="4">
        <f>Hotel!B32</f>
        <v>0</v>
      </c>
    </row>
    <row r="28" spans="1:21" x14ac:dyDescent="0.25">
      <c r="A28" s="21" t="s">
        <v>31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Hotel!BB33</f>
        <v>0</v>
      </c>
      <c r="T28" s="4">
        <f>Hotel!AY33</f>
        <v>0</v>
      </c>
      <c r="U28" s="4">
        <f>Hotel!B33</f>
        <v>0</v>
      </c>
    </row>
    <row r="29" spans="1:21" x14ac:dyDescent="0.25">
      <c r="A29" s="21" t="s">
        <v>31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Hotel!BB34</f>
        <v>0</v>
      </c>
      <c r="T29" s="4">
        <f>Hotel!AY34</f>
        <v>0</v>
      </c>
      <c r="U29" s="4">
        <f>Hotel!B34</f>
        <v>0</v>
      </c>
    </row>
    <row r="30" spans="1:21" x14ac:dyDescent="0.25">
      <c r="A30" s="21" t="s">
        <v>31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Hotel!BB35</f>
        <v>0</v>
      </c>
      <c r="T30" s="4">
        <f>Hotel!AY35</f>
        <v>0</v>
      </c>
      <c r="U30" s="4">
        <f>Hotel!B35</f>
        <v>0</v>
      </c>
    </row>
    <row r="31" spans="1:21" x14ac:dyDescent="0.25">
      <c r="A31" s="21" t="s">
        <v>31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Hotel!BB36</f>
        <v>0</v>
      </c>
      <c r="T31" s="4">
        <f>Hotel!AY36</f>
        <v>0</v>
      </c>
      <c r="U31" s="4">
        <f>Hotel!B36</f>
        <v>0</v>
      </c>
    </row>
    <row r="32" spans="1:21" x14ac:dyDescent="0.25">
      <c r="A32" s="21" t="s">
        <v>31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Hotel!BB37</f>
        <v>0</v>
      </c>
      <c r="T32" s="4">
        <f>Hotel!AY37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C47"/>
  <sheetViews>
    <sheetView tabSelected="1" topLeftCell="AP4" zoomScale="93" zoomScaleNormal="93" workbookViewId="0">
      <selection activeCell="AT29" sqref="AT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70" bestFit="1" customWidth="1"/>
    <col min="47" max="47" width="19.28515625" style="67" customWidth="1"/>
    <col min="48" max="48" width="7.28515625" customWidth="1"/>
    <col min="49" max="51" width="11.85546875" style="60" customWidth="1"/>
    <col min="52" max="52" width="11.85546875" style="45" customWidth="1"/>
    <col min="53" max="54" width="14.7109375" customWidth="1"/>
    <col min="55" max="55" width="10.85546875" customWidth="1"/>
  </cols>
  <sheetData>
    <row r="1" spans="1:55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 x14ac:dyDescent="0.25">
      <c r="A2" s="23">
        <v>44957</v>
      </c>
      <c r="B2" s="64">
        <v>116</v>
      </c>
      <c r="C2" s="65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W2" s="61">
        <v>67633</v>
      </c>
      <c r="AX2" s="61"/>
      <c r="AY2" s="61"/>
      <c r="AZ2" s="55">
        <v>407070</v>
      </c>
    </row>
    <row r="4" spans="1:55" ht="20.25" customHeight="1" x14ac:dyDescent="0.25">
      <c r="A4" s="26" t="s">
        <v>22</v>
      </c>
      <c r="B4" s="41" t="s">
        <v>47</v>
      </c>
      <c r="C4" s="27" t="s">
        <v>58</v>
      </c>
      <c r="D4" s="75" t="s">
        <v>23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Q4" s="77" t="s">
        <v>24</v>
      </c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9"/>
      <c r="AD4" s="28" t="s">
        <v>25</v>
      </c>
      <c r="AF4" s="80" t="s">
        <v>26</v>
      </c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29" t="s">
        <v>27</v>
      </c>
      <c r="AT4" s="81" t="s">
        <v>59</v>
      </c>
      <c r="AU4" s="81" t="s">
        <v>51</v>
      </c>
      <c r="AW4" s="82" t="s">
        <v>53</v>
      </c>
      <c r="AX4" s="82" t="s">
        <v>55</v>
      </c>
      <c r="AY4" s="82" t="s">
        <v>56</v>
      </c>
      <c r="AZ4" s="71" t="s">
        <v>28</v>
      </c>
      <c r="BA4" s="72" t="s">
        <v>29</v>
      </c>
      <c r="BB4" s="72" t="s">
        <v>48</v>
      </c>
      <c r="BC4" s="74" t="s">
        <v>30</v>
      </c>
    </row>
    <row r="5" spans="1:55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81"/>
      <c r="AU5" s="81"/>
      <c r="AW5" s="82"/>
      <c r="AX5" s="82"/>
      <c r="AY5" s="82"/>
      <c r="AZ5" s="71"/>
      <c r="BA5" s="73"/>
      <c r="BB5" s="73"/>
      <c r="BC5" s="74"/>
    </row>
    <row r="6" spans="1:55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61" t="s">
        <v>57</v>
      </c>
      <c r="AZ6" s="55">
        <v>407070</v>
      </c>
    </row>
    <row r="7" spans="1:55" x14ac:dyDescent="0.2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6"/>
      <c r="AU7" s="68">
        <f>AT7*$AU$43</f>
        <v>0</v>
      </c>
      <c r="AW7" s="62">
        <v>0</v>
      </c>
      <c r="AX7" s="61">
        <f>(IF((AW7-AW6&lt;0),"0",AW7-AW6))*1000</f>
        <v>0</v>
      </c>
      <c r="AY7" s="63">
        <f>AX7*$AY$44</f>
        <v>0</v>
      </c>
      <c r="AZ7" s="53">
        <v>408409</v>
      </c>
      <c r="BA7" s="37">
        <f>(IF((AZ7-AZ6&lt;0),"0",AZ7-AZ6))*100</f>
        <v>133900</v>
      </c>
      <c r="BB7" s="37">
        <f>BA7*$BA$44*60%</f>
        <v>365.54699999999997</v>
      </c>
      <c r="BC7" s="59">
        <f>BB7*0.4444</f>
        <v>162.4490868</v>
      </c>
    </row>
    <row r="8" spans="1:55" x14ac:dyDescent="0.2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6"/>
      <c r="AU8" s="68">
        <f t="shared" ref="AU8:AU37" si="16">AT8*$AU$43</f>
        <v>0</v>
      </c>
      <c r="AW8" s="62">
        <v>0</v>
      </c>
      <c r="AX8" s="61">
        <f t="shared" ref="AX8:AX39" si="17">(IF((AW8-AW7&lt;0),"0",AW8-AW7))*1000</f>
        <v>0</v>
      </c>
      <c r="AY8" s="63">
        <f t="shared" ref="AY8:AY39" si="18">AX8*$AY$44</f>
        <v>0</v>
      </c>
      <c r="AZ8" s="54">
        <v>410014</v>
      </c>
      <c r="BA8" s="37">
        <f t="shared" ref="BA8:BA38" si="19">(IF((AZ8-AZ7&lt;0),"0",AZ8-AZ7))*100</f>
        <v>160500</v>
      </c>
      <c r="BB8" s="37">
        <f t="shared" ref="BB8:BB39" si="20">BA8*$BA$44*60%</f>
        <v>438.16500000000002</v>
      </c>
      <c r="BC8" s="59">
        <f t="shared" ref="BC8:BC38" si="21">BB8*0.4444</f>
        <v>194.72052600000001</v>
      </c>
    </row>
    <row r="9" spans="1:55" x14ac:dyDescent="0.2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2">IF((C9-C8&lt;0), "0",C9-C8)</f>
        <v>550</v>
      </c>
      <c r="R9" s="37">
        <f t="shared" ref="R9:R37" si="23">IF((D9-D8&lt;0), "0",D9-D8)</f>
        <v>1750</v>
      </c>
      <c r="S9" s="37">
        <f t="shared" si="15"/>
        <v>2600</v>
      </c>
      <c r="T9" s="37">
        <f t="shared" ref="T9:T35" si="24">IF((F9-F8&lt;0), "0",F9-F8)</f>
        <v>1360</v>
      </c>
      <c r="U9" s="37">
        <f t="shared" ref="U9:U35" si="25">IF((G9-G8&lt;0), "0",G9-G8)</f>
        <v>6100</v>
      </c>
      <c r="V9" s="37">
        <f t="shared" ref="V9:V35" si="26">IF((H9-H8&lt;0), "0",H9-H8)</f>
        <v>4130</v>
      </c>
      <c r="W9" s="37">
        <f t="shared" ref="W9:W35" si="27">IF((I9-I8&lt;0), "0",I9-I8)</f>
        <v>3110</v>
      </c>
      <c r="X9" s="37">
        <f t="shared" ref="X9:X37" si="28">IF((J9-J8&lt;0), "0",J9-J8)</f>
        <v>4090</v>
      </c>
      <c r="Y9" s="37">
        <f t="shared" ref="Y9:Y35" si="29">IF((K9-K8&lt;0), "0",K9-K8)</f>
        <v>5800</v>
      </c>
      <c r="Z9" s="37">
        <f t="shared" ref="Z9:Z35" si="30">IF((L9-L8&lt;0), "0",L9-L8)</f>
        <v>2530</v>
      </c>
      <c r="AA9" s="37">
        <f t="shared" ref="AA9:AA35" si="31">IF((M9-M8&lt;0), "0",M9-M8)</f>
        <v>3290</v>
      </c>
      <c r="AB9" s="37">
        <f t="shared" ref="AB9:AB37" si="32">IF((N9-N8&lt;0), "0",N9-N8)</f>
        <v>7010</v>
      </c>
      <c r="AC9" s="37">
        <f t="shared" ref="AC9:AC37" si="33">IF((O9-O8&lt;0), "0",O9-O8)</f>
        <v>12950</v>
      </c>
      <c r="AD9" s="35">
        <f t="shared" ref="AD9:AD37" si="34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5">SUM(AF9:AR9)</f>
        <v>276.35000000000002</v>
      </c>
      <c r="AT9" s="66"/>
      <c r="AU9" s="68">
        <f t="shared" si="16"/>
        <v>0</v>
      </c>
      <c r="AW9" s="62">
        <v>0</v>
      </c>
      <c r="AX9" s="61">
        <f t="shared" si="17"/>
        <v>0</v>
      </c>
      <c r="AY9" s="63">
        <f t="shared" si="18"/>
        <v>0</v>
      </c>
      <c r="AZ9" s="54">
        <v>411340</v>
      </c>
      <c r="BA9" s="37">
        <f t="shared" si="19"/>
        <v>132600</v>
      </c>
      <c r="BB9" s="37">
        <f t="shared" si="20"/>
        <v>361.99799999999999</v>
      </c>
      <c r="BC9" s="59">
        <f t="shared" si="21"/>
        <v>160.8719112</v>
      </c>
    </row>
    <row r="10" spans="1:55" x14ac:dyDescent="0.2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2"/>
        <v>600</v>
      </c>
      <c r="R10" s="37">
        <f t="shared" si="23"/>
        <v>1920</v>
      </c>
      <c r="S10" s="37">
        <f t="shared" si="15"/>
        <v>2720</v>
      </c>
      <c r="T10" s="37">
        <f t="shared" si="24"/>
        <v>1510</v>
      </c>
      <c r="U10" s="37">
        <f t="shared" si="25"/>
        <v>6660</v>
      </c>
      <c r="V10" s="37">
        <f t="shared" si="26"/>
        <v>4440</v>
      </c>
      <c r="W10" s="37">
        <f t="shared" si="27"/>
        <v>3220</v>
      </c>
      <c r="X10" s="37">
        <f t="shared" si="28"/>
        <v>4420</v>
      </c>
      <c r="Y10" s="37">
        <f t="shared" si="29"/>
        <v>6590</v>
      </c>
      <c r="Z10" s="37">
        <f t="shared" si="30"/>
        <v>2750</v>
      </c>
      <c r="AA10" s="37">
        <f t="shared" si="31"/>
        <v>3400</v>
      </c>
      <c r="AB10" s="37">
        <f t="shared" si="32"/>
        <v>7830</v>
      </c>
      <c r="AC10" s="37">
        <f t="shared" si="33"/>
        <v>13520</v>
      </c>
      <c r="AD10" s="35">
        <f t="shared" si="34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5"/>
        <v>297.89999999999998</v>
      </c>
      <c r="AT10" s="66"/>
      <c r="AU10" s="68">
        <f t="shared" si="16"/>
        <v>0</v>
      </c>
      <c r="AW10" s="62">
        <v>0</v>
      </c>
      <c r="AX10" s="61">
        <f t="shared" si="17"/>
        <v>0</v>
      </c>
      <c r="AY10" s="63">
        <f t="shared" si="18"/>
        <v>0</v>
      </c>
      <c r="AZ10" s="53">
        <v>412912</v>
      </c>
      <c r="BA10" s="37">
        <f t="shared" si="19"/>
        <v>157200</v>
      </c>
      <c r="BB10" s="37">
        <f t="shared" si="20"/>
        <v>429.15600000000001</v>
      </c>
      <c r="BC10" s="59">
        <f t="shared" si="21"/>
        <v>190.71692640000001</v>
      </c>
    </row>
    <row r="11" spans="1:55" x14ac:dyDescent="0.2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2"/>
        <v>560</v>
      </c>
      <c r="R11" s="37">
        <f t="shared" si="23"/>
        <v>1770</v>
      </c>
      <c r="S11" s="37">
        <f t="shared" si="15"/>
        <v>2600</v>
      </c>
      <c r="T11" s="37">
        <f t="shared" si="24"/>
        <v>1390</v>
      </c>
      <c r="U11" s="37">
        <f t="shared" si="25"/>
        <v>5900</v>
      </c>
      <c r="V11" s="37">
        <f t="shared" si="26"/>
        <v>4030</v>
      </c>
      <c r="W11" s="37">
        <f t="shared" si="27"/>
        <v>3140</v>
      </c>
      <c r="X11" s="37">
        <f t="shared" si="28"/>
        <v>4020</v>
      </c>
      <c r="Y11" s="37">
        <f t="shared" si="29"/>
        <v>5710</v>
      </c>
      <c r="Z11" s="37">
        <f t="shared" si="30"/>
        <v>2440</v>
      </c>
      <c r="AA11" s="37">
        <f t="shared" si="31"/>
        <v>3090</v>
      </c>
      <c r="AB11" s="37">
        <f t="shared" si="32"/>
        <v>7170</v>
      </c>
      <c r="AC11" s="37">
        <f t="shared" si="33"/>
        <v>11190</v>
      </c>
      <c r="AD11" s="35">
        <f t="shared" si="34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5"/>
        <v>265.05</v>
      </c>
      <c r="AT11" s="66"/>
      <c r="AU11" s="68">
        <f t="shared" si="16"/>
        <v>0</v>
      </c>
      <c r="AW11" s="62">
        <v>0</v>
      </c>
      <c r="AX11" s="61">
        <f t="shared" si="17"/>
        <v>0</v>
      </c>
      <c r="AY11" s="63">
        <f t="shared" si="18"/>
        <v>0</v>
      </c>
      <c r="AZ11" s="53">
        <v>414370</v>
      </c>
      <c r="BA11" s="37">
        <f t="shared" si="19"/>
        <v>145800</v>
      </c>
      <c r="BB11" s="37">
        <f t="shared" si="20"/>
        <v>398.03399999999999</v>
      </c>
      <c r="BC11" s="59">
        <f t="shared" si="21"/>
        <v>176.8863096</v>
      </c>
    </row>
    <row r="12" spans="1:55" x14ac:dyDescent="0.2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2"/>
        <v>620</v>
      </c>
      <c r="R12" s="37">
        <f t="shared" si="23"/>
        <v>1980</v>
      </c>
      <c r="S12" s="37">
        <f t="shared" si="15"/>
        <v>3020</v>
      </c>
      <c r="T12" s="37">
        <f t="shared" ref="T12:W14" si="36">IF((F12-F11&lt;0), "0",F12-F11)</f>
        <v>1410</v>
      </c>
      <c r="U12" s="37">
        <f t="shared" si="36"/>
        <v>6390</v>
      </c>
      <c r="V12" s="37">
        <f t="shared" si="36"/>
        <v>4460</v>
      </c>
      <c r="W12" s="37">
        <f t="shared" si="36"/>
        <v>3710</v>
      </c>
      <c r="X12" s="37">
        <f t="shared" si="28"/>
        <v>4470</v>
      </c>
      <c r="Y12" s="37">
        <f t="shared" si="29"/>
        <v>6320</v>
      </c>
      <c r="Z12" s="37">
        <f>IF((L12-L11&lt;0), "0",L12-L11)</f>
        <v>2760</v>
      </c>
      <c r="AA12" s="37">
        <f t="shared" si="31"/>
        <v>3150</v>
      </c>
      <c r="AB12" s="37">
        <f t="shared" si="32"/>
        <v>7830</v>
      </c>
      <c r="AC12" s="37">
        <f t="shared" si="33"/>
        <v>13240</v>
      </c>
      <c r="AD12" s="35">
        <f t="shared" si="34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5"/>
        <v>296.8</v>
      </c>
      <c r="AT12" s="66"/>
      <c r="AU12" s="68">
        <f t="shared" si="16"/>
        <v>0</v>
      </c>
      <c r="AW12" s="62">
        <v>0</v>
      </c>
      <c r="AX12" s="61">
        <f t="shared" si="17"/>
        <v>0</v>
      </c>
      <c r="AY12" s="63">
        <f t="shared" si="18"/>
        <v>0</v>
      </c>
      <c r="AZ12" s="54">
        <v>415910</v>
      </c>
      <c r="BA12" s="37">
        <f t="shared" si="19"/>
        <v>154000</v>
      </c>
      <c r="BB12" s="37">
        <f t="shared" si="20"/>
        <v>420.42</v>
      </c>
      <c r="BC12" s="59">
        <f t="shared" si="21"/>
        <v>186.83464800000002</v>
      </c>
    </row>
    <row r="13" spans="1:55" x14ac:dyDescent="0.2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2"/>
        <v>540</v>
      </c>
      <c r="R13" s="37">
        <f t="shared" si="23"/>
        <v>1720</v>
      </c>
      <c r="S13" s="37">
        <f t="shared" si="15"/>
        <v>2530</v>
      </c>
      <c r="T13" s="37">
        <f t="shared" si="36"/>
        <v>1110</v>
      </c>
      <c r="U13" s="37">
        <f t="shared" si="36"/>
        <v>5600</v>
      </c>
      <c r="V13" s="37">
        <f t="shared" si="36"/>
        <v>3890</v>
      </c>
      <c r="W13" s="37">
        <f t="shared" si="36"/>
        <v>3080</v>
      </c>
      <c r="X13" s="37">
        <f t="shared" si="28"/>
        <v>4190</v>
      </c>
      <c r="Y13" s="37">
        <f t="shared" si="29"/>
        <v>5510</v>
      </c>
      <c r="Z13" s="37">
        <f>IF((L13-L12&lt;0), "0",L13-L12)</f>
        <v>2400</v>
      </c>
      <c r="AA13" s="37">
        <f t="shared" si="31"/>
        <v>3050</v>
      </c>
      <c r="AB13" s="37">
        <f t="shared" si="32"/>
        <v>6890</v>
      </c>
      <c r="AC13" s="37">
        <f t="shared" si="33"/>
        <v>11270</v>
      </c>
      <c r="AD13" s="35">
        <f t="shared" si="34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5"/>
        <v>258.90000000000003</v>
      </c>
      <c r="AT13" s="66"/>
      <c r="AU13" s="68">
        <f t="shared" si="16"/>
        <v>0</v>
      </c>
      <c r="AW13" s="62">
        <v>0</v>
      </c>
      <c r="AX13" s="61">
        <f t="shared" si="17"/>
        <v>0</v>
      </c>
      <c r="AY13" s="63">
        <f t="shared" si="18"/>
        <v>0</v>
      </c>
      <c r="AZ13" s="58">
        <v>417130</v>
      </c>
      <c r="BA13" s="37">
        <f t="shared" si="19"/>
        <v>122000</v>
      </c>
      <c r="BB13" s="37">
        <f t="shared" si="20"/>
        <v>333.06</v>
      </c>
      <c r="BC13" s="59">
        <f t="shared" si="21"/>
        <v>148.011864</v>
      </c>
    </row>
    <row r="14" spans="1:55" x14ac:dyDescent="0.2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2"/>
        <v>550</v>
      </c>
      <c r="R14" s="37">
        <f t="shared" si="23"/>
        <v>1840</v>
      </c>
      <c r="S14" s="37">
        <f t="shared" si="15"/>
        <v>2580</v>
      </c>
      <c r="T14" s="37">
        <f t="shared" si="36"/>
        <v>1190</v>
      </c>
      <c r="U14" s="37">
        <f t="shared" si="36"/>
        <v>6200</v>
      </c>
      <c r="V14" s="37">
        <f t="shared" si="36"/>
        <v>4260</v>
      </c>
      <c r="W14" s="37">
        <f t="shared" si="36"/>
        <v>3690</v>
      </c>
      <c r="X14" s="37">
        <f t="shared" si="28"/>
        <v>4460</v>
      </c>
      <c r="Y14" s="37">
        <f t="shared" si="29"/>
        <v>6070</v>
      </c>
      <c r="Z14" s="37">
        <f>IF((L14-L13&lt;0), "0",L14-L13)</f>
        <v>2530</v>
      </c>
      <c r="AA14" s="37">
        <f t="shared" si="31"/>
        <v>3110</v>
      </c>
      <c r="AB14" s="37">
        <f t="shared" si="32"/>
        <v>7290</v>
      </c>
      <c r="AC14" s="37">
        <f t="shared" si="33"/>
        <v>12250</v>
      </c>
      <c r="AD14" s="35">
        <f t="shared" si="34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5"/>
        <v>280.10000000000002</v>
      </c>
      <c r="AT14" s="66">
        <v>0</v>
      </c>
      <c r="AU14" s="68">
        <f t="shared" si="16"/>
        <v>0</v>
      </c>
      <c r="AW14" s="62">
        <v>0</v>
      </c>
      <c r="AX14" s="61">
        <f t="shared" si="17"/>
        <v>0</v>
      </c>
      <c r="AY14" s="63">
        <f t="shared" si="18"/>
        <v>0</v>
      </c>
      <c r="AZ14" s="54">
        <v>419059</v>
      </c>
      <c r="BA14" s="37">
        <f t="shared" si="19"/>
        <v>192900</v>
      </c>
      <c r="BB14" s="37">
        <f t="shared" si="20"/>
        <v>526.61699999999996</v>
      </c>
      <c r="BC14" s="59">
        <f t="shared" si="21"/>
        <v>234.02859479999998</v>
      </c>
    </row>
    <row r="15" spans="1:55" x14ac:dyDescent="0.2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2"/>
        <v>560</v>
      </c>
      <c r="R15" s="37">
        <f t="shared" si="23"/>
        <v>1840</v>
      </c>
      <c r="S15" s="37">
        <f t="shared" si="15"/>
        <v>2500</v>
      </c>
      <c r="T15" s="37">
        <f t="shared" si="24"/>
        <v>1180</v>
      </c>
      <c r="U15" s="37">
        <f t="shared" si="25"/>
        <v>6610</v>
      </c>
      <c r="V15" s="37">
        <f t="shared" si="26"/>
        <v>4380</v>
      </c>
      <c r="W15" s="37">
        <f t="shared" si="27"/>
        <v>3140</v>
      </c>
      <c r="X15" s="37">
        <f t="shared" si="28"/>
        <v>4570</v>
      </c>
      <c r="Y15" s="37">
        <f t="shared" si="29"/>
        <v>5790</v>
      </c>
      <c r="Z15" s="37">
        <f t="shared" si="30"/>
        <v>2580</v>
      </c>
      <c r="AA15" s="37">
        <f t="shared" si="31"/>
        <v>3330</v>
      </c>
      <c r="AB15" s="37">
        <f t="shared" si="32"/>
        <v>7600</v>
      </c>
      <c r="AC15" s="37">
        <f t="shared" si="33"/>
        <v>15700</v>
      </c>
      <c r="AD15" s="35">
        <f t="shared" si="34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5"/>
        <v>298.89999999999998</v>
      </c>
      <c r="AT15" s="66">
        <v>6.3</v>
      </c>
      <c r="AU15" s="68">
        <f t="shared" si="16"/>
        <v>1122.1875</v>
      </c>
      <c r="AW15" s="62">
        <v>0</v>
      </c>
      <c r="AX15" s="61">
        <f t="shared" si="17"/>
        <v>0</v>
      </c>
      <c r="AY15" s="63">
        <f t="shared" si="18"/>
        <v>0</v>
      </c>
      <c r="AZ15" s="53">
        <v>420791</v>
      </c>
      <c r="BA15" s="37">
        <f t="shared" si="19"/>
        <v>173200</v>
      </c>
      <c r="BB15" s="37">
        <f t="shared" si="20"/>
        <v>472.83600000000001</v>
      </c>
      <c r="BC15" s="59">
        <f t="shared" si="21"/>
        <v>210.12831840000001</v>
      </c>
    </row>
    <row r="16" spans="1:55" x14ac:dyDescent="0.2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2"/>
        <v>550</v>
      </c>
      <c r="R16" s="37">
        <f t="shared" si="23"/>
        <v>1850</v>
      </c>
      <c r="S16" s="37">
        <f t="shared" si="15"/>
        <v>2390</v>
      </c>
      <c r="T16" s="37">
        <f t="shared" si="24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7"/>
        <v>2970</v>
      </c>
      <c r="X16" s="37">
        <f t="shared" si="28"/>
        <v>4480</v>
      </c>
      <c r="Y16" s="37">
        <f t="shared" si="29"/>
        <v>6080</v>
      </c>
      <c r="Z16" s="37">
        <f t="shared" si="30"/>
        <v>2740</v>
      </c>
      <c r="AA16" s="37">
        <f t="shared" si="31"/>
        <v>3400</v>
      </c>
      <c r="AB16" s="37">
        <f t="shared" si="32"/>
        <v>7650</v>
      </c>
      <c r="AC16" s="37">
        <f t="shared" si="33"/>
        <v>14040</v>
      </c>
      <c r="AD16" s="35">
        <f t="shared" si="34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5"/>
        <v>289.14999999999998</v>
      </c>
      <c r="AT16" s="66">
        <v>0</v>
      </c>
      <c r="AU16" s="68">
        <f t="shared" si="16"/>
        <v>0</v>
      </c>
      <c r="AW16" s="62">
        <v>0</v>
      </c>
      <c r="AX16" s="61">
        <f t="shared" si="17"/>
        <v>0</v>
      </c>
      <c r="AY16" s="63">
        <f t="shared" si="18"/>
        <v>0</v>
      </c>
      <c r="AZ16" s="54">
        <v>422008</v>
      </c>
      <c r="BA16" s="37">
        <f t="shared" si="19"/>
        <v>121700</v>
      </c>
      <c r="BB16" s="37">
        <f t="shared" si="20"/>
        <v>332.24099999999999</v>
      </c>
      <c r="BC16" s="59">
        <f t="shared" si="21"/>
        <v>147.6479004</v>
      </c>
    </row>
    <row r="17" spans="1:55" x14ac:dyDescent="0.2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2"/>
        <v>570</v>
      </c>
      <c r="R17" s="37">
        <f t="shared" si="23"/>
        <v>1900</v>
      </c>
      <c r="S17" s="37">
        <f t="shared" si="15"/>
        <v>2500</v>
      </c>
      <c r="T17" s="37">
        <f t="shared" si="24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7"/>
        <v>3030</v>
      </c>
      <c r="X17" s="37">
        <f t="shared" si="28"/>
        <v>4700</v>
      </c>
      <c r="Y17" s="37">
        <f t="shared" si="29"/>
        <v>6090</v>
      </c>
      <c r="Z17" s="37">
        <f t="shared" si="30"/>
        <v>2810</v>
      </c>
      <c r="AA17" s="37">
        <f t="shared" si="31"/>
        <v>3320</v>
      </c>
      <c r="AB17" s="37">
        <f t="shared" si="32"/>
        <v>7950</v>
      </c>
      <c r="AC17" s="37">
        <f t="shared" si="33"/>
        <v>14250</v>
      </c>
      <c r="AD17" s="35">
        <f t="shared" si="34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5"/>
        <v>297.25</v>
      </c>
      <c r="AT17" s="66">
        <v>8.1</v>
      </c>
      <c r="AU17" s="68">
        <f t="shared" si="16"/>
        <v>1442.8125</v>
      </c>
      <c r="AW17" s="62">
        <v>0</v>
      </c>
      <c r="AX17" s="61">
        <f t="shared" si="17"/>
        <v>0</v>
      </c>
      <c r="AY17" s="63">
        <f t="shared" si="18"/>
        <v>0</v>
      </c>
      <c r="AZ17" s="56">
        <v>423725</v>
      </c>
      <c r="BA17" s="37">
        <f t="shared" si="19"/>
        <v>171700</v>
      </c>
      <c r="BB17" s="37">
        <f t="shared" si="20"/>
        <v>468.74099999999999</v>
      </c>
      <c r="BC17" s="59">
        <f t="shared" si="21"/>
        <v>208.30850040000001</v>
      </c>
    </row>
    <row r="18" spans="1:55" x14ac:dyDescent="0.2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2"/>
        <v>530</v>
      </c>
      <c r="R18" s="37">
        <f t="shared" si="23"/>
        <v>1780</v>
      </c>
      <c r="S18" s="37">
        <f t="shared" si="15"/>
        <v>2490</v>
      </c>
      <c r="T18" s="37">
        <f t="shared" si="24"/>
        <v>1150</v>
      </c>
      <c r="U18" s="37">
        <f t="shared" si="25"/>
        <v>5690</v>
      </c>
      <c r="V18" s="37">
        <f t="shared" si="26"/>
        <v>3910</v>
      </c>
      <c r="W18" s="37">
        <f t="shared" si="27"/>
        <v>2830</v>
      </c>
      <c r="X18" s="37">
        <f t="shared" si="28"/>
        <v>4020</v>
      </c>
      <c r="Y18" s="37">
        <f t="shared" si="29"/>
        <v>5300</v>
      </c>
      <c r="Z18" s="37">
        <f t="shared" si="30"/>
        <v>2370</v>
      </c>
      <c r="AA18" s="37">
        <f t="shared" si="31"/>
        <v>2980</v>
      </c>
      <c r="AB18" s="37">
        <f t="shared" si="32"/>
        <v>7170</v>
      </c>
      <c r="AC18" s="37">
        <f t="shared" si="33"/>
        <v>14510</v>
      </c>
      <c r="AD18" s="35">
        <f t="shared" si="34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5"/>
        <v>273.64999999999998</v>
      </c>
      <c r="AT18" s="66">
        <v>4.4000000000000004</v>
      </c>
      <c r="AU18" s="68">
        <f t="shared" si="16"/>
        <v>783.75000000000011</v>
      </c>
      <c r="AW18" s="62">
        <v>68917</v>
      </c>
      <c r="AX18" s="61">
        <f t="shared" si="17"/>
        <v>68917000</v>
      </c>
      <c r="AY18" s="63">
        <f t="shared" si="18"/>
        <v>261195.43</v>
      </c>
      <c r="AZ18" s="54">
        <v>425261</v>
      </c>
      <c r="BA18" s="37">
        <f t="shared" si="19"/>
        <v>153600</v>
      </c>
      <c r="BB18" s="37">
        <f t="shared" si="20"/>
        <v>419.32799999999997</v>
      </c>
      <c r="BC18" s="59">
        <f t="shared" si="21"/>
        <v>186.3493632</v>
      </c>
    </row>
    <row r="19" spans="1:55" x14ac:dyDescent="0.2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2"/>
        <v>570</v>
      </c>
      <c r="R19" s="37">
        <f t="shared" si="23"/>
        <v>1870</v>
      </c>
      <c r="S19" s="37">
        <f t="shared" si="15"/>
        <v>2390</v>
      </c>
      <c r="T19" s="37">
        <f t="shared" si="24"/>
        <v>1180</v>
      </c>
      <c r="U19" s="37">
        <f t="shared" si="25"/>
        <v>5910</v>
      </c>
      <c r="V19" s="37">
        <f t="shared" si="26"/>
        <v>4300</v>
      </c>
      <c r="W19" s="37">
        <f t="shared" si="27"/>
        <v>3020</v>
      </c>
      <c r="X19" s="37">
        <f t="shared" si="28"/>
        <v>4510</v>
      </c>
      <c r="Y19" s="37">
        <f t="shared" si="29"/>
        <v>5850</v>
      </c>
      <c r="Z19" s="37">
        <f t="shared" si="30"/>
        <v>2630</v>
      </c>
      <c r="AA19" s="37">
        <f t="shared" si="31"/>
        <v>2950</v>
      </c>
      <c r="AB19" s="37">
        <f t="shared" si="32"/>
        <v>7740</v>
      </c>
      <c r="AC19" s="37">
        <f t="shared" si="33"/>
        <v>15400</v>
      </c>
      <c r="AD19" s="35">
        <f t="shared" si="34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5"/>
        <v>291.60000000000002</v>
      </c>
      <c r="AT19" s="66">
        <v>0</v>
      </c>
      <c r="AU19" s="68">
        <f t="shared" si="16"/>
        <v>0</v>
      </c>
      <c r="AW19" s="62">
        <v>68949</v>
      </c>
      <c r="AX19" s="61">
        <f t="shared" si="17"/>
        <v>32000</v>
      </c>
      <c r="AY19" s="63">
        <f t="shared" si="18"/>
        <v>121.28</v>
      </c>
      <c r="AZ19" s="53">
        <v>426772</v>
      </c>
      <c r="BA19" s="37">
        <f t="shared" si="19"/>
        <v>151100</v>
      </c>
      <c r="BB19" s="37">
        <f t="shared" si="20"/>
        <v>412.50299999999999</v>
      </c>
      <c r="BC19" s="59">
        <f t="shared" si="21"/>
        <v>183.3163332</v>
      </c>
    </row>
    <row r="20" spans="1:55" x14ac:dyDescent="0.2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2"/>
        <v>560</v>
      </c>
      <c r="R20" s="37">
        <f t="shared" si="23"/>
        <v>1890</v>
      </c>
      <c r="S20" s="37">
        <f t="shared" si="15"/>
        <v>2400</v>
      </c>
      <c r="T20" s="37">
        <f t="shared" si="24"/>
        <v>920</v>
      </c>
      <c r="U20" s="37">
        <f t="shared" si="25"/>
        <v>6440</v>
      </c>
      <c r="V20" s="37">
        <f t="shared" si="26"/>
        <v>4570</v>
      </c>
      <c r="W20" s="37">
        <f t="shared" si="27"/>
        <v>3310</v>
      </c>
      <c r="X20" s="37">
        <f t="shared" si="28"/>
        <v>4890</v>
      </c>
      <c r="Y20" s="37">
        <f t="shared" si="29"/>
        <v>6160</v>
      </c>
      <c r="Z20" s="37">
        <f t="shared" si="30"/>
        <v>1860</v>
      </c>
      <c r="AA20" s="37">
        <f t="shared" si="31"/>
        <v>3410</v>
      </c>
      <c r="AB20" s="37">
        <f t="shared" si="32"/>
        <v>8000</v>
      </c>
      <c r="AC20" s="37">
        <f t="shared" si="33"/>
        <v>16560</v>
      </c>
      <c r="AD20" s="35">
        <f t="shared" si="34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5"/>
        <v>304.85000000000002</v>
      </c>
      <c r="AT20" s="66">
        <v>2.8</v>
      </c>
      <c r="AU20" s="68">
        <f t="shared" si="16"/>
        <v>498.74999999999994</v>
      </c>
      <c r="AW20" s="62">
        <v>68984</v>
      </c>
      <c r="AX20" s="61">
        <f t="shared" si="17"/>
        <v>35000</v>
      </c>
      <c r="AY20" s="63">
        <f t="shared" si="18"/>
        <v>132.65</v>
      </c>
      <c r="AZ20" s="54">
        <v>428439</v>
      </c>
      <c r="BA20" s="37">
        <f t="shared" si="19"/>
        <v>166700</v>
      </c>
      <c r="BB20" s="37">
        <f t="shared" si="20"/>
        <v>455.09100000000001</v>
      </c>
      <c r="BC20" s="59">
        <f t="shared" si="21"/>
        <v>202.24244040000002</v>
      </c>
    </row>
    <row r="21" spans="1:55" x14ac:dyDescent="0.2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2"/>
        <v>520</v>
      </c>
      <c r="R21" s="37">
        <f t="shared" si="23"/>
        <v>1780</v>
      </c>
      <c r="S21" s="37">
        <f t="shared" si="15"/>
        <v>2160</v>
      </c>
      <c r="T21" s="37">
        <f t="shared" si="24"/>
        <v>860</v>
      </c>
      <c r="U21" s="37">
        <f t="shared" si="25"/>
        <v>5860</v>
      </c>
      <c r="V21" s="37">
        <f t="shared" si="26"/>
        <v>4260</v>
      </c>
      <c r="W21" s="37">
        <f t="shared" si="27"/>
        <v>3150</v>
      </c>
      <c r="X21" s="37">
        <f t="shared" si="28"/>
        <v>4750</v>
      </c>
      <c r="Y21" s="37">
        <f t="shared" si="29"/>
        <v>5780</v>
      </c>
      <c r="Z21" s="37">
        <f t="shared" si="30"/>
        <v>3730</v>
      </c>
      <c r="AA21" s="37">
        <f t="shared" si="31"/>
        <v>3270</v>
      </c>
      <c r="AB21" s="37">
        <f t="shared" si="32"/>
        <v>7650</v>
      </c>
      <c r="AC21" s="37">
        <f t="shared" si="33"/>
        <v>15490</v>
      </c>
      <c r="AD21" s="35">
        <f t="shared" si="34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5"/>
        <v>296.3</v>
      </c>
      <c r="AT21" s="66">
        <v>6.6</v>
      </c>
      <c r="AU21" s="68">
        <f t="shared" si="16"/>
        <v>1175.625</v>
      </c>
      <c r="AW21" s="62">
        <v>69012</v>
      </c>
      <c r="AX21" s="61">
        <f t="shared" si="17"/>
        <v>28000</v>
      </c>
      <c r="AY21" s="63">
        <f t="shared" si="18"/>
        <v>106.12</v>
      </c>
      <c r="AZ21" s="53">
        <v>429916</v>
      </c>
      <c r="BA21" s="37">
        <f t="shared" si="19"/>
        <v>147700</v>
      </c>
      <c r="BB21" s="37">
        <f t="shared" si="20"/>
        <v>403.22100000000006</v>
      </c>
      <c r="BC21" s="59">
        <f t="shared" si="21"/>
        <v>179.19141240000005</v>
      </c>
    </row>
    <row r="22" spans="1:55" x14ac:dyDescent="0.2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2"/>
        <v>560</v>
      </c>
      <c r="R22" s="37">
        <f t="shared" si="23"/>
        <v>1860</v>
      </c>
      <c r="S22" s="37">
        <f t="shared" si="15"/>
        <v>2350</v>
      </c>
      <c r="T22" s="37">
        <f t="shared" si="24"/>
        <v>900</v>
      </c>
      <c r="U22" s="37">
        <f t="shared" si="25"/>
        <v>6560</v>
      </c>
      <c r="V22" s="37">
        <f t="shared" si="26"/>
        <v>4480</v>
      </c>
      <c r="W22" s="37">
        <f t="shared" si="27"/>
        <v>3170</v>
      </c>
      <c r="X22" s="37">
        <f t="shared" si="28"/>
        <v>4950</v>
      </c>
      <c r="Y22" s="37">
        <f t="shared" si="29"/>
        <v>5840</v>
      </c>
      <c r="Z22" s="37">
        <f t="shared" si="30"/>
        <v>2680</v>
      </c>
      <c r="AA22" s="37">
        <f t="shared" si="31"/>
        <v>3250</v>
      </c>
      <c r="AB22" s="37">
        <f t="shared" si="32"/>
        <v>7730</v>
      </c>
      <c r="AC22" s="37">
        <f t="shared" si="33"/>
        <v>15500</v>
      </c>
      <c r="AD22" s="35">
        <f t="shared" si="34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5"/>
        <v>299.14999999999998</v>
      </c>
      <c r="AT22" s="66">
        <v>0</v>
      </c>
      <c r="AU22" s="68">
        <f t="shared" si="16"/>
        <v>0</v>
      </c>
      <c r="AW22" s="62">
        <v>69054</v>
      </c>
      <c r="AX22" s="61">
        <f t="shared" si="17"/>
        <v>42000</v>
      </c>
      <c r="AY22" s="63">
        <f t="shared" si="18"/>
        <v>159.18</v>
      </c>
      <c r="AZ22" s="54">
        <v>431565</v>
      </c>
      <c r="BA22" s="37">
        <f t="shared" si="19"/>
        <v>164900</v>
      </c>
      <c r="BB22" s="37">
        <f t="shared" si="20"/>
        <v>450.17700000000002</v>
      </c>
      <c r="BC22" s="59">
        <f t="shared" si="21"/>
        <v>200.05865880000002</v>
      </c>
    </row>
    <row r="23" spans="1:55" x14ac:dyDescent="0.2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2"/>
        <v>550</v>
      </c>
      <c r="R23" s="37">
        <f t="shared" si="23"/>
        <v>1820</v>
      </c>
      <c r="S23" s="37">
        <f t="shared" si="15"/>
        <v>2250</v>
      </c>
      <c r="T23" s="37">
        <f t="shared" si="24"/>
        <v>880</v>
      </c>
      <c r="U23" s="37">
        <f t="shared" si="25"/>
        <v>6060</v>
      </c>
      <c r="V23" s="37">
        <f t="shared" si="26"/>
        <v>4380</v>
      </c>
      <c r="W23" s="37">
        <f t="shared" si="27"/>
        <v>3160</v>
      </c>
      <c r="X23" s="37">
        <f t="shared" si="28"/>
        <v>4880</v>
      </c>
      <c r="Y23" s="37">
        <f t="shared" si="29"/>
        <v>5770</v>
      </c>
      <c r="Z23" s="37">
        <f t="shared" si="30"/>
        <v>2530</v>
      </c>
      <c r="AA23" s="37">
        <f t="shared" si="31"/>
        <v>3300</v>
      </c>
      <c r="AB23" s="37">
        <f t="shared" si="32"/>
        <v>7640</v>
      </c>
      <c r="AC23" s="37">
        <f t="shared" si="33"/>
        <v>16070</v>
      </c>
      <c r="AD23" s="35">
        <f t="shared" si="34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5"/>
        <v>296.45000000000005</v>
      </c>
      <c r="AT23" s="66">
        <v>6.3</v>
      </c>
      <c r="AU23" s="68">
        <f t="shared" si="16"/>
        <v>1122.1875</v>
      </c>
      <c r="AW23" s="62">
        <v>69119</v>
      </c>
      <c r="AX23" s="61">
        <f t="shared" si="17"/>
        <v>65000</v>
      </c>
      <c r="AY23" s="63">
        <f t="shared" si="18"/>
        <v>246.35</v>
      </c>
      <c r="AZ23" s="52">
        <v>432597</v>
      </c>
      <c r="BA23" s="37">
        <f t="shared" si="19"/>
        <v>103200</v>
      </c>
      <c r="BB23" s="37">
        <f t="shared" si="20"/>
        <v>281.73599999999999</v>
      </c>
      <c r="BC23" s="59">
        <f t="shared" si="21"/>
        <v>125.20347839999999</v>
      </c>
    </row>
    <row r="24" spans="1:55" x14ac:dyDescent="0.2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2"/>
        <v>570</v>
      </c>
      <c r="R24" s="37">
        <f t="shared" si="23"/>
        <v>1910</v>
      </c>
      <c r="S24" s="37">
        <f t="shared" si="15"/>
        <v>2260</v>
      </c>
      <c r="T24" s="37">
        <f t="shared" si="24"/>
        <v>930</v>
      </c>
      <c r="U24" s="37">
        <f t="shared" si="25"/>
        <v>6610</v>
      </c>
      <c r="V24" s="37">
        <f t="shared" si="26"/>
        <v>4720</v>
      </c>
      <c r="W24" s="37">
        <f t="shared" si="27"/>
        <v>3730</v>
      </c>
      <c r="X24" s="37">
        <f t="shared" si="28"/>
        <v>5010</v>
      </c>
      <c r="Y24" s="37">
        <f t="shared" si="29"/>
        <v>6310</v>
      </c>
      <c r="Z24" s="37">
        <f t="shared" si="30"/>
        <v>2670</v>
      </c>
      <c r="AA24" s="37">
        <f t="shared" si="31"/>
        <v>3380</v>
      </c>
      <c r="AB24" s="37">
        <f t="shared" si="32"/>
        <v>7840</v>
      </c>
      <c r="AC24" s="37">
        <f t="shared" si="33"/>
        <v>17010</v>
      </c>
      <c r="AD24" s="35">
        <f t="shared" si="34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5"/>
        <v>314.75000000000006</v>
      </c>
      <c r="AT24" s="66">
        <v>0</v>
      </c>
      <c r="AU24" s="68">
        <f t="shared" si="16"/>
        <v>0</v>
      </c>
      <c r="AW24" s="62">
        <v>69200</v>
      </c>
      <c r="AX24" s="61">
        <f t="shared" si="17"/>
        <v>81000</v>
      </c>
      <c r="AY24" s="63">
        <f t="shared" si="18"/>
        <v>306.99</v>
      </c>
      <c r="AZ24" s="54">
        <v>434226</v>
      </c>
      <c r="BA24" s="37">
        <f t="shared" si="19"/>
        <v>162900</v>
      </c>
      <c r="BB24" s="37">
        <f t="shared" si="20"/>
        <v>444.71700000000004</v>
      </c>
      <c r="BC24" s="59">
        <f t="shared" si="21"/>
        <v>197.63223480000002</v>
      </c>
    </row>
    <row r="25" spans="1:55" x14ac:dyDescent="0.2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7">IF((C25-C24&lt;0), "0",C25-C24)</f>
        <v>540</v>
      </c>
      <c r="R25" s="37">
        <f t="shared" si="23"/>
        <v>1820</v>
      </c>
      <c r="S25" s="37">
        <f t="shared" si="37"/>
        <v>2400</v>
      </c>
      <c r="T25" s="37">
        <f t="shared" si="37"/>
        <v>890</v>
      </c>
      <c r="U25" s="37">
        <f t="shared" si="37"/>
        <v>6180</v>
      </c>
      <c r="V25" s="37">
        <f t="shared" si="37"/>
        <v>4250</v>
      </c>
      <c r="W25" s="37">
        <f t="shared" si="37"/>
        <v>2910</v>
      </c>
      <c r="X25" s="37">
        <f t="shared" si="37"/>
        <v>4240</v>
      </c>
      <c r="Y25" s="37">
        <f t="shared" si="37"/>
        <v>5680</v>
      </c>
      <c r="Z25" s="37">
        <f t="shared" si="37"/>
        <v>2510</v>
      </c>
      <c r="AA25" s="37">
        <f t="shared" si="37"/>
        <v>3170</v>
      </c>
      <c r="AB25" s="37">
        <f t="shared" si="37"/>
        <v>7370</v>
      </c>
      <c r="AC25" s="37">
        <f t="shared" si="37"/>
        <v>16080</v>
      </c>
      <c r="AD25" s="35">
        <f t="shared" si="34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5"/>
        <v>290.20000000000005</v>
      </c>
      <c r="AT25" s="66">
        <v>0</v>
      </c>
      <c r="AU25" s="68">
        <f t="shared" si="16"/>
        <v>0</v>
      </c>
      <c r="AW25" s="62">
        <v>69310</v>
      </c>
      <c r="AX25" s="61">
        <f t="shared" si="17"/>
        <v>110000</v>
      </c>
      <c r="AY25" s="63">
        <f t="shared" si="18"/>
        <v>416.9</v>
      </c>
      <c r="AZ25" s="52">
        <v>435730</v>
      </c>
      <c r="BA25" s="37">
        <f t="shared" si="19"/>
        <v>150400</v>
      </c>
      <c r="BB25" s="37">
        <f t="shared" si="20"/>
        <v>410.59200000000004</v>
      </c>
      <c r="BC25" s="59">
        <f t="shared" si="21"/>
        <v>182.46708480000004</v>
      </c>
    </row>
    <row r="26" spans="1:55" x14ac:dyDescent="0.2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7"/>
        <v>550</v>
      </c>
      <c r="R26" s="37">
        <f t="shared" si="23"/>
        <v>1810</v>
      </c>
      <c r="S26" s="37">
        <f t="shared" si="37"/>
        <v>2450</v>
      </c>
      <c r="T26" s="37">
        <f t="shared" si="37"/>
        <v>900</v>
      </c>
      <c r="U26" s="37">
        <f t="shared" si="37"/>
        <v>5420</v>
      </c>
      <c r="V26" s="37">
        <f t="shared" si="37"/>
        <v>4060</v>
      </c>
      <c r="W26" s="37">
        <f t="shared" si="37"/>
        <v>2770</v>
      </c>
      <c r="X26" s="37">
        <f t="shared" si="37"/>
        <v>4410</v>
      </c>
      <c r="Y26" s="37">
        <f t="shared" si="37"/>
        <v>5430</v>
      </c>
      <c r="Z26" s="37">
        <f t="shared" si="37"/>
        <v>2380</v>
      </c>
      <c r="AA26" s="37">
        <f t="shared" si="37"/>
        <v>3000</v>
      </c>
      <c r="AB26" s="37">
        <f t="shared" si="37"/>
        <v>7380</v>
      </c>
      <c r="AC26" s="37">
        <f t="shared" si="37"/>
        <v>14250</v>
      </c>
      <c r="AD26" s="35">
        <f t="shared" si="34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5"/>
        <v>274.05</v>
      </c>
      <c r="AT26" s="66">
        <v>6.3</v>
      </c>
      <c r="AU26" s="68">
        <f t="shared" si="16"/>
        <v>1122.1875</v>
      </c>
      <c r="AW26" s="62">
        <v>69403</v>
      </c>
      <c r="AX26" s="61">
        <f t="shared" si="17"/>
        <v>93000</v>
      </c>
      <c r="AY26" s="63">
        <f t="shared" si="18"/>
        <v>352.46999999999997</v>
      </c>
      <c r="AZ26" s="54">
        <v>437165</v>
      </c>
      <c r="BA26" s="37">
        <f t="shared" si="19"/>
        <v>143500</v>
      </c>
      <c r="BB26" s="37">
        <f t="shared" si="20"/>
        <v>391.75500000000005</v>
      </c>
      <c r="BC26" s="59">
        <f t="shared" si="21"/>
        <v>174.09592200000003</v>
      </c>
    </row>
    <row r="27" spans="1:55" x14ac:dyDescent="0.25">
      <c r="A27" s="23">
        <v>44978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7"/>
        <v>0</v>
      </c>
      <c r="R27" s="37" t="str">
        <f t="shared" si="23"/>
        <v>0</v>
      </c>
      <c r="S27" s="37" t="str">
        <f t="shared" si="37"/>
        <v>0</v>
      </c>
      <c r="T27" s="37" t="str">
        <f t="shared" si="37"/>
        <v>0</v>
      </c>
      <c r="U27" s="37" t="str">
        <f t="shared" si="37"/>
        <v>0</v>
      </c>
      <c r="V27" s="37" t="str">
        <f t="shared" si="37"/>
        <v>0</v>
      </c>
      <c r="W27" s="37" t="str">
        <f t="shared" si="37"/>
        <v>0</v>
      </c>
      <c r="X27" s="37" t="str">
        <f t="shared" si="37"/>
        <v>0</v>
      </c>
      <c r="Y27" s="37" t="str">
        <f t="shared" si="37"/>
        <v>0</v>
      </c>
      <c r="Z27" s="37" t="str">
        <f t="shared" si="37"/>
        <v>0</v>
      </c>
      <c r="AA27" s="37" t="str">
        <f t="shared" si="37"/>
        <v>0</v>
      </c>
      <c r="AB27" s="37" t="str">
        <f t="shared" si="37"/>
        <v>0</v>
      </c>
      <c r="AC27" s="37" t="str">
        <f t="shared" si="37"/>
        <v>0</v>
      </c>
      <c r="AD27" s="35">
        <f t="shared" si="34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5"/>
        <v>0</v>
      </c>
      <c r="AT27" s="66"/>
      <c r="AU27" s="68">
        <f t="shared" si="16"/>
        <v>0</v>
      </c>
      <c r="AW27" s="62">
        <v>0</v>
      </c>
      <c r="AX27" s="61">
        <f t="shared" si="17"/>
        <v>0</v>
      </c>
      <c r="AY27" s="63">
        <f t="shared" si="18"/>
        <v>0</v>
      </c>
      <c r="AZ27" s="52"/>
      <c r="BA27" s="37">
        <f t="shared" si="19"/>
        <v>0</v>
      </c>
      <c r="BB27" s="37">
        <f t="shared" si="20"/>
        <v>0</v>
      </c>
      <c r="BC27" s="59">
        <f t="shared" si="21"/>
        <v>0</v>
      </c>
    </row>
    <row r="28" spans="1:55" x14ac:dyDescent="0.25">
      <c r="A28" s="23">
        <v>44979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22"/>
        <v>0</v>
      </c>
      <c r="R28" s="37">
        <f t="shared" si="23"/>
        <v>0</v>
      </c>
      <c r="S28" s="37">
        <f t="shared" si="15"/>
        <v>0</v>
      </c>
      <c r="T28" s="37">
        <f t="shared" si="24"/>
        <v>0</v>
      </c>
      <c r="U28" s="37">
        <f t="shared" si="25"/>
        <v>0</v>
      </c>
      <c r="V28" s="37">
        <f t="shared" si="26"/>
        <v>0</v>
      </c>
      <c r="W28" s="37">
        <f t="shared" si="27"/>
        <v>0</v>
      </c>
      <c r="X28" s="37">
        <f t="shared" si="28"/>
        <v>0</v>
      </c>
      <c r="Y28" s="37">
        <f t="shared" si="29"/>
        <v>0</v>
      </c>
      <c r="Z28" s="37">
        <f t="shared" si="30"/>
        <v>0</v>
      </c>
      <c r="AA28" s="37">
        <f t="shared" si="31"/>
        <v>0</v>
      </c>
      <c r="AB28" s="37">
        <f t="shared" si="32"/>
        <v>0</v>
      </c>
      <c r="AC28" s="37">
        <f t="shared" si="33"/>
        <v>0</v>
      </c>
      <c r="AD28" s="35">
        <f t="shared" si="34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5"/>
        <v>0</v>
      </c>
      <c r="AT28" s="66"/>
      <c r="AU28" s="68">
        <f t="shared" si="16"/>
        <v>0</v>
      </c>
      <c r="AW28" s="62">
        <v>0</v>
      </c>
      <c r="AX28" s="61">
        <f t="shared" si="17"/>
        <v>0</v>
      </c>
      <c r="AY28" s="63">
        <f t="shared" si="18"/>
        <v>0</v>
      </c>
      <c r="AZ28" s="52"/>
      <c r="BA28" s="37">
        <f t="shared" si="19"/>
        <v>0</v>
      </c>
      <c r="BB28" s="37">
        <f t="shared" si="20"/>
        <v>0</v>
      </c>
      <c r="BC28" s="59">
        <f t="shared" si="21"/>
        <v>0</v>
      </c>
    </row>
    <row r="29" spans="1:55" x14ac:dyDescent="0.25">
      <c r="A29" s="23">
        <v>44980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22"/>
        <v>0</v>
      </c>
      <c r="R29" s="37">
        <f t="shared" si="23"/>
        <v>0</v>
      </c>
      <c r="S29" s="37">
        <f t="shared" si="15"/>
        <v>0</v>
      </c>
      <c r="T29" s="37">
        <f t="shared" si="24"/>
        <v>0</v>
      </c>
      <c r="U29" s="37">
        <f t="shared" si="25"/>
        <v>0</v>
      </c>
      <c r="V29" s="37">
        <f t="shared" si="26"/>
        <v>0</v>
      </c>
      <c r="W29" s="37">
        <f t="shared" si="27"/>
        <v>0</v>
      </c>
      <c r="X29" s="37">
        <f t="shared" si="28"/>
        <v>0</v>
      </c>
      <c r="Y29" s="37">
        <f t="shared" si="29"/>
        <v>0</v>
      </c>
      <c r="Z29" s="37">
        <f t="shared" si="30"/>
        <v>0</v>
      </c>
      <c r="AA29" s="37">
        <f t="shared" si="31"/>
        <v>0</v>
      </c>
      <c r="AB29" s="37">
        <f t="shared" si="32"/>
        <v>0</v>
      </c>
      <c r="AC29" s="37">
        <f t="shared" si="33"/>
        <v>0</v>
      </c>
      <c r="AD29" s="35">
        <f t="shared" si="34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5"/>
        <v>0</v>
      </c>
      <c r="AT29" s="66"/>
      <c r="AU29" s="68">
        <f t="shared" si="16"/>
        <v>0</v>
      </c>
      <c r="AW29" s="62">
        <v>0</v>
      </c>
      <c r="AX29" s="61">
        <f t="shared" si="17"/>
        <v>0</v>
      </c>
      <c r="AY29" s="63">
        <f t="shared" si="18"/>
        <v>0</v>
      </c>
      <c r="AZ29" s="58"/>
      <c r="BA29" s="37">
        <f t="shared" si="19"/>
        <v>0</v>
      </c>
      <c r="BB29" s="37">
        <f t="shared" si="20"/>
        <v>0</v>
      </c>
      <c r="BC29" s="59">
        <f t="shared" si="21"/>
        <v>0</v>
      </c>
    </row>
    <row r="30" spans="1:55" x14ac:dyDescent="0.25">
      <c r="A30" s="23">
        <v>44981</v>
      </c>
      <c r="B30" s="4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Q30" s="37">
        <f t="shared" si="22"/>
        <v>0</v>
      </c>
      <c r="R30" s="37">
        <f t="shared" si="23"/>
        <v>0</v>
      </c>
      <c r="S30" s="37">
        <f t="shared" si="15"/>
        <v>0</v>
      </c>
      <c r="T30" s="37">
        <f t="shared" si="24"/>
        <v>0</v>
      </c>
      <c r="U30" s="37">
        <f t="shared" si="25"/>
        <v>0</v>
      </c>
      <c r="V30" s="37">
        <f t="shared" si="26"/>
        <v>0</v>
      </c>
      <c r="W30" s="37">
        <f t="shared" si="27"/>
        <v>0</v>
      </c>
      <c r="X30" s="37">
        <f t="shared" si="28"/>
        <v>0</v>
      </c>
      <c r="Y30" s="37">
        <f t="shared" si="29"/>
        <v>0</v>
      </c>
      <c r="Z30" s="37">
        <f t="shared" si="30"/>
        <v>0</v>
      </c>
      <c r="AA30" s="37">
        <f t="shared" si="31"/>
        <v>0</v>
      </c>
      <c r="AB30" s="37">
        <f t="shared" si="32"/>
        <v>0</v>
      </c>
      <c r="AC30" s="37">
        <f t="shared" si="33"/>
        <v>0</v>
      </c>
      <c r="AD30" s="35">
        <f t="shared" si="34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5"/>
        <v>0</v>
      </c>
      <c r="AT30" s="66"/>
      <c r="AU30" s="68">
        <f t="shared" si="16"/>
        <v>0</v>
      </c>
      <c r="AW30" s="62">
        <v>0</v>
      </c>
      <c r="AX30" s="61">
        <f t="shared" si="17"/>
        <v>0</v>
      </c>
      <c r="AY30" s="63">
        <f t="shared" si="18"/>
        <v>0</v>
      </c>
      <c r="AZ30" s="54"/>
      <c r="BA30" s="37">
        <f t="shared" si="19"/>
        <v>0</v>
      </c>
      <c r="BB30" s="37">
        <f t="shared" si="20"/>
        <v>0</v>
      </c>
      <c r="BC30" s="59">
        <f t="shared" si="21"/>
        <v>0</v>
      </c>
    </row>
    <row r="31" spans="1:55" x14ac:dyDescent="0.25">
      <c r="A31" s="23">
        <v>44982</v>
      </c>
      <c r="B31" s="4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Q31" s="37">
        <f>IF((C31-C30&lt;0), "0",C31-C30)</f>
        <v>0</v>
      </c>
      <c r="R31" s="37">
        <f t="shared" si="23"/>
        <v>0</v>
      </c>
      <c r="S31" s="37">
        <f t="shared" si="15"/>
        <v>0</v>
      </c>
      <c r="T31" s="37">
        <f t="shared" si="24"/>
        <v>0</v>
      </c>
      <c r="U31" s="37">
        <f t="shared" si="25"/>
        <v>0</v>
      </c>
      <c r="V31" s="37">
        <f t="shared" si="26"/>
        <v>0</v>
      </c>
      <c r="W31" s="37">
        <f t="shared" si="27"/>
        <v>0</v>
      </c>
      <c r="X31" s="37">
        <f t="shared" si="28"/>
        <v>0</v>
      </c>
      <c r="Y31" s="37">
        <f t="shared" si="29"/>
        <v>0</v>
      </c>
      <c r="Z31" s="37">
        <f t="shared" si="30"/>
        <v>0</v>
      </c>
      <c r="AA31" s="37">
        <f t="shared" si="31"/>
        <v>0</v>
      </c>
      <c r="AB31" s="37">
        <f t="shared" si="32"/>
        <v>0</v>
      </c>
      <c r="AC31" s="37">
        <f t="shared" si="33"/>
        <v>0</v>
      </c>
      <c r="AD31" s="35">
        <f t="shared" si="34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5"/>
        <v>0</v>
      </c>
      <c r="AT31" s="66"/>
      <c r="AU31" s="68">
        <f t="shared" si="16"/>
        <v>0</v>
      </c>
      <c r="AW31" s="62">
        <v>0</v>
      </c>
      <c r="AX31" s="61">
        <f t="shared" si="17"/>
        <v>0</v>
      </c>
      <c r="AY31" s="63">
        <f t="shared" si="18"/>
        <v>0</v>
      </c>
      <c r="AZ31" s="56"/>
      <c r="BA31" s="37">
        <f t="shared" si="19"/>
        <v>0</v>
      </c>
      <c r="BB31" s="37">
        <f t="shared" si="20"/>
        <v>0</v>
      </c>
      <c r="BC31" s="59">
        <f t="shared" si="21"/>
        <v>0</v>
      </c>
    </row>
    <row r="32" spans="1:55" x14ac:dyDescent="0.25">
      <c r="A32" s="23">
        <v>44983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3"/>
        <v>0</v>
      </c>
      <c r="S32" s="37">
        <f t="shared" si="15"/>
        <v>0</v>
      </c>
      <c r="T32" s="37">
        <f t="shared" si="24"/>
        <v>0</v>
      </c>
      <c r="U32" s="37">
        <f t="shared" si="25"/>
        <v>0</v>
      </c>
      <c r="V32" s="37">
        <f t="shared" si="26"/>
        <v>0</v>
      </c>
      <c r="W32" s="37">
        <f t="shared" si="27"/>
        <v>0</v>
      </c>
      <c r="X32" s="37">
        <f t="shared" si="28"/>
        <v>0</v>
      </c>
      <c r="Y32" s="37">
        <f t="shared" si="29"/>
        <v>0</v>
      </c>
      <c r="Z32" s="37">
        <f t="shared" si="30"/>
        <v>0</v>
      </c>
      <c r="AA32" s="37">
        <f t="shared" si="31"/>
        <v>0</v>
      </c>
      <c r="AB32" s="37">
        <f t="shared" si="32"/>
        <v>0</v>
      </c>
      <c r="AC32" s="37">
        <f t="shared" si="33"/>
        <v>0</v>
      </c>
      <c r="AD32" s="35">
        <f t="shared" si="34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5"/>
        <v>0</v>
      </c>
      <c r="AT32" s="66"/>
      <c r="AU32" s="68">
        <f t="shared" si="16"/>
        <v>0</v>
      </c>
      <c r="AW32" s="62">
        <v>0</v>
      </c>
      <c r="AX32" s="61">
        <f t="shared" si="17"/>
        <v>0</v>
      </c>
      <c r="AY32" s="63">
        <f t="shared" si="18"/>
        <v>0</v>
      </c>
      <c r="AZ32" s="54"/>
      <c r="BA32" s="37">
        <f t="shared" si="19"/>
        <v>0</v>
      </c>
      <c r="BB32" s="37">
        <f t="shared" si="20"/>
        <v>0</v>
      </c>
      <c r="BC32" s="59">
        <f t="shared" si="21"/>
        <v>0</v>
      </c>
    </row>
    <row r="33" spans="1:55" x14ac:dyDescent="0.2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3"/>
        <v>0</v>
      </c>
      <c r="S33" s="37">
        <f t="shared" si="15"/>
        <v>0</v>
      </c>
      <c r="T33" s="37">
        <f t="shared" si="24"/>
        <v>0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si="30"/>
        <v>0</v>
      </c>
      <c r="AA33" s="37">
        <f t="shared" si="31"/>
        <v>0</v>
      </c>
      <c r="AB33" s="37">
        <f t="shared" si="32"/>
        <v>0</v>
      </c>
      <c r="AC33" s="37">
        <f t="shared" si="33"/>
        <v>0</v>
      </c>
      <c r="AD33" s="35">
        <f t="shared" si="34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5"/>
        <v>0</v>
      </c>
      <c r="AT33" s="66"/>
      <c r="AU33" s="68">
        <f t="shared" si="16"/>
        <v>0</v>
      </c>
      <c r="AW33" s="62">
        <v>0</v>
      </c>
      <c r="AX33" s="61">
        <f t="shared" si="17"/>
        <v>0</v>
      </c>
      <c r="AY33" s="63">
        <f t="shared" si="18"/>
        <v>0</v>
      </c>
      <c r="AZ33" s="53"/>
      <c r="BA33" s="37">
        <f t="shared" si="19"/>
        <v>0</v>
      </c>
      <c r="BB33" s="37">
        <f t="shared" si="20"/>
        <v>0</v>
      </c>
      <c r="BC33" s="59">
        <f t="shared" si="21"/>
        <v>0</v>
      </c>
    </row>
    <row r="34" spans="1:55" x14ac:dyDescent="0.2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3"/>
        <v>0</v>
      </c>
      <c r="S34" s="37">
        <f t="shared" si="15"/>
        <v>0</v>
      </c>
      <c r="T34" s="37">
        <f t="shared" si="24"/>
        <v>0</v>
      </c>
      <c r="U34" s="37">
        <f t="shared" si="25"/>
        <v>0</v>
      </c>
      <c r="V34" s="37">
        <f t="shared" si="26"/>
        <v>0</v>
      </c>
      <c r="W34" s="37">
        <f t="shared" si="27"/>
        <v>0</v>
      </c>
      <c r="X34" s="37">
        <f t="shared" si="28"/>
        <v>0</v>
      </c>
      <c r="Y34" s="37">
        <f t="shared" si="29"/>
        <v>0</v>
      </c>
      <c r="Z34" s="37">
        <f t="shared" si="30"/>
        <v>0</v>
      </c>
      <c r="AA34" s="37">
        <f t="shared" si="31"/>
        <v>0</v>
      </c>
      <c r="AB34" s="37">
        <f t="shared" si="32"/>
        <v>0</v>
      </c>
      <c r="AC34" s="37">
        <f t="shared" si="33"/>
        <v>0</v>
      </c>
      <c r="AD34" s="35">
        <f t="shared" si="34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6"/>
      <c r="AU34" s="68">
        <f t="shared" si="16"/>
        <v>0</v>
      </c>
      <c r="AW34" s="62">
        <v>0</v>
      </c>
      <c r="AX34" s="61">
        <f t="shared" si="17"/>
        <v>0</v>
      </c>
      <c r="AY34" s="63">
        <f t="shared" si="18"/>
        <v>0</v>
      </c>
      <c r="AZ34" s="54"/>
      <c r="BA34" s="37">
        <f t="shared" si="19"/>
        <v>0</v>
      </c>
      <c r="BB34" s="37">
        <f t="shared" si="20"/>
        <v>0</v>
      </c>
      <c r="BC34" s="59">
        <f t="shared" si="21"/>
        <v>0</v>
      </c>
    </row>
    <row r="35" spans="1:55" x14ac:dyDescent="0.2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3"/>
        <v>0</v>
      </c>
      <c r="S35" s="37">
        <f t="shared" si="15"/>
        <v>0</v>
      </c>
      <c r="T35" s="37">
        <f t="shared" si="24"/>
        <v>0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37">
        <f t="shared" si="31"/>
        <v>0</v>
      </c>
      <c r="AB35" s="37">
        <f t="shared" si="32"/>
        <v>0</v>
      </c>
      <c r="AC35" s="37">
        <f t="shared" si="33"/>
        <v>0</v>
      </c>
      <c r="AD35" s="35">
        <f t="shared" si="34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6"/>
      <c r="AU35" s="68">
        <f t="shared" si="16"/>
        <v>0</v>
      </c>
      <c r="AW35" s="62">
        <v>0</v>
      </c>
      <c r="AX35" s="61">
        <f t="shared" si="17"/>
        <v>0</v>
      </c>
      <c r="AY35" s="63">
        <f t="shared" si="18"/>
        <v>0</v>
      </c>
      <c r="AZ35" s="58"/>
      <c r="BA35" s="37">
        <f t="shared" si="19"/>
        <v>0</v>
      </c>
      <c r="BB35" s="37">
        <f t="shared" si="20"/>
        <v>0</v>
      </c>
      <c r="BC35" s="59">
        <f t="shared" si="21"/>
        <v>0</v>
      </c>
    </row>
    <row r="36" spans="1:55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8">IF((C36-C35&lt;0), "0",C36-C35)</f>
        <v>0</v>
      </c>
      <c r="R36" s="37">
        <f t="shared" si="23"/>
        <v>0</v>
      </c>
      <c r="S36" s="37">
        <f t="shared" si="38"/>
        <v>0</v>
      </c>
      <c r="T36" s="37">
        <f t="shared" si="38"/>
        <v>0</v>
      </c>
      <c r="U36" s="37">
        <f t="shared" si="38"/>
        <v>0</v>
      </c>
      <c r="V36" s="37">
        <f t="shared" si="38"/>
        <v>0</v>
      </c>
      <c r="W36" s="37">
        <f t="shared" si="38"/>
        <v>0</v>
      </c>
      <c r="X36" s="37">
        <f t="shared" si="28"/>
        <v>0</v>
      </c>
      <c r="Y36" s="37">
        <f t="shared" si="38"/>
        <v>0</v>
      </c>
      <c r="Z36" s="37">
        <f t="shared" si="38"/>
        <v>0</v>
      </c>
      <c r="AA36" s="37">
        <f t="shared" si="38"/>
        <v>0</v>
      </c>
      <c r="AB36" s="37">
        <f t="shared" si="32"/>
        <v>0</v>
      </c>
      <c r="AC36" s="37">
        <f t="shared" si="33"/>
        <v>0</v>
      </c>
      <c r="AD36" s="35">
        <f t="shared" si="34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6"/>
      <c r="AU36" s="68">
        <f t="shared" si="16"/>
        <v>0</v>
      </c>
      <c r="AW36" s="62">
        <v>0</v>
      </c>
      <c r="AX36" s="61">
        <f t="shared" si="17"/>
        <v>0</v>
      </c>
      <c r="AY36" s="63">
        <f t="shared" si="18"/>
        <v>0</v>
      </c>
      <c r="AZ36" s="56"/>
      <c r="BA36" s="37">
        <f t="shared" si="19"/>
        <v>0</v>
      </c>
      <c r="BB36" s="37">
        <f t="shared" si="20"/>
        <v>0</v>
      </c>
      <c r="BC36" s="59">
        <f t="shared" si="21"/>
        <v>0</v>
      </c>
    </row>
    <row r="37" spans="1:55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si="23"/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8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32"/>
        <v>0</v>
      </c>
      <c r="AC37" s="37">
        <f t="shared" si="33"/>
        <v>0</v>
      </c>
      <c r="AD37" s="35">
        <f t="shared" si="34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T37" s="66"/>
      <c r="AU37" s="68">
        <f t="shared" si="16"/>
        <v>0</v>
      </c>
      <c r="AW37" s="62">
        <v>0</v>
      </c>
      <c r="AX37" s="61">
        <f t="shared" si="17"/>
        <v>0</v>
      </c>
      <c r="AY37" s="63">
        <f t="shared" si="18"/>
        <v>0</v>
      </c>
      <c r="AZ37" s="52"/>
      <c r="BA37" s="37">
        <f t="shared" si="19"/>
        <v>0</v>
      </c>
      <c r="BB37" s="37">
        <f t="shared" si="20"/>
        <v>0</v>
      </c>
      <c r="BC37" s="59">
        <f t="shared" si="21"/>
        <v>0</v>
      </c>
    </row>
    <row r="38" spans="1:55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11220</v>
      </c>
      <c r="R38" s="38">
        <f t="shared" ref="R38:AD38" si="61">SUM(R7:R37)</f>
        <v>36820</v>
      </c>
      <c r="S38" s="38">
        <f t="shared" si="61"/>
        <v>50100</v>
      </c>
      <c r="T38" s="38">
        <f t="shared" si="61"/>
        <v>23040</v>
      </c>
      <c r="U38" s="38">
        <f t="shared" si="61"/>
        <v>123740</v>
      </c>
      <c r="V38" s="38">
        <f t="shared" si="61"/>
        <v>86030</v>
      </c>
      <c r="W38" s="38">
        <f t="shared" si="61"/>
        <v>64340</v>
      </c>
      <c r="X38" s="38">
        <f t="shared" si="61"/>
        <v>89650</v>
      </c>
      <c r="Y38" s="38">
        <f t="shared" si="61"/>
        <v>118130</v>
      </c>
      <c r="Z38" s="38">
        <f t="shared" si="61"/>
        <v>52030</v>
      </c>
      <c r="AA38" s="38">
        <f t="shared" si="61"/>
        <v>63980</v>
      </c>
      <c r="AB38" s="38">
        <f t="shared" si="61"/>
        <v>150640</v>
      </c>
      <c r="AC38" s="38">
        <f t="shared" si="61"/>
        <v>285530</v>
      </c>
      <c r="AD38" s="38">
        <f t="shared" si="61"/>
        <v>1155250</v>
      </c>
      <c r="AF38" s="35">
        <f>SUM(AF7:AF37)</f>
        <v>56.100000000000009</v>
      </c>
      <c r="AG38" s="35">
        <f t="shared" ref="AG38:AU38" si="62">SUM(AG7:AG37)</f>
        <v>184.10000000000002</v>
      </c>
      <c r="AH38" s="35">
        <f t="shared" si="62"/>
        <v>250.5</v>
      </c>
      <c r="AI38" s="35">
        <f t="shared" si="62"/>
        <v>115.2</v>
      </c>
      <c r="AJ38" s="35">
        <f t="shared" si="62"/>
        <v>618.69999999999993</v>
      </c>
      <c r="AK38" s="35">
        <f t="shared" si="62"/>
        <v>430.15000000000009</v>
      </c>
      <c r="AL38" s="35">
        <f t="shared" si="62"/>
        <v>321.70000000000005</v>
      </c>
      <c r="AM38" s="35">
        <f t="shared" si="62"/>
        <v>448.25</v>
      </c>
      <c r="AN38" s="35">
        <f t="shared" si="62"/>
        <v>590.64999999999986</v>
      </c>
      <c r="AO38" s="35">
        <f t="shared" si="62"/>
        <v>260.15000000000003</v>
      </c>
      <c r="AP38" s="35">
        <f t="shared" si="62"/>
        <v>319.89999999999998</v>
      </c>
      <c r="AQ38" s="35">
        <f t="shared" si="62"/>
        <v>753.20000000000016</v>
      </c>
      <c r="AR38" s="35">
        <f t="shared" si="62"/>
        <v>1427.6499999999999</v>
      </c>
      <c r="AS38" s="35">
        <f t="shared" si="62"/>
        <v>5776.2499999999991</v>
      </c>
      <c r="AT38" s="66"/>
      <c r="AU38" s="69">
        <f t="shared" si="62"/>
        <v>7267.5</v>
      </c>
      <c r="AW38" s="62">
        <v>0</v>
      </c>
      <c r="AX38" s="61">
        <f t="shared" si="17"/>
        <v>0</v>
      </c>
      <c r="AY38" s="63">
        <f t="shared" si="18"/>
        <v>0</v>
      </c>
      <c r="AZ38" s="46"/>
      <c r="BA38" s="37">
        <f t="shared" si="19"/>
        <v>0</v>
      </c>
      <c r="BB38" s="37">
        <f>SUM(BB7:BB37)</f>
        <v>8215.9349999999995</v>
      </c>
      <c r="BC38" s="59">
        <f t="shared" si="21"/>
        <v>3651.1615139999999</v>
      </c>
    </row>
    <row r="39" spans="1:55" x14ac:dyDescent="0.25">
      <c r="B39" s="39">
        <f>SUM(B7:B37)</f>
        <v>2681</v>
      </c>
      <c r="D39">
        <v>5.0000000000000001E-3</v>
      </c>
      <c r="AW39" s="62">
        <v>0</v>
      </c>
      <c r="AX39" s="61">
        <f t="shared" si="17"/>
        <v>0</v>
      </c>
      <c r="AY39" s="63">
        <f t="shared" si="18"/>
        <v>0</v>
      </c>
      <c r="BA39" s="36"/>
      <c r="BB39" s="37">
        <f t="shared" si="20"/>
        <v>0</v>
      </c>
    </row>
    <row r="40" spans="1:55" x14ac:dyDescent="0.25">
      <c r="D40">
        <v>2E-3</v>
      </c>
    </row>
    <row r="41" spans="1:55" x14ac:dyDescent="0.25">
      <c r="BC41" t="s">
        <v>46</v>
      </c>
    </row>
    <row r="43" spans="1:55" x14ac:dyDescent="0.25">
      <c r="AU43" s="67">
        <v>178.125</v>
      </c>
    </row>
    <row r="44" spans="1:55" x14ac:dyDescent="0.25">
      <c r="AW44" s="60">
        <v>0.52800000000000002</v>
      </c>
      <c r="AY44" s="60">
        <v>3.79E-3</v>
      </c>
      <c r="AZ44" s="45">
        <v>0.52800000000000002</v>
      </c>
      <c r="BA44">
        <v>4.5500000000000002E-3</v>
      </c>
    </row>
    <row r="46" spans="1:55" x14ac:dyDescent="0.25">
      <c r="BA46">
        <f>0.002/4.5</f>
        <v>4.4444444444444447E-4</v>
      </c>
    </row>
    <row r="47" spans="1:55" x14ac:dyDescent="0.2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2023-02-21T08:24:00Z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