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30" i="7" l="1"/>
  <c r="AR29" i="7" l="1"/>
  <c r="AF20" i="7"/>
  <c r="N22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J20" i="6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<sst xmlns="http://schemas.openxmlformats.org/spreadsheetml/2006/main" count="296" uniqueCount="138">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</sst>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10409.999999999702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99</v>
      </c>
      <c r="J14" s="11">
        <f t="shared" si="3"/>
        <v>10.487297712684205</v>
      </c>
      <c r="K14" s="13">
        <f>'FS Desroches Daily'!CN16</f>
        <v>18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8610.0000000000873</v>
      </c>
      <c r="F15" s="11">
        <f t="shared" si="1"/>
        <v>0.58765030286592534</v>
      </c>
      <c r="G15" s="12">
        <f>(Submetering!AX15+Submetering!AY15+Submetering!AZ15+Submetering!BA15+Submetering!BB15)</f>
        <v>25.640999999999995</v>
      </c>
      <c r="H15" s="11">
        <f t="shared" si="2"/>
        <v>0.99</v>
      </c>
      <c r="I15" s="12">
        <f>'FS Desroches Daily'!CM17</f>
        <v>81.2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9200.0000000000073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60</v>
      </c>
      <c r="J16" s="11">
        <f t="shared" si="3"/>
        <v>10.487297712684205</v>
      </c>
      <c r="K16" s="13">
        <f>'FS Desroches Daily'!CN18</f>
        <v>21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9760.0000000002346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70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9950.0000000001419</v>
      </c>
      <c r="F18" s="11">
        <f t="shared" si="1"/>
        <v>0.58765030286592534</v>
      </c>
      <c r="G18" s="12">
        <f>(Submetering!AX18+Submetering!AY18+Submetering!AZ18+Submetering!BA18+Submetering!BB18)</f>
        <v>32.966999999999999</v>
      </c>
      <c r="H18" s="11">
        <f t="shared" si="2"/>
        <v>0.99</v>
      </c>
      <c r="I18" s="12">
        <f>'FS Desroches Daily'!CM20</f>
        <v>70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9050.0000000000982</v>
      </c>
      <c r="F19" s="11">
        <f t="shared" si="1"/>
        <v>0.58765030286592534</v>
      </c>
      <c r="G19" s="12">
        <f>(Submetering!AX19+Submetering!AY19+Submetering!AZ19+Submetering!BA19+Submetering!BB19)</f>
        <v>27.472499999999997</v>
      </c>
      <c r="H19" s="11">
        <f t="shared" si="2"/>
        <v>0.99</v>
      </c>
      <c r="I19" s="12">
        <f>'FS Desroches Daily'!CM21</f>
        <v>63</v>
      </c>
      <c r="J19" s="11">
        <f t="shared" si="3"/>
        <v>10.487297712684205</v>
      </c>
      <c r="K19" s="13">
        <f>'FS Desroches Daily'!CN21</f>
        <v>11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8369.9999999999127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66.900000000000006</v>
      </c>
      <c r="J20" s="11">
        <f t="shared" si="3"/>
        <v>10.487297712684205</v>
      </c>
      <c r="K20" s="13">
        <f>'FS Desroches Daily'!CN22</f>
        <v>20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9829.9999999995052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71.5</v>
      </c>
      <c r="J21" s="11">
        <f t="shared" si="3"/>
        <v>10.487297712684205</v>
      </c>
      <c r="K21" s="13">
        <f>'FS Desroches Daily'!CN23</f>
        <v>16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9709.9999999999782</v>
      </c>
      <c r="F22" s="11">
        <f t="shared" si="1"/>
        <v>0.58765030286592534</v>
      </c>
      <c r="G22" s="12">
        <f>(Submetering!AX22+Submetering!AY22+Submetering!AZ22+Submetering!BA22+Submetering!BB22)</f>
        <v>23.809499999999996</v>
      </c>
      <c r="H22" s="11">
        <f t="shared" si="2"/>
        <v>0.99</v>
      </c>
      <c r="I22" s="12">
        <f>'FS Desroches Daily'!CM24</f>
        <v>72</v>
      </c>
      <c r="J22" s="11">
        <f t="shared" si="3"/>
        <v>10.487297712684205</v>
      </c>
      <c r="K22" s="13">
        <f>'FS Desroches Daily'!CN24</f>
        <v>21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9410.0000000002565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72</v>
      </c>
      <c r="J23" s="11">
        <f t="shared" si="3"/>
        <v>10.487297712684205</v>
      </c>
      <c r="K23" s="13">
        <f>'FS Desroches Daily'!CN25</f>
        <v>20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9769.9999999999472</v>
      </c>
      <c r="F24" s="11">
        <f t="shared" si="1"/>
        <v>0.58765030286592534</v>
      </c>
      <c r="G24" s="12">
        <f>(Submetering!AX24+Submetering!AY24+Submetering!AZ24+Submetering!BA24+Submetering!BB24)</f>
        <v>32.966999999999992</v>
      </c>
      <c r="H24" s="11">
        <f t="shared" si="2"/>
        <v>0.99</v>
      </c>
      <c r="I24" s="12">
        <f>'FS Desroches Daily'!CM26</f>
        <v>82</v>
      </c>
      <c r="J24" s="11">
        <f t="shared" si="3"/>
        <v>10.487297712684205</v>
      </c>
      <c r="K24" s="13">
        <f>'FS Desroches Daily'!CN26</f>
        <v>23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10299.999999999944</v>
      </c>
      <c r="F25" s="11">
        <f t="shared" si="1"/>
        <v>0.58765030286592534</v>
      </c>
      <c r="G25" s="12">
        <f>(Submetering!AX25+Submetering!AY25+Submetering!AZ25+Submetering!BA25+Submetering!BB25)</f>
        <v>29.303999999999995</v>
      </c>
      <c r="H25" s="11">
        <f t="shared" si="2"/>
        <v>0.99</v>
      </c>
      <c r="I25" s="12">
        <f>'FS Desroches Daily'!CM27</f>
        <v>83</v>
      </c>
      <c r="J25" s="11">
        <f t="shared" si="3"/>
        <v>10.487297712684205</v>
      </c>
      <c r="K25" s="13">
        <f>'FS Desroches Daily'!CN27</f>
        <v>27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9250.0000000002419</v>
      </c>
      <c r="F26" s="11">
        <f t="shared" si="1"/>
        <v>0.58765030286592534</v>
      </c>
      <c r="G26" s="12">
        <f>(Submetering!AX26+Submetering!AY26+Submetering!AZ26+Submetering!BA26+Submetering!BB26)</f>
        <v>23.809499999999996</v>
      </c>
      <c r="H26" s="11">
        <f t="shared" si="2"/>
        <v>0.99</v>
      </c>
      <c r="I26" s="12">
        <f>'FS Desroches Daily'!CM28</f>
        <v>74.5</v>
      </c>
      <c r="J26" s="11">
        <f t="shared" si="3"/>
        <v>10.487297712684205</v>
      </c>
      <c r="K26" s="13">
        <f>'FS Desroches Daily'!CN28</f>
        <v>27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10679.999999999862</v>
      </c>
      <c r="F27" s="11">
        <f t="shared" si="1"/>
        <v>0.58765030286592534</v>
      </c>
      <c r="G27" s="12">
        <f>(Submetering!AX27+Submetering!AY27+Submetering!AZ27+Submetering!BA27+Submetering!BB27)</f>
        <v>29.303999999999998</v>
      </c>
      <c r="H27" s="11">
        <f t="shared" si="2"/>
        <v>0.99</v>
      </c>
      <c r="I27" s="12">
        <f>'FS Desroches Daily'!CM29</f>
        <v>75.3</v>
      </c>
      <c r="J27" s="11">
        <f t="shared" si="3"/>
        <v>10.487297712684205</v>
      </c>
      <c r="K27" s="13">
        <f>'FS Desroches Daily'!CN29</f>
        <v>23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11309.999999999602</v>
      </c>
      <c r="F28" s="11">
        <f t="shared" si="1"/>
        <v>0.58765030286592534</v>
      </c>
      <c r="G28" s="12">
        <f>(Submetering!AX28+Submetering!AY28+Submetering!AZ28+Submetering!BA28+Submetering!BB28)</f>
        <v>31.135499999999993</v>
      </c>
      <c r="H28" s="11">
        <f t="shared" si="2"/>
        <v>0.99</v>
      </c>
      <c r="I28" s="12">
        <f>'FS Desroches Daily'!CM30</f>
        <v>91.7</v>
      </c>
      <c r="J28" s="11">
        <f t="shared" si="3"/>
        <v>10.487297712684205</v>
      </c>
      <c r="K28" s="13">
        <f>'FS Desroches Daily'!CN30</f>
        <v>21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 t="e">
        <f>Submetering!E29+Submetering!F29+Submetering!G29+Submetering!H29-Submetering!AV29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2699.9999999999245</v>
      </c>
      <c r="F14" s="36">
        <f>'FS Desroches Daily'!F16</f>
        <v>3400.0000000000696</v>
      </c>
      <c r="G14" s="35">
        <f>'FS Desroches Daily'!H16</f>
        <v>3199.9999999996476</v>
      </c>
      <c r="H14" s="36">
        <f>'FS Desroches Daily'!J16</f>
        <v>1700.0000000000348</v>
      </c>
      <c r="I14" s="35">
        <f>'FS Desroches Daily'!L16</f>
        <v>2199.9999999999795</v>
      </c>
      <c r="J14" s="36">
        <f>'FS Desroches Daily'!N16</f>
        <v>1969.9999999999136</v>
      </c>
      <c r="K14" s="13">
        <f>'FS Desroches Daily'!P16</f>
        <v>19</v>
      </c>
      <c r="L14" s="35">
        <f>'FS Desroches Daily'!R16</f>
        <v>9</v>
      </c>
      <c r="M14" s="35">
        <f>'FS Desroches Daily'!T16</f>
        <v>1077</v>
      </c>
      <c r="N14" s="35">
        <f>'FS Desroches Daily'!V16</f>
        <v>489</v>
      </c>
      <c r="O14" s="35">
        <f>'FS Desroches Daily'!X16</f>
        <v>460.00000000003638</v>
      </c>
      <c r="P14" s="35">
        <f>'FS Desroches Daily'!Z16</f>
        <v>2899.9999999999027</v>
      </c>
      <c r="Q14" s="35">
        <f>'FS Desroches Daily'!AB16</f>
        <v>560.00000000000227</v>
      </c>
      <c r="R14" s="35">
        <f>'FS Desroches Daily'!AD16</f>
        <v>439.99999999999773</v>
      </c>
      <c r="S14" s="35">
        <f>'FS Desroches Daily'!AF16</f>
        <v>839.99999999997499</v>
      </c>
      <c r="T14" s="35">
        <f>'FS Desroches Daily'!AH16</f>
        <v>2</v>
      </c>
      <c r="U14" s="39">
        <f>'FS Desroches Daily'!AJ16</f>
        <v>810.00000000000227</v>
      </c>
      <c r="V14" s="39">
        <f>'FS Desroches Daily'!AL16</f>
        <v>0.26000000000000512</v>
      </c>
      <c r="W14" s="39">
        <f>'FS Desroches Daily'!AN16</f>
        <v>0.23000000000000398</v>
      </c>
      <c r="X14" s="39">
        <f>'FS Desroches Daily'!AP16</f>
        <v>0.26999999999999602</v>
      </c>
      <c r="Y14" s="39">
        <f>'FS Desroches Daily'!AR16</f>
        <v>99.999999999994316</v>
      </c>
      <c r="Z14" s="39">
        <f>'FS Desroches Daily'!AT16</f>
        <v>139.99999999998636</v>
      </c>
      <c r="AA14" s="39">
        <f>'FS Desroches Daily'!AT16</f>
        <v>139.99999999998636</v>
      </c>
      <c r="AB14" s="39">
        <f>'FS Desroches Daily'!AV16</f>
        <v>120.00000000000455</v>
      </c>
      <c r="AC14" s="39">
        <f>'FS Desroches Daily'!AZ16</f>
        <v>50.000000000011369</v>
      </c>
      <c r="AD14" s="39">
        <f>'FS Desroches Daily'!BB16</f>
        <v>69.999999999993179</v>
      </c>
      <c r="AE14" s="39">
        <f>'FS Desroches Daily'!BD16</f>
        <v>189.99999999999773</v>
      </c>
      <c r="AF14" s="35">
        <f>'FS Desroches Daily'!BF16</f>
        <v>47</v>
      </c>
      <c r="AG14" s="36">
        <f>'FS Desroches Daily'!BH16</f>
        <v>50.000000000011369</v>
      </c>
      <c r="AH14" s="36">
        <f>'FS Desroches Daily'!BJ16</f>
        <v>69.999999999993179</v>
      </c>
      <c r="AI14" s="36">
        <f>'FS Desroches Daily'!BL16</f>
        <v>69.999999999993179</v>
      </c>
      <c r="AJ14" s="36">
        <f>'FS Desroches Daily'!BN16</f>
        <v>49.999999999982947</v>
      </c>
      <c r="AK14" s="36">
        <f>'FS Desroches Daily'!BP16</f>
        <v>60.000000000002274</v>
      </c>
      <c r="AL14" s="36">
        <f>'FS Desroches Daily'!BR16</f>
        <v>52</v>
      </c>
      <c r="AM14" s="36">
        <f>'FS Desroches Daily'!BT16</f>
        <v>60.000000000002274</v>
      </c>
      <c r="AN14" s="36">
        <f>'FS Desroches Daily'!BV16</f>
        <v>81</v>
      </c>
      <c r="AO14" s="36">
        <f>'FS Desroches Daily'!BX16</f>
        <v>60.000000000002274</v>
      </c>
      <c r="AP14" s="36">
        <f>'FS Desroches Daily'!BZ16</f>
        <v>65</v>
      </c>
      <c r="AQ14" s="35">
        <f>'FS Desroches Daily'!CB16</f>
        <v>16.299999999999272</v>
      </c>
      <c r="AR14" s="35">
        <f>'FS Desroches Daily'!CD16</f>
        <v>11.300000000001091</v>
      </c>
      <c r="AS14" s="35">
        <f>'FS Desroches Daily'!CF16</f>
        <v>14.100000000000364</v>
      </c>
      <c r="AT14" s="35">
        <f>'FS Desroches Daily'!CH16</f>
        <v>30</v>
      </c>
      <c r="AU14" s="35">
        <f>'FS Desroches Daily'!CJ16</f>
        <v>325</v>
      </c>
      <c r="AV14" s="35">
        <f>'FS Desroches Daily'!CL16</f>
        <v>589.99999999997499</v>
      </c>
      <c r="AW14" s="35">
        <f>'FS Desroches Daily'!CM16</f>
        <v>99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18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1900.0000000000127</v>
      </c>
      <c r="F15" s="36">
        <f>'FS Desroches Daily'!F17</f>
        <v>3099.9999999998809</v>
      </c>
      <c r="G15" s="35">
        <f>'FS Desroches Daily'!H17</f>
        <v>2900.0000000003465</v>
      </c>
      <c r="H15" s="36">
        <f>'FS Desroches Daily'!J17</f>
        <v>1399.9999999998458</v>
      </c>
      <c r="I15" s="35">
        <f>'FS Desroches Daily'!L17</f>
        <v>1900.0000000000127</v>
      </c>
      <c r="J15" s="36">
        <f>'FS Desroches Daily'!N17</f>
        <v>1360.0000000000136</v>
      </c>
      <c r="K15" s="13">
        <f>'FS Desroches Daily'!P17</f>
        <v>26</v>
      </c>
      <c r="L15" s="35">
        <f>'FS Desroches Daily'!R17</f>
        <v>7</v>
      </c>
      <c r="M15" s="35">
        <f>'FS Desroches Daily'!T17</f>
        <v>1262</v>
      </c>
      <c r="N15" s="35">
        <f>'FS Desroches Daily'!V17</f>
        <v>608</v>
      </c>
      <c r="O15" s="35">
        <f>'FS Desroches Daily'!X17</f>
        <v>419.99999999995907</v>
      </c>
      <c r="P15" s="35">
        <f>'FS Desroches Daily'!Z17</f>
        <v>2699.9999999999245</v>
      </c>
      <c r="Q15" s="35">
        <f>'FS Desroches Daily'!AB17</f>
        <v>339.99999999997499</v>
      </c>
      <c r="R15" s="35">
        <f>'FS Desroches Daily'!AD17</f>
        <v>370.00000000000455</v>
      </c>
      <c r="S15" s="35">
        <f>'FS Desroches Daily'!AF17</f>
        <v>670.00000000001592</v>
      </c>
      <c r="T15" s="35">
        <f>'FS Desroches Daily'!AH17</f>
        <v>1.7999999999999545</v>
      </c>
      <c r="U15" s="39">
        <f>'FS Desroches Daily'!AJ17</f>
        <v>649.99999999997726</v>
      </c>
      <c r="V15" s="39">
        <f>'FS Desroches Daily'!AL17</f>
        <v>0.20999999999999375</v>
      </c>
      <c r="W15" s="39">
        <f>'FS Desroches Daily'!AN17</f>
        <v>0.17000000000000171</v>
      </c>
      <c r="X15" s="39">
        <f>'FS Desroches Daily'!AP17</f>
        <v>0.17000000000000171</v>
      </c>
      <c r="Y15" s="39">
        <f>'FS Desroches Daily'!AR17</f>
        <v>80.000000000012506</v>
      </c>
      <c r="Z15" s="39">
        <f>'FS Desroches Daily'!AT17</f>
        <v>110.00000000001364</v>
      </c>
      <c r="AA15" s="39">
        <f>'FS Desroches Daily'!AT17</f>
        <v>110.00000000001364</v>
      </c>
      <c r="AB15" s="39">
        <f>'FS Desroches Daily'!AV17</f>
        <v>129.99999999999545</v>
      </c>
      <c r="AC15" s="39">
        <f>'FS Desroches Daily'!AZ17</f>
        <v>50.000000000011369</v>
      </c>
      <c r="AD15" s="39">
        <f>'FS Desroches Daily'!BB17</f>
        <v>69.999999999993179</v>
      </c>
      <c r="AE15" s="39">
        <f>'FS Desroches Daily'!BD17</f>
        <v>100.00000000002274</v>
      </c>
      <c r="AF15" s="35">
        <f>'FS Desroches Daily'!BF17</f>
        <v>52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30.000000000001137</v>
      </c>
      <c r="AK15" s="36">
        <f>'FS Desroches Daily'!BP17</f>
        <v>39.99999999996362</v>
      </c>
      <c r="AL15" s="36">
        <f>'FS Desroches Daily'!BR17</f>
        <v>38</v>
      </c>
      <c r="AM15" s="36">
        <f>'FS Desroches Daily'!BT17</f>
        <v>30.000000000001137</v>
      </c>
      <c r="AN15" s="36">
        <f>'FS Desroches Daily'!BV17</f>
        <v>35</v>
      </c>
      <c r="AO15" s="36">
        <f>'FS Desroches Daily'!BX17</f>
        <v>30.000000000001137</v>
      </c>
      <c r="AP15" s="36">
        <f>'FS Desroches Daily'!BZ17</f>
        <v>49</v>
      </c>
      <c r="AQ15" s="35">
        <f>'FS Desroches Daily'!CB17</f>
        <v>23.100000000002183</v>
      </c>
      <c r="AR15" s="35">
        <f>'FS Desroches Daily'!CD17</f>
        <v>13.299999999999272</v>
      </c>
      <c r="AS15" s="35">
        <f>'FS Desroches Daily'!CF17</f>
        <v>5.3000000000001819</v>
      </c>
      <c r="AT15" s="35">
        <f>'FS Desroches Daily'!CH17</f>
        <v>16</v>
      </c>
      <c r="AU15" s="35">
        <f>'FS Desroches Daily'!CJ17</f>
        <v>282</v>
      </c>
      <c r="AV15" s="35">
        <f>'FS Desroches Daily'!CL17</f>
        <v>689.99999999999773</v>
      </c>
      <c r="AW15" s="35">
        <f>'FS Desroches Daily'!CM17</f>
        <v>81.2</v>
      </c>
      <c r="AX15" s="35">
        <f>IF(LPG!F22-LPG!F21&lt;0,"0",(LPG!F22-LPG!F21)*1.8315)</f>
        <v>14.651999999999999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0</v>
      </c>
      <c r="BB15" s="35">
        <f>IF(LPG!Q22-LPG!Q21&lt;0,"0",(LPG!Q22-LPG!Q21)*1.8315)</f>
        <v>5.4944999999999995</v>
      </c>
      <c r="BC15" s="13">
        <f>'FS Desroches Daily'!CN17</f>
        <v>16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2099.9999999999909</v>
      </c>
      <c r="F16" s="36">
        <f>'FS Desroches Daily'!F18</f>
        <v>3300.0000000003029</v>
      </c>
      <c r="G16" s="35">
        <f>'FS Desroches Daily'!H18</f>
        <v>2799.9999999996917</v>
      </c>
      <c r="H16" s="36">
        <f>'FS Desroches Daily'!J18</f>
        <v>1600.0000000000459</v>
      </c>
      <c r="I16" s="35">
        <f>'FS Desroches Daily'!L18</f>
        <v>2199.9999999999795</v>
      </c>
      <c r="J16" s="36">
        <f>'FS Desroches Daily'!N18</f>
        <v>1529.9999999999727</v>
      </c>
      <c r="K16" s="13">
        <f>'FS Desroches Daily'!P18</f>
        <v>24</v>
      </c>
      <c r="L16" s="35">
        <f>'FS Desroches Daily'!R18</f>
        <v>8</v>
      </c>
      <c r="M16" s="35">
        <f>'FS Desroches Daily'!T18</f>
        <v>1039</v>
      </c>
      <c r="N16" s="35">
        <f>'FS Desroches Daily'!V18</f>
        <v>417</v>
      </c>
      <c r="O16" s="35">
        <f>'FS Desroches Daily'!X18</f>
        <v>370.00000000000455</v>
      </c>
      <c r="P16" s="35">
        <f>'FS Desroches Daily'!Z18</f>
        <v>2699.9999999999245</v>
      </c>
      <c r="Q16" s="35">
        <f>'FS Desroches Daily'!AB18</f>
        <v>389.99999999998636</v>
      </c>
      <c r="R16" s="35">
        <f>'FS Desroches Daily'!AD18</f>
        <v>319.99999999999318</v>
      </c>
      <c r="S16" s="35">
        <f>'FS Desroches Daily'!AF18</f>
        <v>620.00000000000455</v>
      </c>
      <c r="T16" s="35">
        <f>'FS Desroches Daily'!AH18</f>
        <v>1.8000000000000682</v>
      </c>
      <c r="U16" s="39">
        <f>'FS Desroches Daily'!AJ18</f>
        <v>629.99999999999545</v>
      </c>
      <c r="V16" s="39">
        <f>'FS Desroches Daily'!AL18</f>
        <v>0.21000000000000796</v>
      </c>
      <c r="W16" s="39">
        <f>'FS Desroches Daily'!AN18</f>
        <v>0.17000000000000171</v>
      </c>
      <c r="X16" s="39">
        <f>'FS Desroches Daily'!AP18</f>
        <v>0.14999999999999147</v>
      </c>
      <c r="Y16" s="39">
        <f>'FS Desroches Daily'!AR18</f>
        <v>69.999999999993179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50.000000000011369</v>
      </c>
      <c r="AD16" s="39">
        <f>'FS Desroches Daily'!BB18</f>
        <v>60.000000000002274</v>
      </c>
      <c r="AE16" s="39">
        <f>'FS Desroches Daily'!BD18</f>
        <v>19.99999999998181</v>
      </c>
      <c r="AF16" s="35">
        <f>'FS Desroches Daily'!BF18</f>
        <v>42</v>
      </c>
      <c r="AG16" s="36">
        <f>'FS Desroches Daily'!BH18</f>
        <v>29.999999999972715</v>
      </c>
      <c r="AH16" s="36">
        <f>'FS Desroches Daily'!BJ18</f>
        <v>39.99999999996362</v>
      </c>
      <c r="AI16" s="36">
        <f>'FS Desroches Daily'!BL18</f>
        <v>40.000000000020464</v>
      </c>
      <c r="AJ16" s="36">
        <f>'FS Desroches Daily'!BN18</f>
        <v>40.000000000020464</v>
      </c>
      <c r="AK16" s="36">
        <f>'FS Desroches Daily'!BP18</f>
        <v>50.000000000011369</v>
      </c>
      <c r="AL16" s="36">
        <f>'FS Desroches Daily'!BR18</f>
        <v>35</v>
      </c>
      <c r="AM16" s="36">
        <f>'FS Desroches Daily'!BT18</f>
        <v>30.000000000001137</v>
      </c>
      <c r="AN16" s="36">
        <f>'FS Desroches Daily'!BV18</f>
        <v>33</v>
      </c>
      <c r="AO16" s="36">
        <f>'FS Desroches Daily'!BX18</f>
        <v>39.999999999992042</v>
      </c>
      <c r="AP16" s="36">
        <f>'FS Desroches Daily'!BZ18</f>
        <v>49</v>
      </c>
      <c r="AQ16" s="35">
        <f>'FS Desroches Daily'!CB18</f>
        <v>30.299999999999272</v>
      </c>
      <c r="AR16" s="35">
        <f>'FS Desroches Daily'!CD18</f>
        <v>11</v>
      </c>
      <c r="AS16" s="35">
        <f>'FS Desroches Daily'!CF18</f>
        <v>3.1999999999998181</v>
      </c>
      <c r="AT16" s="35">
        <f>'FS Desroches Daily'!CH18</f>
        <v>25</v>
      </c>
      <c r="AU16" s="35">
        <f>'FS Desroches Daily'!CJ18</f>
        <v>317</v>
      </c>
      <c r="AV16" s="35">
        <f>'FS Desroches Daily'!CL18</f>
        <v>600.00000000002274</v>
      </c>
      <c r="AW16" s="35">
        <f>'FS Desroches Daily'!CM18</f>
        <v>60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1.8314999999999999</v>
      </c>
      <c r="BA16" s="35">
        <f>IF(LPG!M23-LPG!M22&lt;0,"0",(LPG!M23-LPG!M22)*1.8315)</f>
        <v>5.4944999999999995</v>
      </c>
      <c r="BB16" s="35">
        <f>IF(LPG!Q23-LPG!Q22&lt;0,"0",(LPG!Q23-LPG!Q22)*1.8315)</f>
        <v>1.8314999999999999</v>
      </c>
      <c r="BC16" s="13">
        <f>'FS Desroches Daily'!CN18</f>
        <v>21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2400.0000000001796</v>
      </c>
      <c r="F17" s="36">
        <f>'FS Desroches Daily'!F19</f>
        <v>3499.9999999998367</v>
      </c>
      <c r="G17" s="35">
        <f>'FS Desroches Daily'!H19</f>
        <v>2800.0000000001355</v>
      </c>
      <c r="H17" s="36">
        <f>'FS Desroches Daily'!J19</f>
        <v>1600.0000000000459</v>
      </c>
      <c r="I17" s="35">
        <f>'FS Desroches Daily'!L19</f>
        <v>2000.0000000000018</v>
      </c>
      <c r="J17" s="36">
        <f>'FS Desroches Daily'!N19</f>
        <v>1350.0000000000227</v>
      </c>
      <c r="K17" s="13">
        <f>'FS Desroches Daily'!P19</f>
        <v>20</v>
      </c>
      <c r="L17" s="35">
        <f>'FS Desroches Daily'!R19</f>
        <v>9</v>
      </c>
      <c r="M17" s="35">
        <f>'FS Desroches Daily'!T19</f>
        <v>918</v>
      </c>
      <c r="N17" s="35">
        <f>'FS Desroches Daily'!V19</f>
        <v>346</v>
      </c>
      <c r="O17" s="35">
        <f>'FS Desroches Daily'!X19</f>
        <v>389.99999999998636</v>
      </c>
      <c r="P17" s="35">
        <f>'FS Desroches Daily'!Z19</f>
        <v>3400.0000000000696</v>
      </c>
      <c r="Q17" s="35">
        <f>'FS Desroches Daily'!AB19</f>
        <v>330.00000000004093</v>
      </c>
      <c r="R17" s="35">
        <f>'FS Desroches Daily'!AD19</f>
        <v>300.00000000001137</v>
      </c>
      <c r="S17" s="35">
        <f>'FS Desroches Daily'!AF19</f>
        <v>1219.9999999999704</v>
      </c>
      <c r="T17" s="35">
        <f>'FS Desroches Daily'!AH19</f>
        <v>2</v>
      </c>
      <c r="U17" s="39">
        <f>'FS Desroches Daily'!AJ19</f>
        <v>550.00000000001137</v>
      </c>
      <c r="V17" s="39">
        <f>'FS Desroches Daily'!AL19</f>
        <v>0.20999999999999375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80.000000000012506</v>
      </c>
      <c r="Z17" s="39">
        <f>'FS Desroches Daily'!AT19</f>
        <v>100.00000000002274</v>
      </c>
      <c r="AA17" s="39">
        <f>'FS Desroches Daily'!AT19</f>
        <v>100.00000000002274</v>
      </c>
      <c r="AB17" s="39">
        <f>'FS Desroches Daily'!AV19</f>
        <v>119.99999999997613</v>
      </c>
      <c r="AC17" s="39">
        <f>'FS Desroches Daily'!AZ19</f>
        <v>39.99999999996362</v>
      </c>
      <c r="AD17" s="39">
        <f>'FS Desroches Daily'!BB19</f>
        <v>60.000000000002274</v>
      </c>
      <c r="AE17" s="39">
        <f>'FS Desroches Daily'!BD19</f>
        <v>30.000000000001137</v>
      </c>
      <c r="AF17" s="35">
        <f>'FS Desroches Daily'!BF19</f>
        <v>52</v>
      </c>
      <c r="AG17" s="36">
        <f>'FS Desroches Daily'!BH19</f>
        <v>50.000000000011369</v>
      </c>
      <c r="AH17" s="36">
        <f>'FS Desroches Daily'!BJ19</f>
        <v>60.000000000002274</v>
      </c>
      <c r="AI17" s="36">
        <f>'FS Desroches Daily'!BL19</f>
        <v>59.999999999973852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44</v>
      </c>
      <c r="AM17" s="36">
        <f>'FS Desroches Daily'!BT19</f>
        <v>49.999999999982947</v>
      </c>
      <c r="AN17" s="36">
        <f>'FS Desroches Daily'!BV19</f>
        <v>40</v>
      </c>
      <c r="AO17" s="36">
        <f>'FS Desroches Daily'!BX19</f>
        <v>50.000000000011369</v>
      </c>
      <c r="AP17" s="36">
        <f>'FS Desroches Daily'!BZ19</f>
        <v>56</v>
      </c>
      <c r="AQ17" s="35">
        <f>'FS Desroches Daily'!CB19</f>
        <v>43</v>
      </c>
      <c r="AR17" s="35">
        <f>'FS Desroches Daily'!CD19</f>
        <v>11.899999999999636</v>
      </c>
      <c r="AS17" s="35">
        <f>'FS Desroches Daily'!CF19</f>
        <v>0.1000000000003638</v>
      </c>
      <c r="AT17" s="35">
        <f>'FS Desroches Daily'!CH19</f>
        <v>31</v>
      </c>
      <c r="AU17" s="35">
        <f>'FS Desroches Daily'!CJ19</f>
        <v>309</v>
      </c>
      <c r="AV17" s="35">
        <f>'FS Desroches Daily'!CL19</f>
        <v>539.99999999996362</v>
      </c>
      <c r="AW17" s="35">
        <f>'FS Desroches Daily'!CM19</f>
        <v>70</v>
      </c>
      <c r="AX17" s="35">
        <f>IF(LPG!F24-LPG!F23&lt;0,"0",(LPG!F24-LPG!F23)*1.8315)</f>
        <v>14.651999999999999</v>
      </c>
      <c r="AY17" s="35">
        <f>IF(LPG!H24-LPG!H23&lt;0,"0",(LPG!H24-LPG!H23)*1.8315)</f>
        <v>3.6629999999999998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3.6629999999999998</v>
      </c>
      <c r="BC17" s="13">
        <f>'FS Desroches Daily'!CN19</f>
        <v>11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2499.9999999999468</v>
      </c>
      <c r="F18" s="36">
        <f>'FS Desroches Daily'!F20</f>
        <v>3600.0000000000477</v>
      </c>
      <c r="G18" s="35">
        <f>'FS Desroches Daily'!H20</f>
        <v>2600.0000000001578</v>
      </c>
      <c r="H18" s="36">
        <f>'FS Desroches Daily'!J20</f>
        <v>1700.0000000000348</v>
      </c>
      <c r="I18" s="35">
        <f>'FS Desroches Daily'!L20</f>
        <v>2000.0000000000018</v>
      </c>
      <c r="J18" s="36">
        <f>'FS Desroches Daily'!N20</f>
        <v>1450.0000000000455</v>
      </c>
      <c r="K18" s="13">
        <f>'FS Desroches Daily'!P20</f>
        <v>19</v>
      </c>
      <c r="L18" s="35">
        <f>'FS Desroches Daily'!R20</f>
        <v>8</v>
      </c>
      <c r="M18" s="35">
        <f>'FS Desroches Daily'!T20</f>
        <v>993</v>
      </c>
      <c r="N18" s="35">
        <f>'FS Desroches Daily'!V20</f>
        <v>430</v>
      </c>
      <c r="O18" s="35">
        <f>'FS Desroches Daily'!X20</f>
        <v>379.99999999999545</v>
      </c>
      <c r="P18" s="35">
        <f>'FS Desroches Daily'!Z20</f>
        <v>3099.9999999998809</v>
      </c>
      <c r="Q18" s="35">
        <f>'FS Desroches Daily'!AB20</f>
        <v>469.99999999997044</v>
      </c>
      <c r="R18" s="35">
        <f>'FS Desroches Daily'!AD20</f>
        <v>269.99999999998181</v>
      </c>
      <c r="S18" s="35">
        <f>'FS Desroches Daily'!AF20</f>
        <v>100.00000000047748</v>
      </c>
      <c r="T18" s="35">
        <f>'FS Desroches Daily'!AH20</f>
        <v>1.8999999999999773</v>
      </c>
      <c r="U18" s="39">
        <f>'FS Desroches Daily'!AJ20</f>
        <v>1439.9999999999977</v>
      </c>
      <c r="V18" s="39">
        <f>'FS Desroches Daily'!AL20</f>
        <v>0.31000000000000227</v>
      </c>
      <c r="W18" s="39">
        <f>'FS Desroches Daily'!AN20</f>
        <v>0.26000000000000512</v>
      </c>
      <c r="X18" s="39">
        <f>'FS Desroches Daily'!AP20</f>
        <v>0.26000000000000512</v>
      </c>
      <c r="Y18" s="39">
        <f>'FS Desroches Daily'!AR20</f>
        <v>99.999999999994316</v>
      </c>
      <c r="Z18" s="39">
        <f>'FS Desroches Daily'!AT20</f>
        <v>189.99999999999773</v>
      </c>
      <c r="AA18" s="39">
        <f>'FS Desroches Daily'!AT20</f>
        <v>189.99999999999773</v>
      </c>
      <c r="AB18" s="39">
        <f>'FS Desroches Daily'!AV20</f>
        <v>130.00000000002387</v>
      </c>
      <c r="AC18" s="39">
        <f>'FS Desroches Daily'!AZ20</f>
        <v>60.000000000002274</v>
      </c>
      <c r="AD18" s="39">
        <f>'FS Desroches Daily'!BB20</f>
        <v>69.999999999993179</v>
      </c>
      <c r="AE18" s="39">
        <f>'FS Desroches Daily'!BD20</f>
        <v>0</v>
      </c>
      <c r="AF18" s="35">
        <f>'FS Desroches Daily'!BF20</f>
        <v>56</v>
      </c>
      <c r="AG18" s="36">
        <f>'FS Desroches Daily'!BH20</f>
        <v>20.000000000010232</v>
      </c>
      <c r="AH18" s="36">
        <f>'FS Desroches Daily'!BJ20</f>
        <v>50.000000000011369</v>
      </c>
      <c r="AI18" s="36">
        <f>'FS Desroches Daily'!BL20</f>
        <v>40.000000000020464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40.000000000020464</v>
      </c>
      <c r="AN18" s="36">
        <f>'FS Desroches Daily'!BV20</f>
        <v>34</v>
      </c>
      <c r="AO18" s="36">
        <f>'FS Desroches Daily'!BX20</f>
        <v>49.999999999982947</v>
      </c>
      <c r="AP18" s="36">
        <f>'FS Desroches Daily'!BZ20</f>
        <v>54</v>
      </c>
      <c r="AQ18" s="35">
        <f>'FS Desroches Daily'!CB20</f>
        <v>32.200000000000728</v>
      </c>
      <c r="AR18" s="35">
        <f>'FS Desroches Daily'!CD20</f>
        <v>24.100000000000364</v>
      </c>
      <c r="AS18" s="35">
        <f>'FS Desroches Daily'!CF20</f>
        <v>8.5</v>
      </c>
      <c r="AT18" s="35">
        <f>'FS Desroches Daily'!CH20</f>
        <v>51</v>
      </c>
      <c r="AU18" s="35">
        <f>'FS Desroches Daily'!CJ20</f>
        <v>333</v>
      </c>
      <c r="AV18" s="35">
        <f>'FS Desroches Daily'!CL20</f>
        <v>450.00000000004547</v>
      </c>
      <c r="AW18" s="35">
        <f>'FS Desroches Daily'!CM20</f>
        <v>70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3.6629999999999998</v>
      </c>
      <c r="BB18" s="35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1800.0000000000239</v>
      </c>
      <c r="F19" s="36">
        <f>'FS Desroches Daily'!F21</f>
        <v>3400.0000000000696</v>
      </c>
      <c r="G19" s="35">
        <f>'FS Desroches Daily'!H21</f>
        <v>2899.9999999999027</v>
      </c>
      <c r="H19" s="36">
        <f>'FS Desroches Daily'!J21</f>
        <v>1500.0000000000568</v>
      </c>
      <c r="I19" s="35">
        <f>'FS Desroches Daily'!L21</f>
        <v>2000.0000000000018</v>
      </c>
      <c r="J19" s="36">
        <f>'FS Desroches Daily'!N21</f>
        <v>1220.0000000000273</v>
      </c>
      <c r="K19" s="13">
        <f>'FS Desroches Daily'!P21</f>
        <v>19</v>
      </c>
      <c r="L19" s="35">
        <f>'FS Desroches Daily'!R21</f>
        <v>9</v>
      </c>
      <c r="M19" s="35">
        <f>'FS Desroches Daily'!T21</f>
        <v>935</v>
      </c>
      <c r="N19" s="35">
        <f>'FS Desroches Daily'!V21</f>
        <v>409</v>
      </c>
      <c r="O19" s="35">
        <f>'FS Desroches Daily'!X21</f>
        <v>330.00000000004093</v>
      </c>
      <c r="P19" s="35">
        <f>'FS Desroches Daily'!Z21</f>
        <v>3100.0000000003247</v>
      </c>
      <c r="Q19" s="35">
        <f>'FS Desroches Daily'!AB21</f>
        <v>310.00000000000227</v>
      </c>
      <c r="R19" s="35">
        <f>'FS Desroches Daily'!AD21</f>
        <v>269.99999999998181</v>
      </c>
      <c r="S19" s="35">
        <f>'FS Desroches Daily'!AF21</f>
        <v>549.99999999995453</v>
      </c>
      <c r="T19" s="35">
        <f>'FS Desroches Daily'!AH21</f>
        <v>1.6999999999999318</v>
      </c>
      <c r="U19" s="39">
        <f>'FS Desroches Daily'!AJ21</f>
        <v>519.99999999998181</v>
      </c>
      <c r="V19" s="39">
        <f>'FS Desroches Daily'!AL21</f>
        <v>0.17999999999999261</v>
      </c>
      <c r="W19" s="39">
        <f>'FS Desroches Daily'!AN21</f>
        <v>0.18999999999999773</v>
      </c>
      <c r="X19" s="39">
        <f>'FS Desroches Daily'!AP21</f>
        <v>0.15999999999999659</v>
      </c>
      <c r="Y19" s="39">
        <f>'FS Desroches Daily'!AR21</f>
        <v>69.999999999993179</v>
      </c>
      <c r="Z19" s="39">
        <f>'FS Desroches Daily'!AT21</f>
        <v>120.00000000000455</v>
      </c>
      <c r="AA19" s="39">
        <f>'FS Desroches Daily'!AT21</f>
        <v>120.00000000000455</v>
      </c>
      <c r="AB19" s="39">
        <f>'FS Desroches Daily'!AV21</f>
        <v>119.99999999997613</v>
      </c>
      <c r="AC19" s="39">
        <f>'FS Desroches Daily'!AZ21</f>
        <v>50.000000000011369</v>
      </c>
      <c r="AD19" s="39">
        <f>'FS Desroches Daily'!BB21</f>
        <v>50.000000000011369</v>
      </c>
      <c r="AE19" s="39">
        <f>'FS Desroches Daily'!BD21</f>
        <v>0</v>
      </c>
      <c r="AF19" s="35">
        <f>'FS Desroches Daily'!BF21</f>
        <v>54</v>
      </c>
      <c r="AG19" s="36">
        <f>'FS Desroches Daily'!BH21</f>
        <v>30.000000000001137</v>
      </c>
      <c r="AH19" s="36">
        <f>'FS Desroches Daily'!BJ21</f>
        <v>40.000000000020464</v>
      </c>
      <c r="AI19" s="36">
        <f>'FS Desroches Daily'!BL21</f>
        <v>39.999999999992042</v>
      </c>
      <c r="AJ19" s="36">
        <f>'FS Desroches Daily'!BN21</f>
        <v>39.999999999992042</v>
      </c>
      <c r="AK19" s="36">
        <f>'FS Desroches Daily'!BP21</f>
        <v>49.999999999954525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38</v>
      </c>
      <c r="AO19" s="36">
        <f>'FS Desroches Daily'!BX21</f>
        <v>39.999999999992042</v>
      </c>
      <c r="AP19" s="36">
        <f>'FS Desroches Daily'!BZ21</f>
        <v>56</v>
      </c>
      <c r="AQ19" s="35">
        <f>'FS Desroches Daily'!CB21</f>
        <v>23.899999999997817</v>
      </c>
      <c r="AR19" s="35">
        <f>'FS Desroches Daily'!CD21</f>
        <v>10.100000000000364</v>
      </c>
      <c r="AS19" s="35">
        <f>'FS Desroches Daily'!CF21</f>
        <v>1.0999999999994543</v>
      </c>
      <c r="AT19" s="35">
        <f>'FS Desroches Daily'!CH21</f>
        <v>35</v>
      </c>
      <c r="AU19" s="35">
        <f>'FS Desroches Daily'!CJ21</f>
        <v>337</v>
      </c>
      <c r="AV19" s="35">
        <f>'FS Desroches Daily'!CL21</f>
        <v>549.99999999995453</v>
      </c>
      <c r="AW19" s="35">
        <f>'FS Desroches Daily'!CM21</f>
        <v>63</v>
      </c>
      <c r="AX19" s="35">
        <f>IF(LPG!F26-LPG!F25&lt;0,"0",(LPG!F26-LPG!F25)*1.8315)</f>
        <v>14.651999999999999</v>
      </c>
      <c r="AY19" s="35">
        <f>IF(LPG!H26-LPG!H25&lt;0,"0",(LPG!H26-LPG!H25)*1.8315)</f>
        <v>3.6629999999999998</v>
      </c>
      <c r="AZ19" s="35">
        <f>IF(LPG!J26-LPG!J25&lt;0,"0",(LPG!J26-LPG!J25)*1.8315)</f>
        <v>3.6629999999999998</v>
      </c>
      <c r="BA19" s="35">
        <f>IF(LPG!M26-LPG!M25&lt;0,"0",(LPG!M26-LPG!M25)*1.8315)</f>
        <v>1.8314999999999999</v>
      </c>
      <c r="BB19" s="35">
        <f>IF(LPG!Q26-LPG!Q25&lt;0,"0",(LPG!Q26-LPG!Q25)*1.8315)</f>
        <v>3.6629999999999998</v>
      </c>
      <c r="BC19" s="13">
        <f>'FS Desroches Daily'!CN21</f>
        <v>11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1500.0000000000568</v>
      </c>
      <c r="F20" s="36">
        <f>'FS Desroches Daily'!F22</f>
        <v>3099.9999999998809</v>
      </c>
      <c r="G20" s="35">
        <f>'FS Desroches Daily'!H22</f>
        <v>2600.0000000001578</v>
      </c>
      <c r="H20" s="36">
        <f>'FS Desroches Daily'!J22</f>
        <v>1599.9999999998238</v>
      </c>
      <c r="I20" s="35">
        <f>'FS Desroches Daily'!L22</f>
        <v>2000.0000000000018</v>
      </c>
      <c r="J20" s="36">
        <f>'FS Desroches Daily'!N22</f>
        <v>1449.9999999999318</v>
      </c>
      <c r="K20" s="13">
        <f>'FS Desroches Daily'!P22</f>
        <v>1</v>
      </c>
      <c r="L20" s="35">
        <f>'FS Desroches Daily'!R22</f>
        <v>7</v>
      </c>
      <c r="M20" s="35">
        <f>'FS Desroches Daily'!T22</f>
        <v>919</v>
      </c>
      <c r="N20" s="35">
        <f>'FS Desroches Daily'!V22</f>
        <v>427</v>
      </c>
      <c r="O20" s="35">
        <f>'FS Desroches Daily'!X22</f>
        <v>329.99999999998408</v>
      </c>
      <c r="P20" s="35">
        <f>'FS Desroches Daily'!Z22</f>
        <v>2699.9999999999245</v>
      </c>
      <c r="Q20" s="35">
        <f>'FS Desroches Daily'!AB22</f>
        <v>540.00000000002046</v>
      </c>
      <c r="R20" s="35">
        <f>'FS Desroches Daily'!AD22</f>
        <v>280.00000000002956</v>
      </c>
      <c r="S20" s="35">
        <f>'FS Desroches Daily'!AF22</f>
        <v>569.99999999999318</v>
      </c>
      <c r="T20" s="35">
        <f>'FS Desroches Daily'!AH22</f>
        <v>1.7000000000000455</v>
      </c>
      <c r="U20" s="39">
        <f>'FS Desroches Daily'!AJ22</f>
        <v>379.99999999999545</v>
      </c>
      <c r="V20" s="39">
        <f>'FS Desroches Daily'!AL22</f>
        <v>0.14000000000000057</v>
      </c>
      <c r="W20" s="39">
        <f>'FS Desroches Daily'!AN22</f>
        <v>0.15999999999999659</v>
      </c>
      <c r="X20" s="39">
        <f>'FS Desroches Daily'!AP22</f>
        <v>0.14000000000000057</v>
      </c>
      <c r="Y20" s="39">
        <f>'FS Desroches Daily'!AR22</f>
        <v>60.000000000002274</v>
      </c>
      <c r="Z20" s="39">
        <f>'FS Desroches Daily'!AT22</f>
        <v>139.99999999998636</v>
      </c>
      <c r="AA20" s="39">
        <f>'FS Desroches Daily'!AT22</f>
        <v>139.99999999998636</v>
      </c>
      <c r="AB20" s="39">
        <f>'FS Desroches Daily'!AV22</f>
        <v>120.00000000000455</v>
      </c>
      <c r="AC20" s="39">
        <f>'FS Desroches Daily'!AZ22</f>
        <v>40.000000000020464</v>
      </c>
      <c r="AD20" s="39">
        <f>'FS Desroches Daily'!BB22</f>
        <v>20.000000000038654</v>
      </c>
      <c r="AE20" s="39">
        <f>'FS Desroches Daily'!BD22</f>
        <v>10.000000000019327</v>
      </c>
      <c r="AF20" s="35">
        <f>'FS Desroches Daily'!BF22</f>
        <v>54</v>
      </c>
      <c r="AG20" s="36">
        <f>'FS Desroches Daily'!BH22</f>
        <v>39.999999999992042</v>
      </c>
      <c r="AH20" s="36">
        <f>'FS Desroches Daily'!BJ22</f>
        <v>49.999999999954525</v>
      </c>
      <c r="AI20" s="36">
        <f>'FS Desroches Daily'!BL22</f>
        <v>60.000000000002274</v>
      </c>
      <c r="AJ20" s="36">
        <f>'FS Desroches Daily'!BN22</f>
        <v>50.000000000011369</v>
      </c>
      <c r="AK20" s="36">
        <f>'FS Desroches Daily'!BP22</f>
        <v>50.000000000011369</v>
      </c>
      <c r="AL20" s="36">
        <f>'FS Desroches Daily'!BR22</f>
        <v>44</v>
      </c>
      <c r="AM20" s="36">
        <f>'FS Desroches Daily'!BT22</f>
        <v>59.999999999973852</v>
      </c>
      <c r="AN20" s="36">
        <f>'FS Desroches Daily'!BV22</f>
        <v>41</v>
      </c>
      <c r="AO20" s="36">
        <f>'FS Desroches Daily'!BX22</f>
        <v>40.000000000020464</v>
      </c>
      <c r="AP20" s="36">
        <f>'FS Desroches Daily'!BZ22</f>
        <v>74</v>
      </c>
      <c r="AQ20" s="35">
        <f>'FS Desroches Daily'!CB22</f>
        <v>20</v>
      </c>
      <c r="AR20" s="35">
        <f>'FS Desroches Daily'!CD22</f>
        <v>6.7000000000007276</v>
      </c>
      <c r="AS20" s="35">
        <f>'FS Desroches Daily'!CF22</f>
        <v>9.1000000000003638</v>
      </c>
      <c r="AT20" s="35">
        <f>'FS Desroches Daily'!CH22</f>
        <v>50</v>
      </c>
      <c r="AU20" s="35">
        <f>'FS Desroches Daily'!CJ22</f>
        <v>299</v>
      </c>
      <c r="AV20" s="35">
        <f>'FS Desroches Daily'!CL22</f>
        <v>430.00000000000682</v>
      </c>
      <c r="AW20" s="35">
        <f>'FS Desroches Daily'!CM22</f>
        <v>66.900000000000006</v>
      </c>
      <c r="AX20" s="35">
        <f>IF(LPG!F27-LPG!F26&lt;0,"0",(LPG!F27-LPG!F26)*1.8315)</f>
        <v>10.988999999999999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5.4944999999999995</v>
      </c>
      <c r="BC20" s="13">
        <f>'FS Desroches Daily'!CN22</f>
        <v>20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1899.9999999997908</v>
      </c>
      <c r="F21" s="36">
        <f>'FS Desroches Daily'!F23</f>
        <v>3699.9999999998145</v>
      </c>
      <c r="G21" s="35">
        <f>'FS Desroches Daily'!H23</f>
        <v>2899.9999999999027</v>
      </c>
      <c r="H21" s="36">
        <f>'FS Desroches Daily'!J23</f>
        <v>1800.0000000000239</v>
      </c>
      <c r="I21" s="35">
        <f>'FS Desroches Daily'!L23</f>
        <v>2200.0000000002019</v>
      </c>
      <c r="J21" s="36">
        <f>'FS Desroches Daily'!N23</f>
        <v>1800.0000000000682</v>
      </c>
      <c r="K21" s="13">
        <f>'FS Desroches Daily'!P23</f>
        <v>18</v>
      </c>
      <c r="L21" s="35">
        <f>'FS Desroches Daily'!R23</f>
        <v>7</v>
      </c>
      <c r="M21" s="35">
        <f>'FS Desroches Daily'!T23</f>
        <v>838</v>
      </c>
      <c r="N21" s="35">
        <f>'FS Desroches Daily'!V23</f>
        <v>327</v>
      </c>
      <c r="O21" s="35">
        <f>'FS Desroches Daily'!X23</f>
        <v>439.99999999999773</v>
      </c>
      <c r="P21" s="35">
        <f>'FS Desroches Daily'!Z23</f>
        <v>3200.0000000000919</v>
      </c>
      <c r="Q21" s="35">
        <f>'FS Desroches Daily'!AB23</f>
        <v>599.99999999996589</v>
      </c>
      <c r="R21" s="35">
        <f>'FS Desroches Daily'!AD23</f>
        <v>449.99999999998863</v>
      </c>
      <c r="S21" s="35">
        <f>'FS Desroches Daily'!AF23</f>
        <v>690.00000000005457</v>
      </c>
      <c r="T21" s="35">
        <f>'FS Desroches Daily'!AH23</f>
        <v>1.5</v>
      </c>
      <c r="U21" s="39">
        <f>'FS Desroches Daily'!AJ23</f>
        <v>370.00000000000455</v>
      </c>
      <c r="V21" s="39">
        <f>'FS Desroches Daily'!AL23</f>
        <v>0</v>
      </c>
      <c r="W21" s="39">
        <f>'FS Desroches Daily'!AN23</f>
        <v>0.25</v>
      </c>
      <c r="X21" s="39">
        <f>'FS Desroches Daily'!AP23</f>
        <v>0.20999999999999375</v>
      </c>
      <c r="Y21" s="39">
        <f>'FS Desroches Daily'!AR23</f>
        <v>150.00000000000568</v>
      </c>
      <c r="Z21" s="39">
        <f>'FS Desroches Daily'!AT23</f>
        <v>160.00000000002501</v>
      </c>
      <c r="AA21" s="39">
        <f>'FS Desroches Daily'!AT23</f>
        <v>160.00000000002501</v>
      </c>
      <c r="AB21" s="39">
        <f>'FS Desroches Daily'!AV23</f>
        <v>120.00000000000455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9.9999999999909051</v>
      </c>
      <c r="AF21" s="35">
        <f>'FS Desroches Daily'!BF23</f>
        <v>69</v>
      </c>
      <c r="AG21" s="36">
        <f>'FS Desroches Daily'!BH23</f>
        <v>39.999999999992042</v>
      </c>
      <c r="AH21" s="36">
        <f>'FS Desroches Daily'!BJ23</f>
        <v>50.000000000011369</v>
      </c>
      <c r="AI21" s="36">
        <f>'FS Desroches Daily'!BL23</f>
        <v>39.999999999992042</v>
      </c>
      <c r="AJ21" s="36">
        <f>'FS Desroches Daily'!BN23</f>
        <v>30.000000000001137</v>
      </c>
      <c r="AK21" s="36">
        <f>'FS Desroches Daily'!BP23</f>
        <v>40.000000000020464</v>
      </c>
      <c r="AL21" s="36">
        <f>'FS Desroches Daily'!BR23</f>
        <v>28</v>
      </c>
      <c r="AM21" s="36">
        <f>'FS Desroches Daily'!BT23</f>
        <v>40.000000000020464</v>
      </c>
      <c r="AN21" s="36">
        <f>'FS Desroches Daily'!BV23</f>
        <v>40</v>
      </c>
      <c r="AO21" s="36">
        <f>'FS Desroches Daily'!BX23</f>
        <v>39.999999999992042</v>
      </c>
      <c r="AP21" s="36">
        <f>'FS Desroches Daily'!BZ23</f>
        <v>45</v>
      </c>
      <c r="AQ21" s="35">
        <f>'FS Desroches Daily'!CB23</f>
        <v>22.400000000001455</v>
      </c>
      <c r="AR21" s="35">
        <f>'FS Desroches Daily'!CD23</f>
        <v>8.3999999999996362</v>
      </c>
      <c r="AS21" s="35">
        <f>'FS Desroches Daily'!CF23</f>
        <v>5</v>
      </c>
      <c r="AT21" s="35">
        <f>'FS Desroches Daily'!CH23</f>
        <v>53</v>
      </c>
      <c r="AU21" s="35">
        <f>'FS Desroches Daily'!CJ23</f>
        <v>345</v>
      </c>
      <c r="AV21" s="35">
        <f>'FS Desroches Daily'!CL23</f>
        <v>470.00000000002728</v>
      </c>
      <c r="AW21" s="35">
        <f>'FS Desroches Daily'!CM23</f>
        <v>71.5</v>
      </c>
      <c r="AX21" s="35">
        <f>IF(LPG!F28-LPG!F27&lt;0,"0",(LPG!F28-LPG!F27)*1.8315)</f>
        <v>14.651999999999999</v>
      </c>
      <c r="AY21" s="35">
        <f>IF(LPG!H28-LPG!H27&lt;0,"0",(LPG!H28-LPG!H27)*1.8315)</f>
        <v>3.6629999999999998</v>
      </c>
      <c r="AZ21" s="35">
        <f>IF(LPG!J28-LPG!J27&lt;0,"0",(LPG!J28-LPG!J27)*1.8315)</f>
        <v>0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16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1900.0000000000127</v>
      </c>
      <c r="F22" s="36">
        <f>'FS Desroches Daily'!F24</f>
        <v>3900.0000000002365</v>
      </c>
      <c r="G22" s="35">
        <f>'FS Desroches Daily'!H24</f>
        <v>2599.9999999997135</v>
      </c>
      <c r="H22" s="36">
        <f>'FS Desroches Daily'!J24</f>
        <v>1800.0000000000239</v>
      </c>
      <c r="I22" s="35">
        <f>'FS Desroches Daily'!L24</f>
        <v>2099.9999999999909</v>
      </c>
      <c r="J22" s="36">
        <f>'FS Desroches Daily'!N24</f>
        <v>1699.9999999999318</v>
      </c>
      <c r="K22" s="13">
        <f>'FS Desroches Daily'!P24</f>
        <v>22</v>
      </c>
      <c r="L22" s="35">
        <f>'FS Desroches Daily'!R24</f>
        <v>12</v>
      </c>
      <c r="M22" s="35">
        <f>'FS Desroches Daily'!T24</f>
        <v>1011</v>
      </c>
      <c r="N22" s="35">
        <f>'FS Desroches Daily'!V24</f>
        <v>504</v>
      </c>
      <c r="O22" s="35">
        <f>'FS Desroches Daily'!X24</f>
        <v>470.00000000002728</v>
      </c>
      <c r="P22" s="35">
        <f>'FS Desroches Daily'!Z24</f>
        <v>3400.0000000000696</v>
      </c>
      <c r="Q22" s="35">
        <f>'FS Desroches Daily'!AB24</f>
        <v>290.00000000002046</v>
      </c>
      <c r="R22" s="35">
        <f>'FS Desroches Daily'!AD24</f>
        <v>389.99999999998636</v>
      </c>
      <c r="S22" s="35">
        <f>'FS Desroches Daily'!AF24</f>
        <v>750</v>
      </c>
      <c r="T22" s="35">
        <f>'FS Desroches Daily'!AH24</f>
        <v>2.0999999999999091</v>
      </c>
      <c r="U22" s="39">
        <f>'FS Desroches Daily'!AJ24</f>
        <v>420.00000000001592</v>
      </c>
      <c r="V22" s="39">
        <f>'FS Desroches Daily'!AL24</f>
        <v>0.14999999999999147</v>
      </c>
      <c r="W22" s="39">
        <f>'FS Desroches Daily'!AN24</f>
        <v>0.25</v>
      </c>
      <c r="X22" s="39">
        <f>'FS Desroches Daily'!AP24</f>
        <v>0.23000000000000398</v>
      </c>
      <c r="Y22" s="39">
        <f>'FS Desroches Daily'!AR24</f>
        <v>139.99999999998636</v>
      </c>
      <c r="Z22" s="39">
        <f>'FS Desroches Daily'!AT24</f>
        <v>129.99999999999545</v>
      </c>
      <c r="AA22" s="39">
        <f>'FS Desroches Daily'!AT24</f>
        <v>129.99999999999545</v>
      </c>
      <c r="AB22" s="39">
        <f>'FS Desroches Daily'!AV24</f>
        <v>120.00000000000455</v>
      </c>
      <c r="AC22" s="39">
        <f>'FS Desroches Daily'!AZ24</f>
        <v>49.999999999954525</v>
      </c>
      <c r="AD22" s="39">
        <f>'FS Desroches Daily'!BB24</f>
        <v>69.999999999993179</v>
      </c>
      <c r="AE22" s="39">
        <f>'FS Desroches Daily'!BD24</f>
        <v>9.9999999999909051</v>
      </c>
      <c r="AF22" s="35">
        <f>'FS Desroches Daily'!BF24</f>
        <v>63</v>
      </c>
      <c r="AG22" s="36">
        <f>'FS Desroches Daily'!BH24</f>
        <v>40.000000000020464</v>
      </c>
      <c r="AH22" s="36">
        <f>'FS Desroches Daily'!BJ24</f>
        <v>60.000000000002274</v>
      </c>
      <c r="AI22" s="36">
        <f>'FS Desroches Daily'!BL24</f>
        <v>60.000000000002274</v>
      </c>
      <c r="AJ22" s="36">
        <f>'FS Desroches Daily'!BN24</f>
        <v>60.000000000002274</v>
      </c>
      <c r="AK22" s="36">
        <f>'FS Desroches Daily'!BP24</f>
        <v>50.000000000011369</v>
      </c>
      <c r="AL22" s="36">
        <f>'FS Desroches Daily'!BR24</f>
        <v>41</v>
      </c>
      <c r="AM22" s="36">
        <f>'FS Desroches Daily'!BT24</f>
        <v>49.999999999982947</v>
      </c>
      <c r="AN22" s="36">
        <f>'FS Desroches Daily'!BV24</f>
        <v>39</v>
      </c>
      <c r="AO22" s="36">
        <f>'FS Desroches Daily'!BX24</f>
        <v>69.999999999993179</v>
      </c>
      <c r="AP22" s="36">
        <f>'FS Desroches Daily'!BZ24</f>
        <v>62</v>
      </c>
      <c r="AQ22" s="35">
        <f>'FS Desroches Daily'!CB24</f>
        <v>19.5</v>
      </c>
      <c r="AR22" s="35">
        <f>'FS Desroches Daily'!CD24</f>
        <v>11.299999999999272</v>
      </c>
      <c r="AS22" s="35">
        <f>'FS Desroches Daily'!CF24</f>
        <v>0.1999999999998181</v>
      </c>
      <c r="AT22" s="35">
        <f>'FS Desroches Daily'!CH24</f>
        <v>30</v>
      </c>
      <c r="AU22" s="35">
        <f>'FS Desroches Daily'!CJ24</f>
        <v>333</v>
      </c>
      <c r="AV22" s="35">
        <f>'FS Desroches Daily'!CL24</f>
        <v>490.00000000000909</v>
      </c>
      <c r="AW22" s="35">
        <f>'FS Desroches Daily'!CM24</f>
        <v>72</v>
      </c>
      <c r="AX22" s="35">
        <f>IF(LPG!F29-LPG!F28&lt;0,"0",(LPG!F29-LPG!F28)*1.8315)</f>
        <v>14.651999999999999</v>
      </c>
      <c r="AY22" s="35">
        <f>IF(LPG!H29-LPG!H28&lt;0,"0",(LPG!H29-LPG!H28)*1.8315)</f>
        <v>1.8314999999999999</v>
      </c>
      <c r="AZ22" s="35">
        <f>IF(LPG!J29-LPG!J28&lt;0,"0",(LPG!J29-LPG!J28)*1.8315)</f>
        <v>1.8314999999999999</v>
      </c>
      <c r="BA22" s="35">
        <f>IF(LPG!M29-LPG!M28&lt;0,"0",(LPG!M29-LPG!M28)*1.8315)</f>
        <v>0</v>
      </c>
      <c r="BB22" s="35">
        <f>IF(LPG!Q29-LPG!Q28&lt;0,"0",(LPG!Q29-LPG!Q28)*1.8315)</f>
        <v>5.4944999999999995</v>
      </c>
      <c r="BC22" s="13">
        <f>'FS Desroches Daily'!CN24</f>
        <v>21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1800.0000000000239</v>
      </c>
      <c r="F23" s="36">
        <f>'FS Desroches Daily'!F25</f>
        <v>3800.0000000000255</v>
      </c>
      <c r="G23" s="35">
        <f>'FS Desroches Daily'!H25</f>
        <v>2800.0000000001355</v>
      </c>
      <c r="H23" s="36">
        <f>'FS Desroches Daily'!J25</f>
        <v>1600.0000000000459</v>
      </c>
      <c r="I23" s="35">
        <f>'FS Desroches Daily'!L25</f>
        <v>2000.0000000000018</v>
      </c>
      <c r="J23" s="36">
        <f>'FS Desroches Daily'!N25</f>
        <v>1800.0000000000682</v>
      </c>
      <c r="K23" s="13">
        <f>'FS Desroches Daily'!P25</f>
        <v>21</v>
      </c>
      <c r="L23" s="35">
        <f>'FS Desroches Daily'!R25</f>
        <v>10</v>
      </c>
      <c r="M23" s="35">
        <f>'FS Desroches Daily'!T25</f>
        <v>776</v>
      </c>
      <c r="N23" s="35">
        <f>'FS Desroches Daily'!V25</f>
        <v>381</v>
      </c>
      <c r="O23" s="35">
        <f>'FS Desroches Daily'!X25</f>
        <v>449.99999999998863</v>
      </c>
      <c r="P23" s="35">
        <f>'FS Desroches Daily'!Z25</f>
        <v>3499.9999999998367</v>
      </c>
      <c r="Q23" s="35">
        <f>'FS Desroches Daily'!AB25</f>
        <v>529.99999999997272</v>
      </c>
      <c r="R23" s="35">
        <f>'FS Desroches Daily'!AD25</f>
        <v>450.00000000004547</v>
      </c>
      <c r="S23" s="35">
        <f>'FS Desroches Daily'!AF25</f>
        <v>769.99999999998181</v>
      </c>
      <c r="T23" s="35">
        <f>'FS Desroches Daily'!AH25</f>
        <v>2.2000000000000455</v>
      </c>
      <c r="U23" s="39">
        <f>'FS Desroches Daily'!AJ25</f>
        <v>340.00000000003183</v>
      </c>
      <c r="V23" s="39">
        <f>'FS Desroches Daily'!AL25</f>
        <v>0.14000000000000057</v>
      </c>
      <c r="W23" s="39">
        <f>'FS Desroches Daily'!AN25</f>
        <v>0.25</v>
      </c>
      <c r="X23" s="39">
        <f>'FS Desroches Daily'!AP25</f>
        <v>0.23000000000000398</v>
      </c>
      <c r="Y23" s="39">
        <f>'FS Desroches Daily'!AR25</f>
        <v>140.00000000001478</v>
      </c>
      <c r="Z23" s="39">
        <f>'FS Desroches Daily'!AT25</f>
        <v>139.99999999998636</v>
      </c>
      <c r="AA23" s="39">
        <f>'FS Desroches Daily'!AT25</f>
        <v>139.99999999998636</v>
      </c>
      <c r="AB23" s="39">
        <f>'FS Desroches Daily'!AV25</f>
        <v>109.99999999998522</v>
      </c>
      <c r="AC23" s="39">
        <f>'FS Desroches Daily'!AZ25</f>
        <v>50.000000000011369</v>
      </c>
      <c r="AD23" s="39">
        <f>'FS Desroches Daily'!BB25</f>
        <v>60.000000000002274</v>
      </c>
      <c r="AE23" s="39">
        <f>'FS Desroches Daily'!BD25</f>
        <v>20.000000000010232</v>
      </c>
      <c r="AF23" s="35">
        <f>'FS Desroches Daily'!BF25</f>
        <v>51</v>
      </c>
      <c r="AG23" s="36">
        <f>'FS Desroches Daily'!BH25</f>
        <v>39.999999999992042</v>
      </c>
      <c r="AH23" s="36">
        <f>'FS Desroches Daily'!BJ25</f>
        <v>50.000000000011369</v>
      </c>
      <c r="AI23" s="36">
        <f>'FS Desroches Daily'!BL25</f>
        <v>50.000000000011369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41</v>
      </c>
      <c r="AM23" s="36">
        <f>'FS Desroches Daily'!BT25</f>
        <v>50.000000000011369</v>
      </c>
      <c r="AN23" s="36">
        <f>'FS Desroches Daily'!BV25</f>
        <v>39</v>
      </c>
      <c r="AO23" s="36">
        <f>'FS Desroches Daily'!BX25</f>
        <v>50.000000000011369</v>
      </c>
      <c r="AP23" s="36">
        <f>'FS Desroches Daily'!BZ25</f>
        <v>59</v>
      </c>
      <c r="AQ23" s="35">
        <f>'FS Desroches Daily'!CB25</f>
        <v>34.200000000000728</v>
      </c>
      <c r="AR23" s="35">
        <f>'FS Desroches Daily'!CD25</f>
        <v>9.3999999999996362</v>
      </c>
      <c r="AS23" s="35">
        <f>'FS Desroches Daily'!CF25</f>
        <v>22.800000000000182</v>
      </c>
      <c r="AT23" s="35">
        <f>'FS Desroches Daily'!CH25</f>
        <v>0.5</v>
      </c>
      <c r="AU23" s="35">
        <f>'FS Desroches Daily'!CJ25</f>
        <v>311</v>
      </c>
      <c r="AV23" s="35">
        <f>'FS Desroches Daily'!CL25</f>
        <v>589.99999999997499</v>
      </c>
      <c r="AW23" s="35">
        <f>'FS Desroches Daily'!CM25</f>
        <v>72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3.6629999999999998</v>
      </c>
      <c r="BA23" s="35">
        <f>IF(LPG!M30-LPG!M29&lt;0,"0",(LPG!M30-LPG!M29)*1.8315)</f>
        <v>7.3259999999999996</v>
      </c>
      <c r="BB23" s="35">
        <f>IF(LPG!Q30-LPG!Q29&lt;0,"0",(LPG!Q30-LPG!Q29)*1.8315)</f>
        <v>7.3259999999999996</v>
      </c>
      <c r="BC23" s="13">
        <f>'FS Desroches Daily'!CN25</f>
        <v>20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1800.0000000000239</v>
      </c>
      <c r="F24" s="36">
        <f>'FS Desroches Daily'!F26</f>
        <v>4099.9999999997708</v>
      </c>
      <c r="G24" s="35">
        <f>'FS Desroches Daily'!H26</f>
        <v>2600.0000000001578</v>
      </c>
      <c r="H24" s="36">
        <f>'FS Desroches Daily'!J26</f>
        <v>1800.0000000000239</v>
      </c>
      <c r="I24" s="35">
        <f>'FS Desroches Daily'!L26</f>
        <v>2199.9999999999795</v>
      </c>
      <c r="J24" s="36">
        <f>'FS Desroches Daily'!N26</f>
        <v>1899.9999999999773</v>
      </c>
      <c r="K24" s="13">
        <f>'FS Desroches Daily'!P26</f>
        <v>23</v>
      </c>
      <c r="L24" s="35">
        <f>'FS Desroches Daily'!R26</f>
        <v>9</v>
      </c>
      <c r="M24" s="35">
        <f>'FS Desroches Daily'!T26</f>
        <v>953</v>
      </c>
      <c r="N24" s="35">
        <f>'FS Desroches Daily'!V26</f>
        <v>472</v>
      </c>
      <c r="O24" s="35">
        <f>'FS Desroches Daily'!X26</f>
        <v>469.99999999997044</v>
      </c>
      <c r="P24" s="35">
        <f>'FS Desroches Daily'!Z26</f>
        <v>3699.9999999998145</v>
      </c>
      <c r="Q24" s="35">
        <f>'FS Desroches Daily'!AB26</f>
        <v>520.00000000003865</v>
      </c>
      <c r="R24" s="35">
        <f>'FS Desroches Daily'!AD26</f>
        <v>469.99999999997044</v>
      </c>
      <c r="S24" s="35">
        <f>'FS Desroches Daily'!AF26</f>
        <v>860.00000000001364</v>
      </c>
      <c r="T24" s="35">
        <f>'FS Desroches Daily'!AH26</f>
        <v>2.1000000000001364</v>
      </c>
      <c r="U24" s="39">
        <f>'FS Desroches Daily'!AJ26</f>
        <v>339.99999999997499</v>
      </c>
      <c r="V24" s="39">
        <f>'FS Desroches Daily'!AL26</f>
        <v>0.15000000000000568</v>
      </c>
      <c r="W24" s="39">
        <f>'FS Desroches Daily'!AN26</f>
        <v>0.28000000000000114</v>
      </c>
      <c r="X24" s="39">
        <f>'FS Desroches Daily'!AP26</f>
        <v>0.25</v>
      </c>
      <c r="Y24" s="39">
        <f>'FS Desroches Daily'!AR26</f>
        <v>139.99999999998636</v>
      </c>
      <c r="Z24" s="39">
        <f>'FS Desroches Daily'!AT26</f>
        <v>120.00000000000455</v>
      </c>
      <c r="AA24" s="39">
        <f>'FS Desroches Daily'!AT26</f>
        <v>120.00000000000455</v>
      </c>
      <c r="AB24" s="39">
        <f>'FS Desroches Daily'!AV26</f>
        <v>100.00000000002274</v>
      </c>
      <c r="AC24" s="39">
        <f>'FS Desroches Daily'!AZ26</f>
        <v>50.000000000011369</v>
      </c>
      <c r="AD24" s="39">
        <f>'FS Desroches Daily'!BB26</f>
        <v>69.999999999993179</v>
      </c>
      <c r="AE24" s="39">
        <f>'FS Desroches Daily'!BD26</f>
        <v>9.9999999999909051</v>
      </c>
      <c r="AF24" s="35">
        <f>'FS Desroches Daily'!BF26</f>
        <v>52</v>
      </c>
      <c r="AG24" s="36">
        <f>'FS Desroches Daily'!BH26</f>
        <v>49.999999999982947</v>
      </c>
      <c r="AH24" s="36">
        <f>'FS Desroches Daily'!BJ26</f>
        <v>60.000000000002274</v>
      </c>
      <c r="AI24" s="36">
        <f>'FS Desroches Daily'!BL26</f>
        <v>60.000000000002274</v>
      </c>
      <c r="AJ24" s="36">
        <f>'FS Desroches Daily'!BN26</f>
        <v>49.999999999982947</v>
      </c>
      <c r="AK24" s="36">
        <f>'FS Desroches Daily'!BP26</f>
        <v>60.000000000002274</v>
      </c>
      <c r="AL24" s="36">
        <f>'FS Desroches Daily'!BR26</f>
        <v>46</v>
      </c>
      <c r="AM24" s="36">
        <f>'FS Desroches Daily'!BT26</f>
        <v>50.000000000011369</v>
      </c>
      <c r="AN24" s="36">
        <f>'FS Desroches Daily'!BV26</f>
        <v>53</v>
      </c>
      <c r="AO24" s="36">
        <f>'FS Desroches Daily'!BX26</f>
        <v>49.999999999982947</v>
      </c>
      <c r="AP24" s="36">
        <f>'FS Desroches Daily'!BZ26</f>
        <v>67</v>
      </c>
      <c r="AQ24" s="35">
        <f>'FS Desroches Daily'!CB26</f>
        <v>36.099999999998545</v>
      </c>
      <c r="AR24" s="35">
        <f>'FS Desroches Daily'!CD26</f>
        <v>9.6000000000003638</v>
      </c>
      <c r="AS24" s="35">
        <f>'FS Desroches Daily'!CF26</f>
        <v>8.5999999999994543</v>
      </c>
      <c r="AT24" s="35">
        <f>'FS Desroches Daily'!CH26</f>
        <v>0.30000000000291038</v>
      </c>
      <c r="AU24" s="35">
        <f>'FS Desroches Daily'!CJ26</f>
        <v>308</v>
      </c>
      <c r="AV24" s="35">
        <f>'FS Desroches Daily'!CL26</f>
        <v>530.00000000002956</v>
      </c>
      <c r="AW24" s="35">
        <f>'FS Desroches Daily'!CM26</f>
        <v>82</v>
      </c>
      <c r="AX24" s="35">
        <f>IF(LPG!F31-LPG!F30&lt;0,"0",(LPG!F31-LPG!F30)*1.8315)</f>
        <v>16.483499999999999</v>
      </c>
      <c r="AY24" s="35">
        <f>IF(LPG!H31-LPG!H30&lt;0,"0",(LPG!H31-LPG!H30)*1.8315)</f>
        <v>1.8314999999999999</v>
      </c>
      <c r="AZ24" s="35">
        <f>IF(LPG!J31-LPG!J30&lt;0,"0",(LPG!J31-LPG!J30)*1.8315)</f>
        <v>1.8314999999999999</v>
      </c>
      <c r="BA24" s="35">
        <f>IF(LPG!M31-LPG!M30&lt;0,"0",(LPG!M31-LPG!M30)*1.8315)</f>
        <v>5.4944999999999995</v>
      </c>
      <c r="BB24" s="35">
        <f>IF(LPG!Q31-LPG!Q30&lt;0,"0",(LPG!Q31-LPG!Q30)*1.8315)</f>
        <v>7.3259999999999996</v>
      </c>
      <c r="BC24" s="13">
        <f>'FS Desroches Daily'!CN26</f>
        <v>23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1800.0000000000239</v>
      </c>
      <c r="F25" s="36">
        <f>'FS Desroches Daily'!F27</f>
        <v>4000.0000000000036</v>
      </c>
      <c r="G25" s="35">
        <f>'FS Desroches Daily'!H27</f>
        <v>3299.9999999998586</v>
      </c>
      <c r="H25" s="36">
        <f>'FS Desroches Daily'!J27</f>
        <v>1800.0000000000239</v>
      </c>
      <c r="I25" s="35">
        <f>'FS Desroches Daily'!L27</f>
        <v>2399.9999999999577</v>
      </c>
      <c r="J25" s="36">
        <f>'FS Desroches Daily'!N27</f>
        <v>1899.9999999999773</v>
      </c>
      <c r="K25" s="13">
        <f>'FS Desroches Daily'!P27</f>
        <v>3</v>
      </c>
      <c r="L25" s="35">
        <f>'FS Desroches Daily'!R27</f>
        <v>10</v>
      </c>
      <c r="M25" s="35">
        <f>'FS Desroches Daily'!T27</f>
        <v>663</v>
      </c>
      <c r="N25" s="35">
        <f>'FS Desroches Daily'!V27</f>
        <v>302</v>
      </c>
      <c r="O25" s="35">
        <f>'FS Desroches Daily'!X27</f>
        <v>439.99999999999773</v>
      </c>
      <c r="P25" s="35">
        <f>'FS Desroches Daily'!Z27</f>
        <v>3600.0000000000477</v>
      </c>
      <c r="Q25" s="35">
        <f>'FS Desroches Daily'!AB27</f>
        <v>469.99999999997044</v>
      </c>
      <c r="R25" s="35">
        <f>'FS Desroches Daily'!AD27</f>
        <v>399.99999999997726</v>
      </c>
      <c r="S25" s="35">
        <f>'FS Desroches Daily'!AF27</f>
        <v>849.99999999996589</v>
      </c>
      <c r="T25" s="35">
        <f>'FS Desroches Daily'!AH27</f>
        <v>1.7999999999999545</v>
      </c>
      <c r="U25" s="39">
        <f>'FS Desroches Daily'!AJ27</f>
        <v>339.99999999997499</v>
      </c>
      <c r="V25" s="39">
        <f>'FS Desroches Daily'!AL27</f>
        <v>0.17000000000000171</v>
      </c>
      <c r="W25" s="39">
        <f>'FS Desroches Daily'!AN27</f>
        <v>0.20000000000000284</v>
      </c>
      <c r="X25" s="39">
        <f>'FS Desroches Daily'!AP27</f>
        <v>0.20999999999999375</v>
      </c>
      <c r="Y25" s="39">
        <f>'FS Desroches Daily'!AR27</f>
        <v>120.00000000000455</v>
      </c>
      <c r="Z25" s="39">
        <f>'FS Desroches Daily'!AT27</f>
        <v>129.99999999999545</v>
      </c>
      <c r="AA25" s="39">
        <f>'FS Desroches Daily'!AT27</f>
        <v>129.99999999999545</v>
      </c>
      <c r="AB25" s="39">
        <f>'FS Desroches Daily'!AV27</f>
        <v>109.99999999998522</v>
      </c>
      <c r="AC25" s="39">
        <f>'FS Desroches Daily'!AZ27</f>
        <v>60.000000000002274</v>
      </c>
      <c r="AD25" s="39">
        <f>'FS Desroches Daily'!BB27</f>
        <v>69.999999999993179</v>
      </c>
      <c r="AE25" s="39">
        <f>'FS Desroches Daily'!BD27</f>
        <v>9.9999999999909051</v>
      </c>
      <c r="AF25" s="35">
        <f>'FS Desroches Daily'!BF27</f>
        <v>50</v>
      </c>
      <c r="AG25" s="36">
        <f>'FS Desroches Daily'!BH27</f>
        <v>40.000000000020464</v>
      </c>
      <c r="AH25" s="36">
        <f>'FS Desroches Daily'!BJ27</f>
        <v>50.000000000011369</v>
      </c>
      <c r="AI25" s="36">
        <f>'FS Desroches Daily'!BL27</f>
        <v>69.999999999993179</v>
      </c>
      <c r="AJ25" s="36">
        <f>'FS Desroches Daily'!BN27</f>
        <v>50.000000000011369</v>
      </c>
      <c r="AK25" s="36">
        <f>'FS Desroches Daily'!BP27</f>
        <v>59.99999999994543</v>
      </c>
      <c r="AL25" s="36">
        <f>'FS Desroches Daily'!BR27</f>
        <v>48</v>
      </c>
      <c r="AM25" s="36">
        <f>'FS Desroches Daily'!BT27</f>
        <v>49.999999999982947</v>
      </c>
      <c r="AN25" s="36">
        <f>'FS Desroches Daily'!BV27</f>
        <v>46</v>
      </c>
      <c r="AO25" s="36">
        <f>'FS Desroches Daily'!BX27</f>
        <v>50.000000000011369</v>
      </c>
      <c r="AP25" s="36">
        <f>'FS Desroches Daily'!BZ27</f>
        <v>73</v>
      </c>
      <c r="AQ25" s="35">
        <f>'FS Desroches Daily'!CB27</f>
        <v>34.400000000001455</v>
      </c>
      <c r="AR25" s="35">
        <f>'FS Desroches Daily'!CD27</f>
        <v>4.6000000000003638</v>
      </c>
      <c r="AS25" s="35">
        <f>'FS Desroches Daily'!CF27</f>
        <v>3.8000000000001819</v>
      </c>
      <c r="AT25" s="35">
        <f>'FS Desroches Daily'!CH27</f>
        <v>0.19999999999708962</v>
      </c>
      <c r="AU25" s="35">
        <f>'FS Desroches Daily'!CJ27</f>
        <v>323</v>
      </c>
      <c r="AV25" s="35">
        <f>'FS Desroches Daily'!CL27</f>
        <v>599.99999999996589</v>
      </c>
      <c r="AW25" s="35">
        <f>'FS Desroches Daily'!CM27</f>
        <v>83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5.4944999999999995</v>
      </c>
      <c r="BC25" s="13">
        <f>'FS Desroches Daily'!CN27</f>
        <v>27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1800.0000000000239</v>
      </c>
      <c r="F26" s="36">
        <f>'FS Desroches Daily'!F28</f>
        <v>3900.0000000002365</v>
      </c>
      <c r="G26" s="35">
        <f>'FS Desroches Daily'!H28</f>
        <v>2600.0000000001578</v>
      </c>
      <c r="H26" s="36">
        <f>'FS Desroches Daily'!J28</f>
        <v>1499.9999999998347</v>
      </c>
      <c r="I26" s="35">
        <f>'FS Desroches Daily'!L28</f>
        <v>2299.9999999999686</v>
      </c>
      <c r="J26" s="36">
        <f>'FS Desroches Daily'!N28</f>
        <v>1600.0000000000227</v>
      </c>
      <c r="K26" s="13">
        <f>'FS Desroches Daily'!P28</f>
        <v>23</v>
      </c>
      <c r="L26" s="35">
        <f>'FS Desroches Daily'!R28</f>
        <v>9</v>
      </c>
      <c r="M26" s="35">
        <f>'FS Desroches Daily'!T28</f>
        <v>1328</v>
      </c>
      <c r="N26" s="35">
        <f>'FS Desroches Daily'!V28</f>
        <v>594</v>
      </c>
      <c r="O26" s="35">
        <f>'FS Desroches Daily'!X28</f>
        <v>460.00000000003638</v>
      </c>
      <c r="P26" s="35">
        <f>'FS Desroches Daily'!Z28</f>
        <v>3500.0000000002806</v>
      </c>
      <c r="Q26" s="35">
        <f>'FS Desroches Daily'!AB28</f>
        <v>300.00000000001137</v>
      </c>
      <c r="R26" s="35">
        <f>'FS Desroches Daily'!AD28</f>
        <v>420.00000000001592</v>
      </c>
      <c r="S26" s="35">
        <f>'FS Desroches Daily'!AF28</f>
        <v>900.00000000003411</v>
      </c>
      <c r="T26" s="35">
        <f>'FS Desroches Daily'!AH28</f>
        <v>1.7999999999999545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0.21999999999999886</v>
      </c>
      <c r="X26" s="39">
        <f>'FS Desroches Daily'!AP28</f>
        <v>0.21000000000000796</v>
      </c>
      <c r="Y26" s="39">
        <f>'FS Desroches Daily'!AR28</f>
        <v>110.00000000001364</v>
      </c>
      <c r="Z26" s="39">
        <f>'FS Desroches Daily'!AT28</f>
        <v>139.99999999998636</v>
      </c>
      <c r="AA26" s="39">
        <f>'FS Desroches Daily'!AT28</f>
        <v>139.99999999998636</v>
      </c>
      <c r="AB26" s="39">
        <f>'FS Desroches Daily'!AV28</f>
        <v>129.99999999999545</v>
      </c>
      <c r="AC26" s="39">
        <f>'FS Desroches Daily'!AZ28</f>
        <v>60.000000000002274</v>
      </c>
      <c r="AD26" s="39">
        <f>'FS Desroches Daily'!BB28</f>
        <v>69.999999999993179</v>
      </c>
      <c r="AE26" s="39">
        <f>'FS Desroches Daily'!BD28</f>
        <v>20.000000000010232</v>
      </c>
      <c r="AF26" s="35">
        <f>'FS Desroches Daily'!BF28</f>
        <v>126</v>
      </c>
      <c r="AG26" s="36">
        <f>'FS Desroches Daily'!BH28</f>
        <v>39.999999999992042</v>
      </c>
      <c r="AH26" s="36">
        <f>'FS Desroches Daily'!BJ28</f>
        <v>39.99999999996362</v>
      </c>
      <c r="AI26" s="36">
        <f>'FS Desroches Daily'!BL28</f>
        <v>60.000000000002274</v>
      </c>
      <c r="AJ26" s="36">
        <f>'FS Desroches Daily'!BN28</f>
        <v>49.999999999982947</v>
      </c>
      <c r="AK26" s="36">
        <f>'FS Desroches Daily'!BP28</f>
        <v>50.000000000011369</v>
      </c>
      <c r="AL26" s="36">
        <f>'FS Desroches Daily'!BR28</f>
        <v>35</v>
      </c>
      <c r="AM26" s="36">
        <f>'FS Desroches Daily'!BT28</f>
        <v>39.999999999992042</v>
      </c>
      <c r="AN26" s="36">
        <f>'FS Desroches Daily'!BV28</f>
        <v>36</v>
      </c>
      <c r="AO26" s="36">
        <f>'FS Desroches Daily'!BX28</f>
        <v>39.999999999992042</v>
      </c>
      <c r="AP26" s="36">
        <f>'FS Desroches Daily'!BZ28</f>
        <v>55</v>
      </c>
      <c r="AQ26" s="35">
        <f>'FS Desroches Daily'!CB28</f>
        <v>41.399999999997817</v>
      </c>
      <c r="AR26" s="35">
        <f>'FS Desroches Daily'!CD28</f>
        <v>7.5</v>
      </c>
      <c r="AS26" s="35">
        <f>'FS Desroches Daily'!CF28</f>
        <v>2.6000000000003638</v>
      </c>
      <c r="AT26" s="35">
        <f>'FS Desroches Daily'!CH28</f>
        <v>179</v>
      </c>
      <c r="AU26" s="35">
        <f>'FS Desroches Daily'!CJ28</f>
        <v>302</v>
      </c>
      <c r="AV26" s="35">
        <f>'FS Desroches Daily'!CL28</f>
        <v>550.00000000001137</v>
      </c>
      <c r="AW26" s="35">
        <f>'FS Desroches Daily'!CM28</f>
        <v>74.5</v>
      </c>
      <c r="AX26" s="35">
        <f>IF(LPG!F33-LPG!F32&lt;0,"0",(LPG!F33-LPG!F32)*1.8315)</f>
        <v>12.820499999999999</v>
      </c>
      <c r="AY26" s="35">
        <f>IF(LPG!H33-LPG!H32&lt;0,"0",(LPG!H33-LPG!H32)*1.8315)</f>
        <v>3.6629999999999998</v>
      </c>
      <c r="AZ26" s="35">
        <f>IF(LPG!J33-LPG!J32&lt;0,"0",(LPG!J33-LPG!J32)*1.8315)</f>
        <v>1.8314999999999999</v>
      </c>
      <c r="BA26" s="35">
        <f>IF(LPG!M33-LPG!M32&lt;0,"0",(LPG!M33-LPG!M32)*1.8315)</f>
        <v>0</v>
      </c>
      <c r="BB26" s="35">
        <f>IF(LPG!Q33-LPG!Q32&lt;0,"0",(LPG!Q33-LPG!Q32)*1.8315)</f>
        <v>5.4944999999999995</v>
      </c>
      <c r="BC26" s="13">
        <f>'FS Desroches Daily'!CN28</f>
        <v>27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2199.9999999999795</v>
      </c>
      <c r="F27" s="36">
        <f>'FS Desroches Daily'!F29</f>
        <v>4199.9999999999818</v>
      </c>
      <c r="G27" s="35">
        <f>'FS Desroches Daily'!H29</f>
        <v>3099.9999999998809</v>
      </c>
      <c r="H27" s="36">
        <f>'FS Desroches Daily'!J29</f>
        <v>1800.0000000000239</v>
      </c>
      <c r="I27" s="35">
        <f>'FS Desroches Daily'!L29</f>
        <v>2299.9999999999686</v>
      </c>
      <c r="J27" s="36">
        <f>'FS Desroches Daily'!N29</f>
        <v>2000</v>
      </c>
      <c r="K27" s="13">
        <f>'FS Desroches Daily'!P29</f>
        <v>23</v>
      </c>
      <c r="L27" s="35">
        <f>'FS Desroches Daily'!R29</f>
        <v>9</v>
      </c>
      <c r="M27" s="35">
        <f>'FS Desroches Daily'!T29</f>
        <v>717</v>
      </c>
      <c r="N27" s="35">
        <f>'FS Desroches Daily'!V29</f>
        <v>501</v>
      </c>
      <c r="O27" s="35">
        <f>'FS Desroches Daily'!X29</f>
        <v>459.99999999997954</v>
      </c>
      <c r="P27" s="35">
        <f>'FS Desroches Daily'!Z29</f>
        <v>3899.9999999997926</v>
      </c>
      <c r="Q27" s="35">
        <f>'FS Desroches Daily'!AB29</f>
        <v>620.00000000000455</v>
      </c>
      <c r="R27" s="35">
        <f>'FS Desroches Daily'!AD29</f>
        <v>410.00000000002501</v>
      </c>
      <c r="S27" s="35">
        <f>'FS Desroches Daily'!AF29</f>
        <v>870.00000000000455</v>
      </c>
      <c r="T27" s="35">
        <f>'FS Desroches Daily'!AH29</f>
        <v>1.7999999999999545</v>
      </c>
      <c r="U27" s="39">
        <f>'FS Desroches Daily'!AJ29</f>
        <v>600.00000000002274</v>
      </c>
      <c r="V27" s="39">
        <f>'FS Desroches Daily'!AL29</f>
        <v>0.20000000000000284</v>
      </c>
      <c r="W27" s="39">
        <f>'FS Desroches Daily'!AN29</f>
        <v>0.27000000000001023</v>
      </c>
      <c r="X27" s="39">
        <f>'FS Desroches Daily'!AP29</f>
        <v>0.18999999999999773</v>
      </c>
      <c r="Y27" s="39">
        <f>'FS Desroches Daily'!AR29</f>
        <v>189.99999999999773</v>
      </c>
      <c r="Z27" s="39">
        <f>'FS Desroches Daily'!AT29</f>
        <v>180.00000000000682</v>
      </c>
      <c r="AA27" s="39">
        <f>'FS Desroches Daily'!AT29</f>
        <v>180.00000000000682</v>
      </c>
      <c r="AB27" s="39">
        <f>'FS Desroches Daily'!AV29</f>
        <v>129.99999999999545</v>
      </c>
      <c r="AC27" s="39">
        <f>'FS Desroches Daily'!AZ29</f>
        <v>69.999999999993179</v>
      </c>
      <c r="AD27" s="39">
        <f>'FS Desroches Daily'!BB29</f>
        <v>79.999999999984084</v>
      </c>
      <c r="AE27" s="39">
        <f>'FS Desroches Daily'!BD29</f>
        <v>0</v>
      </c>
      <c r="AF27" s="35">
        <f>'FS Desroches Daily'!BF29</f>
        <v>45</v>
      </c>
      <c r="AG27" s="36">
        <f>'FS Desroches Daily'!BH29</f>
        <v>30.000000000001137</v>
      </c>
      <c r="AH27" s="36">
        <f>'FS Desroches Daily'!BJ29</f>
        <v>30.000000000029559</v>
      </c>
      <c r="AI27" s="36">
        <f>'FS Desroches Daily'!BL29</f>
        <v>49.999999999982947</v>
      </c>
      <c r="AJ27" s="36">
        <f>'FS Desroches Daily'!BN29</f>
        <v>50.000000000011369</v>
      </c>
      <c r="AK27" s="36">
        <f>'FS Desroches Daily'!BP29</f>
        <v>50.000000000011369</v>
      </c>
      <c r="AL27" s="36">
        <f>'FS Desroches Daily'!BR29</f>
        <v>41</v>
      </c>
      <c r="AM27" s="36">
        <f>'FS Desroches Daily'!BT29</f>
        <v>40.000000000020464</v>
      </c>
      <c r="AN27" s="36">
        <f>'FS Desroches Daily'!BV29</f>
        <v>42</v>
      </c>
      <c r="AO27" s="36">
        <f>'FS Desroches Daily'!BX29</f>
        <v>50.000000000011369</v>
      </c>
      <c r="AP27" s="36">
        <f>'FS Desroches Daily'!BZ29</f>
        <v>63</v>
      </c>
      <c r="AQ27" s="35">
        <f>'FS Desroches Daily'!CB29</f>
        <v>75.400000000001455</v>
      </c>
      <c r="AR27" s="35">
        <f>'FS Desroches Daily'!CD29</f>
        <v>4.7999999999992724</v>
      </c>
      <c r="AS27" s="35">
        <f>'FS Desroches Daily'!CF29</f>
        <v>12.699999999999818</v>
      </c>
      <c r="AT27" s="35">
        <f>'FS Desroches Daily'!CH29</f>
        <v>87.400000000001455</v>
      </c>
      <c r="AU27" s="35">
        <f>'FS Desroches Daily'!CJ29</f>
        <v>312</v>
      </c>
      <c r="AV27" s="35">
        <f>'FS Desroches Daily'!CL29</f>
        <v>620.00000000000455</v>
      </c>
      <c r="AW27" s="35">
        <f>'FS Desroches Daily'!CM29</f>
        <v>75.3</v>
      </c>
      <c r="AX27" s="35">
        <f>IF(LPG!F34-LPG!F33&lt;0,"0",(LPG!F34-LPG!F33)*1.8315)</f>
        <v>14.651999999999999</v>
      </c>
      <c r="AY27" s="35">
        <f>IF(LPG!H34-LPG!H33&lt;0,"0",(LPG!H34-LPG!H33)*1.8315)</f>
        <v>1.8314999999999999</v>
      </c>
      <c r="AZ27" s="35">
        <f>IF(LPG!J34-LPG!J33&lt;0,"0",(LPG!J34-LPG!J33)*1.8315)</f>
        <v>0</v>
      </c>
      <c r="BA27" s="35">
        <f>IF(LPG!M34-LPG!M33&lt;0,"0",(LPG!M34-LPG!M33)*1.8315)</f>
        <v>7.3259999999999996</v>
      </c>
      <c r="BB27" s="35">
        <f>IF(LPG!Q34-LPG!Q33&lt;0,"0",(LPG!Q34-LPG!Q33)*1.8315)</f>
        <v>5.4944999999999995</v>
      </c>
      <c r="BC27" s="13">
        <f>'FS Desroches Daily'!CN29</f>
        <v>23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2499.9999999999468</v>
      </c>
      <c r="F28" s="36">
        <f>'FS Desroches Daily'!F30</f>
        <v>4299.9999999997481</v>
      </c>
      <c r="G28" s="35">
        <f>'FS Desroches Daily'!H30</f>
        <v>3299.9999999998586</v>
      </c>
      <c r="H28" s="36">
        <f>'FS Desroches Daily'!J30</f>
        <v>1800.0000000000239</v>
      </c>
      <c r="I28" s="35">
        <f>'FS Desroches Daily'!L30</f>
        <v>2199.9999999999795</v>
      </c>
      <c r="J28" s="36">
        <f>'FS Desroches Daily'!N30</f>
        <v>2199.9999999999318</v>
      </c>
      <c r="K28" s="13">
        <f>'FS Desroches Daily'!P30</f>
        <v>22</v>
      </c>
      <c r="L28" s="35">
        <f>'FS Desroches Daily'!R30</f>
        <v>10</v>
      </c>
      <c r="M28" s="35">
        <f>'FS Desroches Daily'!T30</f>
        <v>1122.3000000000466</v>
      </c>
      <c r="N28" s="35">
        <f>'FS Desroches Daily'!V30</f>
        <v>344.09999999997672</v>
      </c>
      <c r="O28" s="35">
        <f>'FS Desroches Daily'!X30</f>
        <v>459.99999999997954</v>
      </c>
      <c r="P28" s="35">
        <f>'FS Desroches Daily'!Z30</f>
        <v>3699.9999999998145</v>
      </c>
      <c r="Q28" s="35">
        <f>'FS Desroches Daily'!AB30</f>
        <v>620.00000000000455</v>
      </c>
      <c r="R28" s="35">
        <f>'FS Desroches Daily'!AD30</f>
        <v>409.99999999996817</v>
      </c>
      <c r="S28" s="35">
        <f>'FS Desroches Daily'!AF30</f>
        <v>1009.9999999999909</v>
      </c>
      <c r="T28" s="35">
        <f>'FS Desroches Daily'!AH30</f>
        <v>1.2000000000000455</v>
      </c>
      <c r="U28" s="39">
        <f>'FS Desroches Daily'!AJ30</f>
        <v>629.99999999999545</v>
      </c>
      <c r="V28" s="39">
        <f>'FS Desroches Daily'!AL30</f>
        <v>0.20000000000000284</v>
      </c>
      <c r="W28" s="39">
        <f>'FS Desroches Daily'!AN30</f>
        <v>0.25999999999999091</v>
      </c>
      <c r="X28" s="39">
        <f>'FS Desroches Daily'!AP30</f>
        <v>0.23000000000000398</v>
      </c>
      <c r="Y28" s="39">
        <f>'FS Desroches Daily'!AR30</f>
        <v>210.00000000000796</v>
      </c>
      <c r="Z28" s="39">
        <f>'FS Desroches Daily'!AT30</f>
        <v>240.00000000000909</v>
      </c>
      <c r="AA28" s="39">
        <f>'FS Desroches Daily'!AT30</f>
        <v>240.00000000000909</v>
      </c>
      <c r="AB28" s="39">
        <f>'FS Desroches Daily'!AV30</f>
        <v>130.00000000002387</v>
      </c>
      <c r="AC28" s="39">
        <f>'FS Desroches Daily'!AZ30</f>
        <v>79.999999999984084</v>
      </c>
      <c r="AD28" s="39">
        <f>'FS Desroches Daily'!BB30</f>
        <v>90.000000000031832</v>
      </c>
      <c r="AE28" s="39">
        <f>'FS Desroches Daily'!BD30</f>
        <v>9.9999999999909051</v>
      </c>
      <c r="AF28" s="35">
        <f>'FS Desroches Daily'!BF30</f>
        <v>93</v>
      </c>
      <c r="AG28" s="36">
        <f>'FS Desroches Daily'!BH30</f>
        <v>50.000000000011369</v>
      </c>
      <c r="AH28" s="36">
        <f>'FS Desroches Daily'!BJ30</f>
        <v>50.000000000011369</v>
      </c>
      <c r="AI28" s="36">
        <f>'FS Desroches Daily'!BL30</f>
        <v>50.000000000011369</v>
      </c>
      <c r="AJ28" s="36">
        <f>'FS Desroches Daily'!BN30</f>
        <v>50.000000000011369</v>
      </c>
      <c r="AK28" s="36">
        <f>'FS Desroches Daily'!BP30</f>
        <v>60.000000000002274</v>
      </c>
      <c r="AL28" s="36">
        <f>'FS Desroches Daily'!BR30</f>
        <v>44</v>
      </c>
      <c r="AM28" s="36">
        <f>'FS Desroches Daily'!BT30</f>
        <v>60.000000000002274</v>
      </c>
      <c r="AN28" s="36">
        <f>'FS Desroches Daily'!BV30</f>
        <v>51</v>
      </c>
      <c r="AO28" s="36">
        <f>'FS Desroches Daily'!BX30</f>
        <v>60.000000000002274</v>
      </c>
      <c r="AP28" s="36">
        <f>'FS Desroches Daily'!BZ30</f>
        <v>70</v>
      </c>
      <c r="AQ28" s="35">
        <f>'FS Desroches Daily'!CB30</f>
        <v>38.200000000000728</v>
      </c>
      <c r="AR28" s="35">
        <f>'FS Desroches Daily'!CD30</f>
        <v>6.4000000000014552</v>
      </c>
      <c r="AS28" s="35">
        <f>'FS Desroches Daily'!CF30</f>
        <v>14.399999999999636</v>
      </c>
      <c r="AT28" s="35">
        <f>'FS Desroches Daily'!CH30</f>
        <v>74.69999999999709</v>
      </c>
      <c r="AU28" s="35">
        <f>'FS Desroches Daily'!CJ30</f>
        <v>314</v>
      </c>
      <c r="AV28" s="35">
        <f>'FS Desroches Daily'!CL30</f>
        <v>589.99999999997499</v>
      </c>
      <c r="AW28" s="35">
        <f>'FS Desroches Daily'!CM30</f>
        <v>91.7</v>
      </c>
      <c r="AX28" s="35">
        <f>IF(LPG!F35-LPG!F34&lt;0,"0",(LPG!F35-LPG!F34)*1.8315)</f>
        <v>14.651999999999999</v>
      </c>
      <c r="AY28" s="35">
        <f>IF(LPG!H35-LPG!H34&lt;0,"0",(LPG!H35-LPG!H34)*1.8315)</f>
        <v>3.6629999999999998</v>
      </c>
      <c r="AZ28" s="35">
        <f>IF(LPG!J35-LPG!J34&lt;0,"0",(LPG!J35-LPG!J34)*1.8315)</f>
        <v>1.8314999999999999</v>
      </c>
      <c r="BA28" s="35">
        <f>IF(LPG!M35-LPG!M34&lt;0,"0",(LPG!M35-LPG!M34)*1.8315)</f>
        <v>5.4944999999999995</v>
      </c>
      <c r="BB28" s="35">
        <f>IF(LPG!Q35-LPG!Q34&lt;0,"0",(LPG!Q35-LPG!Q34)*1.8315)</f>
        <v>5.4944999999999995</v>
      </c>
      <c r="BC28" s="13">
        <f>'FS Desroches Daily'!CN30</f>
        <v>21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 t="str">
        <f>'FS Desroches Daily'!D31</f>
        <v>0</v>
      </c>
      <c r="F29" s="36" t="str">
        <f>'FS Desroches Daily'!F31</f>
        <v>0</v>
      </c>
      <c r="G29" s="35" t="str">
        <f>'FS Desroches Daily'!H31</f>
        <v>0</v>
      </c>
      <c r="H29" s="36" t="str">
        <f>'FS Desroches Daily'!J31</f>
        <v>0</v>
      </c>
      <c r="I29" s="35" t="str">
        <f>'FS Desroches Daily'!L31</f>
        <v>0</v>
      </c>
      <c r="J29" s="36" t="str">
        <f>'FS Desroches Daily'!N31</f>
        <v/>
      </c>
      <c r="K29" s="13" t="str">
        <f>'FS Desroches Daily'!P31</f>
        <v/>
      </c>
      <c r="L29" s="35" t="str">
        <f>'FS Desroches Daily'!R31</f>
        <v/>
      </c>
      <c r="M29" s="35" t="str">
        <f>'FS Desroches Daily'!T31</f>
        <v/>
      </c>
      <c r="N29" s="35" t="str">
        <f>'FS Desroches Daily'!V31</f>
        <v/>
      </c>
      <c r="O29" s="35" t="str">
        <f>'FS Desroches Daily'!X31</f>
        <v/>
      </c>
      <c r="P29" s="35" t="str">
        <f>'FS Desroches Daily'!Z31</f>
        <v/>
      </c>
      <c r="Q29" s="35" t="str">
        <f>'FS Desroches Daily'!AB31</f>
        <v/>
      </c>
      <c r="R29" s="35" t="str">
        <f>'FS Desroches Daily'!AD31</f>
        <v/>
      </c>
      <c r="S29" s="35" t="str">
        <f>'FS Desroches Daily'!AF31</f>
        <v/>
      </c>
      <c r="T29" s="35" t="str">
        <f>'FS Desroches Daily'!AH31</f>
        <v/>
      </c>
      <c r="U29" s="39" t="str">
        <f>'FS Desroches Daily'!AJ31</f>
        <v/>
      </c>
      <c r="V29" s="39" t="str">
        <f>'FS Desroches Daily'!AL31</f>
        <v/>
      </c>
      <c r="W29" s="39" t="str">
        <f>'FS Desroches Daily'!AN31</f>
        <v/>
      </c>
      <c r="X29" s="39" t="str">
        <f>'FS Desroches Daily'!AP31</f>
        <v/>
      </c>
      <c r="Y29" s="39" t="str">
        <f>'FS Desroches Daily'!AR31</f>
        <v/>
      </c>
      <c r="Z29" s="39" t="str">
        <f>'FS Desroches Daily'!AT31</f>
        <v/>
      </c>
      <c r="AA29" s="39" t="str">
        <f>'FS Desroches Daily'!AT31</f>
        <v/>
      </c>
      <c r="AB29" s="39" t="str">
        <f>'FS Desroches Daily'!AV31</f>
        <v/>
      </c>
      <c r="AC29" s="39" t="str">
        <f>'FS Desroches Daily'!AZ31</f>
        <v/>
      </c>
      <c r="AD29" s="39" t="str">
        <f>'FS Desroches Daily'!BB31</f>
        <v/>
      </c>
      <c r="AE29" s="39" t="str">
        <f>'FS Desroches Daily'!BD31</f>
        <v/>
      </c>
      <c r="AF29" s="35" t="str">
        <f>'FS Desroches Daily'!BF31</f>
        <v/>
      </c>
      <c r="AG29" s="36" t="str">
        <f>'FS Desroches Daily'!BH31</f>
        <v/>
      </c>
      <c r="AH29" s="36" t="str">
        <f>'FS Desroches Daily'!BJ31</f>
        <v/>
      </c>
      <c r="AI29" s="36" t="str">
        <f>'FS Desroches Daily'!BL31</f>
        <v/>
      </c>
      <c r="AJ29" s="36" t="str">
        <f>'FS Desroches Daily'!BN31</f>
        <v/>
      </c>
      <c r="AK29" s="36" t="str">
        <f>'FS Desroches Daily'!BP31</f>
        <v/>
      </c>
      <c r="AL29" s="36" t="str">
        <f>'FS Desroches Daily'!BR31</f>
        <v/>
      </c>
      <c r="AM29" s="36" t="str">
        <f>'FS Desroches Daily'!BT31</f>
        <v/>
      </c>
      <c r="AN29" s="36" t="str">
        <f>'FS Desroches Daily'!BV31</f>
        <v/>
      </c>
      <c r="AO29" s="36" t="str">
        <f>'FS Desroches Daily'!BX31</f>
        <v/>
      </c>
      <c r="AP29" s="36" t="str">
        <f>'FS Desroches Daily'!BZ31</f>
        <v/>
      </c>
      <c r="AQ29" s="35" t="str">
        <f>'FS Desroches Daily'!CB31</f>
        <v/>
      </c>
      <c r="AR29" s="35" t="str">
        <f>'FS Desroches Daily'!CD31</f>
        <v/>
      </c>
      <c r="AS29" s="35" t="str">
        <f>'FS Desroches Daily'!CF31</f>
        <v/>
      </c>
      <c r="AT29" s="35" t="str">
        <f>'FS Desroches Daily'!CH31</f>
        <v/>
      </c>
      <c r="AU29" s="35" t="str">
        <f>'FS Desroches Daily'!CJ31</f>
        <v/>
      </c>
      <c r="AV29" s="35" t="str">
        <f>'FS Desroches Daily'!CL31</f>
        <v/>
      </c>
      <c r="AW29" s="35">
        <f>'FS Desroches Daily'!CM31</f>
        <v>0</v>
      </c>
      <c r="AX29" s="35" t="str">
        <f>IF(LPG!F36-LPG!F35&lt;0,"0",(LPG!F36-LPG!F35)*1.8315)</f>
        <v>0</v>
      </c>
      <c r="AY29" s="35" t="str">
        <f>IF(LPG!H36-LPG!H35&lt;0,"0",(LPG!H36-LPG!H35)*1.8315)</f>
        <v>0</v>
      </c>
      <c r="AZ29" s="35" t="str">
        <f>IF(LPG!J36-LPG!J35&lt;0,"0",(LPG!J36-LPG!J35)*1.8315)</f>
        <v>0</v>
      </c>
      <c r="BA29" s="35" t="str">
        <f>IF(LPG!M36-LPG!M35&lt;0,"0",(LPG!M36-LPG!M35)*1.8315)</f>
        <v>0</v>
      </c>
      <c r="BB29" s="35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60100.000000000036</v>
      </c>
      <c r="F33" s="17">
        <f t="shared" ref="F33:BC33" si="1">SUM(F2:F32)</f>
        <v>98900.000000000015</v>
      </c>
      <c r="G33" s="17">
        <f t="shared" si="1"/>
        <v>82399.999999999825</v>
      </c>
      <c r="H33" s="17">
        <f t="shared" si="1"/>
        <v>45099.999999999913</v>
      </c>
      <c r="I33" s="17">
        <f t="shared" si="1"/>
        <v>63699.999999999854</v>
      </c>
      <c r="J33" s="17">
        <f t="shared" si="1"/>
        <v>45349.999999999913</v>
      </c>
      <c r="K33" s="17">
        <f t="shared" si="1"/>
        <v>529</v>
      </c>
      <c r="L33" s="17">
        <f t="shared" si="1"/>
        <v>234</v>
      </c>
      <c r="M33" s="17">
        <f t="shared" si="1"/>
        <v>30375.300000000047</v>
      </c>
      <c r="N33" s="17">
        <f t="shared" si="1"/>
        <v>12892.099999999977</v>
      </c>
      <c r="O33" s="17">
        <f t="shared" si="1"/>
        <v>11729.999999999964</v>
      </c>
      <c r="P33" s="17">
        <f t="shared" si="1"/>
        <v>86999.999999999753</v>
      </c>
      <c r="Q33" s="17">
        <f t="shared" si="1"/>
        <v>12370</v>
      </c>
      <c r="R33" s="17">
        <f t="shared" si="1"/>
        <v>10039.999999999993</v>
      </c>
      <c r="S33" s="17">
        <f t="shared" si="1"/>
        <v>20050.000000000466</v>
      </c>
      <c r="T33" s="17">
        <f t="shared" si="1"/>
        <v>47.899999999999977</v>
      </c>
      <c r="U33" s="39">
        <f t="shared" si="1"/>
        <v>14240.000000000004</v>
      </c>
      <c r="V33" s="39">
        <f t="shared" si="1"/>
        <v>4.9699999999999847</v>
      </c>
      <c r="W33" s="39">
        <f t="shared" si="1"/>
        <v>5.6400000000000006</v>
      </c>
      <c r="X33" s="39">
        <f t="shared" si="1"/>
        <v>4.9200000000000017</v>
      </c>
      <c r="Y33" s="39">
        <f t="shared" si="1"/>
        <v>3640.0000000000146</v>
      </c>
      <c r="Z33" s="39">
        <f t="shared" si="1"/>
        <v>4460.0000000000364</v>
      </c>
      <c r="AA33" s="39">
        <f t="shared" si="1"/>
        <v>4460.0000000000364</v>
      </c>
      <c r="AB33" s="39">
        <f t="shared" si="1"/>
        <v>4300.0000000000118</v>
      </c>
      <c r="AC33" s="39">
        <f t="shared" si="1"/>
        <v>1339.999999999975</v>
      </c>
      <c r="AD33" s="39">
        <f t="shared" si="1"/>
        <v>2660.000000000025</v>
      </c>
      <c r="AE33" s="39">
        <f t="shared" si="1"/>
        <v>3179.9999999999773</v>
      </c>
      <c r="AF33" s="17">
        <f t="shared" si="1"/>
        <v>1653</v>
      </c>
      <c r="AG33" s="36">
        <f t="shared" si="1"/>
        <v>1060.0000000000023</v>
      </c>
      <c r="AH33" s="36">
        <f t="shared" si="1"/>
        <v>1360.0000000000136</v>
      </c>
      <c r="AI33" s="36">
        <f t="shared" si="1"/>
        <v>1419.9999999999875</v>
      </c>
      <c r="AJ33" s="36">
        <f t="shared" si="1"/>
        <v>1170.0000000000159</v>
      </c>
      <c r="AK33" s="36">
        <f t="shared" si="1"/>
        <v>1339.999999999975</v>
      </c>
      <c r="AL33" s="36">
        <f t="shared" si="1"/>
        <v>1089</v>
      </c>
      <c r="AM33" s="36">
        <f t="shared" si="1"/>
        <v>1219.9999999999989</v>
      </c>
      <c r="AN33" s="36">
        <f t="shared" si="1"/>
        <v>1095</v>
      </c>
      <c r="AO33" s="36">
        <f t="shared" si="1"/>
        <v>1270.0000000000102</v>
      </c>
      <c r="AP33" s="36">
        <f t="shared" si="1"/>
        <v>1674</v>
      </c>
      <c r="AQ33" s="17">
        <f t="shared" si="1"/>
        <v>1022.7000000000007</v>
      </c>
      <c r="AR33" s="17">
        <f t="shared" si="1"/>
        <v>302.70000000000073</v>
      </c>
      <c r="AS33" s="17">
        <f t="shared" si="1"/>
        <v>184.19999999999982</v>
      </c>
      <c r="AT33" s="17">
        <f t="shared" si="1"/>
        <v>1483.0999999999985</v>
      </c>
      <c r="AU33" s="17">
        <f t="shared" si="1"/>
        <v>8414</v>
      </c>
      <c r="AV33" s="17">
        <f t="shared" si="1"/>
        <v>15899.999999999975</v>
      </c>
      <c r="AW33" s="17">
        <f t="shared" si="1"/>
        <v>2211.1999999999998</v>
      </c>
      <c r="AX33" s="17">
        <f t="shared" si="1"/>
        <v>390.1094999999998</v>
      </c>
      <c r="AY33" s="17">
        <f t="shared" si="1"/>
        <v>97.069499999999962</v>
      </c>
      <c r="AZ33" s="17">
        <f t="shared" si="1"/>
        <v>47.618999999999978</v>
      </c>
      <c r="BA33" s="17">
        <f t="shared" si="1"/>
        <v>111.72150000000001</v>
      </c>
      <c r="BB33" s="17">
        <f t="shared" si="1"/>
        <v>152.01449999999994</v>
      </c>
      <c r="BC33" s="17">
        <f t="shared" si="1"/>
        <v>605</v>
      </c>
    </row>
    <row r="35" spans="5:55" x14ac:dyDescent="0.25">
      <c r="E35" s="42">
        <f>E33/E37</f>
        <v>0.18607502445911334</v>
      </c>
      <c r="G35" s="33">
        <f>G33-M36</f>
        <v>39132.599999999802</v>
      </c>
      <c r="AE35" s="39">
        <f>SUM(U33:AE33)</f>
        <v>38295.530000000079</v>
      </c>
      <c r="AG35" s="36">
        <f>SUM(AG33:AP33)</f>
        <v>12698.000000000004</v>
      </c>
    </row>
    <row r="36" spans="5:55" x14ac:dyDescent="0.25">
      <c r="G36" s="33">
        <f>G35-633*14</f>
        <v>30270.599999999802</v>
      </c>
      <c r="M36" s="33">
        <f>M33+N33</f>
        <v>43267.400000000023</v>
      </c>
    </row>
    <row r="37" spans="5:55" x14ac:dyDescent="0.25">
      <c r="E37" s="17">
        <f>E33+F33+G33+H33+J33-633*14</f>
        <v>322987.99999999965</v>
      </c>
      <c r="G37" s="41">
        <f>M36/E37</f>
        <v>0.13395977559537836</v>
      </c>
      <c r="M37" s="39">
        <f>AE35</f>
        <v>38295.530000000079</v>
      </c>
    </row>
    <row r="38" spans="5:55" x14ac:dyDescent="0.25">
      <c r="L38" s="31">
        <f>M38/E37</f>
        <v>3.9314154086219973E-2</v>
      </c>
      <c r="M38" s="33">
        <f>AG35</f>
        <v>12698.000000000004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CI1" zoomScale="70" zoomScaleNormal="70" workbookViewId="0">
      <pane ySplit="1" topLeftCell="A21" activePane="bottomLeft" state="frozen"/>
      <selection pane="bottomLeft" activeCell="CH30" sqref="CH30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>
        <v>1.4242999999999999</v>
      </c>
      <c r="D16" s="76">
        <f t="shared" si="3"/>
        <v>2699.9999999999245</v>
      </c>
      <c r="E16" s="65">
        <v>2.3689</v>
      </c>
      <c r="F16" s="76">
        <f t="shared" si="4"/>
        <v>3400.0000000000696</v>
      </c>
      <c r="G16" s="65">
        <v>2.2012999999999998</v>
      </c>
      <c r="H16" s="76">
        <f t="shared" si="5"/>
        <v>3199.9999999996476</v>
      </c>
      <c r="I16" s="65">
        <v>1.0275000000000001</v>
      </c>
      <c r="J16" s="76">
        <f t="shared" si="43"/>
        <v>1700.0000000000348</v>
      </c>
      <c r="K16" s="65">
        <v>1.5834999999999999</v>
      </c>
      <c r="L16" s="76">
        <f t="shared" si="0"/>
        <v>2199.9999999999795</v>
      </c>
      <c r="M16" s="65">
        <v>993.04</v>
      </c>
      <c r="N16" s="77">
        <f t="shared" si="22"/>
        <v>1969.9999999999136</v>
      </c>
      <c r="O16" s="65">
        <v>11122</v>
      </c>
      <c r="P16" s="77">
        <f t="shared" si="6"/>
        <v>19</v>
      </c>
      <c r="Q16" s="65">
        <v>4427</v>
      </c>
      <c r="R16" s="77">
        <f t="shared" si="7"/>
        <v>9</v>
      </c>
      <c r="S16" s="65">
        <v>726181</v>
      </c>
      <c r="T16" s="77">
        <f t="shared" si="44"/>
        <v>1077</v>
      </c>
      <c r="U16" s="65">
        <v>293910</v>
      </c>
      <c r="V16" s="77">
        <f t="shared" si="9"/>
        <v>489</v>
      </c>
      <c r="W16" s="65">
        <v>286.22000000000003</v>
      </c>
      <c r="X16" s="77">
        <f t="shared" si="23"/>
        <v>460.00000000003638</v>
      </c>
      <c r="Y16" s="65">
        <v>2.1029</v>
      </c>
      <c r="Z16" s="77">
        <f t="shared" si="24"/>
        <v>2899.9999999999027</v>
      </c>
      <c r="AA16" s="65">
        <v>284.35000000000002</v>
      </c>
      <c r="AB16" s="77">
        <f t="shared" si="25"/>
        <v>560.00000000000227</v>
      </c>
      <c r="AC16" s="65">
        <v>257.56</v>
      </c>
      <c r="AD16" s="77">
        <f t="shared" si="26"/>
        <v>439.99999999999773</v>
      </c>
      <c r="AE16" s="65">
        <v>383.39</v>
      </c>
      <c r="AF16" s="77">
        <f t="shared" si="27"/>
        <v>839.99999999997499</v>
      </c>
      <c r="AG16" s="65">
        <v>1013.6</v>
      </c>
      <c r="AH16" s="77">
        <f t="shared" si="10"/>
        <v>2</v>
      </c>
      <c r="AI16" s="65">
        <v>355.86</v>
      </c>
      <c r="AJ16" s="77">
        <f t="shared" si="28"/>
        <v>810.00000000000227</v>
      </c>
      <c r="AK16" s="65">
        <v>122.76</v>
      </c>
      <c r="AL16" s="77">
        <f t="shared" si="11"/>
        <v>0.26000000000000512</v>
      </c>
      <c r="AM16" s="65">
        <v>124.59</v>
      </c>
      <c r="AN16" s="77">
        <f t="shared" si="12"/>
        <v>0.23000000000000398</v>
      </c>
      <c r="AO16" s="65">
        <v>123</v>
      </c>
      <c r="AP16" s="77">
        <f t="shared" si="13"/>
        <v>0.26999999999999602</v>
      </c>
      <c r="AQ16" s="65">
        <v>198.17</v>
      </c>
      <c r="AR16" s="77">
        <f t="shared" si="29"/>
        <v>99.999999999994316</v>
      </c>
      <c r="AS16" s="65">
        <v>320.77</v>
      </c>
      <c r="AT16" s="77">
        <f t="shared" si="30"/>
        <v>139.99999999998636</v>
      </c>
      <c r="AU16" s="65">
        <v>246.87</v>
      </c>
      <c r="AV16" s="77">
        <f t="shared" si="31"/>
        <v>120.00000000000455</v>
      </c>
      <c r="AW16" s="65">
        <v>277.14999999999998</v>
      </c>
      <c r="AX16" s="77">
        <f t="shared" si="32"/>
        <v>60.000000000002274</v>
      </c>
      <c r="AY16" s="65">
        <v>328.7</v>
      </c>
      <c r="AZ16" s="77">
        <f t="shared" si="33"/>
        <v>50.000000000011369</v>
      </c>
      <c r="BA16" s="65">
        <v>349.39</v>
      </c>
      <c r="BB16" s="77">
        <f t="shared" si="34"/>
        <v>69.999999999993179</v>
      </c>
      <c r="BC16" s="65">
        <v>201.67</v>
      </c>
      <c r="BD16" s="77">
        <f t="shared" si="35"/>
        <v>189.99999999999773</v>
      </c>
      <c r="BE16" s="70">
        <v>22897</v>
      </c>
      <c r="BF16" s="77">
        <f t="shared" si="14"/>
        <v>47</v>
      </c>
      <c r="BG16" s="71">
        <v>219.83</v>
      </c>
      <c r="BH16" s="77">
        <f t="shared" si="36"/>
        <v>50.000000000011369</v>
      </c>
      <c r="BI16" s="70">
        <v>276.37</v>
      </c>
      <c r="BJ16" s="77">
        <f t="shared" si="37"/>
        <v>69.999999999993179</v>
      </c>
      <c r="BK16" s="70">
        <v>224.28</v>
      </c>
      <c r="BL16" s="77">
        <f t="shared" si="38"/>
        <v>69.999999999993179</v>
      </c>
      <c r="BM16" s="70">
        <v>207.2</v>
      </c>
      <c r="BN16" s="77">
        <f t="shared" si="39"/>
        <v>49.999999999982947</v>
      </c>
      <c r="BO16" s="70">
        <v>270.98</v>
      </c>
      <c r="BP16" s="77">
        <f t="shared" si="40"/>
        <v>60.000000000002274</v>
      </c>
      <c r="BQ16" s="70">
        <v>34159</v>
      </c>
      <c r="BR16" s="77">
        <f t="shared" si="15"/>
        <v>52</v>
      </c>
      <c r="BS16" s="70">
        <v>188.4</v>
      </c>
      <c r="BT16" s="77">
        <f t="shared" si="41"/>
        <v>60.000000000002274</v>
      </c>
      <c r="BU16" s="70">
        <v>25018</v>
      </c>
      <c r="BV16" s="77">
        <f t="shared" si="1"/>
        <v>81</v>
      </c>
      <c r="BW16" s="70">
        <v>217.74</v>
      </c>
      <c r="BX16" s="77">
        <f t="shared" si="42"/>
        <v>60.000000000002274</v>
      </c>
      <c r="BY16" s="72">
        <v>41307</v>
      </c>
      <c r="BZ16" s="77">
        <f t="shared" si="16"/>
        <v>65</v>
      </c>
      <c r="CA16" s="65">
        <v>24660.799999999999</v>
      </c>
      <c r="CB16" s="77">
        <f t="shared" si="17"/>
        <v>16.299999999999272</v>
      </c>
      <c r="CC16" s="65">
        <v>10426.1</v>
      </c>
      <c r="CD16" s="77">
        <f t="shared" si="18"/>
        <v>11.300000000001091</v>
      </c>
      <c r="CE16" s="65">
        <v>4954</v>
      </c>
      <c r="CF16" s="77">
        <f t="shared" si="19"/>
        <v>14.100000000000364</v>
      </c>
      <c r="CG16" s="65">
        <v>37358</v>
      </c>
      <c r="CH16" s="77">
        <f t="shared" si="20"/>
        <v>30</v>
      </c>
      <c r="CI16" s="65">
        <v>818752</v>
      </c>
      <c r="CJ16" s="77">
        <f t="shared" si="2"/>
        <v>325</v>
      </c>
      <c r="CK16" s="65">
        <v>498.13</v>
      </c>
      <c r="CL16" s="76">
        <f t="shared" si="21"/>
        <v>589.99999999997499</v>
      </c>
      <c r="CM16" s="77">
        <v>99</v>
      </c>
      <c r="CN16" s="74">
        <v>18</v>
      </c>
      <c r="CO16" s="74">
        <v>40</v>
      </c>
    </row>
    <row r="17" spans="1:93" ht="25.5" customHeight="1" thickBot="1" x14ac:dyDescent="0.45">
      <c r="A17" s="75">
        <v>43844</v>
      </c>
      <c r="B17" s="49"/>
      <c r="C17" s="65">
        <v>1.4261999999999999</v>
      </c>
      <c r="D17" s="76">
        <f t="shared" si="3"/>
        <v>1900.0000000000127</v>
      </c>
      <c r="E17" s="65">
        <v>2.3719999999999999</v>
      </c>
      <c r="F17" s="76">
        <f t="shared" si="4"/>
        <v>3099.9999999998809</v>
      </c>
      <c r="G17" s="65">
        <v>2.2042000000000002</v>
      </c>
      <c r="H17" s="76">
        <f t="shared" si="5"/>
        <v>2900.0000000003465</v>
      </c>
      <c r="I17" s="65">
        <v>1.0288999999999999</v>
      </c>
      <c r="J17" s="76">
        <f t="shared" si="43"/>
        <v>1399.9999999998458</v>
      </c>
      <c r="K17" s="65">
        <v>1.5853999999999999</v>
      </c>
      <c r="L17" s="76">
        <f t="shared" si="0"/>
        <v>1900.0000000000127</v>
      </c>
      <c r="M17" s="65">
        <v>994.4</v>
      </c>
      <c r="N17" s="77">
        <f t="shared" si="22"/>
        <v>1360.0000000000136</v>
      </c>
      <c r="O17" s="65">
        <v>11148</v>
      </c>
      <c r="P17" s="77">
        <f t="shared" si="6"/>
        <v>26</v>
      </c>
      <c r="Q17" s="65">
        <v>4434</v>
      </c>
      <c r="R17" s="77">
        <f t="shared" si="7"/>
        <v>7</v>
      </c>
      <c r="S17" s="65">
        <v>727443</v>
      </c>
      <c r="T17" s="77">
        <f t="shared" si="44"/>
        <v>1262</v>
      </c>
      <c r="U17" s="65">
        <v>294518</v>
      </c>
      <c r="V17" s="77">
        <f t="shared" si="9"/>
        <v>608</v>
      </c>
      <c r="W17" s="65">
        <v>286.64</v>
      </c>
      <c r="X17" s="77">
        <f t="shared" si="23"/>
        <v>419.99999999995907</v>
      </c>
      <c r="Y17" s="65">
        <v>2.1055999999999999</v>
      </c>
      <c r="Z17" s="77">
        <f t="shared" si="24"/>
        <v>2699.9999999999245</v>
      </c>
      <c r="AA17" s="65">
        <v>284.69</v>
      </c>
      <c r="AB17" s="77">
        <f t="shared" si="25"/>
        <v>339.99999999997499</v>
      </c>
      <c r="AC17" s="65">
        <v>257.93</v>
      </c>
      <c r="AD17" s="77">
        <f t="shared" si="26"/>
        <v>370.00000000000455</v>
      </c>
      <c r="AE17" s="65">
        <v>384.06</v>
      </c>
      <c r="AF17" s="77">
        <f t="shared" si="27"/>
        <v>670.00000000001592</v>
      </c>
      <c r="AG17" s="65">
        <v>1015.4</v>
      </c>
      <c r="AH17" s="77">
        <f t="shared" si="10"/>
        <v>1.7999999999999545</v>
      </c>
      <c r="AI17" s="65">
        <v>356.51</v>
      </c>
      <c r="AJ17" s="77">
        <f t="shared" si="28"/>
        <v>649.99999999997726</v>
      </c>
      <c r="AK17" s="65">
        <v>122.97</v>
      </c>
      <c r="AL17" s="77">
        <f t="shared" si="11"/>
        <v>0.20999999999999375</v>
      </c>
      <c r="AM17" s="65">
        <v>124.76</v>
      </c>
      <c r="AN17" s="77">
        <f t="shared" si="12"/>
        <v>0.17000000000000171</v>
      </c>
      <c r="AO17" s="65">
        <v>123.17</v>
      </c>
      <c r="AP17" s="77">
        <f t="shared" si="13"/>
        <v>0.17000000000000171</v>
      </c>
      <c r="AQ17" s="65">
        <v>198.25</v>
      </c>
      <c r="AR17" s="77">
        <f t="shared" si="29"/>
        <v>80.000000000012506</v>
      </c>
      <c r="AS17" s="65">
        <v>320.88</v>
      </c>
      <c r="AT17" s="77">
        <f t="shared" si="30"/>
        <v>110.00000000001364</v>
      </c>
      <c r="AU17" s="65">
        <v>247</v>
      </c>
      <c r="AV17" s="77">
        <f t="shared" si="31"/>
        <v>129.99999999999545</v>
      </c>
      <c r="AW17" s="65">
        <v>277.20999999999998</v>
      </c>
      <c r="AX17" s="77">
        <f t="shared" si="32"/>
        <v>60.000000000002274</v>
      </c>
      <c r="AY17" s="65">
        <v>328.75</v>
      </c>
      <c r="AZ17" s="77">
        <f t="shared" si="33"/>
        <v>50.000000000011369</v>
      </c>
      <c r="BA17" s="65">
        <v>349.46</v>
      </c>
      <c r="BB17" s="77">
        <f t="shared" si="34"/>
        <v>69.999999999993179</v>
      </c>
      <c r="BC17" s="65">
        <v>201.77</v>
      </c>
      <c r="BD17" s="77">
        <f t="shared" si="35"/>
        <v>100.00000000002274</v>
      </c>
      <c r="BE17" s="70">
        <v>22949</v>
      </c>
      <c r="BF17" s="77">
        <f t="shared" si="14"/>
        <v>52</v>
      </c>
      <c r="BG17" s="71">
        <v>219.86</v>
      </c>
      <c r="BH17" s="77">
        <f t="shared" si="36"/>
        <v>30.000000000001137</v>
      </c>
      <c r="BI17" s="70">
        <v>276.41000000000003</v>
      </c>
      <c r="BJ17" s="77">
        <f t="shared" si="37"/>
        <v>40.000000000020464</v>
      </c>
      <c r="BK17" s="70">
        <v>224.32</v>
      </c>
      <c r="BL17" s="77">
        <f t="shared" si="38"/>
        <v>39.999999999992042</v>
      </c>
      <c r="BM17" s="70">
        <v>207.23</v>
      </c>
      <c r="BN17" s="77">
        <f t="shared" si="39"/>
        <v>30.000000000001137</v>
      </c>
      <c r="BO17" s="70">
        <v>271.02</v>
      </c>
      <c r="BP17" s="77">
        <f t="shared" si="40"/>
        <v>39.99999999996362</v>
      </c>
      <c r="BQ17" s="70">
        <v>34197</v>
      </c>
      <c r="BR17" s="77">
        <f t="shared" si="15"/>
        <v>38</v>
      </c>
      <c r="BS17" s="70">
        <v>188.43</v>
      </c>
      <c r="BT17" s="77">
        <f t="shared" si="41"/>
        <v>30.000000000001137</v>
      </c>
      <c r="BU17" s="70">
        <v>25053</v>
      </c>
      <c r="BV17" s="77">
        <f t="shared" si="1"/>
        <v>35</v>
      </c>
      <c r="BW17" s="70">
        <v>217.77</v>
      </c>
      <c r="BX17" s="77">
        <f t="shared" si="42"/>
        <v>30.000000000001137</v>
      </c>
      <c r="BY17" s="72">
        <v>41356</v>
      </c>
      <c r="BZ17" s="77">
        <f t="shared" si="16"/>
        <v>49</v>
      </c>
      <c r="CA17" s="65">
        <v>24683.9</v>
      </c>
      <c r="CB17" s="77">
        <f t="shared" si="17"/>
        <v>23.100000000002183</v>
      </c>
      <c r="CC17" s="65">
        <v>10439.4</v>
      </c>
      <c r="CD17" s="77">
        <f t="shared" si="18"/>
        <v>13.299999999999272</v>
      </c>
      <c r="CE17" s="65">
        <v>4959.3</v>
      </c>
      <c r="CF17" s="77">
        <f t="shared" si="19"/>
        <v>5.3000000000001819</v>
      </c>
      <c r="CG17" s="65">
        <v>37374</v>
      </c>
      <c r="CH17" s="77">
        <f t="shared" si="20"/>
        <v>16</v>
      </c>
      <c r="CI17" s="65">
        <v>819034</v>
      </c>
      <c r="CJ17" s="77">
        <f t="shared" si="2"/>
        <v>282</v>
      </c>
      <c r="CK17" s="65">
        <v>498.82</v>
      </c>
      <c r="CL17" s="76">
        <f t="shared" si="21"/>
        <v>689.99999999999773</v>
      </c>
      <c r="CM17" s="77">
        <v>81.2</v>
      </c>
      <c r="CN17" s="74">
        <v>16</v>
      </c>
      <c r="CO17" s="74">
        <v>37</v>
      </c>
    </row>
    <row r="18" spans="1:93" ht="25.5" customHeight="1" thickBot="1" x14ac:dyDescent="0.45">
      <c r="A18" s="75">
        <v>43845</v>
      </c>
      <c r="B18" s="49"/>
      <c r="C18" s="65">
        <v>1.4282999999999999</v>
      </c>
      <c r="D18" s="76">
        <f t="shared" si="3"/>
        <v>2099.9999999999909</v>
      </c>
      <c r="E18" s="65">
        <v>2.3753000000000002</v>
      </c>
      <c r="F18" s="76">
        <f t="shared" si="4"/>
        <v>3300.0000000003029</v>
      </c>
      <c r="G18" s="65">
        <v>2.2069999999999999</v>
      </c>
      <c r="H18" s="76">
        <f t="shared" si="5"/>
        <v>2799.9999999996917</v>
      </c>
      <c r="I18" s="65">
        <v>1.0305</v>
      </c>
      <c r="J18" s="76">
        <f t="shared" si="43"/>
        <v>1600.0000000000459</v>
      </c>
      <c r="K18" s="65">
        <v>1.5875999999999999</v>
      </c>
      <c r="L18" s="76">
        <f t="shared" si="0"/>
        <v>2199.9999999999795</v>
      </c>
      <c r="M18" s="65">
        <v>995.93</v>
      </c>
      <c r="N18" s="77">
        <f t="shared" si="22"/>
        <v>1529.9999999999727</v>
      </c>
      <c r="O18" s="65">
        <v>11172</v>
      </c>
      <c r="P18" s="77">
        <f t="shared" si="6"/>
        <v>24</v>
      </c>
      <c r="Q18" s="65">
        <v>4442</v>
      </c>
      <c r="R18" s="77">
        <f t="shared" si="7"/>
        <v>8</v>
      </c>
      <c r="S18" s="65">
        <v>728482</v>
      </c>
      <c r="T18" s="77">
        <f t="shared" si="44"/>
        <v>1039</v>
      </c>
      <c r="U18" s="65">
        <v>294935</v>
      </c>
      <c r="V18" s="77">
        <f t="shared" si="9"/>
        <v>417</v>
      </c>
      <c r="W18" s="65">
        <v>287.01</v>
      </c>
      <c r="X18" s="77">
        <f t="shared" si="23"/>
        <v>370.00000000000455</v>
      </c>
      <c r="Y18" s="65">
        <v>2.1082999999999998</v>
      </c>
      <c r="Z18" s="77">
        <f t="shared" si="24"/>
        <v>2699.9999999999245</v>
      </c>
      <c r="AA18" s="65">
        <v>285.08</v>
      </c>
      <c r="AB18" s="77">
        <f t="shared" si="25"/>
        <v>389.99999999998636</v>
      </c>
      <c r="AC18" s="65">
        <v>258.25</v>
      </c>
      <c r="AD18" s="77">
        <f t="shared" si="26"/>
        <v>319.99999999999318</v>
      </c>
      <c r="AE18" s="65">
        <v>384.68</v>
      </c>
      <c r="AF18" s="77">
        <f t="shared" si="27"/>
        <v>620.00000000000455</v>
      </c>
      <c r="AG18" s="65">
        <v>1017.2</v>
      </c>
      <c r="AH18" s="77">
        <f t="shared" si="10"/>
        <v>1.8000000000000682</v>
      </c>
      <c r="AI18" s="65">
        <v>357.14</v>
      </c>
      <c r="AJ18" s="77">
        <f t="shared" si="28"/>
        <v>629.99999999999545</v>
      </c>
      <c r="AK18" s="65">
        <v>123.18</v>
      </c>
      <c r="AL18" s="77">
        <f t="shared" si="11"/>
        <v>0.21000000000000796</v>
      </c>
      <c r="AM18" s="65">
        <v>124.93</v>
      </c>
      <c r="AN18" s="77">
        <f t="shared" si="12"/>
        <v>0.17000000000000171</v>
      </c>
      <c r="AO18" s="65">
        <v>123.32</v>
      </c>
      <c r="AP18" s="77">
        <f t="shared" si="13"/>
        <v>0.14999999999999147</v>
      </c>
      <c r="AQ18" s="65">
        <v>198.32</v>
      </c>
      <c r="AR18" s="77">
        <f t="shared" si="29"/>
        <v>69.999999999993179</v>
      </c>
      <c r="AS18" s="65">
        <v>321.01</v>
      </c>
      <c r="AT18" s="77">
        <f t="shared" si="30"/>
        <v>129.99999999999545</v>
      </c>
      <c r="AU18" s="65">
        <v>247.11</v>
      </c>
      <c r="AV18" s="77">
        <f t="shared" si="31"/>
        <v>110.00000000001364</v>
      </c>
      <c r="AW18" s="65">
        <v>277.27999999999997</v>
      </c>
      <c r="AX18" s="77">
        <f t="shared" si="32"/>
        <v>69.999999999993179</v>
      </c>
      <c r="AY18" s="65">
        <v>328.8</v>
      </c>
      <c r="AZ18" s="77">
        <f t="shared" si="33"/>
        <v>50.000000000011369</v>
      </c>
      <c r="BA18" s="65">
        <v>349.52</v>
      </c>
      <c r="BB18" s="77">
        <f t="shared" si="34"/>
        <v>60.000000000002274</v>
      </c>
      <c r="BC18" s="65">
        <v>201.79</v>
      </c>
      <c r="BD18" s="77">
        <f t="shared" si="35"/>
        <v>19.99999999998181</v>
      </c>
      <c r="BE18" s="70">
        <v>22991</v>
      </c>
      <c r="BF18" s="77">
        <f t="shared" si="14"/>
        <v>42</v>
      </c>
      <c r="BG18" s="71">
        <v>219.89</v>
      </c>
      <c r="BH18" s="77">
        <f t="shared" si="36"/>
        <v>29.999999999972715</v>
      </c>
      <c r="BI18" s="70">
        <v>276.45</v>
      </c>
      <c r="BJ18" s="77">
        <f t="shared" si="37"/>
        <v>39.99999999996362</v>
      </c>
      <c r="BK18" s="70">
        <v>224.36</v>
      </c>
      <c r="BL18" s="77">
        <f t="shared" si="38"/>
        <v>40.000000000020464</v>
      </c>
      <c r="BM18" s="70">
        <v>207.27</v>
      </c>
      <c r="BN18" s="77">
        <f t="shared" si="39"/>
        <v>40.000000000020464</v>
      </c>
      <c r="BO18" s="70">
        <v>271.07</v>
      </c>
      <c r="BP18" s="77">
        <f t="shared" si="40"/>
        <v>50.000000000011369</v>
      </c>
      <c r="BQ18" s="70">
        <v>34232</v>
      </c>
      <c r="BR18" s="77">
        <f t="shared" si="15"/>
        <v>35</v>
      </c>
      <c r="BS18" s="70">
        <v>188.46</v>
      </c>
      <c r="BT18" s="77">
        <f t="shared" si="41"/>
        <v>30.000000000001137</v>
      </c>
      <c r="BU18" s="70">
        <v>25086</v>
      </c>
      <c r="BV18" s="77">
        <f t="shared" si="1"/>
        <v>33</v>
      </c>
      <c r="BW18" s="70">
        <v>217.81</v>
      </c>
      <c r="BX18" s="77">
        <f t="shared" si="42"/>
        <v>39.999999999992042</v>
      </c>
      <c r="BY18" s="72">
        <v>41405</v>
      </c>
      <c r="BZ18" s="77">
        <f t="shared" si="16"/>
        <v>49</v>
      </c>
      <c r="CA18" s="65">
        <v>24714.2</v>
      </c>
      <c r="CB18" s="77">
        <f t="shared" si="17"/>
        <v>30.299999999999272</v>
      </c>
      <c r="CC18" s="65">
        <v>10450.4</v>
      </c>
      <c r="CD18" s="77">
        <f t="shared" si="18"/>
        <v>11</v>
      </c>
      <c r="CE18" s="65">
        <v>4962.5</v>
      </c>
      <c r="CF18" s="77">
        <f t="shared" si="19"/>
        <v>3.1999999999998181</v>
      </c>
      <c r="CG18" s="65">
        <v>37399</v>
      </c>
      <c r="CH18" s="77">
        <f t="shared" si="20"/>
        <v>25</v>
      </c>
      <c r="CI18" s="65">
        <v>819351</v>
      </c>
      <c r="CJ18" s="77">
        <f t="shared" si="2"/>
        <v>317</v>
      </c>
      <c r="CK18" s="65">
        <v>499.42</v>
      </c>
      <c r="CL18" s="76">
        <f t="shared" si="21"/>
        <v>600.00000000002274</v>
      </c>
      <c r="CM18" s="77">
        <v>60</v>
      </c>
      <c r="CN18" s="74">
        <v>21</v>
      </c>
      <c r="CO18" s="74">
        <v>39</v>
      </c>
    </row>
    <row r="19" spans="1:93" ht="25.5" customHeight="1" thickBot="1" x14ac:dyDescent="0.45">
      <c r="A19" s="75">
        <v>43846</v>
      </c>
      <c r="B19" s="49"/>
      <c r="C19" s="65">
        <v>1.4307000000000001</v>
      </c>
      <c r="D19" s="76">
        <f t="shared" si="3"/>
        <v>2400.0000000001796</v>
      </c>
      <c r="E19" s="65">
        <v>2.3788</v>
      </c>
      <c r="F19" s="76">
        <f t="shared" si="4"/>
        <v>3499.9999999998367</v>
      </c>
      <c r="G19" s="65">
        <v>2.2098</v>
      </c>
      <c r="H19" s="76">
        <f t="shared" si="5"/>
        <v>2800.0000000001355</v>
      </c>
      <c r="I19" s="65">
        <v>1.0321</v>
      </c>
      <c r="J19" s="76">
        <f t="shared" si="43"/>
        <v>1600.0000000000459</v>
      </c>
      <c r="K19" s="65">
        <v>1.5895999999999999</v>
      </c>
      <c r="L19" s="76">
        <f t="shared" si="0"/>
        <v>2000.0000000000018</v>
      </c>
      <c r="M19" s="65">
        <v>997.28</v>
      </c>
      <c r="N19" s="77">
        <f t="shared" si="22"/>
        <v>1350.0000000000227</v>
      </c>
      <c r="O19" s="65">
        <v>11192</v>
      </c>
      <c r="P19" s="77">
        <f t="shared" si="6"/>
        <v>20</v>
      </c>
      <c r="Q19" s="65">
        <v>4451</v>
      </c>
      <c r="R19" s="77">
        <f t="shared" si="7"/>
        <v>9</v>
      </c>
      <c r="S19" s="65">
        <v>729400</v>
      </c>
      <c r="T19" s="77">
        <f t="shared" si="44"/>
        <v>918</v>
      </c>
      <c r="U19" s="65">
        <v>295281</v>
      </c>
      <c r="V19" s="77">
        <f t="shared" si="9"/>
        <v>346</v>
      </c>
      <c r="W19" s="65">
        <v>287.39999999999998</v>
      </c>
      <c r="X19" s="77">
        <f t="shared" si="23"/>
        <v>389.99999999998636</v>
      </c>
      <c r="Y19" s="65">
        <v>2.1116999999999999</v>
      </c>
      <c r="Z19" s="77">
        <f t="shared" si="24"/>
        <v>3400.0000000000696</v>
      </c>
      <c r="AA19" s="65">
        <v>285.41000000000003</v>
      </c>
      <c r="AB19" s="77">
        <f t="shared" si="25"/>
        <v>330.00000000004093</v>
      </c>
      <c r="AC19" s="65">
        <v>258.55</v>
      </c>
      <c r="AD19" s="77">
        <f t="shared" si="26"/>
        <v>300.00000000001137</v>
      </c>
      <c r="AE19" s="65">
        <v>385.9</v>
      </c>
      <c r="AF19" s="77">
        <f t="shared" si="27"/>
        <v>1219.9999999999704</v>
      </c>
      <c r="AG19" s="65">
        <v>1019.2</v>
      </c>
      <c r="AH19" s="77">
        <f t="shared" si="10"/>
        <v>2</v>
      </c>
      <c r="AI19" s="65">
        <v>357.69</v>
      </c>
      <c r="AJ19" s="77">
        <f t="shared" si="28"/>
        <v>550.00000000001137</v>
      </c>
      <c r="AK19" s="65">
        <v>123.39</v>
      </c>
      <c r="AL19" s="77">
        <f t="shared" si="11"/>
        <v>0.20999999999999375</v>
      </c>
      <c r="AM19" s="65">
        <v>125.1</v>
      </c>
      <c r="AN19" s="77">
        <f t="shared" si="12"/>
        <v>0.16999999999998749</v>
      </c>
      <c r="AO19" s="65">
        <v>123.47</v>
      </c>
      <c r="AP19" s="77">
        <f t="shared" si="13"/>
        <v>0.15000000000000568</v>
      </c>
      <c r="AQ19" s="65">
        <v>198.4</v>
      </c>
      <c r="AR19" s="77">
        <f t="shared" si="29"/>
        <v>80.000000000012506</v>
      </c>
      <c r="AS19" s="65">
        <v>321.11</v>
      </c>
      <c r="AT19" s="77">
        <f t="shared" si="30"/>
        <v>100.00000000002274</v>
      </c>
      <c r="AU19" s="65">
        <v>247.23</v>
      </c>
      <c r="AV19" s="77">
        <f t="shared" si="31"/>
        <v>119.99999999997613</v>
      </c>
      <c r="AW19" s="65">
        <v>277.36</v>
      </c>
      <c r="AX19" s="77">
        <f t="shared" si="32"/>
        <v>80.000000000040927</v>
      </c>
      <c r="AY19" s="65">
        <v>328.84</v>
      </c>
      <c r="AZ19" s="77">
        <f t="shared" si="33"/>
        <v>39.99999999996362</v>
      </c>
      <c r="BA19" s="65">
        <v>349.58</v>
      </c>
      <c r="BB19" s="77">
        <f t="shared" si="34"/>
        <v>60.000000000002274</v>
      </c>
      <c r="BC19" s="65">
        <v>201.82</v>
      </c>
      <c r="BD19" s="77">
        <f t="shared" si="35"/>
        <v>30.000000000001137</v>
      </c>
      <c r="BE19" s="70">
        <v>23043</v>
      </c>
      <c r="BF19" s="77">
        <f t="shared" si="14"/>
        <v>52</v>
      </c>
      <c r="BG19" s="71">
        <v>219.94</v>
      </c>
      <c r="BH19" s="77">
        <f t="shared" si="36"/>
        <v>50.000000000011369</v>
      </c>
      <c r="BI19" s="70">
        <v>276.51</v>
      </c>
      <c r="BJ19" s="77">
        <f t="shared" si="37"/>
        <v>60.000000000002274</v>
      </c>
      <c r="BK19" s="70">
        <v>224.42</v>
      </c>
      <c r="BL19" s="77">
        <f t="shared" si="38"/>
        <v>59.999999999973852</v>
      </c>
      <c r="BM19" s="70">
        <v>207.31</v>
      </c>
      <c r="BN19" s="77">
        <f t="shared" si="39"/>
        <v>39.999999999992042</v>
      </c>
      <c r="BO19" s="70">
        <v>271.12</v>
      </c>
      <c r="BP19" s="77">
        <f t="shared" si="40"/>
        <v>50.000000000011369</v>
      </c>
      <c r="BQ19" s="70">
        <v>34276</v>
      </c>
      <c r="BR19" s="77">
        <f t="shared" si="15"/>
        <v>44</v>
      </c>
      <c r="BS19" s="70">
        <v>188.51</v>
      </c>
      <c r="BT19" s="77">
        <f t="shared" si="41"/>
        <v>49.999999999982947</v>
      </c>
      <c r="BU19" s="70">
        <v>25126</v>
      </c>
      <c r="BV19" s="77">
        <f t="shared" si="1"/>
        <v>40</v>
      </c>
      <c r="BW19" s="70">
        <v>217.86</v>
      </c>
      <c r="BX19" s="77">
        <f t="shared" si="42"/>
        <v>50.000000000011369</v>
      </c>
      <c r="BY19" s="72">
        <v>41461</v>
      </c>
      <c r="BZ19" s="77">
        <f t="shared" si="16"/>
        <v>56</v>
      </c>
      <c r="CA19" s="65">
        <v>24757.200000000001</v>
      </c>
      <c r="CB19" s="77">
        <f t="shared" si="17"/>
        <v>43</v>
      </c>
      <c r="CC19" s="65">
        <v>10462.299999999999</v>
      </c>
      <c r="CD19" s="77">
        <f t="shared" si="18"/>
        <v>11.899999999999636</v>
      </c>
      <c r="CE19" s="65">
        <v>4962.6000000000004</v>
      </c>
      <c r="CF19" s="77">
        <f t="shared" si="19"/>
        <v>0.1000000000003638</v>
      </c>
      <c r="CG19" s="65">
        <v>37430</v>
      </c>
      <c r="CH19" s="77">
        <f t="shared" si="20"/>
        <v>31</v>
      </c>
      <c r="CI19" s="65">
        <v>819660</v>
      </c>
      <c r="CJ19" s="77">
        <f t="shared" si="2"/>
        <v>309</v>
      </c>
      <c r="CK19" s="65">
        <v>499.96</v>
      </c>
      <c r="CL19" s="76">
        <f t="shared" si="21"/>
        <v>539.99999999996362</v>
      </c>
      <c r="CM19" s="77">
        <v>70</v>
      </c>
      <c r="CN19" s="74">
        <v>11</v>
      </c>
      <c r="CO19" s="74">
        <v>35</v>
      </c>
    </row>
    <row r="20" spans="1:93" ht="25.5" customHeight="1" thickBot="1" x14ac:dyDescent="0.45">
      <c r="A20" s="75">
        <v>43847</v>
      </c>
      <c r="B20" s="49"/>
      <c r="C20" s="65">
        <v>1.4332</v>
      </c>
      <c r="D20" s="76">
        <f t="shared" si="3"/>
        <v>2499.9999999999468</v>
      </c>
      <c r="E20" s="65">
        <v>2.3824000000000001</v>
      </c>
      <c r="F20" s="76">
        <f t="shared" si="4"/>
        <v>3600.0000000000477</v>
      </c>
      <c r="G20" s="65">
        <v>2.2124000000000001</v>
      </c>
      <c r="H20" s="76">
        <f t="shared" si="5"/>
        <v>2600.0000000001578</v>
      </c>
      <c r="I20" s="65">
        <v>1.0338000000000001</v>
      </c>
      <c r="J20" s="76">
        <f t="shared" si="43"/>
        <v>1700.0000000000348</v>
      </c>
      <c r="K20" s="65">
        <v>1.5915999999999999</v>
      </c>
      <c r="L20" s="76">
        <f t="shared" si="0"/>
        <v>2000.0000000000018</v>
      </c>
      <c r="M20" s="65">
        <v>998.73</v>
      </c>
      <c r="N20" s="77">
        <f t="shared" si="22"/>
        <v>1450.0000000000455</v>
      </c>
      <c r="O20" s="65">
        <v>11211</v>
      </c>
      <c r="P20" s="77">
        <f t="shared" si="6"/>
        <v>19</v>
      </c>
      <c r="Q20" s="65">
        <v>4459</v>
      </c>
      <c r="R20" s="77">
        <f t="shared" si="7"/>
        <v>8</v>
      </c>
      <c r="S20" s="65">
        <v>730393</v>
      </c>
      <c r="T20" s="77">
        <f t="shared" si="44"/>
        <v>993</v>
      </c>
      <c r="U20" s="65">
        <v>295711</v>
      </c>
      <c r="V20" s="77">
        <f t="shared" si="9"/>
        <v>430</v>
      </c>
      <c r="W20" s="65">
        <v>287.77999999999997</v>
      </c>
      <c r="X20" s="77">
        <f t="shared" si="23"/>
        <v>379.99999999999545</v>
      </c>
      <c r="Y20" s="65">
        <v>2.1147999999999998</v>
      </c>
      <c r="Z20" s="77">
        <f t="shared" si="24"/>
        <v>3099.9999999998809</v>
      </c>
      <c r="AA20" s="65">
        <v>285.88</v>
      </c>
      <c r="AB20" s="77">
        <f t="shared" si="25"/>
        <v>469.99999999997044</v>
      </c>
      <c r="AC20" s="65">
        <v>258.82</v>
      </c>
      <c r="AD20" s="77">
        <f t="shared" si="26"/>
        <v>269.99999999998181</v>
      </c>
      <c r="AE20" s="65">
        <v>385.91</v>
      </c>
      <c r="AF20" s="77">
        <f>IF((AE20-AE19&lt;0), "",(AE20-AE19)*10000)</f>
        <v>100.00000000047748</v>
      </c>
      <c r="AG20" s="65">
        <v>1021.1</v>
      </c>
      <c r="AH20" s="77">
        <f t="shared" si="10"/>
        <v>1.8999999999999773</v>
      </c>
      <c r="AI20" s="65">
        <v>359.13</v>
      </c>
      <c r="AJ20" s="77">
        <f t="shared" si="28"/>
        <v>1439.9999999999977</v>
      </c>
      <c r="AK20" s="65">
        <v>123.7</v>
      </c>
      <c r="AL20" s="77">
        <f t="shared" si="11"/>
        <v>0.31000000000000227</v>
      </c>
      <c r="AM20" s="65">
        <v>125.36</v>
      </c>
      <c r="AN20" s="77">
        <f t="shared" si="12"/>
        <v>0.26000000000000512</v>
      </c>
      <c r="AO20" s="65">
        <v>123.73</v>
      </c>
      <c r="AP20" s="77">
        <f t="shared" si="13"/>
        <v>0.26000000000000512</v>
      </c>
      <c r="AQ20" s="65">
        <v>198.5</v>
      </c>
      <c r="AR20" s="77">
        <f t="shared" si="29"/>
        <v>99.999999999994316</v>
      </c>
      <c r="AS20" s="65">
        <v>321.3</v>
      </c>
      <c r="AT20" s="77">
        <f t="shared" si="30"/>
        <v>189.99999999999773</v>
      </c>
      <c r="AU20" s="65">
        <v>247.36</v>
      </c>
      <c r="AV20" s="77">
        <f t="shared" si="31"/>
        <v>130.00000000002387</v>
      </c>
      <c r="AW20" s="65">
        <v>277.39999999999998</v>
      </c>
      <c r="AX20" s="77">
        <f t="shared" si="32"/>
        <v>39.99999999996362</v>
      </c>
      <c r="AY20" s="65">
        <v>328.9</v>
      </c>
      <c r="AZ20" s="77">
        <f t="shared" si="33"/>
        <v>60.000000000002274</v>
      </c>
      <c r="BA20" s="65">
        <v>349.65</v>
      </c>
      <c r="BB20" s="77">
        <f t="shared" si="34"/>
        <v>69.999999999993179</v>
      </c>
      <c r="BC20" s="65">
        <v>201.82</v>
      </c>
      <c r="BD20" s="77">
        <f t="shared" si="35"/>
        <v>0</v>
      </c>
      <c r="BE20" s="70">
        <v>23099</v>
      </c>
      <c r="BF20" s="77">
        <f t="shared" si="14"/>
        <v>56</v>
      </c>
      <c r="BG20" s="71">
        <v>219.96</v>
      </c>
      <c r="BH20" s="77">
        <f t="shared" si="36"/>
        <v>20.000000000010232</v>
      </c>
      <c r="BI20" s="70">
        <v>276.56</v>
      </c>
      <c r="BJ20" s="77">
        <f t="shared" si="37"/>
        <v>50.000000000011369</v>
      </c>
      <c r="BK20" s="70">
        <v>224.46</v>
      </c>
      <c r="BL20" s="77">
        <f t="shared" si="38"/>
        <v>40.000000000020464</v>
      </c>
      <c r="BM20" s="70">
        <v>207.35</v>
      </c>
      <c r="BN20" s="77">
        <f t="shared" si="39"/>
        <v>39.999999999992042</v>
      </c>
      <c r="BO20" s="70">
        <v>271.16000000000003</v>
      </c>
      <c r="BP20" s="77">
        <f t="shared" si="40"/>
        <v>40.000000000020464</v>
      </c>
      <c r="BQ20" s="70">
        <v>34310</v>
      </c>
      <c r="BR20" s="77">
        <f t="shared" si="15"/>
        <v>34</v>
      </c>
      <c r="BS20" s="70">
        <v>188.55</v>
      </c>
      <c r="BT20" s="77">
        <f t="shared" si="41"/>
        <v>40.000000000020464</v>
      </c>
      <c r="BU20" s="70">
        <v>25160</v>
      </c>
      <c r="BV20" s="77">
        <f t="shared" si="1"/>
        <v>34</v>
      </c>
      <c r="BW20" s="70">
        <v>217.91</v>
      </c>
      <c r="BX20" s="77">
        <f t="shared" si="42"/>
        <v>49.999999999982947</v>
      </c>
      <c r="BY20" s="72">
        <v>41515</v>
      </c>
      <c r="BZ20" s="77">
        <f t="shared" si="16"/>
        <v>54</v>
      </c>
      <c r="CA20" s="65">
        <v>24789.4</v>
      </c>
      <c r="CB20" s="77">
        <f t="shared" si="17"/>
        <v>32.200000000000728</v>
      </c>
      <c r="CC20" s="65">
        <v>10486.4</v>
      </c>
      <c r="CD20" s="77">
        <f t="shared" si="18"/>
        <v>24.100000000000364</v>
      </c>
      <c r="CE20" s="65">
        <v>4971.1000000000004</v>
      </c>
      <c r="CF20" s="77">
        <f t="shared" si="19"/>
        <v>8.5</v>
      </c>
      <c r="CG20" s="65">
        <v>37481</v>
      </c>
      <c r="CH20" s="77">
        <f t="shared" si="20"/>
        <v>51</v>
      </c>
      <c r="CI20" s="65">
        <v>819993</v>
      </c>
      <c r="CJ20" s="77">
        <f t="shared" si="2"/>
        <v>333</v>
      </c>
      <c r="CK20" s="65">
        <v>500.41</v>
      </c>
      <c r="CL20" s="76">
        <f t="shared" si="21"/>
        <v>450.00000000004547</v>
      </c>
      <c r="CM20" s="77">
        <v>70</v>
      </c>
      <c r="CN20" s="74">
        <v>13</v>
      </c>
      <c r="CO20" s="74">
        <v>23</v>
      </c>
    </row>
    <row r="21" spans="1:93" ht="25.5" customHeight="1" thickBot="1" x14ac:dyDescent="0.45">
      <c r="A21" s="75">
        <v>43848</v>
      </c>
      <c r="B21" s="49"/>
      <c r="C21" s="65">
        <v>1.4350000000000001</v>
      </c>
      <c r="D21" s="76">
        <f t="shared" si="3"/>
        <v>1800.0000000000239</v>
      </c>
      <c r="E21" s="65">
        <v>2.3858000000000001</v>
      </c>
      <c r="F21" s="76">
        <f t="shared" si="4"/>
        <v>3400.0000000000696</v>
      </c>
      <c r="G21" s="65">
        <v>2.2153</v>
      </c>
      <c r="H21" s="76">
        <f t="shared" si="5"/>
        <v>2899.9999999999027</v>
      </c>
      <c r="I21" s="65">
        <v>1.0353000000000001</v>
      </c>
      <c r="J21" s="76">
        <f t="shared" si="43"/>
        <v>1500.0000000000568</v>
      </c>
      <c r="K21" s="65">
        <v>1.5935999999999999</v>
      </c>
      <c r="L21" s="76">
        <f t="shared" si="0"/>
        <v>2000.0000000000018</v>
      </c>
      <c r="M21" s="65">
        <v>999.95</v>
      </c>
      <c r="N21" s="77">
        <f t="shared" si="22"/>
        <v>1220.0000000000273</v>
      </c>
      <c r="O21" s="65">
        <v>11230</v>
      </c>
      <c r="P21" s="77">
        <f t="shared" si="6"/>
        <v>19</v>
      </c>
      <c r="Q21" s="65">
        <v>4468</v>
      </c>
      <c r="R21" s="77">
        <f t="shared" si="7"/>
        <v>9</v>
      </c>
      <c r="S21" s="65">
        <v>731328</v>
      </c>
      <c r="T21" s="77">
        <f t="shared" si="44"/>
        <v>935</v>
      </c>
      <c r="U21" s="65">
        <v>296120</v>
      </c>
      <c r="V21" s="77">
        <f t="shared" si="9"/>
        <v>409</v>
      </c>
      <c r="W21" s="65">
        <v>288.11</v>
      </c>
      <c r="X21" s="77">
        <f t="shared" si="23"/>
        <v>330.00000000004093</v>
      </c>
      <c r="Y21" s="65">
        <v>2.1179000000000001</v>
      </c>
      <c r="Z21" s="77">
        <f t="shared" si="24"/>
        <v>3100.0000000003247</v>
      </c>
      <c r="AA21" s="65">
        <v>286.19</v>
      </c>
      <c r="AB21" s="77">
        <f t="shared" si="25"/>
        <v>310.00000000000227</v>
      </c>
      <c r="AC21" s="65">
        <v>259.08999999999997</v>
      </c>
      <c r="AD21" s="77">
        <f t="shared" si="26"/>
        <v>269.99999999998181</v>
      </c>
      <c r="AE21" s="65">
        <v>386.46</v>
      </c>
      <c r="AF21" s="77">
        <f t="shared" si="27"/>
        <v>549.99999999995453</v>
      </c>
      <c r="AG21" s="65">
        <v>1022.8</v>
      </c>
      <c r="AH21" s="77">
        <f t="shared" si="10"/>
        <v>1.6999999999999318</v>
      </c>
      <c r="AI21" s="65">
        <v>359.65</v>
      </c>
      <c r="AJ21" s="77">
        <f t="shared" si="28"/>
        <v>519.99999999998181</v>
      </c>
      <c r="AK21" s="65">
        <v>123.88</v>
      </c>
      <c r="AL21" s="77">
        <f t="shared" si="11"/>
        <v>0.17999999999999261</v>
      </c>
      <c r="AM21" s="65">
        <v>125.55</v>
      </c>
      <c r="AN21" s="77">
        <f t="shared" si="12"/>
        <v>0.18999999999999773</v>
      </c>
      <c r="AO21" s="65">
        <v>123.89</v>
      </c>
      <c r="AP21" s="77">
        <f t="shared" si="13"/>
        <v>0.15999999999999659</v>
      </c>
      <c r="AQ21" s="65">
        <v>198.57</v>
      </c>
      <c r="AR21" s="77">
        <f t="shared" si="29"/>
        <v>69.999999999993179</v>
      </c>
      <c r="AS21" s="65">
        <v>321.42</v>
      </c>
      <c r="AT21" s="77">
        <f t="shared" si="30"/>
        <v>120.00000000000455</v>
      </c>
      <c r="AU21" s="65">
        <v>247.48</v>
      </c>
      <c r="AV21" s="77">
        <f t="shared" si="31"/>
        <v>119.99999999997613</v>
      </c>
      <c r="AW21" s="65">
        <v>277.44</v>
      </c>
      <c r="AX21" s="77">
        <f t="shared" si="32"/>
        <v>40.000000000020464</v>
      </c>
      <c r="AY21" s="65">
        <v>328.95</v>
      </c>
      <c r="AZ21" s="77">
        <f t="shared" si="33"/>
        <v>50.000000000011369</v>
      </c>
      <c r="BA21" s="65">
        <v>349.7</v>
      </c>
      <c r="BB21" s="77">
        <f t="shared" si="34"/>
        <v>50.000000000011369</v>
      </c>
      <c r="BC21" s="65">
        <v>201.82</v>
      </c>
      <c r="BD21" s="77">
        <f t="shared" si="35"/>
        <v>0</v>
      </c>
      <c r="BE21" s="70">
        <v>23153</v>
      </c>
      <c r="BF21" s="77">
        <f t="shared" si="14"/>
        <v>54</v>
      </c>
      <c r="BG21" s="71">
        <v>219.99</v>
      </c>
      <c r="BH21" s="77">
        <f t="shared" si="36"/>
        <v>30.000000000001137</v>
      </c>
      <c r="BI21" s="70">
        <v>276.60000000000002</v>
      </c>
      <c r="BJ21" s="77">
        <f t="shared" si="37"/>
        <v>40.000000000020464</v>
      </c>
      <c r="BK21" s="70">
        <v>224.5</v>
      </c>
      <c r="BL21" s="77">
        <f t="shared" si="38"/>
        <v>39.999999999992042</v>
      </c>
      <c r="BM21" s="70">
        <v>207.39</v>
      </c>
      <c r="BN21" s="77">
        <f t="shared" si="39"/>
        <v>39.999999999992042</v>
      </c>
      <c r="BO21" s="70">
        <v>271.20999999999998</v>
      </c>
      <c r="BP21" s="77">
        <f t="shared" si="40"/>
        <v>49.999999999954525</v>
      </c>
      <c r="BQ21" s="70">
        <v>34345</v>
      </c>
      <c r="BR21" s="77">
        <f t="shared" si="15"/>
        <v>35</v>
      </c>
      <c r="BS21" s="70">
        <v>188.58</v>
      </c>
      <c r="BT21" s="77">
        <f t="shared" si="41"/>
        <v>30.000000000001137</v>
      </c>
      <c r="BU21" s="70">
        <v>25198</v>
      </c>
      <c r="BV21" s="77">
        <f t="shared" si="1"/>
        <v>38</v>
      </c>
      <c r="BW21" s="70">
        <v>217.95</v>
      </c>
      <c r="BX21" s="77">
        <f t="shared" si="42"/>
        <v>39.999999999992042</v>
      </c>
      <c r="BY21" s="72">
        <v>41571</v>
      </c>
      <c r="BZ21" s="77">
        <f t="shared" si="16"/>
        <v>56</v>
      </c>
      <c r="CA21" s="65">
        <v>24813.3</v>
      </c>
      <c r="CB21" s="77">
        <f t="shared" si="17"/>
        <v>23.899999999997817</v>
      </c>
      <c r="CC21" s="65">
        <v>10496.5</v>
      </c>
      <c r="CD21" s="77">
        <f t="shared" si="18"/>
        <v>10.100000000000364</v>
      </c>
      <c r="CE21" s="65">
        <v>4972.2</v>
      </c>
      <c r="CF21" s="77">
        <f t="shared" si="19"/>
        <v>1.0999999999994543</v>
      </c>
      <c r="CG21" s="65">
        <v>37516</v>
      </c>
      <c r="CH21" s="77">
        <f t="shared" si="20"/>
        <v>35</v>
      </c>
      <c r="CI21" s="65">
        <v>820330</v>
      </c>
      <c r="CJ21" s="77">
        <f t="shared" si="2"/>
        <v>337</v>
      </c>
      <c r="CK21" s="65">
        <v>500.96</v>
      </c>
      <c r="CL21" s="76">
        <f t="shared" si="21"/>
        <v>549.99999999995453</v>
      </c>
      <c r="CM21" s="77">
        <v>63</v>
      </c>
      <c r="CN21" s="74">
        <v>11</v>
      </c>
      <c r="CO21" s="74">
        <v>25</v>
      </c>
    </row>
    <row r="22" spans="1:93" ht="25.5" customHeight="1" thickBot="1" x14ac:dyDescent="0.45">
      <c r="A22" s="75">
        <v>43849</v>
      </c>
      <c r="B22" s="49"/>
      <c r="C22" s="65">
        <v>1.4365000000000001</v>
      </c>
      <c r="D22" s="76">
        <f t="shared" si="3"/>
        <v>1500.0000000000568</v>
      </c>
      <c r="E22" s="65">
        <v>2.3889</v>
      </c>
      <c r="F22" s="76">
        <f t="shared" si="4"/>
        <v>3099.9999999998809</v>
      </c>
      <c r="G22" s="65">
        <v>2.2179000000000002</v>
      </c>
      <c r="H22" s="76">
        <f t="shared" si="5"/>
        <v>2600.0000000001578</v>
      </c>
      <c r="I22" s="65">
        <v>1.0368999999999999</v>
      </c>
      <c r="J22" s="76">
        <f t="shared" si="43"/>
        <v>1599.9999999998238</v>
      </c>
      <c r="K22" s="65">
        <v>1.5955999999999999</v>
      </c>
      <c r="L22" s="76">
        <f t="shared" si="0"/>
        <v>2000.0000000000018</v>
      </c>
      <c r="M22" s="65">
        <v>1001.4</v>
      </c>
      <c r="N22" s="77">
        <f t="shared" si="22"/>
        <v>1449.9999999999318</v>
      </c>
      <c r="O22" s="65">
        <v>11231</v>
      </c>
      <c r="P22" s="77">
        <f t="shared" si="6"/>
        <v>1</v>
      </c>
      <c r="Q22" s="65">
        <v>4475</v>
      </c>
      <c r="R22" s="77">
        <f t="shared" si="7"/>
        <v>7</v>
      </c>
      <c r="S22" s="65">
        <v>732247</v>
      </c>
      <c r="T22" s="77">
        <f t="shared" si="44"/>
        <v>919</v>
      </c>
      <c r="U22" s="65">
        <v>296547</v>
      </c>
      <c r="V22" s="77">
        <f t="shared" si="9"/>
        <v>427</v>
      </c>
      <c r="W22" s="65">
        <v>288.44</v>
      </c>
      <c r="X22" s="77">
        <f t="shared" si="23"/>
        <v>329.99999999998408</v>
      </c>
      <c r="Y22" s="65">
        <v>2.1206</v>
      </c>
      <c r="Z22" s="77">
        <f t="shared" si="24"/>
        <v>2699.9999999999245</v>
      </c>
      <c r="AA22" s="65">
        <v>286.73</v>
      </c>
      <c r="AB22" s="77">
        <f t="shared" si="25"/>
        <v>540.00000000002046</v>
      </c>
      <c r="AC22" s="65">
        <v>259.37</v>
      </c>
      <c r="AD22" s="77">
        <f t="shared" si="26"/>
        <v>280.00000000002956</v>
      </c>
      <c r="AE22" s="65">
        <v>387.03</v>
      </c>
      <c r="AF22" s="77">
        <f t="shared" si="27"/>
        <v>569.99999999999318</v>
      </c>
      <c r="AG22" s="65">
        <v>1024.5</v>
      </c>
      <c r="AH22" s="77">
        <f t="shared" si="10"/>
        <v>1.7000000000000455</v>
      </c>
      <c r="AI22" s="65">
        <v>360.03</v>
      </c>
      <c r="AJ22" s="77">
        <f t="shared" si="28"/>
        <v>379.99999999999545</v>
      </c>
      <c r="AK22" s="65">
        <v>124.02</v>
      </c>
      <c r="AL22" s="77">
        <f t="shared" si="11"/>
        <v>0.14000000000000057</v>
      </c>
      <c r="AM22" s="65">
        <v>125.71</v>
      </c>
      <c r="AN22" s="77">
        <f t="shared" si="12"/>
        <v>0.15999999999999659</v>
      </c>
      <c r="AO22" s="65">
        <v>124.03</v>
      </c>
      <c r="AP22" s="77">
        <f t="shared" si="13"/>
        <v>0.14000000000000057</v>
      </c>
      <c r="AQ22" s="65">
        <v>198.63</v>
      </c>
      <c r="AR22" s="77">
        <f t="shared" si="29"/>
        <v>60.000000000002274</v>
      </c>
      <c r="AS22" s="65">
        <v>321.56</v>
      </c>
      <c r="AT22" s="77">
        <f t="shared" si="30"/>
        <v>139.99999999998636</v>
      </c>
      <c r="AU22" s="65">
        <v>247.6</v>
      </c>
      <c r="AV22" s="77">
        <f t="shared" si="31"/>
        <v>120.00000000000455</v>
      </c>
      <c r="AW22" s="65">
        <v>277.5</v>
      </c>
      <c r="AX22" s="77">
        <f t="shared" si="32"/>
        <v>60.000000000002274</v>
      </c>
      <c r="AY22" s="65">
        <v>328.99</v>
      </c>
      <c r="AZ22" s="77">
        <f t="shared" si="33"/>
        <v>40.000000000020464</v>
      </c>
      <c r="BA22" s="65">
        <v>349.72</v>
      </c>
      <c r="BB22" s="77">
        <f t="shared" si="34"/>
        <v>20.000000000038654</v>
      </c>
      <c r="BC22" s="65">
        <v>201.83</v>
      </c>
      <c r="BD22" s="77">
        <f t="shared" si="35"/>
        <v>10.000000000019327</v>
      </c>
      <c r="BE22" s="70">
        <v>23207</v>
      </c>
      <c r="BF22" s="77">
        <f t="shared" si="14"/>
        <v>54</v>
      </c>
      <c r="BG22" s="71">
        <v>220.03</v>
      </c>
      <c r="BH22" s="77">
        <f t="shared" si="36"/>
        <v>39.999999999992042</v>
      </c>
      <c r="BI22" s="70">
        <v>276.64999999999998</v>
      </c>
      <c r="BJ22" s="77">
        <f t="shared" si="37"/>
        <v>49.999999999954525</v>
      </c>
      <c r="BK22" s="70">
        <v>224.56</v>
      </c>
      <c r="BL22" s="77">
        <f t="shared" si="38"/>
        <v>60.000000000002274</v>
      </c>
      <c r="BM22" s="70">
        <v>207.44</v>
      </c>
      <c r="BN22" s="77">
        <f t="shared" si="39"/>
        <v>50.000000000011369</v>
      </c>
      <c r="BO22" s="70">
        <v>271.26</v>
      </c>
      <c r="BP22" s="77">
        <f t="shared" si="40"/>
        <v>50.000000000011369</v>
      </c>
      <c r="BQ22" s="70">
        <v>34389</v>
      </c>
      <c r="BR22" s="77">
        <f t="shared" si="15"/>
        <v>44</v>
      </c>
      <c r="BS22" s="70">
        <v>188.64</v>
      </c>
      <c r="BT22" s="77">
        <f t="shared" si="41"/>
        <v>59.999999999973852</v>
      </c>
      <c r="BU22" s="70">
        <v>25239</v>
      </c>
      <c r="BV22" s="77">
        <f t="shared" si="1"/>
        <v>41</v>
      </c>
      <c r="BW22" s="70">
        <v>217.99</v>
      </c>
      <c r="BX22" s="77">
        <f t="shared" si="42"/>
        <v>40.000000000020464</v>
      </c>
      <c r="BY22" s="72">
        <v>41645</v>
      </c>
      <c r="BZ22" s="77">
        <f t="shared" si="16"/>
        <v>74</v>
      </c>
      <c r="CA22" s="65">
        <v>24833.3</v>
      </c>
      <c r="CB22" s="77">
        <f t="shared" si="17"/>
        <v>20</v>
      </c>
      <c r="CC22" s="65">
        <v>10503.2</v>
      </c>
      <c r="CD22" s="77">
        <f t="shared" si="18"/>
        <v>6.7000000000007276</v>
      </c>
      <c r="CE22" s="65">
        <v>4981.3</v>
      </c>
      <c r="CF22" s="77">
        <f t="shared" si="19"/>
        <v>9.1000000000003638</v>
      </c>
      <c r="CG22" s="65">
        <v>37566</v>
      </c>
      <c r="CH22" s="77">
        <f t="shared" si="20"/>
        <v>50</v>
      </c>
      <c r="CI22" s="65">
        <v>820629</v>
      </c>
      <c r="CJ22" s="77">
        <f t="shared" si="2"/>
        <v>299</v>
      </c>
      <c r="CK22" s="65">
        <v>501.39</v>
      </c>
      <c r="CL22" s="76">
        <f t="shared" si="21"/>
        <v>430.00000000000682</v>
      </c>
      <c r="CM22" s="77">
        <v>66.900000000000006</v>
      </c>
      <c r="CN22" s="74">
        <v>20</v>
      </c>
      <c r="CO22" s="74">
        <v>32</v>
      </c>
    </row>
    <row r="23" spans="1:93" ht="25.5" customHeight="1" thickBot="1" x14ac:dyDescent="0.45">
      <c r="A23" s="75">
        <v>43850</v>
      </c>
      <c r="B23" s="49"/>
      <c r="C23" s="65">
        <v>1.4383999999999999</v>
      </c>
      <c r="D23" s="76">
        <f t="shared" si="3"/>
        <v>1899.9999999997908</v>
      </c>
      <c r="E23" s="65">
        <v>2.3925999999999998</v>
      </c>
      <c r="F23" s="76">
        <f t="shared" si="4"/>
        <v>3699.9999999998145</v>
      </c>
      <c r="G23" s="65">
        <v>2.2208000000000001</v>
      </c>
      <c r="H23" s="76">
        <f t="shared" si="5"/>
        <v>2899.9999999999027</v>
      </c>
      <c r="I23" s="65">
        <v>1.0387</v>
      </c>
      <c r="J23" s="76">
        <f t="shared" si="43"/>
        <v>1800.0000000000239</v>
      </c>
      <c r="K23" s="65">
        <v>1.5978000000000001</v>
      </c>
      <c r="L23" s="76">
        <f t="shared" si="0"/>
        <v>2200.0000000002019</v>
      </c>
      <c r="M23" s="65">
        <v>1003.2</v>
      </c>
      <c r="N23" s="77">
        <f t="shared" si="22"/>
        <v>1800.0000000000682</v>
      </c>
      <c r="O23" s="65">
        <v>11249</v>
      </c>
      <c r="P23" s="77">
        <f t="shared" si="6"/>
        <v>18</v>
      </c>
      <c r="Q23" s="65">
        <v>4482</v>
      </c>
      <c r="R23" s="77">
        <f t="shared" si="7"/>
        <v>7</v>
      </c>
      <c r="S23" s="65">
        <v>733085</v>
      </c>
      <c r="T23" s="77">
        <f t="shared" si="44"/>
        <v>838</v>
      </c>
      <c r="U23" s="65">
        <v>296874</v>
      </c>
      <c r="V23" s="77">
        <f t="shared" si="9"/>
        <v>327</v>
      </c>
      <c r="W23" s="65">
        <v>288.88</v>
      </c>
      <c r="X23" s="77">
        <f t="shared" si="23"/>
        <v>439.99999999999773</v>
      </c>
      <c r="Y23" s="65">
        <v>2.1238000000000001</v>
      </c>
      <c r="Z23" s="77">
        <f t="shared" si="24"/>
        <v>3200.0000000000919</v>
      </c>
      <c r="AA23" s="65">
        <v>287.33</v>
      </c>
      <c r="AB23" s="77">
        <f t="shared" si="25"/>
        <v>599.99999999996589</v>
      </c>
      <c r="AC23" s="65">
        <v>259.82</v>
      </c>
      <c r="AD23" s="77">
        <f t="shared" si="26"/>
        <v>449.99999999998863</v>
      </c>
      <c r="AE23" s="65">
        <v>387.72</v>
      </c>
      <c r="AF23" s="77">
        <f t="shared" si="27"/>
        <v>690.00000000005457</v>
      </c>
      <c r="AG23" s="65">
        <v>1026</v>
      </c>
      <c r="AH23" s="77">
        <f t="shared" si="10"/>
        <v>1.5</v>
      </c>
      <c r="AI23" s="65">
        <v>360.4</v>
      </c>
      <c r="AJ23" s="77">
        <f t="shared" si="28"/>
        <v>370.00000000000455</v>
      </c>
      <c r="AK23" s="65">
        <v>124.18</v>
      </c>
      <c r="AL23" s="77"/>
      <c r="AM23" s="65">
        <v>125.96</v>
      </c>
      <c r="AN23" s="77">
        <f t="shared" si="12"/>
        <v>0.25</v>
      </c>
      <c r="AO23" s="65">
        <v>124.24</v>
      </c>
      <c r="AP23" s="77">
        <f t="shared" si="13"/>
        <v>0.20999999999999375</v>
      </c>
      <c r="AQ23" s="65">
        <v>198.78</v>
      </c>
      <c r="AR23" s="77">
        <f t="shared" si="29"/>
        <v>150.00000000000568</v>
      </c>
      <c r="AS23" s="65">
        <v>321.72000000000003</v>
      </c>
      <c r="AT23" s="77">
        <f t="shared" si="30"/>
        <v>160.00000000002501</v>
      </c>
      <c r="AU23" s="65">
        <v>247.72</v>
      </c>
      <c r="AV23" s="77">
        <f t="shared" si="31"/>
        <v>120.00000000000455</v>
      </c>
      <c r="AW23" s="65">
        <v>277.56</v>
      </c>
      <c r="AX23" s="77">
        <f t="shared" si="32"/>
        <v>60.000000000002274</v>
      </c>
      <c r="AY23" s="65">
        <v>329.04</v>
      </c>
      <c r="AZ23" s="77">
        <f t="shared" si="33"/>
        <v>50.000000000011369</v>
      </c>
      <c r="BA23" s="65">
        <v>349.79</v>
      </c>
      <c r="BB23" s="77">
        <f t="shared" si="34"/>
        <v>69.999999999993179</v>
      </c>
      <c r="BC23" s="65">
        <v>201.84</v>
      </c>
      <c r="BD23" s="77">
        <f t="shared" si="35"/>
        <v>9.9999999999909051</v>
      </c>
      <c r="BE23" s="70">
        <v>23276</v>
      </c>
      <c r="BF23" s="77">
        <f t="shared" si="14"/>
        <v>69</v>
      </c>
      <c r="BG23" s="71">
        <v>220.07</v>
      </c>
      <c r="BH23" s="77">
        <f t="shared" si="36"/>
        <v>39.999999999992042</v>
      </c>
      <c r="BI23" s="70">
        <v>276.7</v>
      </c>
      <c r="BJ23" s="77">
        <f t="shared" si="37"/>
        <v>50.000000000011369</v>
      </c>
      <c r="BK23" s="70">
        <v>224.6</v>
      </c>
      <c r="BL23" s="77">
        <f t="shared" si="38"/>
        <v>39.999999999992042</v>
      </c>
      <c r="BM23" s="70">
        <v>207.47</v>
      </c>
      <c r="BN23" s="77">
        <f t="shared" si="39"/>
        <v>30.000000000001137</v>
      </c>
      <c r="BO23" s="70">
        <v>271.3</v>
      </c>
      <c r="BP23" s="77">
        <f t="shared" si="40"/>
        <v>40.000000000020464</v>
      </c>
      <c r="BQ23" s="70">
        <v>34417</v>
      </c>
      <c r="BR23" s="77">
        <f t="shared" si="15"/>
        <v>28</v>
      </c>
      <c r="BS23" s="70">
        <v>188.68</v>
      </c>
      <c r="BT23" s="77">
        <f t="shared" si="41"/>
        <v>40.000000000020464</v>
      </c>
      <c r="BU23" s="70">
        <v>25279</v>
      </c>
      <c r="BV23" s="77">
        <f t="shared" si="1"/>
        <v>40</v>
      </c>
      <c r="BW23" s="70">
        <v>218.03</v>
      </c>
      <c r="BX23" s="77">
        <f t="shared" si="42"/>
        <v>39.999999999992042</v>
      </c>
      <c r="BY23" s="72">
        <v>41690</v>
      </c>
      <c r="BZ23" s="77">
        <f t="shared" si="16"/>
        <v>45</v>
      </c>
      <c r="CA23" s="65">
        <v>24855.7</v>
      </c>
      <c r="CB23" s="77">
        <f t="shared" si="17"/>
        <v>22.400000000001455</v>
      </c>
      <c r="CC23" s="65">
        <v>10511.6</v>
      </c>
      <c r="CD23" s="77">
        <f t="shared" si="18"/>
        <v>8.3999999999996362</v>
      </c>
      <c r="CE23" s="65">
        <v>4986.3</v>
      </c>
      <c r="CF23" s="77">
        <f t="shared" si="19"/>
        <v>5</v>
      </c>
      <c r="CG23" s="65">
        <v>37619</v>
      </c>
      <c r="CH23" s="77">
        <f t="shared" si="20"/>
        <v>53</v>
      </c>
      <c r="CI23" s="65">
        <v>820974</v>
      </c>
      <c r="CJ23" s="77">
        <f t="shared" si="2"/>
        <v>345</v>
      </c>
      <c r="CK23" s="65">
        <v>501.86</v>
      </c>
      <c r="CL23" s="76">
        <f t="shared" si="21"/>
        <v>470.00000000002728</v>
      </c>
      <c r="CM23" s="77">
        <v>71.5</v>
      </c>
      <c r="CN23" s="74">
        <v>16</v>
      </c>
      <c r="CO23" s="74">
        <v>32</v>
      </c>
    </row>
    <row r="24" spans="1:93" ht="25.5" customHeight="1" thickBot="1" x14ac:dyDescent="0.45">
      <c r="A24" s="75">
        <v>43851</v>
      </c>
      <c r="B24" s="49"/>
      <c r="C24" s="65">
        <v>1.4402999999999999</v>
      </c>
      <c r="D24" s="76">
        <f t="shared" si="3"/>
        <v>1900.0000000000127</v>
      </c>
      <c r="E24" s="65">
        <v>2.3965000000000001</v>
      </c>
      <c r="F24" s="76">
        <f t="shared" si="4"/>
        <v>3900.0000000002365</v>
      </c>
      <c r="G24" s="65">
        <v>2.2233999999999998</v>
      </c>
      <c r="H24" s="76">
        <f t="shared" si="5"/>
        <v>2599.9999999997135</v>
      </c>
      <c r="I24" s="65">
        <v>1.0405</v>
      </c>
      <c r="J24" s="76">
        <f t="shared" si="43"/>
        <v>1800.0000000000239</v>
      </c>
      <c r="K24" s="65">
        <v>1.5999000000000001</v>
      </c>
      <c r="L24" s="76">
        <f t="shared" si="0"/>
        <v>2099.9999999999909</v>
      </c>
      <c r="M24" s="65">
        <v>1004.9</v>
      </c>
      <c r="N24" s="77">
        <f t="shared" si="22"/>
        <v>1699.9999999999318</v>
      </c>
      <c r="O24" s="65">
        <v>11271</v>
      </c>
      <c r="P24" s="77">
        <f t="shared" si="6"/>
        <v>22</v>
      </c>
      <c r="Q24" s="65">
        <v>4494</v>
      </c>
      <c r="R24" s="77">
        <f t="shared" si="7"/>
        <v>12</v>
      </c>
      <c r="S24" s="65">
        <v>734096</v>
      </c>
      <c r="T24" s="77">
        <f t="shared" si="44"/>
        <v>1011</v>
      </c>
      <c r="U24" s="65">
        <v>297378</v>
      </c>
      <c r="V24" s="77">
        <f t="shared" si="9"/>
        <v>504</v>
      </c>
      <c r="W24" s="65">
        <v>289.35000000000002</v>
      </c>
      <c r="X24" s="77">
        <f t="shared" si="23"/>
        <v>470.00000000002728</v>
      </c>
      <c r="Y24" s="65">
        <v>2.1272000000000002</v>
      </c>
      <c r="Z24" s="77">
        <f t="shared" si="24"/>
        <v>3400.0000000000696</v>
      </c>
      <c r="AA24" s="65">
        <v>287.62</v>
      </c>
      <c r="AB24" s="77">
        <f t="shared" si="25"/>
        <v>290.00000000002046</v>
      </c>
      <c r="AC24" s="65">
        <v>260.20999999999998</v>
      </c>
      <c r="AD24" s="77">
        <f t="shared" si="26"/>
        <v>389.99999999998636</v>
      </c>
      <c r="AE24" s="65">
        <v>388.47</v>
      </c>
      <c r="AF24" s="77">
        <f t="shared" si="27"/>
        <v>750</v>
      </c>
      <c r="AG24" s="65">
        <v>1028.0999999999999</v>
      </c>
      <c r="AH24" s="77">
        <f t="shared" si="10"/>
        <v>2.0999999999999091</v>
      </c>
      <c r="AI24" s="65">
        <v>360.82</v>
      </c>
      <c r="AJ24" s="77">
        <f t="shared" si="28"/>
        <v>420.00000000001592</v>
      </c>
      <c r="AK24" s="65">
        <v>124.33</v>
      </c>
      <c r="AL24" s="77">
        <f t="shared" si="11"/>
        <v>0.14999999999999147</v>
      </c>
      <c r="AM24" s="65">
        <v>126.21</v>
      </c>
      <c r="AN24" s="77">
        <f t="shared" si="12"/>
        <v>0.25</v>
      </c>
      <c r="AO24" s="65">
        <v>124.47</v>
      </c>
      <c r="AP24" s="77">
        <f t="shared" si="13"/>
        <v>0.23000000000000398</v>
      </c>
      <c r="AQ24" s="65">
        <v>198.92</v>
      </c>
      <c r="AR24" s="77">
        <f t="shared" si="29"/>
        <v>139.99999999998636</v>
      </c>
      <c r="AS24" s="65">
        <v>321.85000000000002</v>
      </c>
      <c r="AT24" s="77">
        <f t="shared" si="30"/>
        <v>129.99999999999545</v>
      </c>
      <c r="AU24" s="65">
        <v>247.84</v>
      </c>
      <c r="AV24" s="77">
        <f t="shared" si="31"/>
        <v>120.00000000000455</v>
      </c>
      <c r="AW24" s="65">
        <v>277.61</v>
      </c>
      <c r="AX24" s="77">
        <f t="shared" si="32"/>
        <v>50.000000000011369</v>
      </c>
      <c r="AY24" s="65">
        <v>329.09</v>
      </c>
      <c r="AZ24" s="77">
        <f t="shared" si="33"/>
        <v>49.999999999954525</v>
      </c>
      <c r="BA24" s="65">
        <v>349.86</v>
      </c>
      <c r="BB24" s="77">
        <f t="shared" si="34"/>
        <v>69.999999999993179</v>
      </c>
      <c r="BC24" s="65">
        <v>201.85</v>
      </c>
      <c r="BD24" s="77">
        <f t="shared" si="35"/>
        <v>9.9999999999909051</v>
      </c>
      <c r="BE24" s="70">
        <v>23339</v>
      </c>
      <c r="BF24" s="77">
        <f t="shared" si="14"/>
        <v>63</v>
      </c>
      <c r="BG24" s="71">
        <v>220.11</v>
      </c>
      <c r="BH24" s="77">
        <f t="shared" si="36"/>
        <v>40.000000000020464</v>
      </c>
      <c r="BI24" s="70">
        <v>276.76</v>
      </c>
      <c r="BJ24" s="77">
        <f t="shared" si="37"/>
        <v>60.000000000002274</v>
      </c>
      <c r="BK24" s="70">
        <v>224.66</v>
      </c>
      <c r="BL24" s="77">
        <f t="shared" si="38"/>
        <v>60.000000000002274</v>
      </c>
      <c r="BM24" s="70">
        <v>207.53</v>
      </c>
      <c r="BN24" s="77">
        <f t="shared" si="39"/>
        <v>60.000000000002274</v>
      </c>
      <c r="BO24" s="70">
        <v>271.35000000000002</v>
      </c>
      <c r="BP24" s="77">
        <f t="shared" si="40"/>
        <v>50.000000000011369</v>
      </c>
      <c r="BQ24" s="70">
        <v>34458</v>
      </c>
      <c r="BR24" s="77">
        <f t="shared" si="15"/>
        <v>41</v>
      </c>
      <c r="BS24" s="70">
        <v>188.73</v>
      </c>
      <c r="BT24" s="77">
        <f t="shared" si="41"/>
        <v>49.999999999982947</v>
      </c>
      <c r="BU24" s="70">
        <v>25318</v>
      </c>
      <c r="BV24" s="77">
        <f t="shared" si="1"/>
        <v>39</v>
      </c>
      <c r="BW24" s="70">
        <v>218.1</v>
      </c>
      <c r="BX24" s="77">
        <f t="shared" si="42"/>
        <v>69.999999999993179</v>
      </c>
      <c r="BY24" s="72">
        <v>41752</v>
      </c>
      <c r="BZ24" s="77">
        <f t="shared" si="16"/>
        <v>62</v>
      </c>
      <c r="CA24" s="65">
        <v>24875.200000000001</v>
      </c>
      <c r="CB24" s="77">
        <f t="shared" si="17"/>
        <v>19.5</v>
      </c>
      <c r="CC24" s="65">
        <v>10522.9</v>
      </c>
      <c r="CD24" s="77">
        <f t="shared" si="18"/>
        <v>11.299999999999272</v>
      </c>
      <c r="CE24" s="65">
        <v>4986.5</v>
      </c>
      <c r="CF24" s="77">
        <f t="shared" si="19"/>
        <v>0.1999999999998181</v>
      </c>
      <c r="CG24" s="65">
        <v>37649</v>
      </c>
      <c r="CH24" s="77">
        <f t="shared" si="20"/>
        <v>30</v>
      </c>
      <c r="CI24" s="65">
        <v>821307</v>
      </c>
      <c r="CJ24" s="77">
        <f t="shared" si="2"/>
        <v>333</v>
      </c>
      <c r="CK24" s="65">
        <v>502.35</v>
      </c>
      <c r="CL24" s="76">
        <f t="shared" si="21"/>
        <v>490.00000000000909</v>
      </c>
      <c r="CM24" s="77">
        <v>72</v>
      </c>
      <c r="CN24" s="74">
        <v>21</v>
      </c>
      <c r="CO24" s="74">
        <v>40</v>
      </c>
    </row>
    <row r="25" spans="1:93" ht="25.5" customHeight="1" thickBot="1" x14ac:dyDescent="0.45">
      <c r="A25" s="75">
        <v>43852</v>
      </c>
      <c r="B25" s="49"/>
      <c r="C25" s="65">
        <v>1.4420999999999999</v>
      </c>
      <c r="D25" s="76">
        <f t="shared" si="3"/>
        <v>1800.0000000000239</v>
      </c>
      <c r="E25" s="65">
        <v>2.4003000000000001</v>
      </c>
      <c r="F25" s="76">
        <f t="shared" si="4"/>
        <v>3800.0000000000255</v>
      </c>
      <c r="G25" s="65">
        <v>2.2262</v>
      </c>
      <c r="H25" s="76">
        <f t="shared" si="5"/>
        <v>2800.0000000001355</v>
      </c>
      <c r="I25" s="65">
        <v>1.0421</v>
      </c>
      <c r="J25" s="76">
        <f t="shared" si="43"/>
        <v>1600.0000000000459</v>
      </c>
      <c r="K25" s="65">
        <v>1.6019000000000001</v>
      </c>
      <c r="L25" s="76">
        <f t="shared" si="0"/>
        <v>2000.0000000000018</v>
      </c>
      <c r="M25" s="65">
        <v>1006.7</v>
      </c>
      <c r="N25" s="77">
        <f t="shared" si="22"/>
        <v>1800.0000000000682</v>
      </c>
      <c r="O25" s="65">
        <v>11292</v>
      </c>
      <c r="P25" s="77">
        <f t="shared" si="6"/>
        <v>21</v>
      </c>
      <c r="Q25" s="65">
        <v>4504</v>
      </c>
      <c r="R25" s="77">
        <f t="shared" si="7"/>
        <v>10</v>
      </c>
      <c r="S25" s="65">
        <v>734872</v>
      </c>
      <c r="T25" s="77">
        <f t="shared" si="44"/>
        <v>776</v>
      </c>
      <c r="U25" s="65">
        <v>297759</v>
      </c>
      <c r="V25" s="77">
        <f t="shared" si="9"/>
        <v>381</v>
      </c>
      <c r="W25" s="65">
        <v>289.8</v>
      </c>
      <c r="X25" s="77">
        <f t="shared" si="23"/>
        <v>449.99999999998863</v>
      </c>
      <c r="Y25" s="65">
        <v>2.1307</v>
      </c>
      <c r="Z25" s="77">
        <f t="shared" si="24"/>
        <v>3499.9999999998367</v>
      </c>
      <c r="AA25" s="65">
        <v>288.14999999999998</v>
      </c>
      <c r="AB25" s="77">
        <f t="shared" si="25"/>
        <v>529.99999999997272</v>
      </c>
      <c r="AC25" s="65">
        <v>260.66000000000003</v>
      </c>
      <c r="AD25" s="77">
        <f t="shared" si="26"/>
        <v>450.00000000004547</v>
      </c>
      <c r="AE25" s="65">
        <v>389.24</v>
      </c>
      <c r="AF25" s="77">
        <f t="shared" si="27"/>
        <v>769.99999999998181</v>
      </c>
      <c r="AG25" s="65">
        <v>1030.3</v>
      </c>
      <c r="AH25" s="77">
        <f t="shared" si="10"/>
        <v>2.2000000000000455</v>
      </c>
      <c r="AI25" s="65">
        <v>361.16</v>
      </c>
      <c r="AJ25" s="77">
        <f t="shared" si="28"/>
        <v>340.00000000003183</v>
      </c>
      <c r="AK25" s="65">
        <v>124.47</v>
      </c>
      <c r="AL25" s="77">
        <f t="shared" si="11"/>
        <v>0.14000000000000057</v>
      </c>
      <c r="AM25" s="65">
        <v>126.46</v>
      </c>
      <c r="AN25" s="77">
        <f t="shared" si="12"/>
        <v>0.25</v>
      </c>
      <c r="AO25" s="65">
        <v>124.7</v>
      </c>
      <c r="AP25" s="77">
        <f t="shared" si="13"/>
        <v>0.23000000000000398</v>
      </c>
      <c r="AQ25" s="65">
        <v>199.06</v>
      </c>
      <c r="AR25" s="77">
        <f t="shared" si="29"/>
        <v>140.00000000001478</v>
      </c>
      <c r="AS25" s="65">
        <v>321.99</v>
      </c>
      <c r="AT25" s="77">
        <f t="shared" si="30"/>
        <v>139.99999999998636</v>
      </c>
      <c r="AU25" s="65">
        <v>247.95</v>
      </c>
      <c r="AV25" s="77">
        <f t="shared" si="31"/>
        <v>109.99999999998522</v>
      </c>
      <c r="AW25" s="65">
        <v>277.64999999999998</v>
      </c>
      <c r="AX25" s="77">
        <f t="shared" si="32"/>
        <v>39.99999999996362</v>
      </c>
      <c r="AY25" s="65">
        <v>329.14</v>
      </c>
      <c r="AZ25" s="77">
        <f t="shared" si="33"/>
        <v>50.000000000011369</v>
      </c>
      <c r="BA25" s="65">
        <v>349.92</v>
      </c>
      <c r="BB25" s="77">
        <f t="shared" si="34"/>
        <v>60.000000000002274</v>
      </c>
      <c r="BC25" s="65">
        <v>201.87</v>
      </c>
      <c r="BD25" s="77">
        <f t="shared" si="35"/>
        <v>20.000000000010232</v>
      </c>
      <c r="BE25" s="70">
        <v>23390</v>
      </c>
      <c r="BF25" s="77">
        <f t="shared" si="14"/>
        <v>51</v>
      </c>
      <c r="BG25" s="71">
        <v>220.15</v>
      </c>
      <c r="BH25" s="77">
        <f t="shared" si="36"/>
        <v>39.999999999992042</v>
      </c>
      <c r="BI25" s="70">
        <v>276.81</v>
      </c>
      <c r="BJ25" s="77">
        <f t="shared" si="37"/>
        <v>50.000000000011369</v>
      </c>
      <c r="BK25" s="70">
        <v>224.71</v>
      </c>
      <c r="BL25" s="77">
        <f t="shared" si="38"/>
        <v>50.000000000011369</v>
      </c>
      <c r="BM25" s="70">
        <v>207.58</v>
      </c>
      <c r="BN25" s="77">
        <f t="shared" si="39"/>
        <v>50.000000000011369</v>
      </c>
      <c r="BO25" s="70">
        <v>271.41000000000003</v>
      </c>
      <c r="BP25" s="77">
        <f t="shared" si="40"/>
        <v>60.000000000002274</v>
      </c>
      <c r="BQ25" s="70">
        <v>34499</v>
      </c>
      <c r="BR25" s="77">
        <f t="shared" si="15"/>
        <v>41</v>
      </c>
      <c r="BS25" s="70">
        <v>188.78</v>
      </c>
      <c r="BT25" s="77">
        <f t="shared" si="41"/>
        <v>50.000000000011369</v>
      </c>
      <c r="BU25" s="70">
        <v>25357</v>
      </c>
      <c r="BV25" s="77">
        <f t="shared" si="1"/>
        <v>39</v>
      </c>
      <c r="BW25" s="70">
        <v>218.15</v>
      </c>
      <c r="BX25" s="77">
        <f t="shared" si="42"/>
        <v>50.000000000011369</v>
      </c>
      <c r="BY25" s="72">
        <v>41811</v>
      </c>
      <c r="BZ25" s="77">
        <f t="shared" si="16"/>
        <v>59</v>
      </c>
      <c r="CA25" s="65">
        <v>24909.4</v>
      </c>
      <c r="CB25" s="77">
        <f t="shared" si="17"/>
        <v>34.200000000000728</v>
      </c>
      <c r="CC25" s="65">
        <v>10532.3</v>
      </c>
      <c r="CD25" s="77">
        <f t="shared" si="18"/>
        <v>9.3999999999996362</v>
      </c>
      <c r="CE25" s="65">
        <v>5009.3</v>
      </c>
      <c r="CF25" s="77">
        <f t="shared" si="19"/>
        <v>22.800000000000182</v>
      </c>
      <c r="CG25" s="65">
        <v>37649.5</v>
      </c>
      <c r="CH25" s="77">
        <f t="shared" si="20"/>
        <v>0.5</v>
      </c>
      <c r="CI25" s="65">
        <v>821618</v>
      </c>
      <c r="CJ25" s="77">
        <f t="shared" si="2"/>
        <v>311</v>
      </c>
      <c r="CK25" s="65">
        <v>502.94</v>
      </c>
      <c r="CL25" s="76">
        <f t="shared" si="21"/>
        <v>589.99999999997499</v>
      </c>
      <c r="CM25" s="77">
        <v>72</v>
      </c>
      <c r="CN25" s="74">
        <v>20</v>
      </c>
      <c r="CO25" s="74">
        <v>36</v>
      </c>
    </row>
    <row r="26" spans="1:93" ht="25.5" customHeight="1" thickBot="1" x14ac:dyDescent="0.45">
      <c r="A26" s="75">
        <v>43853</v>
      </c>
      <c r="B26" s="49"/>
      <c r="C26" s="65">
        <v>1.4439</v>
      </c>
      <c r="D26" s="76">
        <f t="shared" si="3"/>
        <v>1800.0000000000239</v>
      </c>
      <c r="E26" s="65">
        <v>2.4043999999999999</v>
      </c>
      <c r="F26" s="76">
        <f t="shared" si="4"/>
        <v>4099.9999999997708</v>
      </c>
      <c r="G26" s="65">
        <v>2.2288000000000001</v>
      </c>
      <c r="H26" s="76">
        <f t="shared" si="5"/>
        <v>2600.0000000001578</v>
      </c>
      <c r="I26" s="65">
        <v>1.0439000000000001</v>
      </c>
      <c r="J26" s="76">
        <f t="shared" si="43"/>
        <v>1800.0000000000239</v>
      </c>
      <c r="K26" s="65">
        <v>1.6041000000000001</v>
      </c>
      <c r="L26" s="76">
        <f t="shared" si="0"/>
        <v>2199.9999999999795</v>
      </c>
      <c r="M26" s="65">
        <v>1008.6</v>
      </c>
      <c r="N26" s="77">
        <f t="shared" si="22"/>
        <v>1899.9999999999773</v>
      </c>
      <c r="O26" s="65">
        <v>11315</v>
      </c>
      <c r="P26" s="77">
        <f t="shared" si="6"/>
        <v>23</v>
      </c>
      <c r="Q26" s="65">
        <v>4513</v>
      </c>
      <c r="R26" s="77">
        <f t="shared" si="7"/>
        <v>9</v>
      </c>
      <c r="S26" s="65">
        <v>735825</v>
      </c>
      <c r="T26" s="77">
        <f t="shared" si="44"/>
        <v>953</v>
      </c>
      <c r="U26" s="65">
        <v>298231</v>
      </c>
      <c r="V26" s="77">
        <f t="shared" si="9"/>
        <v>472</v>
      </c>
      <c r="W26" s="65">
        <v>290.27</v>
      </c>
      <c r="X26" s="77">
        <f t="shared" si="23"/>
        <v>469.99999999997044</v>
      </c>
      <c r="Y26" s="65">
        <v>2.1343999999999999</v>
      </c>
      <c r="Z26" s="77">
        <f t="shared" si="24"/>
        <v>3699.9999999998145</v>
      </c>
      <c r="AA26" s="65">
        <v>288.67</v>
      </c>
      <c r="AB26" s="77">
        <f t="shared" si="25"/>
        <v>520.00000000003865</v>
      </c>
      <c r="AC26" s="65">
        <v>261.13</v>
      </c>
      <c r="AD26" s="77">
        <f t="shared" si="26"/>
        <v>469.99999999997044</v>
      </c>
      <c r="AE26" s="65">
        <v>390.1</v>
      </c>
      <c r="AF26" s="77">
        <f t="shared" si="27"/>
        <v>860.00000000001364</v>
      </c>
      <c r="AG26" s="65">
        <v>1032.4000000000001</v>
      </c>
      <c r="AH26" s="77">
        <f t="shared" si="10"/>
        <v>2.1000000000001364</v>
      </c>
      <c r="AI26" s="65">
        <v>361.5</v>
      </c>
      <c r="AJ26" s="77">
        <f t="shared" si="28"/>
        <v>339.99999999997499</v>
      </c>
      <c r="AK26" s="65">
        <v>124.62</v>
      </c>
      <c r="AL26" s="77">
        <f t="shared" si="11"/>
        <v>0.15000000000000568</v>
      </c>
      <c r="AM26" s="65">
        <v>126.74</v>
      </c>
      <c r="AN26" s="77">
        <f t="shared" si="12"/>
        <v>0.28000000000000114</v>
      </c>
      <c r="AO26" s="65">
        <v>124.95</v>
      </c>
      <c r="AP26" s="77">
        <f t="shared" si="13"/>
        <v>0.25</v>
      </c>
      <c r="AQ26" s="65">
        <v>199.2</v>
      </c>
      <c r="AR26" s="77">
        <f t="shared" si="29"/>
        <v>139.99999999998636</v>
      </c>
      <c r="AS26" s="65">
        <v>322.11</v>
      </c>
      <c r="AT26" s="77">
        <f t="shared" si="30"/>
        <v>120.00000000000455</v>
      </c>
      <c r="AU26" s="65">
        <v>248.05</v>
      </c>
      <c r="AV26" s="77">
        <f t="shared" si="31"/>
        <v>100.00000000002274</v>
      </c>
      <c r="AW26" s="65">
        <v>277.69</v>
      </c>
      <c r="AX26" s="77">
        <f t="shared" si="32"/>
        <v>40.000000000020464</v>
      </c>
      <c r="AY26" s="65">
        <v>329.19</v>
      </c>
      <c r="AZ26" s="77">
        <f t="shared" si="33"/>
        <v>50.000000000011369</v>
      </c>
      <c r="BA26" s="65">
        <v>349.99</v>
      </c>
      <c r="BB26" s="77">
        <f t="shared" si="34"/>
        <v>69.999999999993179</v>
      </c>
      <c r="BC26" s="65">
        <v>201.88</v>
      </c>
      <c r="BD26" s="77">
        <f t="shared" si="35"/>
        <v>9.9999999999909051</v>
      </c>
      <c r="BE26" s="70">
        <v>23442</v>
      </c>
      <c r="BF26" s="77">
        <f t="shared" si="14"/>
        <v>52</v>
      </c>
      <c r="BG26" s="71">
        <v>220.2</v>
      </c>
      <c r="BH26" s="77">
        <f t="shared" si="36"/>
        <v>49.999999999982947</v>
      </c>
      <c r="BI26" s="70">
        <v>276.87</v>
      </c>
      <c r="BJ26" s="77">
        <f t="shared" si="37"/>
        <v>60.000000000002274</v>
      </c>
      <c r="BK26" s="70">
        <v>224.77</v>
      </c>
      <c r="BL26" s="77">
        <f t="shared" si="38"/>
        <v>60.000000000002274</v>
      </c>
      <c r="BM26" s="70">
        <v>207.63</v>
      </c>
      <c r="BN26" s="77">
        <f t="shared" si="39"/>
        <v>49.999999999982947</v>
      </c>
      <c r="BO26" s="70">
        <v>271.47000000000003</v>
      </c>
      <c r="BP26" s="77">
        <f t="shared" si="40"/>
        <v>60.000000000002274</v>
      </c>
      <c r="BQ26" s="70">
        <v>34545</v>
      </c>
      <c r="BR26" s="77">
        <f t="shared" si="15"/>
        <v>46</v>
      </c>
      <c r="BS26" s="70">
        <v>188.83</v>
      </c>
      <c r="BT26" s="77">
        <f t="shared" si="41"/>
        <v>50.000000000011369</v>
      </c>
      <c r="BU26" s="70">
        <v>25410</v>
      </c>
      <c r="BV26" s="77">
        <f t="shared" si="1"/>
        <v>53</v>
      </c>
      <c r="BW26" s="70">
        <v>218.2</v>
      </c>
      <c r="BX26" s="77">
        <f t="shared" si="42"/>
        <v>49.999999999982947</v>
      </c>
      <c r="BY26" s="72">
        <v>41878</v>
      </c>
      <c r="BZ26" s="77">
        <f t="shared" si="16"/>
        <v>67</v>
      </c>
      <c r="CA26" s="65">
        <v>24945.5</v>
      </c>
      <c r="CB26" s="77">
        <f t="shared" si="17"/>
        <v>36.099999999998545</v>
      </c>
      <c r="CC26" s="65">
        <v>10541.9</v>
      </c>
      <c r="CD26" s="77">
        <f t="shared" si="18"/>
        <v>9.6000000000003638</v>
      </c>
      <c r="CE26" s="65">
        <v>5017.8999999999996</v>
      </c>
      <c r="CF26" s="77">
        <f t="shared" si="19"/>
        <v>8.5999999999994543</v>
      </c>
      <c r="CG26" s="65">
        <v>37649.800000000003</v>
      </c>
      <c r="CH26" s="77">
        <f t="shared" si="20"/>
        <v>0.30000000000291038</v>
      </c>
      <c r="CI26" s="65">
        <v>821926</v>
      </c>
      <c r="CJ26" s="77">
        <f t="shared" si="2"/>
        <v>308</v>
      </c>
      <c r="CK26" s="65">
        <v>503.47</v>
      </c>
      <c r="CL26" s="76">
        <f t="shared" si="21"/>
        <v>530.00000000002956</v>
      </c>
      <c r="CM26" s="77">
        <v>82</v>
      </c>
      <c r="CN26" s="74">
        <v>23</v>
      </c>
      <c r="CO26" s="74">
        <v>42</v>
      </c>
    </row>
    <row r="27" spans="1:93" ht="25.5" customHeight="1" thickBot="1" x14ac:dyDescent="0.45">
      <c r="A27" s="75">
        <v>43854</v>
      </c>
      <c r="B27" s="49"/>
      <c r="C27" s="65">
        <v>1.4457</v>
      </c>
      <c r="D27" s="76">
        <f t="shared" si="3"/>
        <v>1800.0000000000239</v>
      </c>
      <c r="E27" s="65">
        <v>2.4083999999999999</v>
      </c>
      <c r="F27" s="76">
        <f t="shared" si="4"/>
        <v>4000.0000000000036</v>
      </c>
      <c r="G27" s="65">
        <v>2.2321</v>
      </c>
      <c r="H27" s="76">
        <f t="shared" si="5"/>
        <v>3299.9999999998586</v>
      </c>
      <c r="I27" s="65">
        <v>1.0457000000000001</v>
      </c>
      <c r="J27" s="76">
        <f t="shared" si="43"/>
        <v>1800.0000000000239</v>
      </c>
      <c r="K27" s="65">
        <v>1.6065</v>
      </c>
      <c r="L27" s="76">
        <f t="shared" si="0"/>
        <v>2399.9999999999577</v>
      </c>
      <c r="M27" s="65">
        <v>1010.5</v>
      </c>
      <c r="N27" s="77">
        <f t="shared" si="22"/>
        <v>1899.9999999999773</v>
      </c>
      <c r="O27" s="65">
        <v>11318</v>
      </c>
      <c r="P27" s="77">
        <f t="shared" si="6"/>
        <v>3</v>
      </c>
      <c r="Q27" s="65">
        <v>4523</v>
      </c>
      <c r="R27" s="77">
        <f t="shared" si="7"/>
        <v>10</v>
      </c>
      <c r="S27" s="65">
        <v>736488</v>
      </c>
      <c r="T27" s="77">
        <f t="shared" si="44"/>
        <v>663</v>
      </c>
      <c r="U27" s="65">
        <v>298533</v>
      </c>
      <c r="V27" s="77">
        <f t="shared" si="9"/>
        <v>302</v>
      </c>
      <c r="W27" s="65">
        <v>290.70999999999998</v>
      </c>
      <c r="X27" s="77">
        <f t="shared" si="23"/>
        <v>439.99999999999773</v>
      </c>
      <c r="Y27" s="65">
        <v>2.1379999999999999</v>
      </c>
      <c r="Z27" s="77">
        <f t="shared" si="24"/>
        <v>3600.0000000000477</v>
      </c>
      <c r="AA27" s="65">
        <v>289.14</v>
      </c>
      <c r="AB27" s="77">
        <f t="shared" si="25"/>
        <v>469.99999999997044</v>
      </c>
      <c r="AC27" s="65">
        <v>261.52999999999997</v>
      </c>
      <c r="AD27" s="77">
        <f t="shared" si="26"/>
        <v>399.99999999997726</v>
      </c>
      <c r="AE27" s="65">
        <v>390.95</v>
      </c>
      <c r="AF27" s="77">
        <f t="shared" si="27"/>
        <v>849.99999999996589</v>
      </c>
      <c r="AG27" s="65">
        <v>1034.2</v>
      </c>
      <c r="AH27" s="77">
        <f t="shared" si="10"/>
        <v>1.7999999999999545</v>
      </c>
      <c r="AI27" s="65">
        <v>361.84</v>
      </c>
      <c r="AJ27" s="77">
        <f t="shared" si="28"/>
        <v>339.99999999997499</v>
      </c>
      <c r="AK27" s="65">
        <v>124.79</v>
      </c>
      <c r="AL27" s="77">
        <f t="shared" si="11"/>
        <v>0.17000000000000171</v>
      </c>
      <c r="AM27" s="65">
        <v>126.94</v>
      </c>
      <c r="AN27" s="77">
        <f t="shared" si="12"/>
        <v>0.20000000000000284</v>
      </c>
      <c r="AO27" s="65">
        <v>125.16</v>
      </c>
      <c r="AP27" s="77">
        <f t="shared" si="13"/>
        <v>0.20999999999999375</v>
      </c>
      <c r="AQ27" s="65">
        <v>199.32</v>
      </c>
      <c r="AR27" s="77">
        <f t="shared" si="29"/>
        <v>120.00000000000455</v>
      </c>
      <c r="AS27" s="65">
        <v>322.24</v>
      </c>
      <c r="AT27" s="77">
        <f t="shared" si="30"/>
        <v>129.99999999999545</v>
      </c>
      <c r="AU27" s="65">
        <v>248.16</v>
      </c>
      <c r="AV27" s="77">
        <f t="shared" si="31"/>
        <v>109.99999999998522</v>
      </c>
      <c r="AW27" s="65">
        <v>277.74</v>
      </c>
      <c r="AX27" s="77">
        <f t="shared" si="32"/>
        <v>50.000000000011369</v>
      </c>
      <c r="AY27" s="65">
        <v>329.25</v>
      </c>
      <c r="AZ27" s="77">
        <f t="shared" si="33"/>
        <v>60.000000000002274</v>
      </c>
      <c r="BA27" s="65">
        <v>350.06</v>
      </c>
      <c r="BB27" s="77">
        <f t="shared" si="34"/>
        <v>69.999999999993179</v>
      </c>
      <c r="BC27" s="65">
        <v>201.89</v>
      </c>
      <c r="BD27" s="77">
        <f t="shared" si="35"/>
        <v>9.9999999999909051</v>
      </c>
      <c r="BE27" s="70">
        <v>23492</v>
      </c>
      <c r="BF27" s="77">
        <f t="shared" si="14"/>
        <v>50</v>
      </c>
      <c r="BG27" s="71">
        <v>220.24</v>
      </c>
      <c r="BH27" s="77">
        <f t="shared" si="36"/>
        <v>40.000000000020464</v>
      </c>
      <c r="BI27" s="70">
        <v>276.92</v>
      </c>
      <c r="BJ27" s="77">
        <f t="shared" si="37"/>
        <v>50.000000000011369</v>
      </c>
      <c r="BK27" s="70">
        <v>224.84</v>
      </c>
      <c r="BL27" s="77">
        <f t="shared" si="38"/>
        <v>69.999999999993179</v>
      </c>
      <c r="BM27" s="70">
        <v>207.68</v>
      </c>
      <c r="BN27" s="77">
        <f t="shared" si="39"/>
        <v>50.000000000011369</v>
      </c>
      <c r="BO27" s="70">
        <v>271.52999999999997</v>
      </c>
      <c r="BP27" s="77">
        <f t="shared" si="40"/>
        <v>59.99999999994543</v>
      </c>
      <c r="BQ27" s="70">
        <v>34593</v>
      </c>
      <c r="BR27" s="77">
        <f t="shared" si="15"/>
        <v>48</v>
      </c>
      <c r="BS27" s="70">
        <v>188.88</v>
      </c>
      <c r="BT27" s="77">
        <f t="shared" si="41"/>
        <v>49.999999999982947</v>
      </c>
      <c r="BU27" s="70">
        <v>25456</v>
      </c>
      <c r="BV27" s="77">
        <f t="shared" si="1"/>
        <v>46</v>
      </c>
      <c r="BW27" s="70">
        <v>218.25</v>
      </c>
      <c r="BX27" s="77">
        <f t="shared" si="42"/>
        <v>50.000000000011369</v>
      </c>
      <c r="BY27" s="72">
        <v>41951</v>
      </c>
      <c r="BZ27" s="77">
        <f t="shared" si="16"/>
        <v>73</v>
      </c>
      <c r="CA27" s="65">
        <v>24979.9</v>
      </c>
      <c r="CB27" s="77">
        <f t="shared" si="17"/>
        <v>34.400000000001455</v>
      </c>
      <c r="CC27" s="65">
        <v>10546.5</v>
      </c>
      <c r="CD27" s="77">
        <f t="shared" si="18"/>
        <v>4.6000000000003638</v>
      </c>
      <c r="CE27" s="65">
        <v>5021.7</v>
      </c>
      <c r="CF27" s="77">
        <f t="shared" si="19"/>
        <v>3.8000000000001819</v>
      </c>
      <c r="CG27" s="65">
        <v>37650</v>
      </c>
      <c r="CH27" s="77">
        <f t="shared" si="20"/>
        <v>0.19999999999708962</v>
      </c>
      <c r="CI27" s="65">
        <v>822249</v>
      </c>
      <c r="CJ27" s="77">
        <f t="shared" si="2"/>
        <v>323</v>
      </c>
      <c r="CK27" s="65">
        <v>504.07</v>
      </c>
      <c r="CL27" s="76">
        <f t="shared" si="21"/>
        <v>599.99999999996589</v>
      </c>
      <c r="CM27" s="77">
        <v>83</v>
      </c>
      <c r="CN27" s="74">
        <v>27</v>
      </c>
      <c r="CO27" s="74">
        <v>50</v>
      </c>
    </row>
    <row r="28" spans="1:93" ht="25.5" customHeight="1" thickBot="1" x14ac:dyDescent="0.45">
      <c r="A28" s="75">
        <v>43855</v>
      </c>
      <c r="B28" s="49"/>
      <c r="C28" s="65">
        <v>1.4475</v>
      </c>
      <c r="D28" s="76">
        <f t="shared" si="3"/>
        <v>1800.0000000000239</v>
      </c>
      <c r="E28" s="65">
        <v>2.4123000000000001</v>
      </c>
      <c r="F28" s="76">
        <f t="shared" si="4"/>
        <v>3900.0000000002365</v>
      </c>
      <c r="G28" s="65">
        <v>2.2347000000000001</v>
      </c>
      <c r="H28" s="76">
        <f t="shared" si="5"/>
        <v>2600.0000000001578</v>
      </c>
      <c r="I28" s="65">
        <v>1.0471999999999999</v>
      </c>
      <c r="J28" s="76">
        <f t="shared" si="43"/>
        <v>1499.9999999998347</v>
      </c>
      <c r="K28" s="65">
        <v>1.6088</v>
      </c>
      <c r="L28" s="76">
        <f t="shared" si="0"/>
        <v>2299.9999999999686</v>
      </c>
      <c r="M28" s="65">
        <v>1012.1</v>
      </c>
      <c r="N28" s="77">
        <f t="shared" si="22"/>
        <v>1600.0000000000227</v>
      </c>
      <c r="O28" s="65">
        <v>11341</v>
      </c>
      <c r="P28" s="77">
        <f t="shared" si="6"/>
        <v>23</v>
      </c>
      <c r="Q28" s="65">
        <v>4532</v>
      </c>
      <c r="R28" s="77">
        <f t="shared" si="7"/>
        <v>9</v>
      </c>
      <c r="S28" s="65">
        <v>737816</v>
      </c>
      <c r="T28" s="77">
        <f t="shared" si="44"/>
        <v>1328</v>
      </c>
      <c r="U28" s="65">
        <v>299127</v>
      </c>
      <c r="V28" s="77">
        <f t="shared" si="9"/>
        <v>594</v>
      </c>
      <c r="W28" s="65">
        <v>291.17</v>
      </c>
      <c r="X28" s="77">
        <f t="shared" si="23"/>
        <v>460.00000000003638</v>
      </c>
      <c r="Y28" s="65">
        <v>2.1415000000000002</v>
      </c>
      <c r="Z28" s="77">
        <f t="shared" si="24"/>
        <v>3500.0000000002806</v>
      </c>
      <c r="AA28" s="65">
        <v>289.44</v>
      </c>
      <c r="AB28" s="77">
        <f t="shared" si="25"/>
        <v>300.00000000001137</v>
      </c>
      <c r="AC28" s="65">
        <v>261.95</v>
      </c>
      <c r="AD28" s="77">
        <f t="shared" si="26"/>
        <v>420.00000000001592</v>
      </c>
      <c r="AE28" s="65">
        <v>391.85</v>
      </c>
      <c r="AF28" s="77">
        <f t="shared" si="27"/>
        <v>900.00000000003411</v>
      </c>
      <c r="AG28" s="65">
        <v>1036</v>
      </c>
      <c r="AH28" s="77">
        <f t="shared" si="10"/>
        <v>1.7999999999999545</v>
      </c>
      <c r="AI28" s="65">
        <v>362.19</v>
      </c>
      <c r="AJ28" s="77">
        <f t="shared" si="28"/>
        <v>350.00000000002274</v>
      </c>
      <c r="AK28" s="65">
        <v>124.99</v>
      </c>
      <c r="AL28" s="77">
        <f t="shared" si="11"/>
        <v>0.19999999999998863</v>
      </c>
      <c r="AM28" s="65">
        <v>127.16</v>
      </c>
      <c r="AN28" s="77">
        <f t="shared" si="12"/>
        <v>0.21999999999999886</v>
      </c>
      <c r="AO28" s="65">
        <v>125.37</v>
      </c>
      <c r="AP28" s="77">
        <f t="shared" si="13"/>
        <v>0.21000000000000796</v>
      </c>
      <c r="AQ28" s="65">
        <v>199.43</v>
      </c>
      <c r="AR28" s="77">
        <f t="shared" si="29"/>
        <v>110.00000000001364</v>
      </c>
      <c r="AS28" s="65">
        <v>322.38</v>
      </c>
      <c r="AT28" s="77">
        <f t="shared" si="30"/>
        <v>139.99999999998636</v>
      </c>
      <c r="AU28" s="65">
        <v>248.29</v>
      </c>
      <c r="AV28" s="77">
        <f t="shared" si="31"/>
        <v>129.99999999999545</v>
      </c>
      <c r="AW28" s="65">
        <v>277.79000000000002</v>
      </c>
      <c r="AX28" s="77">
        <f t="shared" si="32"/>
        <v>50.000000000011369</v>
      </c>
      <c r="AY28" s="65">
        <v>329.31</v>
      </c>
      <c r="AZ28" s="77">
        <f t="shared" si="33"/>
        <v>60.000000000002274</v>
      </c>
      <c r="BA28" s="65">
        <v>350.13</v>
      </c>
      <c r="BB28" s="77">
        <f t="shared" si="34"/>
        <v>69.999999999993179</v>
      </c>
      <c r="BC28" s="65">
        <v>201.91</v>
      </c>
      <c r="BD28" s="77">
        <f t="shared" si="35"/>
        <v>20.000000000010232</v>
      </c>
      <c r="BE28" s="70">
        <v>23618</v>
      </c>
      <c r="BF28" s="77">
        <f t="shared" si="14"/>
        <v>126</v>
      </c>
      <c r="BG28" s="71">
        <v>220.28</v>
      </c>
      <c r="BH28" s="77">
        <f t="shared" si="36"/>
        <v>39.999999999992042</v>
      </c>
      <c r="BI28" s="70">
        <v>276.95999999999998</v>
      </c>
      <c r="BJ28" s="77">
        <f t="shared" si="37"/>
        <v>39.99999999996362</v>
      </c>
      <c r="BK28" s="70">
        <v>224.9</v>
      </c>
      <c r="BL28" s="77">
        <f t="shared" si="38"/>
        <v>60.000000000002274</v>
      </c>
      <c r="BM28" s="70">
        <v>207.73</v>
      </c>
      <c r="BN28" s="77">
        <f t="shared" si="39"/>
        <v>49.999999999982947</v>
      </c>
      <c r="BO28" s="70">
        <v>271.58</v>
      </c>
      <c r="BP28" s="77">
        <f t="shared" si="40"/>
        <v>50.000000000011369</v>
      </c>
      <c r="BQ28" s="70">
        <v>34628</v>
      </c>
      <c r="BR28" s="77">
        <f t="shared" si="15"/>
        <v>35</v>
      </c>
      <c r="BS28" s="70">
        <v>188.92</v>
      </c>
      <c r="BT28" s="77">
        <f t="shared" si="41"/>
        <v>39.999999999992042</v>
      </c>
      <c r="BU28" s="70">
        <v>25492</v>
      </c>
      <c r="BV28" s="77">
        <f t="shared" si="1"/>
        <v>36</v>
      </c>
      <c r="BW28" s="70">
        <v>218.29</v>
      </c>
      <c r="BX28" s="77">
        <f t="shared" si="42"/>
        <v>39.999999999992042</v>
      </c>
      <c r="BY28" s="72">
        <v>42006</v>
      </c>
      <c r="BZ28" s="77">
        <f t="shared" si="16"/>
        <v>55</v>
      </c>
      <c r="CA28" s="65">
        <v>25021.3</v>
      </c>
      <c r="CB28" s="77">
        <f t="shared" si="17"/>
        <v>41.399999999997817</v>
      </c>
      <c r="CC28" s="65">
        <v>10554</v>
      </c>
      <c r="CD28" s="77">
        <f t="shared" si="18"/>
        <v>7.5</v>
      </c>
      <c r="CE28" s="65">
        <v>5024.3</v>
      </c>
      <c r="CF28" s="77">
        <f t="shared" si="19"/>
        <v>2.6000000000003638</v>
      </c>
      <c r="CG28" s="65">
        <v>37829</v>
      </c>
      <c r="CH28" s="77">
        <f t="shared" si="20"/>
        <v>179</v>
      </c>
      <c r="CI28" s="65">
        <v>822551</v>
      </c>
      <c r="CJ28" s="77">
        <f t="shared" si="2"/>
        <v>302</v>
      </c>
      <c r="CK28" s="65">
        <v>504.62</v>
      </c>
      <c r="CL28" s="76">
        <f t="shared" si="21"/>
        <v>550.00000000001137</v>
      </c>
      <c r="CM28" s="77">
        <v>74.5</v>
      </c>
      <c r="CN28" s="74">
        <v>27</v>
      </c>
      <c r="CO28" s="74">
        <v>52</v>
      </c>
    </row>
    <row r="29" spans="1:93" ht="25.5" customHeight="1" thickBot="1" x14ac:dyDescent="0.45">
      <c r="A29" s="75">
        <v>43856</v>
      </c>
      <c r="B29" s="49"/>
      <c r="C29" s="65">
        <v>1.4497</v>
      </c>
      <c r="D29" s="76">
        <f t="shared" si="3"/>
        <v>2199.9999999999795</v>
      </c>
      <c r="E29" s="65">
        <v>2.4165000000000001</v>
      </c>
      <c r="F29" s="76">
        <f t="shared" si="4"/>
        <v>4199.9999999999818</v>
      </c>
      <c r="G29" s="65">
        <v>2.2378</v>
      </c>
      <c r="H29" s="76">
        <f t="shared" si="5"/>
        <v>3099.9999999998809</v>
      </c>
      <c r="I29" s="65">
        <v>1.0489999999999999</v>
      </c>
      <c r="J29" s="76">
        <f t="shared" si="43"/>
        <v>1800.0000000000239</v>
      </c>
      <c r="K29" s="65">
        <v>1.6111</v>
      </c>
      <c r="L29" s="76">
        <f t="shared" si="0"/>
        <v>2299.9999999999686</v>
      </c>
      <c r="M29" s="65">
        <v>1014.1</v>
      </c>
      <c r="N29" s="77">
        <f t="shared" si="22"/>
        <v>2000</v>
      </c>
      <c r="O29" s="65">
        <v>11364</v>
      </c>
      <c r="P29" s="77">
        <f t="shared" si="6"/>
        <v>23</v>
      </c>
      <c r="Q29" s="65">
        <v>4541</v>
      </c>
      <c r="R29" s="77">
        <f t="shared" si="7"/>
        <v>9</v>
      </c>
      <c r="S29" s="65">
        <v>738533</v>
      </c>
      <c r="T29" s="77">
        <f t="shared" si="44"/>
        <v>717</v>
      </c>
      <c r="U29" s="65">
        <v>299628</v>
      </c>
      <c r="V29" s="77">
        <f t="shared" si="9"/>
        <v>501</v>
      </c>
      <c r="W29" s="65">
        <v>291.63</v>
      </c>
      <c r="X29" s="77">
        <f t="shared" si="23"/>
        <v>459.99999999997954</v>
      </c>
      <c r="Y29" s="65">
        <v>2.1454</v>
      </c>
      <c r="Z29" s="77">
        <f t="shared" si="24"/>
        <v>3899.9999999997926</v>
      </c>
      <c r="AA29" s="65">
        <v>290.06</v>
      </c>
      <c r="AB29" s="77">
        <f t="shared" si="25"/>
        <v>620.00000000000455</v>
      </c>
      <c r="AC29" s="65">
        <v>262.36</v>
      </c>
      <c r="AD29" s="77">
        <f t="shared" si="26"/>
        <v>410.00000000002501</v>
      </c>
      <c r="AE29" s="65">
        <v>392.72</v>
      </c>
      <c r="AF29" s="77">
        <f t="shared" si="27"/>
        <v>870.00000000000455</v>
      </c>
      <c r="AG29" s="65">
        <v>1037.8</v>
      </c>
      <c r="AH29" s="77">
        <f t="shared" si="10"/>
        <v>1.7999999999999545</v>
      </c>
      <c r="AI29" s="65">
        <v>362.79</v>
      </c>
      <c r="AJ29" s="77">
        <f t="shared" si="28"/>
        <v>600.00000000002274</v>
      </c>
      <c r="AK29" s="65">
        <v>125.19</v>
      </c>
      <c r="AL29" s="77">
        <f t="shared" si="11"/>
        <v>0.20000000000000284</v>
      </c>
      <c r="AM29" s="65">
        <v>127.43</v>
      </c>
      <c r="AN29" s="77">
        <f t="shared" si="12"/>
        <v>0.27000000000001023</v>
      </c>
      <c r="AO29" s="65">
        <v>125.56</v>
      </c>
      <c r="AP29" s="77">
        <f t="shared" si="13"/>
        <v>0.18999999999999773</v>
      </c>
      <c r="AQ29" s="65">
        <v>199.62</v>
      </c>
      <c r="AR29" s="77">
        <f t="shared" si="29"/>
        <v>189.99999999999773</v>
      </c>
      <c r="AS29" s="65">
        <v>322.56</v>
      </c>
      <c r="AT29" s="77">
        <f t="shared" si="30"/>
        <v>180.00000000000682</v>
      </c>
      <c r="AU29" s="65">
        <v>248.42</v>
      </c>
      <c r="AV29" s="77">
        <f t="shared" si="31"/>
        <v>129.99999999999545</v>
      </c>
      <c r="AW29" s="65">
        <v>277.86</v>
      </c>
      <c r="AX29" s="77">
        <f t="shared" si="32"/>
        <v>69.999999999993179</v>
      </c>
      <c r="AY29" s="65">
        <v>329.38</v>
      </c>
      <c r="AZ29" s="77">
        <f t="shared" si="33"/>
        <v>69.999999999993179</v>
      </c>
      <c r="BA29" s="65">
        <v>350.21</v>
      </c>
      <c r="BB29" s="77">
        <f t="shared" si="34"/>
        <v>79.999999999984084</v>
      </c>
      <c r="BC29" s="65">
        <v>201.91</v>
      </c>
      <c r="BD29" s="77">
        <f t="shared" si="35"/>
        <v>0</v>
      </c>
      <c r="BE29" s="70">
        <v>23663</v>
      </c>
      <c r="BF29" s="77">
        <f t="shared" si="14"/>
        <v>45</v>
      </c>
      <c r="BG29" s="71">
        <v>220.31</v>
      </c>
      <c r="BH29" s="77">
        <f t="shared" si="36"/>
        <v>30.000000000001137</v>
      </c>
      <c r="BI29" s="70">
        <v>276.99</v>
      </c>
      <c r="BJ29" s="77">
        <f t="shared" si="37"/>
        <v>30.000000000029559</v>
      </c>
      <c r="BK29" s="70">
        <v>224.95</v>
      </c>
      <c r="BL29" s="77">
        <f t="shared" si="38"/>
        <v>49.999999999982947</v>
      </c>
      <c r="BM29" s="70">
        <v>207.78</v>
      </c>
      <c r="BN29" s="77">
        <f t="shared" si="39"/>
        <v>50.000000000011369</v>
      </c>
      <c r="BO29" s="70">
        <v>271.63</v>
      </c>
      <c r="BP29" s="77">
        <f t="shared" si="40"/>
        <v>50.000000000011369</v>
      </c>
      <c r="BQ29" s="70">
        <v>34669</v>
      </c>
      <c r="BR29" s="77">
        <f t="shared" si="15"/>
        <v>41</v>
      </c>
      <c r="BS29" s="70">
        <v>188.96</v>
      </c>
      <c r="BT29" s="77">
        <f t="shared" si="41"/>
        <v>40.000000000020464</v>
      </c>
      <c r="BU29" s="70">
        <v>25534</v>
      </c>
      <c r="BV29" s="77">
        <f t="shared" si="1"/>
        <v>42</v>
      </c>
      <c r="BW29" s="70">
        <v>218.34</v>
      </c>
      <c r="BX29" s="77">
        <f t="shared" si="42"/>
        <v>50.000000000011369</v>
      </c>
      <c r="BY29" s="72">
        <v>42069</v>
      </c>
      <c r="BZ29" s="77">
        <f t="shared" si="16"/>
        <v>63</v>
      </c>
      <c r="CA29" s="65">
        <v>25096.7</v>
      </c>
      <c r="CB29" s="77">
        <f t="shared" si="17"/>
        <v>75.400000000001455</v>
      </c>
      <c r="CC29" s="65">
        <v>10558.8</v>
      </c>
      <c r="CD29" s="77">
        <f t="shared" si="18"/>
        <v>4.7999999999992724</v>
      </c>
      <c r="CE29" s="65">
        <v>5037</v>
      </c>
      <c r="CF29" s="77">
        <f t="shared" si="19"/>
        <v>12.699999999999818</v>
      </c>
      <c r="CG29" s="65">
        <v>37916.400000000001</v>
      </c>
      <c r="CH29" s="77">
        <f t="shared" si="20"/>
        <v>87.400000000001455</v>
      </c>
      <c r="CI29" s="65">
        <v>822863</v>
      </c>
      <c r="CJ29" s="77">
        <f t="shared" si="2"/>
        <v>312</v>
      </c>
      <c r="CK29" s="65">
        <v>505.24</v>
      </c>
      <c r="CL29" s="76">
        <f t="shared" si="21"/>
        <v>620.00000000000455</v>
      </c>
      <c r="CM29" s="77">
        <v>75.3</v>
      </c>
      <c r="CN29" s="74">
        <v>23</v>
      </c>
      <c r="CO29" s="74">
        <v>49</v>
      </c>
    </row>
    <row r="30" spans="1:93" ht="25.5" customHeight="1" thickBot="1" x14ac:dyDescent="0.45">
      <c r="A30" s="75">
        <v>43857</v>
      </c>
      <c r="B30" s="49"/>
      <c r="C30" s="65">
        <v>1.4521999999999999</v>
      </c>
      <c r="D30" s="76">
        <f t="shared" si="3"/>
        <v>2499.9999999999468</v>
      </c>
      <c r="E30" s="65">
        <v>2.4207999999999998</v>
      </c>
      <c r="F30" s="76">
        <f t="shared" si="4"/>
        <v>4299.9999999997481</v>
      </c>
      <c r="G30" s="65">
        <v>2.2410999999999999</v>
      </c>
      <c r="H30" s="76">
        <f t="shared" si="5"/>
        <v>3299.9999999998586</v>
      </c>
      <c r="I30" s="65">
        <v>1.0508</v>
      </c>
      <c r="J30" s="76">
        <f t="shared" si="43"/>
        <v>1800.0000000000239</v>
      </c>
      <c r="K30" s="65">
        <v>1.6133</v>
      </c>
      <c r="L30" s="76">
        <f t="shared" si="0"/>
        <v>2199.9999999999795</v>
      </c>
      <c r="M30" s="65">
        <v>1016.3</v>
      </c>
      <c r="N30" s="77">
        <f t="shared" si="22"/>
        <v>2199.9999999999318</v>
      </c>
      <c r="O30" s="65">
        <v>11386</v>
      </c>
      <c r="P30" s="77">
        <f t="shared" si="6"/>
        <v>22</v>
      </c>
      <c r="Q30" s="65">
        <v>4551</v>
      </c>
      <c r="R30" s="77">
        <f t="shared" si="7"/>
        <v>10</v>
      </c>
      <c r="S30" s="65">
        <v>739655.3</v>
      </c>
      <c r="T30" s="77">
        <f t="shared" si="44"/>
        <v>1122.3000000000466</v>
      </c>
      <c r="U30" s="65">
        <v>299972.09999999998</v>
      </c>
      <c r="V30" s="77">
        <f t="shared" si="9"/>
        <v>344.09999999997672</v>
      </c>
      <c r="W30" s="65">
        <v>292.08999999999997</v>
      </c>
      <c r="X30" s="77">
        <f t="shared" si="23"/>
        <v>459.99999999997954</v>
      </c>
      <c r="Y30" s="65">
        <v>2.1490999999999998</v>
      </c>
      <c r="Z30" s="77">
        <f t="shared" si="24"/>
        <v>3699.9999999998145</v>
      </c>
      <c r="AA30" s="65">
        <v>290.68</v>
      </c>
      <c r="AB30" s="77">
        <f t="shared" si="25"/>
        <v>620.00000000000455</v>
      </c>
      <c r="AC30" s="65">
        <v>262.77</v>
      </c>
      <c r="AD30" s="77">
        <f t="shared" si="26"/>
        <v>409.99999999996817</v>
      </c>
      <c r="AE30" s="65">
        <v>393.73</v>
      </c>
      <c r="AF30" s="77">
        <f t="shared" si="27"/>
        <v>1009.9999999999909</v>
      </c>
      <c r="AG30" s="65">
        <v>1039</v>
      </c>
      <c r="AH30" s="77">
        <f t="shared" si="10"/>
        <v>1.2000000000000455</v>
      </c>
      <c r="AI30" s="65">
        <v>363.42</v>
      </c>
      <c r="AJ30" s="77">
        <f t="shared" si="28"/>
        <v>629.99999999999545</v>
      </c>
      <c r="AK30" s="65">
        <v>125.39</v>
      </c>
      <c r="AL30" s="77">
        <f t="shared" si="11"/>
        <v>0.20000000000000284</v>
      </c>
      <c r="AM30" s="65">
        <v>127.69</v>
      </c>
      <c r="AN30" s="77">
        <f t="shared" si="12"/>
        <v>0.25999999999999091</v>
      </c>
      <c r="AO30" s="65">
        <v>125.79</v>
      </c>
      <c r="AP30" s="77">
        <f t="shared" si="13"/>
        <v>0.23000000000000398</v>
      </c>
      <c r="AQ30" s="65">
        <v>199.83</v>
      </c>
      <c r="AR30" s="77">
        <f t="shared" si="29"/>
        <v>210.00000000000796</v>
      </c>
      <c r="AS30" s="65">
        <v>322.8</v>
      </c>
      <c r="AT30" s="77">
        <f t="shared" si="30"/>
        <v>240.00000000000909</v>
      </c>
      <c r="AU30" s="65">
        <v>248.55</v>
      </c>
      <c r="AV30" s="77">
        <f t="shared" si="31"/>
        <v>130.00000000002387</v>
      </c>
      <c r="AW30" s="65">
        <v>277.94</v>
      </c>
      <c r="AX30" s="77">
        <f t="shared" si="32"/>
        <v>79.999999999984084</v>
      </c>
      <c r="AY30" s="65">
        <v>329.46</v>
      </c>
      <c r="AZ30" s="77">
        <f t="shared" si="33"/>
        <v>79.999999999984084</v>
      </c>
      <c r="BA30" s="65">
        <v>350.3</v>
      </c>
      <c r="BB30" s="77">
        <f t="shared" si="34"/>
        <v>90.000000000031832</v>
      </c>
      <c r="BC30" s="65">
        <v>201.92</v>
      </c>
      <c r="BD30" s="77">
        <f t="shared" si="35"/>
        <v>9.9999999999909051</v>
      </c>
      <c r="BE30" s="70">
        <v>23756</v>
      </c>
      <c r="BF30" s="77">
        <f t="shared" si="14"/>
        <v>93</v>
      </c>
      <c r="BG30" s="71">
        <v>220.36</v>
      </c>
      <c r="BH30" s="77">
        <f t="shared" si="36"/>
        <v>50.000000000011369</v>
      </c>
      <c r="BI30" s="70">
        <v>277.04000000000002</v>
      </c>
      <c r="BJ30" s="77">
        <f t="shared" si="37"/>
        <v>50.000000000011369</v>
      </c>
      <c r="BK30" s="70">
        <v>225</v>
      </c>
      <c r="BL30" s="77">
        <f t="shared" si="38"/>
        <v>50.000000000011369</v>
      </c>
      <c r="BM30" s="70">
        <v>207.83</v>
      </c>
      <c r="BN30" s="77">
        <f t="shared" si="39"/>
        <v>50.000000000011369</v>
      </c>
      <c r="BO30" s="70">
        <v>271.69</v>
      </c>
      <c r="BP30" s="77">
        <f t="shared" si="40"/>
        <v>60.000000000002274</v>
      </c>
      <c r="BQ30" s="70">
        <v>34713</v>
      </c>
      <c r="BR30" s="77">
        <f t="shared" si="15"/>
        <v>44</v>
      </c>
      <c r="BS30" s="70">
        <v>189.02</v>
      </c>
      <c r="BT30" s="77">
        <f t="shared" si="41"/>
        <v>60.000000000002274</v>
      </c>
      <c r="BU30" s="70">
        <v>25585</v>
      </c>
      <c r="BV30" s="77">
        <f t="shared" si="1"/>
        <v>51</v>
      </c>
      <c r="BW30" s="70">
        <v>218.4</v>
      </c>
      <c r="BX30" s="77">
        <f t="shared" si="42"/>
        <v>60.000000000002274</v>
      </c>
      <c r="BY30" s="72">
        <v>42139</v>
      </c>
      <c r="BZ30" s="77">
        <f t="shared" si="16"/>
        <v>70</v>
      </c>
      <c r="CA30" s="65">
        <v>25134.9</v>
      </c>
      <c r="CB30" s="77">
        <f t="shared" si="17"/>
        <v>38.200000000000728</v>
      </c>
      <c r="CC30" s="65">
        <v>10565.2</v>
      </c>
      <c r="CD30" s="77">
        <f t="shared" si="18"/>
        <v>6.4000000000014552</v>
      </c>
      <c r="CE30" s="65">
        <v>5051.3999999999996</v>
      </c>
      <c r="CF30" s="77">
        <f t="shared" si="19"/>
        <v>14.399999999999636</v>
      </c>
      <c r="CG30" s="65">
        <v>37991.1</v>
      </c>
      <c r="CH30" s="77">
        <f t="shared" si="20"/>
        <v>74.69999999999709</v>
      </c>
      <c r="CI30" s="65">
        <v>823177</v>
      </c>
      <c r="CJ30" s="77">
        <f t="shared" si="2"/>
        <v>314</v>
      </c>
      <c r="CK30" s="65">
        <v>505.83</v>
      </c>
      <c r="CL30" s="76">
        <f t="shared" si="21"/>
        <v>589.99999999997499</v>
      </c>
      <c r="CM30" s="77">
        <v>91.7</v>
      </c>
      <c r="CN30" s="74">
        <v>21</v>
      </c>
      <c r="CO30" s="74">
        <v>47</v>
      </c>
    </row>
    <row r="31" spans="1:93" ht="25.5" customHeight="1" thickBot="1" x14ac:dyDescent="0.45">
      <c r="A31" s="75">
        <v>43858</v>
      </c>
      <c r="B31" s="78"/>
      <c r="C31" s="65"/>
      <c r="D31" s="76" t="str">
        <f t="shared" si="3"/>
        <v>0</v>
      </c>
      <c r="E31" s="65"/>
      <c r="F31" s="76" t="str">
        <f t="shared" si="4"/>
        <v>0</v>
      </c>
      <c r="G31" s="65"/>
      <c r="H31" s="76" t="str">
        <f t="shared" si="5"/>
        <v>0</v>
      </c>
      <c r="I31" s="65"/>
      <c r="J31" s="76" t="str">
        <f t="shared" si="43"/>
        <v>0</v>
      </c>
      <c r="K31" s="65"/>
      <c r="L31" s="76" t="str">
        <f t="shared" si="0"/>
        <v>0</v>
      </c>
      <c r="M31" s="65"/>
      <c r="N31" s="77" t="str">
        <f t="shared" si="22"/>
        <v/>
      </c>
      <c r="O31" s="65"/>
      <c r="P31" s="79" t="str">
        <f t="shared" si="6"/>
        <v/>
      </c>
      <c r="Q31" s="65"/>
      <c r="R31" s="79" t="str">
        <f t="shared" si="7"/>
        <v/>
      </c>
      <c r="S31" s="65"/>
      <c r="T31" s="79" t="str">
        <f t="shared" si="44"/>
        <v/>
      </c>
      <c r="U31" s="65"/>
      <c r="V31" s="79" t="str">
        <f t="shared" si="9"/>
        <v/>
      </c>
      <c r="W31" s="65"/>
      <c r="X31" s="77" t="str">
        <f t="shared" si="23"/>
        <v/>
      </c>
      <c r="Y31" s="65"/>
      <c r="Z31" s="77" t="str">
        <f t="shared" si="24"/>
        <v/>
      </c>
      <c r="AA31" s="65"/>
      <c r="AB31" s="77" t="str">
        <f t="shared" si="25"/>
        <v/>
      </c>
      <c r="AC31" s="65"/>
      <c r="AD31" s="77" t="str">
        <f t="shared" si="26"/>
        <v/>
      </c>
      <c r="AE31" s="65"/>
      <c r="AF31" s="77" t="str">
        <f t="shared" si="27"/>
        <v/>
      </c>
      <c r="AG31" s="65"/>
      <c r="AH31" s="79" t="str">
        <f t="shared" si="10"/>
        <v/>
      </c>
      <c r="AI31" s="65"/>
      <c r="AJ31" s="77" t="str">
        <f t="shared" si="28"/>
        <v/>
      </c>
      <c r="AK31" s="65"/>
      <c r="AL31" s="77" t="str">
        <f t="shared" si="11"/>
        <v/>
      </c>
      <c r="AM31" s="65"/>
      <c r="AN31" s="77" t="str">
        <f t="shared" si="12"/>
        <v/>
      </c>
      <c r="AO31" s="65"/>
      <c r="AP31" s="77" t="str">
        <f t="shared" si="13"/>
        <v/>
      </c>
      <c r="AQ31" s="65"/>
      <c r="AR31" s="77" t="str">
        <f t="shared" si="29"/>
        <v/>
      </c>
      <c r="AS31" s="65"/>
      <c r="AT31" s="77" t="str">
        <f t="shared" si="30"/>
        <v/>
      </c>
      <c r="AU31" s="65"/>
      <c r="AV31" s="77" t="str">
        <f t="shared" si="31"/>
        <v/>
      </c>
      <c r="AW31" s="65"/>
      <c r="AX31" s="77" t="str">
        <f t="shared" si="32"/>
        <v/>
      </c>
      <c r="AY31" s="65"/>
      <c r="AZ31" s="77" t="str">
        <f t="shared" si="33"/>
        <v/>
      </c>
      <c r="BA31" s="65"/>
      <c r="BB31" s="77" t="str">
        <f t="shared" si="34"/>
        <v/>
      </c>
      <c r="BC31" s="65"/>
      <c r="BD31" s="77" t="str">
        <f t="shared" si="35"/>
        <v/>
      </c>
      <c r="BE31" s="70"/>
      <c r="BF31" s="79" t="str">
        <f t="shared" si="14"/>
        <v/>
      </c>
      <c r="BG31" s="71"/>
      <c r="BH31" s="77" t="str">
        <f t="shared" si="36"/>
        <v/>
      </c>
      <c r="BI31" s="70"/>
      <c r="BJ31" s="77" t="str">
        <f t="shared" si="37"/>
        <v/>
      </c>
      <c r="BK31" s="70"/>
      <c r="BL31" s="77" t="str">
        <f t="shared" si="38"/>
        <v/>
      </c>
      <c r="BM31" s="70"/>
      <c r="BN31" s="77" t="str">
        <f t="shared" si="39"/>
        <v/>
      </c>
      <c r="BO31" s="70"/>
      <c r="BP31" s="77" t="str">
        <f t="shared" si="40"/>
        <v/>
      </c>
      <c r="BQ31" s="70"/>
      <c r="BR31" s="77" t="str">
        <f t="shared" si="15"/>
        <v/>
      </c>
      <c r="BS31" s="70"/>
      <c r="BT31" s="77" t="str">
        <f t="shared" si="41"/>
        <v/>
      </c>
      <c r="BU31" s="70"/>
      <c r="BV31" s="77" t="str">
        <f t="shared" si="1"/>
        <v/>
      </c>
      <c r="BW31" s="70"/>
      <c r="BX31" s="77" t="str">
        <f t="shared" si="42"/>
        <v/>
      </c>
      <c r="BY31" s="72"/>
      <c r="BZ31" s="77" t="str">
        <f t="shared" si="16"/>
        <v/>
      </c>
      <c r="CA31" s="65"/>
      <c r="CB31" s="79" t="str">
        <f t="shared" si="17"/>
        <v/>
      </c>
      <c r="CC31" s="65"/>
      <c r="CD31" s="79" t="str">
        <f t="shared" si="18"/>
        <v/>
      </c>
      <c r="CE31" s="65"/>
      <c r="CF31" s="79" t="str">
        <f t="shared" si="19"/>
        <v/>
      </c>
      <c r="CG31" s="65"/>
      <c r="CH31" s="79" t="str">
        <f t="shared" si="20"/>
        <v/>
      </c>
      <c r="CI31" s="65"/>
      <c r="CJ31" s="79" t="str">
        <f t="shared" si="2"/>
        <v/>
      </c>
      <c r="CK31" s="65"/>
      <c r="CL31" s="76" t="str">
        <f t="shared" si="21"/>
        <v/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529</v>
      </c>
      <c r="R35" s="81">
        <f>SUM(R4:R33)</f>
        <v>234</v>
      </c>
      <c r="AX35" s="77">
        <f t="shared" si="32"/>
        <v>0</v>
      </c>
      <c r="BF35" s="81">
        <f>SUM(BF4:BF33)</f>
        <v>1653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23" zoomScaleNormal="100" workbookViewId="0">
      <selection activeCell="Q35" sqref="Q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>
        <v>21</v>
      </c>
      <c r="C21" s="44">
        <v>18</v>
      </c>
      <c r="D21" s="44">
        <v>40</v>
      </c>
      <c r="E21" s="45">
        <v>85</v>
      </c>
      <c r="F21" s="45">
        <v>4227</v>
      </c>
      <c r="G21" s="45">
        <v>50</v>
      </c>
      <c r="H21" s="45">
        <v>1233</v>
      </c>
      <c r="I21" s="45">
        <v>85</v>
      </c>
      <c r="J21" s="45">
        <v>240</v>
      </c>
      <c r="K21" s="46">
        <v>60</v>
      </c>
      <c r="L21" s="46">
        <v>85</v>
      </c>
      <c r="M21" s="46">
        <v>988</v>
      </c>
      <c r="N21" s="43">
        <v>85</v>
      </c>
      <c r="O21" s="43">
        <v>60</v>
      </c>
      <c r="P21" s="43">
        <v>85</v>
      </c>
      <c r="Q21" s="43">
        <v>2057</v>
      </c>
    </row>
    <row r="22" spans="1:17" x14ac:dyDescent="0.25">
      <c r="A22" s="47">
        <v>43844</v>
      </c>
      <c r="B22" s="44">
        <v>20</v>
      </c>
      <c r="C22" s="44">
        <v>16</v>
      </c>
      <c r="D22" s="44">
        <v>37</v>
      </c>
      <c r="E22" s="45">
        <v>85</v>
      </c>
      <c r="F22" s="45">
        <v>4235</v>
      </c>
      <c r="G22" s="45">
        <v>35</v>
      </c>
      <c r="H22" s="45">
        <v>1235</v>
      </c>
      <c r="I22" s="45">
        <v>85</v>
      </c>
      <c r="J22" s="45">
        <v>241</v>
      </c>
      <c r="K22" s="46">
        <v>60</v>
      </c>
      <c r="L22" s="46">
        <v>85</v>
      </c>
      <c r="M22" s="46">
        <v>988</v>
      </c>
      <c r="N22" s="43">
        <v>85</v>
      </c>
      <c r="O22" s="43">
        <v>55</v>
      </c>
      <c r="P22" s="43">
        <v>85</v>
      </c>
      <c r="Q22" s="43">
        <v>2060</v>
      </c>
    </row>
    <row r="23" spans="1:17" x14ac:dyDescent="0.25">
      <c r="A23" s="47">
        <v>43845</v>
      </c>
      <c r="B23" s="44">
        <v>21</v>
      </c>
      <c r="C23" s="44">
        <v>17</v>
      </c>
      <c r="D23" s="44">
        <v>39</v>
      </c>
      <c r="E23" s="45">
        <v>85</v>
      </c>
      <c r="F23" s="45">
        <v>4242</v>
      </c>
      <c r="G23" s="45">
        <v>20</v>
      </c>
      <c r="H23" s="45">
        <v>1236</v>
      </c>
      <c r="I23" s="45">
        <v>85</v>
      </c>
      <c r="J23" s="45">
        <v>242</v>
      </c>
      <c r="K23" s="46">
        <v>60</v>
      </c>
      <c r="L23" s="46">
        <v>85</v>
      </c>
      <c r="M23" s="46">
        <v>991</v>
      </c>
      <c r="N23" s="43">
        <v>85</v>
      </c>
      <c r="O23" s="43">
        <v>55</v>
      </c>
      <c r="P23" s="43">
        <v>85</v>
      </c>
      <c r="Q23" s="43">
        <v>2061</v>
      </c>
    </row>
    <row r="24" spans="1:17" x14ac:dyDescent="0.25">
      <c r="A24" s="47">
        <v>43846</v>
      </c>
      <c r="B24" s="44">
        <v>11</v>
      </c>
      <c r="C24" s="44">
        <v>16</v>
      </c>
      <c r="D24" s="44">
        <v>35</v>
      </c>
      <c r="E24" s="45">
        <v>85</v>
      </c>
      <c r="F24" s="45">
        <v>4250</v>
      </c>
      <c r="G24" s="45">
        <v>13</v>
      </c>
      <c r="H24" s="45">
        <v>1238</v>
      </c>
      <c r="I24" s="45">
        <v>85</v>
      </c>
      <c r="J24" s="45">
        <v>242</v>
      </c>
      <c r="K24" s="46">
        <v>60</v>
      </c>
      <c r="L24" s="46">
        <v>85</v>
      </c>
      <c r="M24" s="46">
        <v>991</v>
      </c>
      <c r="N24" s="43">
        <v>85</v>
      </c>
      <c r="O24" s="43">
        <v>53</v>
      </c>
      <c r="P24" s="43">
        <v>85</v>
      </c>
      <c r="Q24" s="43">
        <v>2063</v>
      </c>
    </row>
    <row r="25" spans="1:17" x14ac:dyDescent="0.25">
      <c r="A25" s="47">
        <v>43847</v>
      </c>
      <c r="B25" s="44">
        <v>13</v>
      </c>
      <c r="C25" s="44">
        <v>11</v>
      </c>
      <c r="D25" s="44">
        <v>23</v>
      </c>
      <c r="E25" s="45">
        <v>85</v>
      </c>
      <c r="F25" s="45">
        <v>4258</v>
      </c>
      <c r="G25" s="45">
        <v>0</v>
      </c>
      <c r="H25" s="45">
        <v>1241</v>
      </c>
      <c r="I25" s="45">
        <v>85</v>
      </c>
      <c r="J25" s="45">
        <v>243</v>
      </c>
      <c r="K25" s="46">
        <v>59</v>
      </c>
      <c r="L25" s="46">
        <v>85</v>
      </c>
      <c r="M25" s="46">
        <v>993</v>
      </c>
      <c r="N25" s="43">
        <v>85</v>
      </c>
      <c r="O25" s="43">
        <v>50</v>
      </c>
      <c r="P25" s="43">
        <v>85</v>
      </c>
      <c r="Q25" s="43">
        <v>2067</v>
      </c>
    </row>
    <row r="26" spans="1:17" x14ac:dyDescent="0.25">
      <c r="A26" s="47">
        <v>43848</v>
      </c>
      <c r="B26" s="44">
        <v>11</v>
      </c>
      <c r="C26" s="44">
        <v>12</v>
      </c>
      <c r="D26" s="44">
        <v>25</v>
      </c>
      <c r="E26" s="45">
        <v>85</v>
      </c>
      <c r="F26" s="45">
        <v>4266</v>
      </c>
      <c r="G26" s="45">
        <v>0</v>
      </c>
      <c r="H26" s="45">
        <v>1243</v>
      </c>
      <c r="I26" s="45">
        <v>85</v>
      </c>
      <c r="J26" s="45">
        <v>245</v>
      </c>
      <c r="K26" s="46">
        <v>59</v>
      </c>
      <c r="L26" s="46">
        <v>85</v>
      </c>
      <c r="M26" s="46">
        <v>994</v>
      </c>
      <c r="N26" s="43">
        <v>85</v>
      </c>
      <c r="O26" s="43">
        <v>45</v>
      </c>
      <c r="P26" s="43">
        <v>85</v>
      </c>
      <c r="Q26" s="43">
        <v>2069</v>
      </c>
    </row>
    <row r="27" spans="1:17" x14ac:dyDescent="0.25">
      <c r="A27" s="47">
        <v>43849</v>
      </c>
      <c r="B27" s="44">
        <v>11</v>
      </c>
      <c r="C27" s="44">
        <v>20</v>
      </c>
      <c r="D27" s="44">
        <v>32</v>
      </c>
      <c r="E27" s="45">
        <v>85</v>
      </c>
      <c r="F27" s="45">
        <v>4272</v>
      </c>
      <c r="G27" s="45">
        <v>0</v>
      </c>
      <c r="H27" s="45">
        <v>1245</v>
      </c>
      <c r="I27" s="45">
        <v>85</v>
      </c>
      <c r="J27" s="45">
        <v>245</v>
      </c>
      <c r="K27" s="46">
        <v>50</v>
      </c>
      <c r="L27" s="46">
        <v>85</v>
      </c>
      <c r="M27" s="46">
        <v>997</v>
      </c>
      <c r="N27" s="43">
        <v>85</v>
      </c>
      <c r="O27" s="43">
        <v>40</v>
      </c>
      <c r="P27" s="43">
        <v>85</v>
      </c>
      <c r="Q27" s="43">
        <v>2072</v>
      </c>
    </row>
    <row r="28" spans="1:17" x14ac:dyDescent="0.25">
      <c r="A28" s="47">
        <v>43850</v>
      </c>
      <c r="B28" s="44">
        <v>17</v>
      </c>
      <c r="C28" s="44">
        <v>16</v>
      </c>
      <c r="D28" s="44">
        <v>32</v>
      </c>
      <c r="E28" s="45">
        <v>85</v>
      </c>
      <c r="F28" s="45">
        <v>4280</v>
      </c>
      <c r="G28" s="45">
        <v>0</v>
      </c>
      <c r="H28" s="45">
        <v>1247</v>
      </c>
      <c r="I28" s="45">
        <v>65</v>
      </c>
      <c r="J28" s="45">
        <v>245</v>
      </c>
      <c r="K28" s="46">
        <v>50</v>
      </c>
      <c r="L28" s="46">
        <v>85</v>
      </c>
      <c r="M28" s="46">
        <v>1000</v>
      </c>
      <c r="N28" s="43">
        <v>85</v>
      </c>
      <c r="O28" s="43">
        <v>35</v>
      </c>
      <c r="P28" s="43">
        <v>85</v>
      </c>
      <c r="Q28" s="43">
        <v>2076</v>
      </c>
    </row>
    <row r="29" spans="1:17" x14ac:dyDescent="0.25">
      <c r="A29" s="47">
        <v>43851</v>
      </c>
      <c r="B29" s="44">
        <v>21</v>
      </c>
      <c r="C29" s="44">
        <v>20</v>
      </c>
      <c r="D29" s="44">
        <v>40</v>
      </c>
      <c r="E29" s="45">
        <v>85</v>
      </c>
      <c r="F29" s="45">
        <v>4288</v>
      </c>
      <c r="G29" s="45">
        <v>0</v>
      </c>
      <c r="H29" s="45">
        <v>1248</v>
      </c>
      <c r="I29" s="45">
        <v>54</v>
      </c>
      <c r="J29" s="45">
        <v>246</v>
      </c>
      <c r="K29" s="46">
        <v>50</v>
      </c>
      <c r="L29" s="46">
        <v>85</v>
      </c>
      <c r="M29" s="46">
        <v>1000</v>
      </c>
      <c r="N29" s="43">
        <v>85</v>
      </c>
      <c r="O29" s="43">
        <v>34</v>
      </c>
      <c r="P29" s="43">
        <v>85</v>
      </c>
      <c r="Q29" s="43">
        <v>2079</v>
      </c>
    </row>
    <row r="30" spans="1:17" x14ac:dyDescent="0.25">
      <c r="A30" s="47">
        <v>43852</v>
      </c>
      <c r="B30" s="44">
        <v>20</v>
      </c>
      <c r="C30" s="44">
        <v>17</v>
      </c>
      <c r="D30" s="44">
        <v>36</v>
      </c>
      <c r="E30" s="45">
        <v>85</v>
      </c>
      <c r="F30" s="45">
        <v>4295</v>
      </c>
      <c r="G30" s="45">
        <v>0</v>
      </c>
      <c r="H30" s="45">
        <v>1250</v>
      </c>
      <c r="I30" s="45">
        <v>40</v>
      </c>
      <c r="J30" s="45">
        <v>248</v>
      </c>
      <c r="K30" s="46">
        <v>46</v>
      </c>
      <c r="L30" s="46">
        <v>85</v>
      </c>
      <c r="M30" s="46">
        <v>1004</v>
      </c>
      <c r="N30" s="43">
        <v>85</v>
      </c>
      <c r="O30" s="43">
        <v>30</v>
      </c>
      <c r="P30" s="43">
        <v>85</v>
      </c>
      <c r="Q30" s="43">
        <v>2083</v>
      </c>
    </row>
    <row r="31" spans="1:17" x14ac:dyDescent="0.25">
      <c r="A31" s="47">
        <v>43853</v>
      </c>
      <c r="B31" s="44">
        <v>23</v>
      </c>
      <c r="C31" s="44">
        <v>21</v>
      </c>
      <c r="D31" s="44">
        <v>42</v>
      </c>
      <c r="E31" s="45">
        <v>85</v>
      </c>
      <c r="F31" s="45">
        <v>4304</v>
      </c>
      <c r="G31" s="45">
        <v>0</v>
      </c>
      <c r="H31" s="45">
        <v>1251</v>
      </c>
      <c r="I31" s="45">
        <v>30</v>
      </c>
      <c r="J31" s="45">
        <v>249</v>
      </c>
      <c r="K31" s="46">
        <v>41</v>
      </c>
      <c r="L31" s="46">
        <v>85</v>
      </c>
      <c r="M31" s="46">
        <v>1007</v>
      </c>
      <c r="N31" s="43">
        <v>85</v>
      </c>
      <c r="O31" s="43">
        <v>25</v>
      </c>
      <c r="P31" s="43">
        <v>85</v>
      </c>
      <c r="Q31" s="43">
        <v>2087</v>
      </c>
    </row>
    <row r="32" spans="1:17" x14ac:dyDescent="0.25">
      <c r="A32" s="47">
        <v>43854</v>
      </c>
      <c r="B32" s="44">
        <v>27</v>
      </c>
      <c r="C32" s="44">
        <v>26</v>
      </c>
      <c r="D32" s="44">
        <v>50</v>
      </c>
      <c r="E32" s="45">
        <v>85</v>
      </c>
      <c r="F32" s="45">
        <v>4312</v>
      </c>
      <c r="G32" s="45">
        <v>0</v>
      </c>
      <c r="H32" s="45">
        <v>1253</v>
      </c>
      <c r="I32" s="45">
        <v>16</v>
      </c>
      <c r="J32" s="45">
        <v>249</v>
      </c>
      <c r="K32" s="46">
        <v>35</v>
      </c>
      <c r="L32" s="46">
        <v>85</v>
      </c>
      <c r="M32" s="46">
        <v>1010</v>
      </c>
      <c r="N32" s="43">
        <v>85</v>
      </c>
      <c r="O32" s="43">
        <v>20</v>
      </c>
      <c r="P32" s="43">
        <v>85</v>
      </c>
      <c r="Q32" s="43">
        <v>2090</v>
      </c>
    </row>
    <row r="33" spans="1:17" x14ac:dyDescent="0.25">
      <c r="A33" s="47">
        <v>43855</v>
      </c>
      <c r="B33" s="44">
        <v>31</v>
      </c>
      <c r="C33" s="44">
        <v>27</v>
      </c>
      <c r="D33" s="44">
        <v>52</v>
      </c>
      <c r="E33" s="45">
        <v>85</v>
      </c>
      <c r="F33" s="45">
        <v>4319</v>
      </c>
      <c r="G33" s="45">
        <v>0</v>
      </c>
      <c r="H33" s="45">
        <v>1255</v>
      </c>
      <c r="I33" s="45">
        <v>10</v>
      </c>
      <c r="J33" s="45">
        <v>250</v>
      </c>
      <c r="K33" s="46">
        <v>35</v>
      </c>
      <c r="L33" s="46">
        <v>85</v>
      </c>
      <c r="M33" s="46">
        <v>1010</v>
      </c>
      <c r="N33" s="43">
        <v>85</v>
      </c>
      <c r="O33" s="43">
        <v>20</v>
      </c>
      <c r="P33" s="43">
        <v>85</v>
      </c>
      <c r="Q33" s="43">
        <v>2093</v>
      </c>
    </row>
    <row r="34" spans="1:17" x14ac:dyDescent="0.25">
      <c r="A34" s="47">
        <v>43856</v>
      </c>
      <c r="B34" s="44">
        <v>25</v>
      </c>
      <c r="C34" s="44">
        <v>23</v>
      </c>
      <c r="D34" s="44">
        <v>49</v>
      </c>
      <c r="E34" s="45">
        <v>85</v>
      </c>
      <c r="F34" s="45">
        <v>4327</v>
      </c>
      <c r="G34" s="45">
        <v>0</v>
      </c>
      <c r="H34" s="45">
        <v>1256</v>
      </c>
      <c r="I34" s="45">
        <v>3</v>
      </c>
      <c r="J34" s="45">
        <v>250</v>
      </c>
      <c r="K34" s="46">
        <v>30</v>
      </c>
      <c r="L34" s="46">
        <v>85</v>
      </c>
      <c r="M34" s="46">
        <v>1014</v>
      </c>
      <c r="N34" s="43">
        <v>85</v>
      </c>
      <c r="O34" s="43">
        <v>15</v>
      </c>
      <c r="P34" s="43">
        <v>85</v>
      </c>
      <c r="Q34" s="43">
        <v>2096</v>
      </c>
    </row>
    <row r="35" spans="1:17" x14ac:dyDescent="0.25">
      <c r="A35" s="47">
        <v>43857</v>
      </c>
      <c r="B35" s="44">
        <v>25</v>
      </c>
      <c r="C35" s="44">
        <v>21</v>
      </c>
      <c r="D35" s="44">
        <v>47</v>
      </c>
      <c r="E35" s="45">
        <v>83</v>
      </c>
      <c r="F35" s="45">
        <v>4335</v>
      </c>
      <c r="G35" s="45">
        <v>0</v>
      </c>
      <c r="H35" s="45">
        <v>1258</v>
      </c>
      <c r="I35" s="45">
        <v>0</v>
      </c>
      <c r="J35" s="45">
        <v>251</v>
      </c>
      <c r="K35" s="46">
        <v>30</v>
      </c>
      <c r="L35" s="46">
        <v>85</v>
      </c>
      <c r="M35" s="46">
        <v>1017</v>
      </c>
      <c r="N35" s="43">
        <v>85</v>
      </c>
      <c r="O35" s="43">
        <v>15</v>
      </c>
      <c r="P35" s="43">
        <v>85</v>
      </c>
      <c r="Q35" s="43">
        <v>2099</v>
      </c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2020-01-28T03:35:30Z</dcterms:modified>
</cp:coreProperties>
</file>