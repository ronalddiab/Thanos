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32" i="9" l="1"/>
  <c r="Q32" i="9"/>
  <c r="P29" i="9"/>
  <c r="P30" i="9"/>
  <c r="P32" i="9"/>
  <c r="O32" i="9"/>
  <c r="M32" i="9"/>
  <c r="L32" i="9"/>
  <c r="K32" i="9"/>
  <c r="J32" i="9"/>
  <c r="I32" i="9"/>
  <c r="H32" i="9"/>
  <c r="G32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AF34" i="7" l="1"/>
  <c r="I32" i="5"/>
  <c r="B32" i="5"/>
  <c r="S32" i="9" l="1"/>
  <c r="B32" i="9"/>
  <c r="AV36" i="7" l="1"/>
  <c r="AV37" i="7"/>
  <c r="R37" i="7"/>
  <c r="S37" i="7"/>
  <c r="T37" i="7"/>
  <c r="U37" i="7"/>
  <c r="V37" i="7"/>
  <c r="W37" i="7"/>
  <c r="X37" i="7"/>
  <c r="Y37" i="7"/>
  <c r="AN37" i="7" s="1"/>
  <c r="Z37" i="7"/>
  <c r="AA37" i="7"/>
  <c r="AW36" i="7" l="1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<sst xmlns="http://schemas.openxmlformats.org/spreadsheetml/2006/main" count="128" uniqueCount="49">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</sst>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56560</v>
      </c>
      <c r="F25" s="11">
        <v>5.0000000000000001E-3</v>
      </c>
      <c r="G25" s="12">
        <f>Submetering!R25</f>
        <v>1022.8177819999999</v>
      </c>
      <c r="H25" s="11">
        <v>0.52800000000000002</v>
      </c>
      <c r="I25" s="12">
        <f>Hotel!B30</f>
        <v>76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61290</v>
      </c>
      <c r="F26" s="11">
        <v>5.0000000000000001E-3</v>
      </c>
      <c r="G26" s="12">
        <f>Submetering!R26</f>
        <v>953.92331999999999</v>
      </c>
      <c r="H26" s="11">
        <v>0.52800000000000002</v>
      </c>
      <c r="I26" s="12">
        <f>Hotel!B31</f>
        <v>116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60840</v>
      </c>
      <c r="F27" s="11">
        <v>5.0000000000000001E-3</v>
      </c>
      <c r="G27" s="12">
        <f>Submetering!R27</f>
        <v>1083.3843419999998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60670</v>
      </c>
      <c r="F28" s="11">
        <v>5.0000000000000001E-3</v>
      </c>
      <c r="G28" s="12">
        <f>Submetering!R28</f>
        <v>1066.7285379999998</v>
      </c>
      <c r="H28" s="11">
        <v>0.52800000000000002</v>
      </c>
      <c r="I28" s="12">
        <f>Hotel!B33</f>
        <v>172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59270</v>
      </c>
      <c r="F29" s="11">
        <v>5.0000000000000001E-3</v>
      </c>
      <c r="G29" s="12">
        <f>Submetering!R29</f>
        <v>905.848613</v>
      </c>
      <c r="H29" s="11">
        <v>0.52800000000000002</v>
      </c>
      <c r="I29" s="12">
        <f>Hotel!B34</f>
        <v>188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57280</v>
      </c>
      <c r="F30" s="11">
        <v>5.0000000000000001E-3</v>
      </c>
      <c r="G30" s="12">
        <f>Submetering!R30</f>
        <v>929.69669599999986</v>
      </c>
      <c r="H30" s="11">
        <v>0.52800000000000002</v>
      </c>
      <c r="I30" s="12">
        <f>Hotel!B35</f>
        <v>128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980</v>
      </c>
      <c r="F25" s="4">
        <f>Hotel!R30</f>
        <v>12100</v>
      </c>
      <c r="G25" s="4">
        <f>Hotel!S30</f>
        <v>2980</v>
      </c>
      <c r="H25" s="4">
        <f>Hotel!T30</f>
        <v>3430</v>
      </c>
      <c r="I25" s="4">
        <f>Hotel!U30</f>
        <v>4000</v>
      </c>
      <c r="J25" s="4">
        <f>Hotel!V30</f>
        <v>2990</v>
      </c>
      <c r="K25" s="4">
        <f>Hotel!W30</f>
        <v>2300</v>
      </c>
      <c r="L25" s="4">
        <f>Hotel!X30</f>
        <v>3580</v>
      </c>
      <c r="M25" s="4">
        <f>Hotel!Y30</f>
        <v>3960</v>
      </c>
      <c r="N25" s="4">
        <f>Hotel!Z30</f>
        <v>2470</v>
      </c>
      <c r="O25" s="4">
        <f>Hotel!AA30</f>
        <v>3000</v>
      </c>
      <c r="P25" s="4">
        <f>Hotel!AB30</f>
        <v>6780</v>
      </c>
      <c r="Q25" s="4">
        <f>Hotel!AC30</f>
        <v>7990</v>
      </c>
      <c r="R25" s="4">
        <f>Hotel!AV30*0.00378541*100</f>
        <v>1022.8177819999999</v>
      </c>
      <c r="S25" s="4">
        <f>Hotel!B30</f>
        <v>76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1050</v>
      </c>
      <c r="F26" s="4">
        <f>Hotel!R31</f>
        <v>12930</v>
      </c>
      <c r="G26" s="4">
        <f>Hotel!S31</f>
        <v>3200</v>
      </c>
      <c r="H26" s="4">
        <f>Hotel!T31</f>
        <v>3340</v>
      </c>
      <c r="I26" s="4">
        <f>Hotel!U31</f>
        <v>4470</v>
      </c>
      <c r="J26" s="4">
        <f>Hotel!V31</f>
        <v>3200</v>
      </c>
      <c r="K26" s="4">
        <f>Hotel!W31</f>
        <v>2440</v>
      </c>
      <c r="L26" s="4">
        <f>Hotel!X31</f>
        <v>3750</v>
      </c>
      <c r="M26" s="4">
        <f>Hotel!Y31</f>
        <v>4370</v>
      </c>
      <c r="N26" s="4">
        <f>Hotel!Z31</f>
        <v>2680</v>
      </c>
      <c r="O26" s="4">
        <f>Hotel!AA31</f>
        <v>3290</v>
      </c>
      <c r="P26" s="4">
        <f>Hotel!AB31</f>
        <v>7210</v>
      </c>
      <c r="Q26" s="4">
        <f>Hotel!AC31</f>
        <v>9360</v>
      </c>
      <c r="R26" s="4">
        <f>Hotel!AV31*0.00378541*100</f>
        <v>953.92331999999999</v>
      </c>
      <c r="S26" s="4">
        <f>Hotel!B31</f>
        <v>116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1010</v>
      </c>
      <c r="F27" s="4">
        <f>Hotel!R32</f>
        <v>13830</v>
      </c>
      <c r="G27" s="4">
        <f>Hotel!S32</f>
        <v>2110</v>
      </c>
      <c r="H27" s="4">
        <f>Hotel!T32</f>
        <v>3840</v>
      </c>
      <c r="I27" s="4">
        <f>Hotel!U32</f>
        <v>4540</v>
      </c>
      <c r="J27" s="4">
        <f>Hotel!V32</f>
        <v>3170</v>
      </c>
      <c r="K27" s="4">
        <f>Hotel!W32</f>
        <v>2360</v>
      </c>
      <c r="L27" s="4">
        <f>Hotel!X32</f>
        <v>3760</v>
      </c>
      <c r="M27" s="4">
        <f>Hotel!Y32</f>
        <v>4250</v>
      </c>
      <c r="N27" s="4">
        <f>Hotel!Z32</f>
        <v>2800</v>
      </c>
      <c r="O27" s="4">
        <f>Hotel!AA32</f>
        <v>3310</v>
      </c>
      <c r="P27" s="4">
        <f>Hotel!AB32</f>
        <v>7080</v>
      </c>
      <c r="Q27" s="4">
        <f>Hotel!AC32</f>
        <v>8780</v>
      </c>
      <c r="R27" s="4">
        <f>Hotel!AV32*0.00378541*100</f>
        <v>1083.3843419999998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1040</v>
      </c>
      <c r="F28" s="4">
        <f>Hotel!R33</f>
        <v>13790</v>
      </c>
      <c r="G28" s="4">
        <f>Hotel!S33</f>
        <v>2380</v>
      </c>
      <c r="H28" s="4">
        <f>Hotel!T33</f>
        <v>2080</v>
      </c>
      <c r="I28" s="4">
        <f>Hotel!U33</f>
        <v>4750</v>
      </c>
      <c r="J28" s="4">
        <f>Hotel!V33</f>
        <v>3270</v>
      </c>
      <c r="K28" s="4">
        <f>Hotel!W33</f>
        <v>2390</v>
      </c>
      <c r="L28" s="4">
        <f>Hotel!X33</f>
        <v>3950</v>
      </c>
      <c r="M28" s="4">
        <f>Hotel!Y33</f>
        <v>4600</v>
      </c>
      <c r="N28" s="4">
        <f>Hotel!Z33</f>
        <v>2890</v>
      </c>
      <c r="O28" s="4">
        <f>Hotel!AA33</f>
        <v>3690</v>
      </c>
      <c r="P28" s="4">
        <f>Hotel!AB33</f>
        <v>7340</v>
      </c>
      <c r="Q28" s="4">
        <f>Hotel!AC33</f>
        <v>8500</v>
      </c>
      <c r="R28" s="4">
        <f>Hotel!AV33*0.00378541*100</f>
        <v>1066.7285379999998</v>
      </c>
      <c r="S28" s="4">
        <f>Hotel!B33</f>
        <v>172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1010</v>
      </c>
      <c r="F29" s="4">
        <f>Hotel!R34</f>
        <v>12480</v>
      </c>
      <c r="G29" s="4">
        <f>Hotel!S34</f>
        <v>3090</v>
      </c>
      <c r="H29" s="4">
        <f>Hotel!T34</f>
        <v>1620</v>
      </c>
      <c r="I29" s="4">
        <f>Hotel!U34</f>
        <v>4680</v>
      </c>
      <c r="J29" s="4">
        <f>Hotel!V34</f>
        <v>3220</v>
      </c>
      <c r="K29" s="4">
        <f>Hotel!W34</f>
        <v>2330</v>
      </c>
      <c r="L29" s="4">
        <f>Hotel!X34</f>
        <v>4230</v>
      </c>
      <c r="M29" s="4">
        <f>Hotel!Y34</f>
        <v>4560</v>
      </c>
      <c r="N29" s="4">
        <f>Hotel!Z34</f>
        <v>2940</v>
      </c>
      <c r="O29" s="4">
        <f>Hotel!AA34</f>
        <v>3670</v>
      </c>
      <c r="P29" s="4">
        <f>Hotel!AB34</f>
        <v>7180</v>
      </c>
      <c r="Q29" s="4">
        <f>Hotel!AC34</f>
        <v>8260</v>
      </c>
      <c r="R29" s="4">
        <f>Hotel!AV34*0.00378541*100</f>
        <v>905.848613</v>
      </c>
      <c r="S29" s="4">
        <f>Hotel!B34</f>
        <v>188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990</v>
      </c>
      <c r="F30" s="4">
        <f>Hotel!R35</f>
        <v>12270</v>
      </c>
      <c r="G30" s="4">
        <f>Hotel!S35</f>
        <v>3020</v>
      </c>
      <c r="H30" s="4">
        <f>Hotel!T35</f>
        <v>1580</v>
      </c>
      <c r="I30" s="4">
        <f>Hotel!U35</f>
        <v>4360</v>
      </c>
      <c r="J30" s="4">
        <f>Hotel!V35</f>
        <v>3150</v>
      </c>
      <c r="K30" s="4">
        <f>Hotel!W35</f>
        <v>2280</v>
      </c>
      <c r="L30" s="4">
        <f>Hotel!X35</f>
        <v>4090</v>
      </c>
      <c r="M30" s="4">
        <f>Hotel!Y35</f>
        <v>4280</v>
      </c>
      <c r="N30" s="4">
        <f>Hotel!Z35</f>
        <v>2660</v>
      </c>
      <c r="O30" s="4">
        <f>Hotel!AA35</f>
        <v>3380</v>
      </c>
      <c r="P30" s="4">
        <f>Hotel!AB35</f>
        <v>6910</v>
      </c>
      <c r="Q30" s="4">
        <f>Hotel!AC35</f>
        <v>8310</v>
      </c>
      <c r="R30" s="4">
        <f>Hotel!AV35*0.00378541*100</f>
        <v>929.69669599999986</v>
      </c>
      <c r="S30" s="4">
        <f>Hotel!B35</f>
        <v>128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4" zoomScale="93" zoomScaleNormal="93" workbookViewId="0">
      <selection activeCell="AS41" sqref="AS4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>
        <v>76</v>
      </c>
      <c r="C30" s="24">
        <v>6590500</v>
      </c>
      <c r="D30" s="24">
        <v>15421220</v>
      </c>
      <c r="E30" s="24">
        <v>2686150</v>
      </c>
      <c r="F30" s="24">
        <v>3455150</v>
      </c>
      <c r="G30" s="24">
        <v>10309250</v>
      </c>
      <c r="H30" s="24">
        <v>5460530</v>
      </c>
      <c r="I30" s="24">
        <v>5044420</v>
      </c>
      <c r="J30" s="24">
        <v>5847240</v>
      </c>
      <c r="K30" s="24">
        <v>9098530</v>
      </c>
      <c r="L30" s="24">
        <v>3785720</v>
      </c>
      <c r="M30" s="24">
        <v>7840780</v>
      </c>
      <c r="N30" s="24">
        <v>11903780</v>
      </c>
      <c r="O30" s="24">
        <v>16477910</v>
      </c>
      <c r="Q30" s="37">
        <f t="shared" si="17"/>
        <v>980</v>
      </c>
      <c r="R30" s="37">
        <f t="shared" si="18"/>
        <v>12100</v>
      </c>
      <c r="S30" s="37">
        <f t="shared" si="16"/>
        <v>2980</v>
      </c>
      <c r="T30" s="37">
        <f t="shared" si="19"/>
        <v>3430</v>
      </c>
      <c r="U30" s="37">
        <f t="shared" si="20"/>
        <v>4000</v>
      </c>
      <c r="V30" s="37">
        <f t="shared" si="21"/>
        <v>2990</v>
      </c>
      <c r="W30" s="37">
        <f t="shared" si="22"/>
        <v>2300</v>
      </c>
      <c r="X30" s="37">
        <f t="shared" si="23"/>
        <v>3580</v>
      </c>
      <c r="Y30" s="37">
        <f t="shared" si="24"/>
        <v>3960</v>
      </c>
      <c r="Z30" s="37">
        <f t="shared" si="25"/>
        <v>2470</v>
      </c>
      <c r="AA30" s="37">
        <f t="shared" si="26"/>
        <v>3000</v>
      </c>
      <c r="AB30" s="37">
        <f t="shared" si="27"/>
        <v>6780</v>
      </c>
      <c r="AC30" s="37">
        <f t="shared" si="28"/>
        <v>7990</v>
      </c>
      <c r="AD30" s="35">
        <f t="shared" si="29"/>
        <v>56560</v>
      </c>
      <c r="AF30" s="20">
        <f t="shared" si="1"/>
        <v>4.9000000000000004</v>
      </c>
      <c r="AG30" s="20">
        <f t="shared" si="2"/>
        <v>60.5</v>
      </c>
      <c r="AH30" s="20">
        <f t="shared" si="3"/>
        <v>14.9</v>
      </c>
      <c r="AI30" s="20">
        <f t="shared" si="4"/>
        <v>17.150000000000002</v>
      </c>
      <c r="AJ30" s="20">
        <f t="shared" si="5"/>
        <v>20</v>
      </c>
      <c r="AK30" s="20">
        <f t="shared" si="6"/>
        <v>14.950000000000001</v>
      </c>
      <c r="AL30" s="20">
        <f t="shared" si="7"/>
        <v>11.5</v>
      </c>
      <c r="AM30" s="20">
        <f t="shared" si="8"/>
        <v>17.900000000000002</v>
      </c>
      <c r="AN30" s="20">
        <f t="shared" si="9"/>
        <v>19.8</v>
      </c>
      <c r="AO30" s="20">
        <f t="shared" si="10"/>
        <v>12.35</v>
      </c>
      <c r="AP30" s="20">
        <f t="shared" si="11"/>
        <v>15</v>
      </c>
      <c r="AQ30" s="20">
        <f t="shared" si="12"/>
        <v>33.9</v>
      </c>
      <c r="AR30" s="20">
        <f t="shared" si="13"/>
        <v>39.950000000000003</v>
      </c>
      <c r="AS30" s="35">
        <f t="shared" si="30"/>
        <v>282.8</v>
      </c>
      <c r="AU30" s="47">
        <v>639870</v>
      </c>
      <c r="AV30" s="37">
        <f t="shared" si="34"/>
        <v>2702</v>
      </c>
      <c r="AW30" s="35">
        <f t="shared" si="14"/>
        <v>5.4039999999999999</v>
      </c>
    </row>
    <row r="31" spans="1:49" x14ac:dyDescent="0.25">
      <c r="A31" s="23">
        <v>44341</v>
      </c>
      <c r="B31" s="40">
        <v>116</v>
      </c>
      <c r="C31" s="24">
        <v>6591550</v>
      </c>
      <c r="D31" s="24">
        <v>15434150</v>
      </c>
      <c r="E31" s="24">
        <v>2689350</v>
      </c>
      <c r="F31" s="24">
        <v>3458490</v>
      </c>
      <c r="G31" s="24">
        <v>10313720</v>
      </c>
      <c r="H31" s="24">
        <v>5463730</v>
      </c>
      <c r="I31" s="24">
        <v>5046860</v>
      </c>
      <c r="J31" s="24">
        <v>5850990</v>
      </c>
      <c r="K31" s="24">
        <v>9102900</v>
      </c>
      <c r="L31" s="24">
        <v>3788400</v>
      </c>
      <c r="M31" s="24">
        <v>7844070</v>
      </c>
      <c r="N31" s="24">
        <v>11910990</v>
      </c>
      <c r="O31" s="24">
        <v>16487270</v>
      </c>
      <c r="Q31" s="37">
        <f>IF((C31-C30&lt;0), "0",C31-C30)</f>
        <v>1050</v>
      </c>
      <c r="R31" s="37">
        <f t="shared" si="18"/>
        <v>12930</v>
      </c>
      <c r="S31" s="37">
        <f t="shared" si="16"/>
        <v>3200</v>
      </c>
      <c r="T31" s="37">
        <f t="shared" si="19"/>
        <v>3340</v>
      </c>
      <c r="U31" s="37">
        <f t="shared" si="20"/>
        <v>4470</v>
      </c>
      <c r="V31" s="37">
        <f t="shared" si="21"/>
        <v>3200</v>
      </c>
      <c r="W31" s="37">
        <f t="shared" si="22"/>
        <v>2440</v>
      </c>
      <c r="X31" s="37">
        <f t="shared" si="23"/>
        <v>3750</v>
      </c>
      <c r="Y31" s="37">
        <f t="shared" si="24"/>
        <v>4370</v>
      </c>
      <c r="Z31" s="37">
        <f t="shared" si="25"/>
        <v>2680</v>
      </c>
      <c r="AA31" s="37">
        <f t="shared" si="26"/>
        <v>3290</v>
      </c>
      <c r="AB31" s="37">
        <f t="shared" si="27"/>
        <v>7210</v>
      </c>
      <c r="AC31" s="37">
        <f t="shared" si="28"/>
        <v>9360</v>
      </c>
      <c r="AD31" s="35">
        <f t="shared" si="29"/>
        <v>61290</v>
      </c>
      <c r="AF31" s="20">
        <f t="shared" si="1"/>
        <v>5.25</v>
      </c>
      <c r="AG31" s="20">
        <f t="shared" si="2"/>
        <v>64.650000000000006</v>
      </c>
      <c r="AH31" s="20">
        <f t="shared" si="3"/>
        <v>16</v>
      </c>
      <c r="AI31" s="20">
        <f t="shared" si="4"/>
        <v>16.7</v>
      </c>
      <c r="AJ31" s="20">
        <f t="shared" si="5"/>
        <v>22.35</v>
      </c>
      <c r="AK31" s="20">
        <f t="shared" si="6"/>
        <v>16</v>
      </c>
      <c r="AL31" s="20">
        <f t="shared" si="7"/>
        <v>12.200000000000001</v>
      </c>
      <c r="AM31" s="20">
        <f t="shared" si="8"/>
        <v>18.75</v>
      </c>
      <c r="AN31" s="20">
        <f t="shared" si="9"/>
        <v>21.85</v>
      </c>
      <c r="AO31" s="20">
        <f t="shared" si="10"/>
        <v>13.4</v>
      </c>
      <c r="AP31" s="20">
        <f t="shared" si="11"/>
        <v>16.45</v>
      </c>
      <c r="AQ31" s="20">
        <f t="shared" si="12"/>
        <v>36.050000000000004</v>
      </c>
      <c r="AR31" s="20">
        <f t="shared" si="13"/>
        <v>46.800000000000004</v>
      </c>
      <c r="AS31" s="35">
        <f t="shared" si="30"/>
        <v>306.45</v>
      </c>
      <c r="AU31" s="47">
        <v>642390</v>
      </c>
      <c r="AV31" s="37">
        <f t="shared" si="34"/>
        <v>2520</v>
      </c>
      <c r="AW31" s="35">
        <f t="shared" si="14"/>
        <v>5.04</v>
      </c>
    </row>
    <row r="32" spans="1:49" x14ac:dyDescent="0.25">
      <c r="A32" s="23">
        <v>44342</v>
      </c>
      <c r="B32" s="40">
        <v>117</v>
      </c>
      <c r="C32" s="24">
        <v>6592560</v>
      </c>
      <c r="D32" s="24">
        <v>15447980</v>
      </c>
      <c r="E32" s="24">
        <v>2691460</v>
      </c>
      <c r="F32" s="24">
        <v>3462330</v>
      </c>
      <c r="G32" s="24">
        <v>10318260</v>
      </c>
      <c r="H32" s="24">
        <v>5466900</v>
      </c>
      <c r="I32" s="24">
        <v>5049220</v>
      </c>
      <c r="J32" s="24">
        <v>5854750</v>
      </c>
      <c r="K32" s="24">
        <v>9107150</v>
      </c>
      <c r="L32" s="24">
        <v>3791200</v>
      </c>
      <c r="M32" s="24">
        <v>7847380</v>
      </c>
      <c r="N32" s="24">
        <v>11918070</v>
      </c>
      <c r="O32" s="24">
        <v>16496050</v>
      </c>
      <c r="Q32" s="37">
        <f>IF((C32-C31&lt;0), "0",C32-C31)</f>
        <v>1010</v>
      </c>
      <c r="R32" s="37">
        <f t="shared" si="18"/>
        <v>13830</v>
      </c>
      <c r="S32" s="37">
        <f t="shared" si="16"/>
        <v>2110</v>
      </c>
      <c r="T32" s="37">
        <f t="shared" si="19"/>
        <v>3840</v>
      </c>
      <c r="U32" s="37">
        <f t="shared" si="20"/>
        <v>4540</v>
      </c>
      <c r="V32" s="37">
        <f t="shared" si="21"/>
        <v>3170</v>
      </c>
      <c r="W32" s="37">
        <f t="shared" si="22"/>
        <v>2360</v>
      </c>
      <c r="X32" s="37">
        <f t="shared" si="23"/>
        <v>3760</v>
      </c>
      <c r="Y32" s="37">
        <f t="shared" si="24"/>
        <v>4250</v>
      </c>
      <c r="Z32" s="37">
        <f t="shared" si="25"/>
        <v>2800</v>
      </c>
      <c r="AA32" s="37">
        <f t="shared" si="26"/>
        <v>3310</v>
      </c>
      <c r="AB32" s="37">
        <f t="shared" si="27"/>
        <v>7080</v>
      </c>
      <c r="AC32" s="37">
        <f t="shared" si="28"/>
        <v>8780</v>
      </c>
      <c r="AD32" s="35">
        <f t="shared" si="29"/>
        <v>60840</v>
      </c>
      <c r="AF32" s="20">
        <f t="shared" si="1"/>
        <v>5.05</v>
      </c>
      <c r="AG32" s="20">
        <f t="shared" si="2"/>
        <v>69.150000000000006</v>
      </c>
      <c r="AH32" s="20">
        <f t="shared" si="3"/>
        <v>10.55</v>
      </c>
      <c r="AI32" s="20">
        <f t="shared" si="4"/>
        <v>19.2</v>
      </c>
      <c r="AJ32" s="20">
        <f t="shared" si="5"/>
        <v>22.7</v>
      </c>
      <c r="AK32" s="20">
        <f t="shared" si="6"/>
        <v>15.85</v>
      </c>
      <c r="AL32" s="20">
        <f t="shared" si="7"/>
        <v>11.8</v>
      </c>
      <c r="AM32" s="20">
        <f t="shared" si="8"/>
        <v>18.8</v>
      </c>
      <c r="AN32" s="20">
        <f t="shared" si="9"/>
        <v>21.25</v>
      </c>
      <c r="AO32" s="20">
        <f t="shared" si="10"/>
        <v>14</v>
      </c>
      <c r="AP32" s="20">
        <f t="shared" si="11"/>
        <v>16.55</v>
      </c>
      <c r="AQ32" s="20">
        <f t="shared" si="12"/>
        <v>35.4</v>
      </c>
      <c r="AR32" s="20">
        <f t="shared" si="13"/>
        <v>43.9</v>
      </c>
      <c r="AS32" s="35">
        <f t="shared" si="30"/>
        <v>304.2</v>
      </c>
      <c r="AU32" s="47">
        <v>645252</v>
      </c>
      <c r="AV32" s="37">
        <f t="shared" si="34"/>
        <v>2862</v>
      </c>
      <c r="AW32" s="35">
        <f t="shared" si="14"/>
        <v>5.7240000000000002</v>
      </c>
    </row>
    <row r="33" spans="1:49" x14ac:dyDescent="0.25">
      <c r="A33" s="23">
        <v>44343</v>
      </c>
      <c r="B33" s="40">
        <v>172</v>
      </c>
      <c r="C33" s="24">
        <v>6593600</v>
      </c>
      <c r="D33" s="24">
        <v>15461770</v>
      </c>
      <c r="E33" s="24">
        <v>2693840</v>
      </c>
      <c r="F33" s="24">
        <v>3464410</v>
      </c>
      <c r="G33" s="24">
        <v>10323010</v>
      </c>
      <c r="H33" s="24">
        <v>5470170</v>
      </c>
      <c r="I33" s="24">
        <v>5051610</v>
      </c>
      <c r="J33" s="24">
        <v>5858700</v>
      </c>
      <c r="K33" s="24">
        <v>9111750</v>
      </c>
      <c r="L33" s="24">
        <v>3794090</v>
      </c>
      <c r="M33" s="24">
        <v>7851070</v>
      </c>
      <c r="N33" s="24">
        <v>11925410</v>
      </c>
      <c r="O33" s="24">
        <v>16504550</v>
      </c>
      <c r="Q33" s="37">
        <f>IF((C33-C32&lt;0), "0",C33-C32)</f>
        <v>1040</v>
      </c>
      <c r="R33" s="37">
        <f t="shared" si="18"/>
        <v>13790</v>
      </c>
      <c r="S33" s="37">
        <f t="shared" si="16"/>
        <v>2380</v>
      </c>
      <c r="T33" s="37">
        <f t="shared" si="19"/>
        <v>2080</v>
      </c>
      <c r="U33" s="37">
        <f t="shared" si="20"/>
        <v>4750</v>
      </c>
      <c r="V33" s="37">
        <f t="shared" si="21"/>
        <v>3270</v>
      </c>
      <c r="W33" s="37">
        <f t="shared" si="22"/>
        <v>2390</v>
      </c>
      <c r="X33" s="37">
        <f t="shared" si="23"/>
        <v>3950</v>
      </c>
      <c r="Y33" s="37">
        <f t="shared" si="24"/>
        <v>4600</v>
      </c>
      <c r="Z33" s="37">
        <f t="shared" si="25"/>
        <v>2890</v>
      </c>
      <c r="AA33" s="37">
        <f t="shared" si="26"/>
        <v>3690</v>
      </c>
      <c r="AB33" s="37">
        <f t="shared" si="27"/>
        <v>7340</v>
      </c>
      <c r="AC33" s="37">
        <f t="shared" si="28"/>
        <v>8500</v>
      </c>
      <c r="AD33" s="35">
        <f t="shared" si="29"/>
        <v>60670</v>
      </c>
      <c r="AF33" s="20">
        <f t="shared" si="1"/>
        <v>5.2</v>
      </c>
      <c r="AG33" s="20">
        <f t="shared" si="2"/>
        <v>68.95</v>
      </c>
      <c r="AH33" s="20">
        <f t="shared" si="3"/>
        <v>11.9</v>
      </c>
      <c r="AI33" s="20">
        <f t="shared" si="4"/>
        <v>10.4</v>
      </c>
      <c r="AJ33" s="20">
        <f t="shared" si="5"/>
        <v>23.75</v>
      </c>
      <c r="AK33" s="20">
        <f t="shared" si="6"/>
        <v>16.350000000000001</v>
      </c>
      <c r="AL33" s="20">
        <f t="shared" si="7"/>
        <v>11.950000000000001</v>
      </c>
      <c r="AM33" s="20">
        <f t="shared" si="8"/>
        <v>19.75</v>
      </c>
      <c r="AN33" s="20">
        <f t="shared" si="9"/>
        <v>23</v>
      </c>
      <c r="AO33" s="20">
        <f t="shared" si="10"/>
        <v>14.450000000000001</v>
      </c>
      <c r="AP33" s="20">
        <f t="shared" si="11"/>
        <v>18.45</v>
      </c>
      <c r="AQ33" s="20">
        <f t="shared" si="12"/>
        <v>36.700000000000003</v>
      </c>
      <c r="AR33" s="20">
        <f t="shared" si="13"/>
        <v>42.5</v>
      </c>
      <c r="AS33" s="35">
        <f t="shared" si="30"/>
        <v>303.34999999999997</v>
      </c>
      <c r="AU33" s="47">
        <v>648070</v>
      </c>
      <c r="AV33" s="37">
        <f t="shared" si="34"/>
        <v>2818</v>
      </c>
      <c r="AW33" s="35">
        <f t="shared" si="14"/>
        <v>5.6360000000000001</v>
      </c>
    </row>
    <row r="34" spans="1:49" x14ac:dyDescent="0.25">
      <c r="A34" s="23">
        <v>44344</v>
      </c>
      <c r="B34" s="51">
        <v>188</v>
      </c>
      <c r="C34" s="50">
        <v>6594610</v>
      </c>
      <c r="D34" s="24">
        <v>15474250</v>
      </c>
      <c r="E34" s="24">
        <v>2696930</v>
      </c>
      <c r="F34" s="24">
        <v>3466030</v>
      </c>
      <c r="G34" s="24">
        <v>10327690</v>
      </c>
      <c r="H34" s="24">
        <v>5473390</v>
      </c>
      <c r="I34" s="24">
        <v>5053940</v>
      </c>
      <c r="J34" s="24">
        <v>5862930</v>
      </c>
      <c r="K34" s="24">
        <v>9116310</v>
      </c>
      <c r="L34" s="24">
        <v>3797030</v>
      </c>
      <c r="M34" s="24">
        <v>7854740</v>
      </c>
      <c r="N34" s="24">
        <v>11932590</v>
      </c>
      <c r="O34" s="24">
        <v>16512810</v>
      </c>
      <c r="Q34" s="37">
        <f>IF((C34-C33&lt;0), "0",C34-C33)</f>
        <v>1010</v>
      </c>
      <c r="R34" s="37">
        <f t="shared" si="18"/>
        <v>12480</v>
      </c>
      <c r="S34" s="37">
        <f t="shared" si="16"/>
        <v>3090</v>
      </c>
      <c r="T34" s="37">
        <f t="shared" si="19"/>
        <v>1620</v>
      </c>
      <c r="U34" s="37">
        <f t="shared" si="20"/>
        <v>4680</v>
      </c>
      <c r="V34" s="37">
        <f t="shared" si="21"/>
        <v>3220</v>
      </c>
      <c r="W34" s="37">
        <f t="shared" si="22"/>
        <v>2330</v>
      </c>
      <c r="X34" s="37">
        <f t="shared" si="23"/>
        <v>4230</v>
      </c>
      <c r="Y34" s="37">
        <f t="shared" si="24"/>
        <v>4560</v>
      </c>
      <c r="Z34" s="37">
        <f t="shared" si="25"/>
        <v>2940</v>
      </c>
      <c r="AA34" s="37">
        <f t="shared" si="26"/>
        <v>3670</v>
      </c>
      <c r="AB34" s="37">
        <f t="shared" si="27"/>
        <v>7180</v>
      </c>
      <c r="AC34" s="37">
        <f t="shared" si="28"/>
        <v>8260</v>
      </c>
      <c r="AD34" s="35">
        <f t="shared" si="29"/>
        <v>59270</v>
      </c>
      <c r="AF34" s="20">
        <f>Q34*$D$39</f>
        <v>5.05</v>
      </c>
      <c r="AG34" s="20">
        <f t="shared" si="2"/>
        <v>62.4</v>
      </c>
      <c r="AH34" s="20">
        <f t="shared" si="3"/>
        <v>15.450000000000001</v>
      </c>
      <c r="AI34" s="20">
        <f t="shared" si="4"/>
        <v>8.1</v>
      </c>
      <c r="AJ34" s="20">
        <f t="shared" si="5"/>
        <v>23.400000000000002</v>
      </c>
      <c r="AK34" s="20">
        <f t="shared" si="6"/>
        <v>16.100000000000001</v>
      </c>
      <c r="AL34" s="20">
        <f t="shared" si="7"/>
        <v>11.65</v>
      </c>
      <c r="AM34" s="20">
        <f t="shared" si="8"/>
        <v>21.150000000000002</v>
      </c>
      <c r="AN34" s="20">
        <f t="shared" si="9"/>
        <v>22.8</v>
      </c>
      <c r="AO34" s="20">
        <f t="shared" si="10"/>
        <v>14.700000000000001</v>
      </c>
      <c r="AP34" s="20">
        <f t="shared" si="11"/>
        <v>18.350000000000001</v>
      </c>
      <c r="AQ34" s="20">
        <f t="shared" si="12"/>
        <v>35.9</v>
      </c>
      <c r="AR34" s="20">
        <f t="shared" si="13"/>
        <v>41.300000000000004</v>
      </c>
      <c r="AS34" s="35">
        <f>SUM(AF34:AR34)</f>
        <v>296.35000000000002</v>
      </c>
      <c r="AU34" s="47">
        <v>650463</v>
      </c>
      <c r="AV34" s="37">
        <f t="shared" si="34"/>
        <v>2393</v>
      </c>
      <c r="AW34" s="35">
        <f t="shared" si="14"/>
        <v>4.7860000000000005</v>
      </c>
    </row>
    <row r="35" spans="1:49" x14ac:dyDescent="0.25">
      <c r="A35" s="23">
        <v>44345</v>
      </c>
      <c r="B35" s="40">
        <v>128</v>
      </c>
      <c r="C35" s="24">
        <v>6595600</v>
      </c>
      <c r="D35" s="24">
        <v>15486520</v>
      </c>
      <c r="E35" s="24">
        <v>2699950</v>
      </c>
      <c r="F35" s="24">
        <v>3467610</v>
      </c>
      <c r="G35" s="24">
        <v>10332050</v>
      </c>
      <c r="H35" s="24">
        <v>5476540</v>
      </c>
      <c r="I35" s="24">
        <v>5056220</v>
      </c>
      <c r="J35" s="24">
        <v>5867020</v>
      </c>
      <c r="K35" s="24">
        <v>9120590</v>
      </c>
      <c r="L35" s="24">
        <v>3799690</v>
      </c>
      <c r="M35" s="24">
        <v>7858120</v>
      </c>
      <c r="N35" s="24">
        <v>11939500</v>
      </c>
      <c r="O35" s="24">
        <v>16521120</v>
      </c>
      <c r="Q35" s="37">
        <f>IF((C35-C34&lt;0), "0",C35-C34)</f>
        <v>990</v>
      </c>
      <c r="R35" s="37">
        <f t="shared" si="18"/>
        <v>12270</v>
      </c>
      <c r="S35" s="37">
        <f t="shared" si="16"/>
        <v>3020</v>
      </c>
      <c r="T35" s="37">
        <f t="shared" si="19"/>
        <v>1580</v>
      </c>
      <c r="U35" s="37">
        <f t="shared" si="20"/>
        <v>4360</v>
      </c>
      <c r="V35" s="37">
        <f t="shared" si="21"/>
        <v>3150</v>
      </c>
      <c r="W35" s="37">
        <f t="shared" si="22"/>
        <v>2280</v>
      </c>
      <c r="X35" s="37">
        <f t="shared" si="23"/>
        <v>4090</v>
      </c>
      <c r="Y35" s="37">
        <f t="shared" si="24"/>
        <v>4280</v>
      </c>
      <c r="Z35" s="37">
        <f t="shared" si="25"/>
        <v>2660</v>
      </c>
      <c r="AA35" s="37">
        <f t="shared" si="26"/>
        <v>3380</v>
      </c>
      <c r="AB35" s="37">
        <f t="shared" si="27"/>
        <v>6910</v>
      </c>
      <c r="AC35" s="37">
        <f t="shared" si="28"/>
        <v>8310</v>
      </c>
      <c r="AD35" s="35">
        <f t="shared" si="29"/>
        <v>57280</v>
      </c>
      <c r="AF35" s="20">
        <f t="shared" si="1"/>
        <v>4.95</v>
      </c>
      <c r="AG35" s="20">
        <f t="shared" si="2"/>
        <v>61.35</v>
      </c>
      <c r="AH35" s="20">
        <f t="shared" si="3"/>
        <v>15.1</v>
      </c>
      <c r="AI35" s="20">
        <f t="shared" si="4"/>
        <v>7.9</v>
      </c>
      <c r="AJ35" s="20">
        <f t="shared" si="5"/>
        <v>21.8</v>
      </c>
      <c r="AK35" s="20">
        <f t="shared" si="6"/>
        <v>15.75</v>
      </c>
      <c r="AL35" s="20">
        <f t="shared" si="7"/>
        <v>11.4</v>
      </c>
      <c r="AM35" s="20">
        <f t="shared" si="8"/>
        <v>20.45</v>
      </c>
      <c r="AN35" s="20">
        <f t="shared" si="9"/>
        <v>21.400000000000002</v>
      </c>
      <c r="AO35" s="20">
        <f t="shared" si="10"/>
        <v>13.3</v>
      </c>
      <c r="AP35" s="20">
        <f t="shared" si="11"/>
        <v>16.899999999999999</v>
      </c>
      <c r="AQ35" s="20">
        <f t="shared" si="12"/>
        <v>34.550000000000004</v>
      </c>
      <c r="AR35" s="20">
        <f t="shared" si="13"/>
        <v>41.550000000000004</v>
      </c>
      <c r="AS35" s="35">
        <f>SUM(AF35:AR35)</f>
        <v>286.40000000000003</v>
      </c>
      <c r="AU35" s="47">
        <v>652919</v>
      </c>
      <c r="AV35" s="37">
        <f t="shared" si="34"/>
        <v>2456</v>
      </c>
      <c r="AW35" s="35">
        <f t="shared" si="14"/>
        <v>4.9119999999999999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22480</v>
      </c>
      <c r="R38" s="38">
        <f t="shared" ref="R38:AD38" si="62">SUM(R7:R37)</f>
        <v>225740</v>
      </c>
      <c r="S38" s="38">
        <f t="shared" si="62"/>
        <v>85430</v>
      </c>
      <c r="T38" s="38">
        <f t="shared" si="62"/>
        <v>54920</v>
      </c>
      <c r="U38" s="38">
        <f t="shared" si="62"/>
        <v>105690</v>
      </c>
      <c r="V38" s="38">
        <f t="shared" si="62"/>
        <v>83980</v>
      </c>
      <c r="W38" s="38">
        <f t="shared" si="62"/>
        <v>65850</v>
      </c>
      <c r="X38" s="38">
        <f t="shared" si="62"/>
        <v>82060</v>
      </c>
      <c r="Y38" s="38">
        <f t="shared" si="62"/>
        <v>110970</v>
      </c>
      <c r="Z38" s="38">
        <f t="shared" si="62"/>
        <v>67970</v>
      </c>
      <c r="AA38" s="38">
        <f t="shared" si="62"/>
        <v>80940</v>
      </c>
      <c r="AB38" s="38">
        <f t="shared" si="62"/>
        <v>181450</v>
      </c>
      <c r="AC38" s="38">
        <f t="shared" si="62"/>
        <v>246110</v>
      </c>
      <c r="AD38" s="38">
        <f t="shared" si="62"/>
        <v>1413590</v>
      </c>
      <c r="AF38" s="35">
        <f t="shared" ref="AF38:AS38" si="63">SUM(AF7:AF37)</f>
        <v>112.40000000000002</v>
      </c>
      <c r="AG38" s="35">
        <f t="shared" si="63"/>
        <v>1128.7</v>
      </c>
      <c r="AH38" s="35">
        <f t="shared" si="63"/>
        <v>427.15</v>
      </c>
      <c r="AI38" s="35">
        <f t="shared" si="63"/>
        <v>274.60000000000002</v>
      </c>
      <c r="AJ38" s="35">
        <f t="shared" si="63"/>
        <v>528.44999999999993</v>
      </c>
      <c r="AK38" s="35">
        <f t="shared" si="63"/>
        <v>419.90000000000015</v>
      </c>
      <c r="AL38" s="35">
        <f t="shared" si="63"/>
        <v>329.24999999999989</v>
      </c>
      <c r="AM38" s="35">
        <f t="shared" si="63"/>
        <v>410.29999999999995</v>
      </c>
      <c r="AN38" s="35">
        <f t="shared" si="63"/>
        <v>554.84999999999991</v>
      </c>
      <c r="AO38" s="35">
        <f t="shared" si="63"/>
        <v>339.85</v>
      </c>
      <c r="AP38" s="35">
        <f t="shared" si="63"/>
        <v>404.70000000000005</v>
      </c>
      <c r="AQ38" s="35">
        <f t="shared" si="63"/>
        <v>907.25</v>
      </c>
      <c r="AR38" s="35">
        <f t="shared" si="63"/>
        <v>1230.55</v>
      </c>
      <c r="AS38" s="35">
        <f t="shared" si="63"/>
        <v>7067.9500000000007</v>
      </c>
      <c r="AU38" s="48"/>
      <c r="AV38" s="35">
        <f>SUM(AV7:AV34)</f>
        <v>67265</v>
      </c>
      <c r="AW38" s="35">
        <f>SUM(AW7:AW34)</f>
        <v>134.53</v>
      </c>
    </row>
    <row r="39" spans="1:49" x14ac:dyDescent="0.25">
      <c r="D39">
        <v>5.0000000000000001E-3</v>
      </c>
      <c r="AV39" s="36">
        <f>AV38*0.00378541*1000</f>
        <v>254625.60364999998</v>
      </c>
    </row>
    <row r="40" spans="1:49" x14ac:dyDescent="0.25">
      <c r="D40">
        <v>2E-3</v>
      </c>
      <c r="AV40">
        <f>AV39/31</f>
        <v>8213.7291499999992</v>
      </c>
    </row>
    <row r="41" spans="1:49" x14ac:dyDescent="0.25">
      <c r="AV41">
        <f>AV38*0.00378541</f>
        <v>254.62560364999999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2021-05-30T04:33:35Z</dcterms:modified>
</cp:coreProperties>
</file>