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9E1B4FDD-F1F4-4136-A6F8-D3E2462E460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32" i="4"/>
  <c r="L2" i="4"/>
  <c r="N2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N32" i="4"/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2" i="4"/>
  <c r="C8" i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2" i="4" l="1"/>
  <c r="G32" i="4"/>
  <c r="E36" i="2"/>
  <c r="F36" i="2"/>
  <c r="G35" i="2"/>
  <c r="E37" i="1"/>
  <c r="F37" i="1"/>
  <c r="H36" i="1"/>
  <c r="I36" i="1"/>
  <c r="G36" i="1"/>
  <c r="E32" i="4" s="1"/>
  <c r="J36" i="1" l="1"/>
  <c r="K36" i="1" s="1"/>
  <c r="L36" i="1"/>
  <c r="J32" i="4" s="1"/>
  <c r="G31" i="4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40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/>
  <c r="J30" i="4" s="1"/>
  <c r="C37" i="1" l="1"/>
  <c r="G6" i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s="1"/>
  <c r="J2" i="4" l="1"/>
</calcChain>
</file>

<file path=xl/sharedStrings.xml><?xml version="1.0" encoding="utf-8"?>
<sst xmlns="http://schemas.openxmlformats.org/spreadsheetml/2006/main" count="117" uniqueCount="46">
  <si>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</si>
  <si>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</si>
  <si>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</si>
  <si>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</si>
  <si>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</si>
  <si>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</si>
  <si>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</si>
  <si>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</si>
  <si>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</si>
  <si>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</si>
  <si>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</si>
  <si>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</si>
  <si>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</si>
  <si>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</si>
  <si>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</si>
  <si>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</si>
  <si>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</si>
  <si>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</si>
  <si>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</si>
  <si>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</si>
  <si>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</si>
  <si>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</si>
  <si>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</si>
  <si>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</si>
  <si>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</si>
  <si>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</si>
  <si>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</si>
  <si>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</si>
  <si>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</si>
  <si>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</si>
  <si>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</si>
  <si>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</si>
  <si>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</si>
  <si>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</si>
  <si>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</si>
  <si>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</si>
  <si>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</si>
  <si>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1035.79</t>
  </si>
  <si>
    <t>Electricity Distribution 2018</t>
  </si>
  <si>
    <t>DAILY ELECTRICITY METER</t>
  </si>
  <si>
    <t>Jakarta Private Residences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</si>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</sst>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C1" workbookViewId="0">
      <selection activeCell="O3" sqref="O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41</v>
      </c>
      <c r="I1" s="50" t="s">
        <v>42</v>
      </c>
      <c r="J1" s="51" t="s">
        <v>27</v>
      </c>
      <c r="K1" s="54" t="s">
        <v>43</v>
      </c>
      <c r="L1" s="54" t="s">
        <v>29</v>
      </c>
      <c r="M1" s="54" t="s">
        <v>44</v>
      </c>
      <c r="N1" s="54" t="s">
        <v>36</v>
      </c>
      <c r="O1" s="50" t="s">
        <v>45</v>
      </c>
    </row>
    <row r="2" spans="1:15" x14ac:dyDescent="0.25">
      <c r="A2" s="48" t="s">
        <v>40</v>
      </c>
      <c r="B2" s="45">
        <v>1</v>
      </c>
      <c r="C2" s="45">
        <v>7</v>
      </c>
      <c r="D2" s="45">
        <f>Water!D5</f>
        <v>2018</v>
      </c>
      <c r="E2" s="43">
        <f>Electricity!G6</f>
        <v>23399.999999998727</v>
      </c>
      <c r="F2" s="43">
        <f>Electricity!E6</f>
        <v>2960.0000000000364</v>
      </c>
      <c r="G2" s="43">
        <f>Electricity!F6</f>
        <v>20439.99999999869</v>
      </c>
      <c r="H2" s="47">
        <v>1553.67</v>
      </c>
      <c r="I2" s="57" t="s">
        <v>28</v>
      </c>
      <c r="J2" s="106">
        <f>Electricity!L6</f>
        <v>26388691.353598665</v>
      </c>
      <c r="K2" s="43">
        <f>J2/E2</f>
        <v>1127.721852717953</v>
      </c>
      <c r="L2" s="58">
        <f>Water!G5</f>
        <v>230</v>
      </c>
      <c r="M2" s="58">
        <v>12550</v>
      </c>
      <c r="N2" s="106">
        <f>M2*L2</f>
        <v>2886500</v>
      </c>
      <c r="O2" s="43">
        <f>Electricity!C6</f>
        <v>160</v>
      </c>
    </row>
    <row r="3" spans="1:15" x14ac:dyDescent="0.25">
      <c r="A3" s="48" t="s">
        <v>40</v>
      </c>
      <c r="B3" s="45">
        <v>2</v>
      </c>
      <c r="C3" s="45">
        <v>7</v>
      </c>
      <c r="D3" s="45">
        <f>D2</f>
        <v>2018</v>
      </c>
      <c r="E3" s="43">
        <f>Electricity!G7</f>
        <v>25800.000000000182</v>
      </c>
      <c r="F3" s="43">
        <f>Electricity!E7</f>
        <v>6039.9999999999636</v>
      </c>
      <c r="G3" s="43">
        <f>Electricity!F7</f>
        <v>19760.000000000218</v>
      </c>
      <c r="H3" s="47">
        <v>1553.67</v>
      </c>
      <c r="I3" s="57" t="s">
        <v>28</v>
      </c>
      <c r="J3" s="106">
        <f>Electricity!L7</f>
        <v>30567607.910400171</v>
      </c>
      <c r="K3" s="43">
        <f t="shared" ref="K3:K32" si="0">J3/E3</f>
        <v>1184.7910042790681</v>
      </c>
      <c r="L3" s="58">
        <f>Water!G6</f>
        <v>253</v>
      </c>
      <c r="M3" s="58">
        <v>12550</v>
      </c>
      <c r="N3" s="106">
        <f t="shared" ref="N3:N32" si="1">M3*L3</f>
        <v>3175150</v>
      </c>
      <c r="O3" s="43">
        <f>O2</f>
        <v>160</v>
      </c>
    </row>
    <row r="4" spans="1:15" x14ac:dyDescent="0.25">
      <c r="A4" s="48" t="s">
        <v>40</v>
      </c>
      <c r="B4" s="45">
        <v>3</v>
      </c>
      <c r="C4" s="45">
        <v>7</v>
      </c>
      <c r="D4" s="45">
        <f t="shared" ref="D4:D32" si="2">D3</f>
        <v>2018</v>
      </c>
      <c r="E4" s="43">
        <f>Electricity!G8</f>
        <v>24720.000000000709</v>
      </c>
      <c r="F4" s="43">
        <f>Electricity!E8</f>
        <v>4599.9999999999091</v>
      </c>
      <c r="G4" s="43">
        <f>Electricity!F8</f>
        <v>20120.0000000008</v>
      </c>
      <c r="H4" s="47">
        <v>1553.67</v>
      </c>
      <c r="I4" s="57" t="s">
        <v>28</v>
      </c>
      <c r="J4" s="106">
        <f>Electricity!L8</f>
        <v>28658458.214400705</v>
      </c>
      <c r="K4" s="43">
        <f t="shared" si="0"/>
        <v>1159.3227433009661</v>
      </c>
      <c r="L4" s="58">
        <f>Water!G7</f>
        <v>252</v>
      </c>
      <c r="M4" s="58">
        <v>12550</v>
      </c>
      <c r="N4" s="106">
        <f t="shared" si="1"/>
        <v>3162600</v>
      </c>
      <c r="O4" s="43">
        <f t="shared" ref="O4:O32" si="3">O3</f>
        <v>160</v>
      </c>
    </row>
    <row r="5" spans="1:15" x14ac:dyDescent="0.25">
      <c r="A5" s="48" t="s">
        <v>40</v>
      </c>
      <c r="B5" s="45">
        <v>4</v>
      </c>
      <c r="C5" s="45">
        <v>7</v>
      </c>
      <c r="D5" s="45">
        <f t="shared" si="2"/>
        <v>2018</v>
      </c>
      <c r="E5" s="43">
        <f>Electricity!G9</f>
        <v>24559.999999999036</v>
      </c>
      <c r="F5" s="43">
        <f>Electricity!E9</f>
        <v>4599.9999999999091</v>
      </c>
      <c r="G5" s="43">
        <f>Electricity!F9</f>
        <v>19959.999999999127</v>
      </c>
      <c r="H5" s="47">
        <v>1553.67</v>
      </c>
      <c r="I5" s="57" t="s">
        <v>28</v>
      </c>
      <c r="J5" s="106">
        <f>Electricity!L9</f>
        <v>28488756.019198928</v>
      </c>
      <c r="K5" s="43">
        <f t="shared" si="0"/>
        <v>1159.9656359609139</v>
      </c>
      <c r="L5" s="58">
        <f>Water!G8</f>
        <v>268</v>
      </c>
      <c r="M5" s="58">
        <v>12550</v>
      </c>
      <c r="N5" s="106">
        <f t="shared" si="1"/>
        <v>3363400</v>
      </c>
      <c r="O5" s="43">
        <f t="shared" si="3"/>
        <v>160</v>
      </c>
    </row>
    <row r="6" spans="1:15" x14ac:dyDescent="0.25">
      <c r="A6" s="48" t="s">
        <v>40</v>
      </c>
      <c r="B6" s="45">
        <v>5</v>
      </c>
      <c r="C6" s="45">
        <v>7</v>
      </c>
      <c r="D6" s="45">
        <f t="shared" si="2"/>
        <v>2018</v>
      </c>
      <c r="E6" s="43">
        <f>Electricity!G10</f>
        <v>24720.000000000255</v>
      </c>
      <c r="F6" s="43">
        <f>Electricity!E10</f>
        <v>4720.0000000002547</v>
      </c>
      <c r="G6" s="43">
        <f>Electricity!F10</f>
        <v>20000</v>
      </c>
      <c r="H6" s="47">
        <v>1553.67</v>
      </c>
      <c r="I6" s="57" t="s">
        <v>28</v>
      </c>
      <c r="J6" s="106">
        <f>Electricity!L10</f>
        <v>28722096.537600402</v>
      </c>
      <c r="K6" s="43">
        <f t="shared" si="0"/>
        <v>1161.8971091262179</v>
      </c>
      <c r="L6" s="58">
        <f>Water!G9</f>
        <v>314</v>
      </c>
      <c r="M6" s="58">
        <v>12550</v>
      </c>
      <c r="N6" s="106">
        <f t="shared" si="1"/>
        <v>3940700</v>
      </c>
      <c r="O6" s="43">
        <f t="shared" si="3"/>
        <v>160</v>
      </c>
    </row>
    <row r="7" spans="1:15" x14ac:dyDescent="0.25">
      <c r="A7" s="48" t="s">
        <v>40</v>
      </c>
      <c r="B7" s="45">
        <v>6</v>
      </c>
      <c r="C7" s="45">
        <v>7</v>
      </c>
      <c r="D7" s="45">
        <f t="shared" si="2"/>
        <v>2018</v>
      </c>
      <c r="E7" s="43">
        <f>Electricity!G11</f>
        <v>23920.000000001437</v>
      </c>
      <c r="F7" s="43">
        <f>Electricity!E11</f>
        <v>4360.0000000001273</v>
      </c>
      <c r="G7" s="43">
        <f>Electricity!F11</f>
        <v>19560.00000000131</v>
      </c>
      <c r="H7" s="47">
        <v>1553.67</v>
      </c>
      <c r="I7" s="57" t="s">
        <v>28</v>
      </c>
      <c r="J7" s="106">
        <f>Electricity!L11</f>
        <v>27682670.592001591</v>
      </c>
      <c r="K7" s="43">
        <f t="shared" si="0"/>
        <v>1157.3022822742444</v>
      </c>
      <c r="L7" s="58">
        <f>Water!G10</f>
        <v>336</v>
      </c>
      <c r="M7" s="58">
        <v>12550</v>
      </c>
      <c r="N7" s="106">
        <f t="shared" si="1"/>
        <v>4216800</v>
      </c>
      <c r="O7" s="43">
        <f t="shared" si="3"/>
        <v>160</v>
      </c>
    </row>
    <row r="8" spans="1:15" x14ac:dyDescent="0.25">
      <c r="A8" s="48" t="s">
        <v>40</v>
      </c>
      <c r="B8" s="45">
        <v>7</v>
      </c>
      <c r="C8" s="45">
        <v>7</v>
      </c>
      <c r="D8" s="45">
        <f t="shared" si="2"/>
        <v>2018</v>
      </c>
      <c r="E8" s="43">
        <f>Electricity!G12</f>
        <v>26559.999999999945</v>
      </c>
      <c r="F8" s="43">
        <f>Electricity!E12</f>
        <v>4480.0000000000182</v>
      </c>
      <c r="G8" s="43">
        <f>Electricity!F12</f>
        <v>22079.999999999927</v>
      </c>
      <c r="H8" s="47">
        <v>1553.67</v>
      </c>
      <c r="I8" s="57" t="s">
        <v>28</v>
      </c>
      <c r="J8" s="106">
        <f>Electricity!L12</f>
        <v>30546395.135999952</v>
      </c>
      <c r="K8" s="43">
        <f t="shared" si="0"/>
        <v>1150.0901783132535</v>
      </c>
      <c r="L8" s="58">
        <f>Water!G11</f>
        <v>271</v>
      </c>
      <c r="M8" s="58">
        <v>12550</v>
      </c>
      <c r="N8" s="106">
        <f t="shared" si="1"/>
        <v>3401050</v>
      </c>
      <c r="O8" s="43">
        <f t="shared" si="3"/>
        <v>160</v>
      </c>
    </row>
    <row r="9" spans="1:15" x14ac:dyDescent="0.25">
      <c r="A9" s="48" t="s">
        <v>40</v>
      </c>
      <c r="B9" s="45">
        <v>8</v>
      </c>
      <c r="C9" s="45">
        <v>7</v>
      </c>
      <c r="D9" s="45">
        <f t="shared" si="2"/>
        <v>2018</v>
      </c>
      <c r="E9" s="43">
        <f>Electricity!G13</f>
        <v>22079.999999999472</v>
      </c>
      <c r="F9" s="43">
        <f>Electricity!E13</f>
        <v>3839.9999999996908</v>
      </c>
      <c r="G9" s="43">
        <f>Electricity!F13</f>
        <v>18239.999999999782</v>
      </c>
      <c r="H9" s="47">
        <v>1553.67</v>
      </c>
      <c r="I9" s="57" t="s">
        <v>28</v>
      </c>
      <c r="J9" s="106">
        <f>Electricity!L13</f>
        <v>25455329.279999275</v>
      </c>
      <c r="K9" s="43">
        <f t="shared" si="0"/>
        <v>1152.8681739130382</v>
      </c>
      <c r="L9" s="58">
        <f>Water!G12</f>
        <v>272</v>
      </c>
      <c r="M9" s="58">
        <v>12550</v>
      </c>
      <c r="N9" s="106">
        <f t="shared" si="1"/>
        <v>3413600</v>
      </c>
      <c r="O9" s="43">
        <f t="shared" si="3"/>
        <v>160</v>
      </c>
    </row>
    <row r="10" spans="1:15" x14ac:dyDescent="0.25">
      <c r="A10" s="48" t="s">
        <v>40</v>
      </c>
      <c r="B10" s="45">
        <v>9</v>
      </c>
      <c r="C10" s="45">
        <v>7</v>
      </c>
      <c r="D10" s="45">
        <f t="shared" si="2"/>
        <v>2018</v>
      </c>
      <c r="E10" s="43">
        <f>Electricity!G14</f>
        <v>25640.000000000327</v>
      </c>
      <c r="F10" s="43">
        <f>Electricity!E14</f>
        <v>4960.0000000000364</v>
      </c>
      <c r="G10" s="43">
        <f>Electricity!F14</f>
        <v>20680.000000000291</v>
      </c>
      <c r="H10" s="47">
        <v>1553.67</v>
      </c>
      <c r="I10" s="57" t="s">
        <v>28</v>
      </c>
      <c r="J10" s="106">
        <f>Electricity!L14</f>
        <v>29825160.806400362</v>
      </c>
      <c r="K10" s="43">
        <f t="shared" si="0"/>
        <v>1163.2278005616217</v>
      </c>
      <c r="L10" s="58">
        <f>Water!G13</f>
        <v>213</v>
      </c>
      <c r="M10" s="58">
        <v>12550</v>
      </c>
      <c r="N10" s="106">
        <f t="shared" si="1"/>
        <v>2673150</v>
      </c>
      <c r="O10" s="43">
        <f t="shared" si="3"/>
        <v>160</v>
      </c>
    </row>
    <row r="11" spans="1:15" x14ac:dyDescent="0.25">
      <c r="A11" s="48" t="s">
        <v>40</v>
      </c>
      <c r="B11" s="45">
        <v>10</v>
      </c>
      <c r="C11" s="45">
        <v>7</v>
      </c>
      <c r="D11" s="45">
        <f t="shared" si="2"/>
        <v>2018</v>
      </c>
      <c r="E11" s="43">
        <f>Electricity!G15</f>
        <v>25159.99999999849</v>
      </c>
      <c r="F11" s="43">
        <f>Electricity!E15</f>
        <v>4639.9999999998727</v>
      </c>
      <c r="G11" s="43">
        <f>Electricity!F15</f>
        <v>20519.999999998618</v>
      </c>
      <c r="H11" s="47">
        <v>1553.67</v>
      </c>
      <c r="I11" s="57" t="s">
        <v>28</v>
      </c>
      <c r="J11" s="106">
        <f>Electricity!L15</f>
        <v>29146352.025598332</v>
      </c>
      <c r="K11" s="43">
        <f t="shared" si="0"/>
        <v>1158.4400646104962</v>
      </c>
      <c r="L11" s="58">
        <f>Water!G14</f>
        <v>327</v>
      </c>
      <c r="M11" s="58">
        <v>12550</v>
      </c>
      <c r="N11" s="106">
        <f t="shared" si="1"/>
        <v>4103850</v>
      </c>
      <c r="O11" s="43">
        <f t="shared" si="3"/>
        <v>160</v>
      </c>
    </row>
    <row r="12" spans="1:15" x14ac:dyDescent="0.25">
      <c r="A12" s="48" t="s">
        <v>40</v>
      </c>
      <c r="B12" s="45">
        <v>11</v>
      </c>
      <c r="C12" s="45">
        <v>7</v>
      </c>
      <c r="D12" s="45">
        <f t="shared" si="2"/>
        <v>2018</v>
      </c>
      <c r="E12" s="43">
        <f>Electricity!G16</f>
        <v>26320.000000001528</v>
      </c>
      <c r="F12" s="43">
        <f>Electricity!E16</f>
        <v>4760.0000000002183</v>
      </c>
      <c r="G12" s="43">
        <f>Electricity!F16</f>
        <v>21560.00000000131</v>
      </c>
      <c r="H12" s="47">
        <v>1553.67</v>
      </c>
      <c r="I12" s="57" t="s">
        <v>28</v>
      </c>
      <c r="J12" s="106">
        <f>Electricity!L16</f>
        <v>30440331.264001735</v>
      </c>
      <c r="K12" s="43">
        <f t="shared" si="0"/>
        <v>1156.5475404255308</v>
      </c>
      <c r="L12" s="58">
        <f>Water!G15</f>
        <v>273</v>
      </c>
      <c r="M12" s="58">
        <v>12550</v>
      </c>
      <c r="N12" s="106">
        <f t="shared" si="1"/>
        <v>3426150</v>
      </c>
      <c r="O12" s="43">
        <f t="shared" si="3"/>
        <v>160</v>
      </c>
    </row>
    <row r="13" spans="1:15" x14ac:dyDescent="0.25">
      <c r="A13" s="48" t="s">
        <v>40</v>
      </c>
      <c r="B13" s="45">
        <v>12</v>
      </c>
      <c r="C13" s="45">
        <v>7</v>
      </c>
      <c r="D13" s="45">
        <f t="shared" si="2"/>
        <v>2018</v>
      </c>
      <c r="E13" s="43">
        <f>Electricity!G17</f>
        <v>26360.000000000127</v>
      </c>
      <c r="F13" s="43">
        <f>Electricity!E17</f>
        <v>5360.0000000001273</v>
      </c>
      <c r="G13" s="43">
        <f>Electricity!F17</f>
        <v>21000</v>
      </c>
      <c r="H13" s="47">
        <v>1553.67</v>
      </c>
      <c r="I13" s="57" t="s">
        <v>28</v>
      </c>
      <c r="J13" s="106">
        <f>Electricity!L17</f>
        <v>30800948.428800203</v>
      </c>
      <c r="K13" s="43">
        <f t="shared" si="0"/>
        <v>1168.4730056449187</v>
      </c>
      <c r="L13" s="58">
        <f>Water!G16</f>
        <v>331</v>
      </c>
      <c r="M13" s="58">
        <v>12550</v>
      </c>
      <c r="N13" s="106">
        <f t="shared" si="1"/>
        <v>4154050</v>
      </c>
      <c r="O13" s="43">
        <f t="shared" si="3"/>
        <v>160</v>
      </c>
    </row>
    <row r="14" spans="1:15" x14ac:dyDescent="0.25">
      <c r="A14" s="48" t="s">
        <v>40</v>
      </c>
      <c r="B14" s="45">
        <v>13</v>
      </c>
      <c r="C14" s="45">
        <v>7</v>
      </c>
      <c r="D14" s="45">
        <f t="shared" si="2"/>
        <v>2018</v>
      </c>
      <c r="E14" s="43">
        <f>Electricity!G18</f>
        <v>25080.000000000382</v>
      </c>
      <c r="F14" s="43">
        <f>Electricity!E18</f>
        <v>4480.0000000000182</v>
      </c>
      <c r="G14" s="43">
        <f>Electricity!F18</f>
        <v>20600.000000000364</v>
      </c>
      <c r="H14" s="47">
        <v>1553.67</v>
      </c>
      <c r="I14" s="57" t="s">
        <v>28</v>
      </c>
      <c r="J14" s="106">
        <f>Electricity!L18</f>
        <v>28976649.830400415</v>
      </c>
      <c r="K14" s="43">
        <f t="shared" si="0"/>
        <v>1155.368813014353</v>
      </c>
      <c r="L14" s="58">
        <f>Water!G17</f>
        <v>319</v>
      </c>
      <c r="M14" s="58">
        <v>12550</v>
      </c>
      <c r="N14" s="106">
        <f t="shared" si="1"/>
        <v>4003450</v>
      </c>
      <c r="O14" s="43">
        <f t="shared" si="3"/>
        <v>160</v>
      </c>
    </row>
    <row r="15" spans="1:15" x14ac:dyDescent="0.25">
      <c r="A15" s="48" t="s">
        <v>40</v>
      </c>
      <c r="B15" s="45">
        <v>14</v>
      </c>
      <c r="C15" s="45">
        <v>7</v>
      </c>
      <c r="D15" s="45">
        <f t="shared" si="2"/>
        <v>2018</v>
      </c>
      <c r="E15" s="43">
        <f>Electricity!G19</f>
        <v>25639.999999999873</v>
      </c>
      <c r="F15" s="43">
        <f>Electricity!E19</f>
        <v>4639.9999999998727</v>
      </c>
      <c r="G15" s="43">
        <f>Electricity!F19</f>
        <v>21000</v>
      </c>
      <c r="H15" s="47">
        <v>1553.67</v>
      </c>
      <c r="I15" s="57" t="s">
        <v>28</v>
      </c>
      <c r="J15" s="106">
        <f>Electricity!L19</f>
        <v>29655458.6111998</v>
      </c>
      <c r="K15" s="43">
        <f t="shared" si="0"/>
        <v>1156.6091502028059</v>
      </c>
      <c r="L15" s="58">
        <f>Water!G18</f>
        <v>347</v>
      </c>
      <c r="M15" s="58">
        <v>12550</v>
      </c>
      <c r="N15" s="106">
        <f t="shared" si="1"/>
        <v>4354850</v>
      </c>
      <c r="O15" s="43">
        <f t="shared" si="3"/>
        <v>160</v>
      </c>
    </row>
    <row r="16" spans="1:15" x14ac:dyDescent="0.25">
      <c r="A16" s="48" t="s">
        <v>40</v>
      </c>
      <c r="B16" s="45">
        <v>15</v>
      </c>
      <c r="C16" s="45">
        <v>7</v>
      </c>
      <c r="D16" s="45">
        <f t="shared" si="2"/>
        <v>2018</v>
      </c>
      <c r="E16" s="43">
        <f>Electricity!G20</f>
        <v>21079.999999999472</v>
      </c>
      <c r="F16" s="43">
        <f>Electricity!E20</f>
        <v>2519.9999999999818</v>
      </c>
      <c r="G16" s="43">
        <f>Electricity!F20</f>
        <v>18559.999999999491</v>
      </c>
      <c r="H16" s="47">
        <v>1553.67</v>
      </c>
      <c r="I16" s="57" t="s">
        <v>28</v>
      </c>
      <c r="J16" s="106">
        <f>Electricity!L20</f>
        <v>23694669.004799429</v>
      </c>
      <c r="K16" s="43">
        <f t="shared" si="0"/>
        <v>1124.035531537003</v>
      </c>
      <c r="L16" s="58">
        <f>Water!G19</f>
        <v>302</v>
      </c>
      <c r="M16" s="58">
        <v>12550</v>
      </c>
      <c r="N16" s="106">
        <f t="shared" si="1"/>
        <v>3790100</v>
      </c>
      <c r="O16" s="43">
        <f t="shared" si="3"/>
        <v>160</v>
      </c>
    </row>
    <row r="17" spans="1:15" x14ac:dyDescent="0.25">
      <c r="A17" s="48" t="s">
        <v>40</v>
      </c>
      <c r="B17" s="45">
        <v>16</v>
      </c>
      <c r="C17" s="45">
        <v>7</v>
      </c>
      <c r="D17" s="45">
        <f t="shared" si="2"/>
        <v>2018</v>
      </c>
      <c r="E17" s="43">
        <f>Electricity!G21</f>
        <v>30559.999999999036</v>
      </c>
      <c r="F17" s="43">
        <f>Electricity!E21</f>
        <v>6679.9999999998363</v>
      </c>
      <c r="G17" s="43">
        <f>Electricity!F21</f>
        <v>23879.9999999992</v>
      </c>
      <c r="H17" s="47">
        <v>1553.67</v>
      </c>
      <c r="I17" s="57" t="s">
        <v>28</v>
      </c>
      <c r="J17" s="106">
        <f>Electricity!L21</f>
        <v>35955652.607998885</v>
      </c>
      <c r="K17" s="43">
        <f t="shared" si="0"/>
        <v>1176.5593130890059</v>
      </c>
      <c r="L17" s="58">
        <f>Water!G20</f>
        <v>277</v>
      </c>
      <c r="M17" s="58">
        <v>12550</v>
      </c>
      <c r="N17" s="106">
        <f t="shared" si="1"/>
        <v>3476350</v>
      </c>
      <c r="O17" s="43">
        <f t="shared" si="3"/>
        <v>160</v>
      </c>
    </row>
    <row r="18" spans="1:15" x14ac:dyDescent="0.25">
      <c r="A18" s="48" t="s">
        <v>40</v>
      </c>
      <c r="B18" s="45">
        <v>17</v>
      </c>
      <c r="C18" s="45">
        <v>7</v>
      </c>
      <c r="D18" s="45">
        <f t="shared" si="2"/>
        <v>2018</v>
      </c>
      <c r="E18" s="43">
        <f>Electricity!G22</f>
        <v>26960.000000000946</v>
      </c>
      <c r="F18" s="43">
        <f>Electricity!E22</f>
        <v>5680.000000000291</v>
      </c>
      <c r="G18" s="43">
        <f>Electricity!F22</f>
        <v>21280.000000000655</v>
      </c>
      <c r="H18" s="47">
        <v>1553.67</v>
      </c>
      <c r="I18" s="57" t="s">
        <v>28</v>
      </c>
      <c r="J18" s="106">
        <f>Electricity!L22</f>
        <v>31607033.856001157</v>
      </c>
      <c r="K18" s="43">
        <f t="shared" si="0"/>
        <v>1172.367724629082</v>
      </c>
      <c r="L18" s="58">
        <f>Water!G21</f>
        <v>361</v>
      </c>
      <c r="M18" s="58">
        <v>12550</v>
      </c>
      <c r="N18" s="106">
        <f t="shared" si="1"/>
        <v>4530550</v>
      </c>
      <c r="O18" s="43">
        <f t="shared" si="3"/>
        <v>160</v>
      </c>
    </row>
    <row r="19" spans="1:15" x14ac:dyDescent="0.25">
      <c r="A19" s="48" t="s">
        <v>40</v>
      </c>
      <c r="B19" s="45">
        <v>18</v>
      </c>
      <c r="C19" s="45">
        <v>7</v>
      </c>
      <c r="D19" s="45">
        <f t="shared" si="2"/>
        <v>2018</v>
      </c>
      <c r="E19" s="43">
        <f>Electricity!G23</f>
        <v>25519.999999999982</v>
      </c>
      <c r="F19" s="43">
        <f>Electricity!E23</f>
        <v>4679.9999999998363</v>
      </c>
      <c r="G19" s="43">
        <f>Electricity!F23</f>
        <v>20840.000000000146</v>
      </c>
      <c r="H19" s="47">
        <v>1553.67</v>
      </c>
      <c r="I19" s="57" t="s">
        <v>28</v>
      </c>
      <c r="J19" s="106">
        <f>Electricity!L23</f>
        <v>29549394.739199895</v>
      </c>
      <c r="K19" s="43">
        <f t="shared" si="0"/>
        <v>1157.8916433855766</v>
      </c>
      <c r="L19" s="58">
        <f>Water!G22</f>
        <v>386</v>
      </c>
      <c r="M19" s="58">
        <v>12550</v>
      </c>
      <c r="N19" s="106">
        <f t="shared" si="1"/>
        <v>4844300</v>
      </c>
      <c r="O19" s="43">
        <f t="shared" si="3"/>
        <v>160</v>
      </c>
    </row>
    <row r="20" spans="1:15" x14ac:dyDescent="0.25">
      <c r="A20" s="48" t="s">
        <v>40</v>
      </c>
      <c r="B20" s="45">
        <v>19</v>
      </c>
      <c r="C20" s="45">
        <v>7</v>
      </c>
      <c r="D20" s="45">
        <f t="shared" si="2"/>
        <v>2018</v>
      </c>
      <c r="E20" s="43">
        <f>Electricity!G24</f>
        <v>25199.999999999818</v>
      </c>
      <c r="F20" s="43">
        <f>Electricity!E24</f>
        <v>3960.0000000000364</v>
      </c>
      <c r="G20" s="43">
        <f>Electricity!F24</f>
        <v>21239.999999999782</v>
      </c>
      <c r="H20" s="47">
        <v>1553.67</v>
      </c>
      <c r="I20" s="57" t="s">
        <v>28</v>
      </c>
      <c r="J20" s="106">
        <f>Electricity!L24</f>
        <v>28828160.409599822</v>
      </c>
      <c r="K20" s="43">
        <f t="shared" si="0"/>
        <v>1143.9746194285726</v>
      </c>
      <c r="L20" s="58">
        <f>Water!G23</f>
        <v>306</v>
      </c>
      <c r="M20" s="58">
        <v>12550</v>
      </c>
      <c r="N20" s="106">
        <f t="shared" si="1"/>
        <v>3840300</v>
      </c>
      <c r="O20" s="43">
        <f t="shared" si="3"/>
        <v>160</v>
      </c>
    </row>
    <row r="21" spans="1:15" x14ac:dyDescent="0.25">
      <c r="A21" s="48" t="s">
        <v>40</v>
      </c>
      <c r="B21" s="45">
        <v>20</v>
      </c>
      <c r="C21" s="45">
        <v>7</v>
      </c>
      <c r="D21" s="45">
        <f t="shared" si="2"/>
        <v>2018</v>
      </c>
      <c r="E21" s="43">
        <f>Electricity!G25</f>
        <v>26160.000000000309</v>
      </c>
      <c r="F21" s="43">
        <f>Electricity!E25</f>
        <v>5480.0000000000182</v>
      </c>
      <c r="G21" s="43">
        <f>Electricity!F25</f>
        <v>20680.000000000291</v>
      </c>
      <c r="H21" s="47">
        <v>1553.67</v>
      </c>
      <c r="I21" s="57" t="s">
        <v>28</v>
      </c>
      <c r="J21" s="106">
        <f>Electricity!L25</f>
        <v>30652459.008000337</v>
      </c>
      <c r="K21" s="43">
        <f t="shared" si="0"/>
        <v>1171.7300844036688</v>
      </c>
      <c r="L21" s="58">
        <f>Water!G24</f>
        <v>259</v>
      </c>
      <c r="M21" s="58">
        <v>12550</v>
      </c>
      <c r="N21" s="106">
        <f t="shared" si="1"/>
        <v>3250450</v>
      </c>
      <c r="O21" s="43">
        <f t="shared" si="3"/>
        <v>160</v>
      </c>
    </row>
    <row r="22" spans="1:15" x14ac:dyDescent="0.25">
      <c r="A22" s="48" t="s">
        <v>40</v>
      </c>
      <c r="B22" s="45">
        <v>21</v>
      </c>
      <c r="C22" s="45">
        <v>7</v>
      </c>
      <c r="D22" s="45">
        <f t="shared" si="2"/>
        <v>2018</v>
      </c>
      <c r="E22" s="43">
        <f>Electricity!G26</f>
        <v>25559.999999999036</v>
      </c>
      <c r="F22" s="43">
        <f>Electricity!E26</f>
        <v>4440.0000000000546</v>
      </c>
      <c r="G22" s="43">
        <f>Electricity!F26</f>
        <v>21119.999999998981</v>
      </c>
      <c r="H22" s="47">
        <v>1553.67</v>
      </c>
      <c r="I22" s="57" t="s">
        <v>28</v>
      </c>
      <c r="J22" s="106">
        <f>Electricity!L26</f>
        <v>29464543.641599007</v>
      </c>
      <c r="K22" s="43">
        <f t="shared" si="0"/>
        <v>1152.7599233802864</v>
      </c>
      <c r="L22" s="58">
        <f>Water!G25</f>
        <v>252</v>
      </c>
      <c r="M22" s="58">
        <v>12550</v>
      </c>
      <c r="N22" s="106">
        <f t="shared" si="1"/>
        <v>3162600</v>
      </c>
      <c r="O22" s="43">
        <f t="shared" si="3"/>
        <v>160</v>
      </c>
    </row>
    <row r="23" spans="1:15" x14ac:dyDescent="0.25">
      <c r="A23" s="48" t="s">
        <v>40</v>
      </c>
      <c r="B23" s="45">
        <v>22</v>
      </c>
      <c r="C23" s="45">
        <v>7</v>
      </c>
      <c r="D23" s="45">
        <f t="shared" si="2"/>
        <v>2018</v>
      </c>
      <c r="E23" s="43">
        <f>Electricity!G27</f>
        <v>25720.000000000709</v>
      </c>
      <c r="F23" s="43">
        <f>Electricity!E27</f>
        <v>5440.0000000000546</v>
      </c>
      <c r="G23" s="43">
        <f>Electricity!F27</f>
        <v>20280.000000000655</v>
      </c>
      <c r="H23" s="47">
        <v>1553.67</v>
      </c>
      <c r="I23" s="57" t="s">
        <v>28</v>
      </c>
      <c r="J23" s="106">
        <f>Electricity!L27</f>
        <v>30164565.19680078</v>
      </c>
      <c r="K23" s="43">
        <f t="shared" si="0"/>
        <v>1172.8058008087071</v>
      </c>
      <c r="L23" s="58">
        <f>Water!G26</f>
        <v>425</v>
      </c>
      <c r="M23" s="58">
        <v>12550</v>
      </c>
      <c r="N23" s="106">
        <f t="shared" si="1"/>
        <v>5333750</v>
      </c>
      <c r="O23" s="43">
        <f t="shared" si="3"/>
        <v>160</v>
      </c>
    </row>
    <row r="24" spans="1:15" x14ac:dyDescent="0.25">
      <c r="A24" s="48" t="s">
        <v>40</v>
      </c>
      <c r="B24" s="45">
        <v>23</v>
      </c>
      <c r="C24" s="45">
        <v>7</v>
      </c>
      <c r="D24" s="45">
        <f t="shared" si="2"/>
        <v>2018</v>
      </c>
      <c r="E24" s="43">
        <f>Electricity!G28</f>
        <v>23880.000000000564</v>
      </c>
      <c r="F24" s="43">
        <f>Electricity!E28</f>
        <v>3519.9999999999818</v>
      </c>
      <c r="G24" s="43">
        <f>Electricity!F28</f>
        <v>20360.000000000582</v>
      </c>
      <c r="H24" s="47">
        <v>1553.67</v>
      </c>
      <c r="I24" s="57" t="s">
        <v>28</v>
      </c>
      <c r="J24" s="106">
        <f>Electricity!L28</f>
        <v>27194776.780800588</v>
      </c>
      <c r="K24" s="43">
        <f t="shared" si="0"/>
        <v>1138.8097479396963</v>
      </c>
      <c r="L24" s="58">
        <f>Water!G27</f>
        <v>269</v>
      </c>
      <c r="M24" s="58">
        <v>12550</v>
      </c>
      <c r="N24" s="106">
        <f t="shared" si="1"/>
        <v>3375950</v>
      </c>
      <c r="O24" s="43">
        <f t="shared" si="3"/>
        <v>160</v>
      </c>
    </row>
    <row r="25" spans="1:15" x14ac:dyDescent="0.25">
      <c r="A25" s="48" t="s">
        <v>40</v>
      </c>
      <c r="B25" s="45">
        <v>24</v>
      </c>
      <c r="C25" s="45">
        <v>7</v>
      </c>
      <c r="D25" s="45">
        <f t="shared" si="2"/>
        <v>2018</v>
      </c>
      <c r="E25" s="43">
        <f>Electricity!G29</f>
        <v>25919.999999998254</v>
      </c>
      <c r="F25" s="43">
        <f>Electricity!E29</f>
        <v>5239.9999999997817</v>
      </c>
      <c r="G25" s="43">
        <f>Electricity!F29</f>
        <v>20679.999999998472</v>
      </c>
      <c r="H25" s="47">
        <v>1553.67</v>
      </c>
      <c r="I25" s="57" t="s">
        <v>28</v>
      </c>
      <c r="J25" s="106">
        <f>Electricity!L29</f>
        <v>30270629.068798032</v>
      </c>
      <c r="K25" s="43">
        <f t="shared" si="0"/>
        <v>1167.8483437037064</v>
      </c>
      <c r="L25" s="58">
        <f>Water!G28</f>
        <v>258</v>
      </c>
      <c r="M25" s="58">
        <v>12550</v>
      </c>
      <c r="N25" s="106">
        <f t="shared" si="1"/>
        <v>3237900</v>
      </c>
      <c r="O25" s="43">
        <f t="shared" si="3"/>
        <v>160</v>
      </c>
    </row>
    <row r="26" spans="1:15" x14ac:dyDescent="0.25">
      <c r="A26" s="48" t="s">
        <v>40</v>
      </c>
      <c r="B26" s="45">
        <v>25</v>
      </c>
      <c r="C26" s="45">
        <v>7</v>
      </c>
      <c r="D26" s="45">
        <f t="shared" si="2"/>
        <v>2018</v>
      </c>
      <c r="E26" s="43">
        <f>Electricity!G30</f>
        <v>25720.000000000255</v>
      </c>
      <c r="F26" s="43">
        <f>Electricity!E30</f>
        <v>4800.0000000001819</v>
      </c>
      <c r="G26" s="43">
        <f>Electricity!F30</f>
        <v>20920.000000000073</v>
      </c>
      <c r="H26" s="47">
        <v>1553.67</v>
      </c>
      <c r="I26" s="57" t="s">
        <v>28</v>
      </c>
      <c r="J26" s="106">
        <f>Electricity!L30</f>
        <v>29825160.806400366</v>
      </c>
      <c r="K26" s="43">
        <f t="shared" si="0"/>
        <v>1159.6096736547461</v>
      </c>
      <c r="L26" s="58">
        <f>Water!G29</f>
        <v>682</v>
      </c>
      <c r="M26" s="58">
        <v>12550</v>
      </c>
      <c r="N26" s="106">
        <f t="shared" si="1"/>
        <v>8559100</v>
      </c>
      <c r="O26" s="43">
        <f t="shared" si="3"/>
        <v>160</v>
      </c>
    </row>
    <row r="27" spans="1:15" x14ac:dyDescent="0.25">
      <c r="A27" s="48" t="s">
        <v>40</v>
      </c>
      <c r="B27" s="45">
        <v>26</v>
      </c>
      <c r="C27" s="45">
        <v>7</v>
      </c>
      <c r="D27" s="45">
        <f t="shared" si="2"/>
        <v>2018</v>
      </c>
      <c r="E27" s="43">
        <f>Electricity!G31</f>
        <v>25880.000000000564</v>
      </c>
      <c r="F27" s="43">
        <f>Electricity!E31</f>
        <v>5360.0000000001273</v>
      </c>
      <c r="G27" s="43">
        <f>Electricity!F31</f>
        <v>20520.000000000437</v>
      </c>
      <c r="H27" s="47">
        <v>1553.67</v>
      </c>
      <c r="I27" s="57" t="s">
        <v>28</v>
      </c>
      <c r="J27" s="106">
        <f>Electricity!L31</f>
        <v>30291841.843200665</v>
      </c>
      <c r="K27" s="43">
        <f t="shared" si="0"/>
        <v>1170.4730233075736</v>
      </c>
      <c r="L27" s="58">
        <f>Water!G30</f>
        <v>388</v>
      </c>
      <c r="M27" s="58">
        <v>12550</v>
      </c>
      <c r="N27" s="106">
        <f t="shared" si="1"/>
        <v>4869400</v>
      </c>
      <c r="O27" s="43">
        <f t="shared" si="3"/>
        <v>160</v>
      </c>
    </row>
    <row r="28" spans="1:15" x14ac:dyDescent="0.25">
      <c r="A28" s="48" t="s">
        <v>40</v>
      </c>
      <c r="B28" s="45">
        <v>27</v>
      </c>
      <c r="C28" s="45">
        <v>7</v>
      </c>
      <c r="D28" s="45">
        <f t="shared" si="2"/>
        <v>2018</v>
      </c>
      <c r="E28" s="43">
        <f>Electricity!G32</f>
        <v>25160.000000000309</v>
      </c>
      <c r="F28" s="43">
        <f>Electricity!E32</f>
        <v>4559.9999999999454</v>
      </c>
      <c r="G28" s="43">
        <f>Electricity!F32</f>
        <v>20600.000000000364</v>
      </c>
      <c r="H28" s="47">
        <v>1553.67</v>
      </c>
      <c r="I28" s="57" t="s">
        <v>28</v>
      </c>
      <c r="J28" s="106">
        <f>Electricity!L32</f>
        <v>29103926.4768003</v>
      </c>
      <c r="K28" s="43">
        <f t="shared" si="0"/>
        <v>1156.7538345309993</v>
      </c>
      <c r="L28" s="58">
        <f>Water!G31</f>
        <v>880</v>
      </c>
      <c r="M28" s="58">
        <v>12550</v>
      </c>
      <c r="N28" s="106">
        <f t="shared" si="1"/>
        <v>11044000</v>
      </c>
      <c r="O28" s="43">
        <f t="shared" si="3"/>
        <v>160</v>
      </c>
    </row>
    <row r="29" spans="1:15" x14ac:dyDescent="0.25">
      <c r="A29" s="48" t="s">
        <v>40</v>
      </c>
      <c r="B29" s="45">
        <v>28</v>
      </c>
      <c r="C29" s="45">
        <v>7</v>
      </c>
      <c r="D29" s="45">
        <f t="shared" si="2"/>
        <v>2018</v>
      </c>
      <c r="E29" s="43">
        <f>Electricity!G33</f>
        <v>24560.0000000004</v>
      </c>
      <c r="F29" s="43">
        <f>Electricity!E33</f>
        <v>4279.9999999997453</v>
      </c>
      <c r="G29" s="43">
        <f>Electricity!F33</f>
        <v>20280.000000000655</v>
      </c>
      <c r="H29" s="47">
        <v>1553.67</v>
      </c>
      <c r="I29" s="57" t="s">
        <v>28</v>
      </c>
      <c r="J29" s="106">
        <f>Electricity!L33</f>
        <v>28319053.824000288</v>
      </c>
      <c r="K29" s="43">
        <f t="shared" si="0"/>
        <v>1153.0559374592763</v>
      </c>
      <c r="L29" s="58">
        <f>Water!G32</f>
        <v>273</v>
      </c>
      <c r="M29" s="58">
        <v>12550</v>
      </c>
      <c r="N29" s="106">
        <f t="shared" si="1"/>
        <v>3426150</v>
      </c>
      <c r="O29" s="43">
        <f t="shared" si="3"/>
        <v>160</v>
      </c>
    </row>
    <row r="30" spans="1:15" s="43" customFormat="1" x14ac:dyDescent="0.25">
      <c r="A30" s="48" t="s">
        <v>40</v>
      </c>
      <c r="B30" s="45">
        <v>29</v>
      </c>
      <c r="C30" s="45">
        <v>7</v>
      </c>
      <c r="D30" s="45">
        <f t="shared" si="2"/>
        <v>2018</v>
      </c>
      <c r="E30" s="43">
        <f>Electricity!G34</f>
        <v>23959.999999998672</v>
      </c>
      <c r="F30" s="43">
        <f>Electricity!E34</f>
        <v>3599.9999999999091</v>
      </c>
      <c r="G30" s="43">
        <f>Electricity!F34</f>
        <v>20359.999999998763</v>
      </c>
      <c r="H30" s="47">
        <v>1553.67</v>
      </c>
      <c r="I30" s="57" t="s">
        <v>28</v>
      </c>
      <c r="J30" s="106">
        <f>Electricity!L34</f>
        <v>27322053.427198544</v>
      </c>
      <c r="K30" s="43">
        <f t="shared" si="0"/>
        <v>1140.3194251752946</v>
      </c>
      <c r="L30" s="58">
        <f>Water!G33</f>
        <v>889</v>
      </c>
      <c r="M30" s="58">
        <v>12550</v>
      </c>
      <c r="N30" s="106">
        <f t="shared" si="1"/>
        <v>11156950</v>
      </c>
      <c r="O30" s="43">
        <f t="shared" si="3"/>
        <v>160</v>
      </c>
    </row>
    <row r="31" spans="1:15" s="43" customFormat="1" x14ac:dyDescent="0.25">
      <c r="A31" s="48" t="s">
        <v>40</v>
      </c>
      <c r="B31" s="45">
        <v>30</v>
      </c>
      <c r="C31" s="45">
        <v>7</v>
      </c>
      <c r="D31" s="45">
        <f t="shared" si="2"/>
        <v>2018</v>
      </c>
      <c r="E31" s="43">
        <f>Electricity!G35</f>
        <v>26280.000000000655</v>
      </c>
      <c r="F31" s="43">
        <f>Electricity!E35</f>
        <v>5680.000000000291</v>
      </c>
      <c r="G31" s="43">
        <f>Electricity!F35</f>
        <v>20600.000000000364</v>
      </c>
      <c r="H31" s="47">
        <v>1553.67</v>
      </c>
      <c r="I31" s="57" t="s">
        <v>28</v>
      </c>
      <c r="J31" s="106">
        <f>Electricity!L35</f>
        <v>30885799.526400849</v>
      </c>
      <c r="K31" s="43">
        <f t="shared" si="0"/>
        <v>1175.2587338812816</v>
      </c>
      <c r="L31" s="58">
        <f>Water!G34</f>
        <v>435</v>
      </c>
      <c r="M31" s="58">
        <v>12550</v>
      </c>
      <c r="N31" s="106">
        <f t="shared" si="1"/>
        <v>5459250</v>
      </c>
      <c r="O31" s="43">
        <f t="shared" si="3"/>
        <v>160</v>
      </c>
    </row>
    <row r="32" spans="1:15" s="43" customFormat="1" x14ac:dyDescent="0.25">
      <c r="A32" s="48" t="s">
        <v>40</v>
      </c>
      <c r="B32" s="45">
        <v>31</v>
      </c>
      <c r="C32" s="45">
        <v>7</v>
      </c>
      <c r="D32" s="45">
        <f t="shared" si="2"/>
        <v>2018</v>
      </c>
      <c r="E32" s="43">
        <f>Electricity!G36</f>
        <v>25759.999999999764</v>
      </c>
      <c r="F32" s="43">
        <f>Electricity!E36</f>
        <v>4679.9999999998363</v>
      </c>
      <c r="G32" s="43">
        <f>Electricity!F36</f>
        <v>21079.999999999927</v>
      </c>
      <c r="H32" s="47">
        <v>1554.67</v>
      </c>
      <c r="I32" s="57" t="s">
        <v>37</v>
      </c>
      <c r="J32" s="106">
        <f>Electricity!L36</f>
        <v>29803948.031999659</v>
      </c>
      <c r="K32" s="43">
        <f t="shared" si="0"/>
        <v>1156.9855602484445</v>
      </c>
      <c r="L32" s="58">
        <f>Water!G35</f>
        <v>986</v>
      </c>
      <c r="M32" s="58">
        <v>12550</v>
      </c>
      <c r="N32" s="106">
        <f t="shared" si="1"/>
        <v>12374300</v>
      </c>
      <c r="O32" s="43">
        <f t="shared" si="3"/>
        <v>160</v>
      </c>
    </row>
    <row r="33" spans="1:13" s="43" customFormat="1" x14ac:dyDescent="0.25">
      <c r="A33" s="44"/>
      <c r="B33" s="46"/>
      <c r="C33" s="46"/>
      <c r="D33" s="45"/>
      <c r="I33" s="47"/>
      <c r="K33" s="47"/>
      <c r="L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H7" sqref="H7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1" t="s">
        <v>38</v>
      </c>
      <c r="C1" s="122"/>
      <c r="D1" s="122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39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35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2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43282</v>
      </c>
      <c r="C6" s="59">
        <v>160</v>
      </c>
      <c r="D6" s="87">
        <v>1035.78</v>
      </c>
      <c r="E6" s="113">
        <v>2960.0000000000364</v>
      </c>
      <c r="F6" s="113">
        <v>20439.99999999869</v>
      </c>
      <c r="G6" s="80">
        <f>F6+E6</f>
        <v>23399.999999998727</v>
      </c>
      <c r="H6" s="81">
        <f t="shared" ref="H6:H33" si="0">E6*1.5*D6</f>
        <v>4598863.2000000561</v>
      </c>
      <c r="I6" s="81">
        <f t="shared" ref="I6:I33" si="1">F6*D6</f>
        <v>21171343.199998643</v>
      </c>
      <c r="J6" s="81">
        <f t="shared" ref="J6:J30" si="2">I6+H6</f>
        <v>25770206.399998698</v>
      </c>
      <c r="K6" s="81">
        <f>J6*0.024</f>
        <v>618484.95359996881</v>
      </c>
      <c r="L6" s="104">
        <f>J6+K6</f>
        <v>26388691.353598665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43283</v>
      </c>
      <c r="C7" s="59">
        <f>C6</f>
        <v>160</v>
      </c>
      <c r="D7" s="87">
        <v>1035.78</v>
      </c>
      <c r="E7" s="113">
        <v>6039.9999999999636</v>
      </c>
      <c r="F7" s="113">
        <v>19760.000000000218</v>
      </c>
      <c r="G7" s="80">
        <f t="shared" ref="G7:G33" si="3">F7+E7</f>
        <v>25800.000000000182</v>
      </c>
      <c r="H7" s="81">
        <f t="shared" si="0"/>
        <v>9384166.799999943</v>
      </c>
      <c r="I7" s="81">
        <f t="shared" si="1"/>
        <v>20467012.800000224</v>
      </c>
      <c r="J7" s="81">
        <f t="shared" si="2"/>
        <v>29851179.600000165</v>
      </c>
      <c r="K7" s="81">
        <f t="shared" ref="K7:K36" si="4">J7*0.024</f>
        <v>716428.31040000403</v>
      </c>
      <c r="L7" s="104">
        <f>J7+K7</f>
        <v>30567607.910400171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43284</v>
      </c>
      <c r="C8" s="59">
        <f t="shared" ref="C8:C36" si="5">C7</f>
        <v>160</v>
      </c>
      <c r="D8" s="87">
        <v>1035.78</v>
      </c>
      <c r="E8" s="113">
        <v>4599.9999999999091</v>
      </c>
      <c r="F8" s="113">
        <v>20120.0000000008</v>
      </c>
      <c r="G8" s="80">
        <f t="shared" si="3"/>
        <v>24720.000000000709</v>
      </c>
      <c r="H8" s="81">
        <f t="shared" si="0"/>
        <v>7146881.9999998584</v>
      </c>
      <c r="I8" s="81">
        <f t="shared" si="1"/>
        <v>20839893.600000829</v>
      </c>
      <c r="J8" s="81">
        <f t="shared" si="2"/>
        <v>27986775.600000687</v>
      </c>
      <c r="K8" s="81">
        <f t="shared" si="4"/>
        <v>671682.61440001649</v>
      </c>
      <c r="L8" s="104">
        <f t="shared" ref="L8:L30" si="6">J8+K8</f>
        <v>28658458.214400705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43285</v>
      </c>
      <c r="C9" s="59">
        <f t="shared" si="5"/>
        <v>160</v>
      </c>
      <c r="D9" s="87">
        <v>1035.78</v>
      </c>
      <c r="E9" s="113">
        <v>4599.9999999999091</v>
      </c>
      <c r="F9" s="113">
        <v>19959.999999999127</v>
      </c>
      <c r="G9" s="80">
        <f t="shared" si="3"/>
        <v>24559.999999999036</v>
      </c>
      <c r="H9" s="81">
        <f t="shared" si="0"/>
        <v>7146881.9999998584</v>
      </c>
      <c r="I9" s="81">
        <f t="shared" si="1"/>
        <v>20674168.799999095</v>
      </c>
      <c r="J9" s="81">
        <f t="shared" si="2"/>
        <v>27821050.799998954</v>
      </c>
      <c r="K9" s="81">
        <f t="shared" si="4"/>
        <v>667705.2191999749</v>
      </c>
      <c r="L9" s="104">
        <f t="shared" si="6"/>
        <v>28488756.019198928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43286</v>
      </c>
      <c r="C10" s="59">
        <f t="shared" si="5"/>
        <v>160</v>
      </c>
      <c r="D10" s="87">
        <v>1035.78</v>
      </c>
      <c r="E10" s="113">
        <v>4720.0000000002547</v>
      </c>
      <c r="F10" s="113">
        <v>20000</v>
      </c>
      <c r="G10" s="80">
        <f t="shared" si="3"/>
        <v>24720.000000000255</v>
      </c>
      <c r="H10" s="81">
        <f t="shared" si="0"/>
        <v>7333322.4000003953</v>
      </c>
      <c r="I10" s="81">
        <f t="shared" si="1"/>
        <v>20715600</v>
      </c>
      <c r="J10" s="81">
        <f t="shared" si="2"/>
        <v>28048922.400000393</v>
      </c>
      <c r="K10" s="81">
        <f t="shared" si="4"/>
        <v>673174.13760000945</v>
      </c>
      <c r="L10" s="104">
        <f t="shared" si="6"/>
        <v>28722096.537600402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43287</v>
      </c>
      <c r="C11" s="59">
        <f t="shared" si="5"/>
        <v>160</v>
      </c>
      <c r="D11" s="87">
        <v>1035.78</v>
      </c>
      <c r="E11" s="113">
        <v>4360.0000000001273</v>
      </c>
      <c r="F11" s="113">
        <v>19560.00000000131</v>
      </c>
      <c r="G11" s="80">
        <f t="shared" si="3"/>
        <v>23920.000000001437</v>
      </c>
      <c r="H11" s="81">
        <f t="shared" si="0"/>
        <v>6774001.2000001976</v>
      </c>
      <c r="I11" s="81">
        <f t="shared" si="1"/>
        <v>20259856.800001357</v>
      </c>
      <c r="J11" s="81">
        <f t="shared" si="2"/>
        <v>27033858.000001553</v>
      </c>
      <c r="K11" s="81">
        <f t="shared" si="4"/>
        <v>648812.59200003732</v>
      </c>
      <c r="L11" s="104">
        <f t="shared" si="6"/>
        <v>27682670.592001591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43288</v>
      </c>
      <c r="C12" s="59">
        <f t="shared" si="5"/>
        <v>160</v>
      </c>
      <c r="D12" s="87">
        <v>1035.78</v>
      </c>
      <c r="E12" s="113">
        <v>4480.0000000000182</v>
      </c>
      <c r="F12" s="113">
        <v>22079.999999999927</v>
      </c>
      <c r="G12" s="80">
        <f t="shared" si="3"/>
        <v>26559.999999999945</v>
      </c>
      <c r="H12" s="81">
        <f t="shared" si="0"/>
        <v>6960441.6000000285</v>
      </c>
      <c r="I12" s="81">
        <f t="shared" si="1"/>
        <v>22870022.399999924</v>
      </c>
      <c r="J12" s="81">
        <f t="shared" si="2"/>
        <v>29830463.999999952</v>
      </c>
      <c r="K12" s="81">
        <f t="shared" si="4"/>
        <v>715931.13599999889</v>
      </c>
      <c r="L12" s="104">
        <f t="shared" si="6"/>
        <v>30546395.135999952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43289</v>
      </c>
      <c r="C13" s="59">
        <f t="shared" si="5"/>
        <v>160</v>
      </c>
      <c r="D13" s="87">
        <v>1035.78</v>
      </c>
      <c r="E13" s="113">
        <v>3839.9999999996908</v>
      </c>
      <c r="F13" s="113">
        <v>18239.999999999782</v>
      </c>
      <c r="G13" s="80">
        <f t="shared" si="3"/>
        <v>22079.999999999472</v>
      </c>
      <c r="H13" s="81">
        <f t="shared" si="0"/>
        <v>5966092.7999995193</v>
      </c>
      <c r="I13" s="81">
        <f t="shared" si="1"/>
        <v>18892627.199999772</v>
      </c>
      <c r="J13" s="81">
        <f t="shared" si="2"/>
        <v>24858719.999999292</v>
      </c>
      <c r="K13" s="81">
        <f t="shared" si="4"/>
        <v>596609.27999998303</v>
      </c>
      <c r="L13" s="104">
        <f t="shared" si="6"/>
        <v>25455329.279999275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43290</v>
      </c>
      <c r="C14" s="59">
        <f t="shared" si="5"/>
        <v>160</v>
      </c>
      <c r="D14" s="87">
        <v>1035.78</v>
      </c>
      <c r="E14" s="113">
        <v>4960.0000000000364</v>
      </c>
      <c r="F14" s="113">
        <v>20680.000000000291</v>
      </c>
      <c r="G14" s="80">
        <f t="shared" si="3"/>
        <v>25640.000000000327</v>
      </c>
      <c r="H14" s="81">
        <f t="shared" si="0"/>
        <v>7706203.2000000561</v>
      </c>
      <c r="I14" s="81">
        <f t="shared" si="1"/>
        <v>21419930.4000003</v>
      </c>
      <c r="J14" s="81">
        <f t="shared" si="2"/>
        <v>29126133.600000355</v>
      </c>
      <c r="K14" s="81">
        <f t="shared" si="4"/>
        <v>699027.20640000852</v>
      </c>
      <c r="L14" s="104">
        <f t="shared" si="6"/>
        <v>29825160.806400362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43291</v>
      </c>
      <c r="C15" s="59">
        <f t="shared" si="5"/>
        <v>160</v>
      </c>
      <c r="D15" s="87">
        <v>1035.78</v>
      </c>
      <c r="E15" s="113">
        <v>4639.9999999998727</v>
      </c>
      <c r="F15" s="113">
        <v>20519.999999998618</v>
      </c>
      <c r="G15" s="80">
        <f t="shared" si="3"/>
        <v>25159.99999999849</v>
      </c>
      <c r="H15" s="81">
        <f t="shared" si="0"/>
        <v>7209028.7999998024</v>
      </c>
      <c r="I15" s="81">
        <f t="shared" si="1"/>
        <v>21254205.599998567</v>
      </c>
      <c r="J15" s="81">
        <f t="shared" si="2"/>
        <v>28463234.399998371</v>
      </c>
      <c r="K15" s="81">
        <f t="shared" si="4"/>
        <v>683117.62559996091</v>
      </c>
      <c r="L15" s="104">
        <f t="shared" si="6"/>
        <v>29146352.025598332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43292</v>
      </c>
      <c r="C16" s="59">
        <f t="shared" si="5"/>
        <v>160</v>
      </c>
      <c r="D16" s="87">
        <v>1035.78</v>
      </c>
      <c r="E16" s="113">
        <v>4760.0000000002183</v>
      </c>
      <c r="F16" s="113">
        <v>21560.00000000131</v>
      </c>
      <c r="G16" s="80">
        <f t="shared" si="3"/>
        <v>26320.000000001528</v>
      </c>
      <c r="H16" s="81">
        <f t="shared" si="0"/>
        <v>7395469.2000003392</v>
      </c>
      <c r="I16" s="81">
        <f t="shared" si="1"/>
        <v>22331416.800001357</v>
      </c>
      <c r="J16" s="81">
        <f t="shared" si="2"/>
        <v>29726886.000001695</v>
      </c>
      <c r="K16" s="81">
        <f t="shared" si="4"/>
        <v>713445.26400004071</v>
      </c>
      <c r="L16" s="104">
        <f t="shared" si="6"/>
        <v>30440331.264001735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43293</v>
      </c>
      <c r="C17" s="59">
        <f t="shared" si="5"/>
        <v>160</v>
      </c>
      <c r="D17" s="87">
        <v>1035.78</v>
      </c>
      <c r="E17" s="113">
        <v>5360.0000000001273</v>
      </c>
      <c r="F17" s="113">
        <v>21000</v>
      </c>
      <c r="G17" s="80">
        <f t="shared" si="3"/>
        <v>26360.000000000127</v>
      </c>
      <c r="H17" s="81">
        <f t="shared" si="0"/>
        <v>8327671.2000001976</v>
      </c>
      <c r="I17" s="81">
        <f t="shared" si="1"/>
        <v>21751380</v>
      </c>
      <c r="J17" s="81">
        <f t="shared" si="2"/>
        <v>30079051.200000197</v>
      </c>
      <c r="K17" s="81">
        <f t="shared" si="4"/>
        <v>721897.2288000047</v>
      </c>
      <c r="L17" s="104">
        <f t="shared" si="6"/>
        <v>30800948.428800203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43294</v>
      </c>
      <c r="C18" s="59">
        <f t="shared" si="5"/>
        <v>160</v>
      </c>
      <c r="D18" s="87">
        <v>1035.78</v>
      </c>
      <c r="E18" s="113">
        <v>4480.0000000000182</v>
      </c>
      <c r="F18" s="113">
        <v>20600.000000000364</v>
      </c>
      <c r="G18" s="80">
        <f t="shared" si="3"/>
        <v>25080.000000000382</v>
      </c>
      <c r="H18" s="81">
        <f t="shared" si="0"/>
        <v>6960441.6000000285</v>
      </c>
      <c r="I18" s="81">
        <f t="shared" si="1"/>
        <v>21337068.000000376</v>
      </c>
      <c r="J18" s="81">
        <f t="shared" si="2"/>
        <v>28297509.600000404</v>
      </c>
      <c r="K18" s="81">
        <f t="shared" si="4"/>
        <v>679140.23040000966</v>
      </c>
      <c r="L18" s="104">
        <f t="shared" si="6"/>
        <v>28976649.830400415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43295</v>
      </c>
      <c r="C19" s="59">
        <f t="shared" si="5"/>
        <v>160</v>
      </c>
      <c r="D19" s="87">
        <v>1035.78</v>
      </c>
      <c r="E19" s="113">
        <v>4639.9999999998727</v>
      </c>
      <c r="F19" s="113">
        <v>21000</v>
      </c>
      <c r="G19" s="80">
        <f t="shared" si="3"/>
        <v>25639.999999999873</v>
      </c>
      <c r="H19" s="81">
        <f t="shared" si="0"/>
        <v>7209028.7999998024</v>
      </c>
      <c r="I19" s="81">
        <f t="shared" si="1"/>
        <v>21751380</v>
      </c>
      <c r="J19" s="81">
        <f t="shared" si="2"/>
        <v>28960408.799999803</v>
      </c>
      <c r="K19" s="81">
        <f t="shared" si="4"/>
        <v>695049.81119999534</v>
      </c>
      <c r="L19" s="104">
        <f t="shared" si="6"/>
        <v>29655458.6111998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43296</v>
      </c>
      <c r="C20" s="59">
        <f t="shared" si="5"/>
        <v>160</v>
      </c>
      <c r="D20" s="87">
        <v>1035.78</v>
      </c>
      <c r="E20" s="113">
        <v>2519.9999999999818</v>
      </c>
      <c r="F20" s="113">
        <v>18559.999999999491</v>
      </c>
      <c r="G20" s="80">
        <f t="shared" si="3"/>
        <v>21079.999999999472</v>
      </c>
      <c r="H20" s="81">
        <f t="shared" si="0"/>
        <v>3915248.3999999715</v>
      </c>
      <c r="I20" s="81">
        <f t="shared" si="1"/>
        <v>19224076.799999472</v>
      </c>
      <c r="J20" s="81">
        <f t="shared" si="2"/>
        <v>23139325.199999444</v>
      </c>
      <c r="K20" s="81">
        <f t="shared" si="4"/>
        <v>555343.80479998665</v>
      </c>
      <c r="L20" s="104">
        <f t="shared" si="6"/>
        <v>23694669.004799429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43297</v>
      </c>
      <c r="C21" s="59">
        <f t="shared" si="5"/>
        <v>160</v>
      </c>
      <c r="D21" s="87">
        <v>1035.78</v>
      </c>
      <c r="E21" s="113">
        <v>6679.9999999998363</v>
      </c>
      <c r="F21" s="113">
        <v>23879.9999999992</v>
      </c>
      <c r="G21" s="80">
        <f t="shared" si="3"/>
        <v>30559.999999999036</v>
      </c>
      <c r="H21" s="81">
        <f t="shared" si="0"/>
        <v>10378515.599999744</v>
      </c>
      <c r="I21" s="81">
        <f t="shared" si="1"/>
        <v>24734426.399999171</v>
      </c>
      <c r="J21" s="81">
        <f t="shared" si="2"/>
        <v>35112941.999998912</v>
      </c>
      <c r="K21" s="81">
        <f t="shared" si="4"/>
        <v>842710.60799997393</v>
      </c>
      <c r="L21" s="104">
        <f t="shared" si="6"/>
        <v>35955652.607998885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43298</v>
      </c>
      <c r="C22" s="59">
        <f t="shared" si="5"/>
        <v>160</v>
      </c>
      <c r="D22" s="87">
        <v>1035.78</v>
      </c>
      <c r="E22" s="113">
        <v>5680.000000000291</v>
      </c>
      <c r="F22" s="113">
        <v>21280.000000000655</v>
      </c>
      <c r="G22" s="80">
        <f t="shared" si="3"/>
        <v>26960.000000000946</v>
      </c>
      <c r="H22" s="81">
        <f t="shared" si="0"/>
        <v>8824845.6000004523</v>
      </c>
      <c r="I22" s="81">
        <f t="shared" si="1"/>
        <v>22041398.400000677</v>
      </c>
      <c r="J22" s="81">
        <f t="shared" si="2"/>
        <v>30866244.000001129</v>
      </c>
      <c r="K22" s="81">
        <f t="shared" si="4"/>
        <v>740789.85600002715</v>
      </c>
      <c r="L22" s="104">
        <f t="shared" si="6"/>
        <v>31607033.856001157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43299</v>
      </c>
      <c r="C23" s="59">
        <f t="shared" si="5"/>
        <v>160</v>
      </c>
      <c r="D23" s="87">
        <v>1035.78</v>
      </c>
      <c r="E23" s="113">
        <v>4679.9999999998363</v>
      </c>
      <c r="F23" s="113">
        <v>20840.000000000146</v>
      </c>
      <c r="G23" s="80">
        <f t="shared" si="3"/>
        <v>25519.999999999982</v>
      </c>
      <c r="H23" s="81">
        <f t="shared" si="0"/>
        <v>7271175.5999997454</v>
      </c>
      <c r="I23" s="81">
        <f t="shared" si="1"/>
        <v>21585655.200000152</v>
      </c>
      <c r="J23" s="81">
        <f t="shared" si="2"/>
        <v>28856830.799999896</v>
      </c>
      <c r="K23" s="81">
        <f t="shared" si="4"/>
        <v>692563.93919999758</v>
      </c>
      <c r="L23" s="104">
        <f t="shared" si="6"/>
        <v>29549394.739199895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43300</v>
      </c>
      <c r="C24" s="59">
        <f t="shared" si="5"/>
        <v>160</v>
      </c>
      <c r="D24" s="87">
        <v>1035.78</v>
      </c>
      <c r="E24" s="113">
        <v>3960.0000000000364</v>
      </c>
      <c r="F24" s="113">
        <v>21239.999999999782</v>
      </c>
      <c r="G24" s="80">
        <f t="shared" si="3"/>
        <v>25199.999999999818</v>
      </c>
      <c r="H24" s="81">
        <f t="shared" si="0"/>
        <v>6152533.2000000561</v>
      </c>
      <c r="I24" s="81">
        <f t="shared" si="1"/>
        <v>21999967.199999772</v>
      </c>
      <c r="J24" s="81">
        <f t="shared" si="2"/>
        <v>28152500.399999827</v>
      </c>
      <c r="K24" s="81">
        <f t="shared" si="4"/>
        <v>675660.00959999592</v>
      </c>
      <c r="L24" s="104">
        <f t="shared" si="6"/>
        <v>28828160.409599822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43301</v>
      </c>
      <c r="C25" s="59">
        <f t="shared" si="5"/>
        <v>160</v>
      </c>
      <c r="D25" s="87">
        <v>1035.78</v>
      </c>
      <c r="E25" s="113">
        <v>5480.0000000000182</v>
      </c>
      <c r="F25" s="113">
        <v>20680.000000000291</v>
      </c>
      <c r="G25" s="80">
        <f t="shared" si="3"/>
        <v>26160.000000000309</v>
      </c>
      <c r="H25" s="81">
        <f t="shared" si="0"/>
        <v>8514111.6000000276</v>
      </c>
      <c r="I25" s="81">
        <f t="shared" si="1"/>
        <v>21419930.4000003</v>
      </c>
      <c r="J25" s="81">
        <f t="shared" si="2"/>
        <v>29934042.000000328</v>
      </c>
      <c r="K25" s="81">
        <f t="shared" si="4"/>
        <v>718417.00800000783</v>
      </c>
      <c r="L25" s="104">
        <f t="shared" si="6"/>
        <v>30652459.008000337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43302</v>
      </c>
      <c r="C26" s="59">
        <f t="shared" si="5"/>
        <v>160</v>
      </c>
      <c r="D26" s="87">
        <v>1035.78</v>
      </c>
      <c r="E26" s="113">
        <v>4440.0000000000546</v>
      </c>
      <c r="F26" s="113">
        <v>21119.999999998981</v>
      </c>
      <c r="G26" s="80">
        <f t="shared" si="3"/>
        <v>25559.999999999036</v>
      </c>
      <c r="H26" s="81">
        <f t="shared" si="0"/>
        <v>6898294.8000000846</v>
      </c>
      <c r="I26" s="81">
        <f t="shared" si="1"/>
        <v>21875673.599998944</v>
      </c>
      <c r="J26" s="81">
        <f t="shared" si="2"/>
        <v>28773968.39999903</v>
      </c>
      <c r="K26" s="81">
        <f t="shared" si="4"/>
        <v>690575.24159997678</v>
      </c>
      <c r="L26" s="104">
        <f>J26+K26</f>
        <v>29464543.641599007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43303</v>
      </c>
      <c r="C27" s="59">
        <f t="shared" si="5"/>
        <v>160</v>
      </c>
      <c r="D27" s="87">
        <v>1035.78</v>
      </c>
      <c r="E27" s="113">
        <v>5440.0000000000546</v>
      </c>
      <c r="F27" s="113">
        <v>20280.000000000655</v>
      </c>
      <c r="G27" s="80">
        <f t="shared" si="3"/>
        <v>25720.000000000709</v>
      </c>
      <c r="H27" s="81">
        <f t="shared" si="0"/>
        <v>8451964.8000000846</v>
      </c>
      <c r="I27" s="81">
        <f t="shared" si="1"/>
        <v>21005618.400000677</v>
      </c>
      <c r="J27" s="81">
        <f t="shared" si="2"/>
        <v>29457583.200000763</v>
      </c>
      <c r="K27" s="81">
        <f t="shared" si="4"/>
        <v>706981.99680001836</v>
      </c>
      <c r="L27" s="104">
        <f t="shared" si="6"/>
        <v>30164565.19680078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43304</v>
      </c>
      <c r="C28" s="59">
        <f t="shared" si="5"/>
        <v>160</v>
      </c>
      <c r="D28" s="87">
        <v>1035.78</v>
      </c>
      <c r="E28" s="113">
        <v>3519.9999999999818</v>
      </c>
      <c r="F28" s="113">
        <v>20360.000000000582</v>
      </c>
      <c r="G28" s="80">
        <f t="shared" si="3"/>
        <v>23880.000000000564</v>
      </c>
      <c r="H28" s="81">
        <f t="shared" si="0"/>
        <v>5468918.3999999715</v>
      </c>
      <c r="I28" s="81">
        <f t="shared" si="1"/>
        <v>21088480.800000601</v>
      </c>
      <c r="J28" s="81">
        <f t="shared" si="2"/>
        <v>26557399.200000573</v>
      </c>
      <c r="K28" s="81">
        <f t="shared" si="4"/>
        <v>637377.58080001373</v>
      </c>
      <c r="L28" s="104">
        <f t="shared" si="6"/>
        <v>27194776.780800588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43305</v>
      </c>
      <c r="C29" s="59">
        <f t="shared" si="5"/>
        <v>160</v>
      </c>
      <c r="D29" s="87">
        <v>1035.78</v>
      </c>
      <c r="E29" s="113">
        <v>5239.9999999997817</v>
      </c>
      <c r="F29" s="113">
        <v>20679.999999998472</v>
      </c>
      <c r="G29" s="80">
        <f t="shared" si="3"/>
        <v>25919.999999998254</v>
      </c>
      <c r="H29" s="81">
        <f t="shared" si="0"/>
        <v>8141230.7999996608</v>
      </c>
      <c r="I29" s="81">
        <f t="shared" si="1"/>
        <v>21419930.399998415</v>
      </c>
      <c r="J29" s="81">
        <f t="shared" si="2"/>
        <v>29561161.199998077</v>
      </c>
      <c r="K29" s="81">
        <f t="shared" si="4"/>
        <v>709467.86879995384</v>
      </c>
      <c r="L29" s="104">
        <f t="shared" si="6"/>
        <v>30270629.068798032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43306</v>
      </c>
      <c r="C30" s="59">
        <f t="shared" si="5"/>
        <v>160</v>
      </c>
      <c r="D30" s="87">
        <v>1035.78</v>
      </c>
      <c r="E30" s="113">
        <v>4800.0000000001819</v>
      </c>
      <c r="F30" s="113">
        <v>20920.000000000073</v>
      </c>
      <c r="G30" s="80">
        <f t="shared" si="3"/>
        <v>25720.000000000255</v>
      </c>
      <c r="H30" s="81">
        <f t="shared" si="0"/>
        <v>7457616.0000002822</v>
      </c>
      <c r="I30" s="81">
        <f t="shared" si="1"/>
        <v>21668517.600000076</v>
      </c>
      <c r="J30" s="81">
        <f t="shared" si="2"/>
        <v>29126133.600000359</v>
      </c>
      <c r="K30" s="81">
        <f t="shared" si="4"/>
        <v>699027.20640000864</v>
      </c>
      <c r="L30" s="104">
        <f t="shared" si="6"/>
        <v>29825160.806400366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43307</v>
      </c>
      <c r="C31" s="59">
        <f t="shared" si="5"/>
        <v>160</v>
      </c>
      <c r="D31" s="87">
        <v>1035.78</v>
      </c>
      <c r="E31" s="113">
        <v>5360.0000000001273</v>
      </c>
      <c r="F31" s="113">
        <v>20520.000000000437</v>
      </c>
      <c r="G31" s="80">
        <f t="shared" si="3"/>
        <v>25880.000000000564</v>
      </c>
      <c r="H31" s="81">
        <f t="shared" si="0"/>
        <v>8327671.2000001976</v>
      </c>
      <c r="I31" s="81">
        <f t="shared" si="1"/>
        <v>21254205.600000452</v>
      </c>
      <c r="J31" s="81">
        <f t="shared" ref="J31:J33" si="7">I31+H31</f>
        <v>29581876.800000649</v>
      </c>
      <c r="K31" s="81">
        <f t="shared" si="4"/>
        <v>709965.04320001556</v>
      </c>
      <c r="L31" s="104">
        <f t="shared" ref="L31:L33" si="8">J31+K31</f>
        <v>30291841.843200665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43308</v>
      </c>
      <c r="C32" s="59">
        <f t="shared" si="5"/>
        <v>160</v>
      </c>
      <c r="D32" s="87">
        <v>1035.78</v>
      </c>
      <c r="E32" s="113">
        <v>4559.9999999999454</v>
      </c>
      <c r="F32" s="113">
        <v>20600.000000000364</v>
      </c>
      <c r="G32" s="80">
        <f t="shared" si="3"/>
        <v>25160.000000000309</v>
      </c>
      <c r="H32" s="81">
        <f t="shared" si="0"/>
        <v>7084735.1999999154</v>
      </c>
      <c r="I32" s="81">
        <f t="shared" si="1"/>
        <v>21337068.000000376</v>
      </c>
      <c r="J32" s="81">
        <f t="shared" si="7"/>
        <v>28421803.200000294</v>
      </c>
      <c r="K32" s="81">
        <f t="shared" si="4"/>
        <v>682123.27680000709</v>
      </c>
      <c r="L32" s="104">
        <f t="shared" si="8"/>
        <v>29103926.4768003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43309</v>
      </c>
      <c r="C33" s="59">
        <f t="shared" si="5"/>
        <v>160</v>
      </c>
      <c r="D33" s="87">
        <v>1035.78</v>
      </c>
      <c r="E33" s="113">
        <v>4279.9999999997453</v>
      </c>
      <c r="F33" s="113">
        <v>20280.000000000655</v>
      </c>
      <c r="G33" s="80">
        <f t="shared" si="3"/>
        <v>24560.0000000004</v>
      </c>
      <c r="H33" s="81">
        <f t="shared" si="0"/>
        <v>6649707.5999996038</v>
      </c>
      <c r="I33" s="81">
        <f t="shared" si="1"/>
        <v>21005618.400000677</v>
      </c>
      <c r="J33" s="81">
        <f t="shared" si="7"/>
        <v>27655326.000000279</v>
      </c>
      <c r="K33" s="81">
        <f t="shared" si="4"/>
        <v>663727.82400000677</v>
      </c>
      <c r="L33" s="104">
        <f t="shared" si="8"/>
        <v>28319053.824000288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43310</v>
      </c>
      <c r="C34" s="59">
        <f t="shared" si="5"/>
        <v>160</v>
      </c>
      <c r="D34" s="87">
        <v>1035.78</v>
      </c>
      <c r="E34" s="113">
        <v>3599.9999999999091</v>
      </c>
      <c r="F34" s="113">
        <v>20359.999999998763</v>
      </c>
      <c r="G34" s="80">
        <f t="shared" ref="G34" si="9">F34+E34</f>
        <v>23959.999999998672</v>
      </c>
      <c r="H34" s="81">
        <f t="shared" ref="H34" si="10">E34*1.5*D34</f>
        <v>5593211.9999998584</v>
      </c>
      <c r="I34" s="81">
        <f t="shared" ref="I34" si="11">F34*D34</f>
        <v>21088480.799998719</v>
      </c>
      <c r="J34" s="81">
        <f t="shared" ref="J34" si="12">I34+H34</f>
        <v>26681692.799998578</v>
      </c>
      <c r="K34" s="81">
        <f t="shared" si="4"/>
        <v>640360.62719996588</v>
      </c>
      <c r="L34" s="104">
        <f t="shared" ref="L34" si="13">J34+K34</f>
        <v>27322053.427198544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43311</v>
      </c>
      <c r="C35" s="59">
        <f t="shared" si="5"/>
        <v>160</v>
      </c>
      <c r="D35" s="87">
        <v>1035.78</v>
      </c>
      <c r="E35" s="113">
        <v>5680.000000000291</v>
      </c>
      <c r="F35" s="113">
        <v>20600.000000000364</v>
      </c>
      <c r="G35" s="80">
        <f t="shared" ref="G35:G36" si="14">F35+E35</f>
        <v>26280.000000000655</v>
      </c>
      <c r="H35" s="81">
        <f t="shared" ref="H35" si="15">E35*1.5*D35</f>
        <v>8824845.6000004523</v>
      </c>
      <c r="I35" s="81">
        <f t="shared" ref="I35" si="16">F35*D35</f>
        <v>21337068.000000376</v>
      </c>
      <c r="J35" s="81">
        <f t="shared" ref="J35" si="17">I35+H35</f>
        <v>30161913.600000829</v>
      </c>
      <c r="K35" s="81">
        <f t="shared" si="4"/>
        <v>723885.9264000199</v>
      </c>
      <c r="L35" s="104">
        <f t="shared" ref="L35" si="18">J35+K35</f>
        <v>30885799.526400849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43312</v>
      </c>
      <c r="C36" s="59">
        <f t="shared" si="5"/>
        <v>160</v>
      </c>
      <c r="D36" s="87">
        <v>1035.78</v>
      </c>
      <c r="E36" s="113">
        <v>4679.9999999998363</v>
      </c>
      <c r="F36" s="113">
        <v>21079.999999999927</v>
      </c>
      <c r="G36" s="80">
        <f t="shared" si="14"/>
        <v>25759.999999999764</v>
      </c>
      <c r="H36" s="81">
        <f t="shared" ref="H36" si="19">E36*1.5*D36</f>
        <v>7271175.5999997454</v>
      </c>
      <c r="I36" s="81">
        <f t="shared" ref="I36" si="20">F36*D36</f>
        <v>21834242.399999924</v>
      </c>
      <c r="J36" s="81">
        <f t="shared" ref="J36" si="21">I36+H36</f>
        <v>29105417.999999668</v>
      </c>
      <c r="K36" s="81">
        <f t="shared" si="4"/>
        <v>698530.03199999209</v>
      </c>
      <c r="L36" s="104">
        <f t="shared" ref="L36" si="22">J36+K36</f>
        <v>29803948.031999659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4480</v>
      </c>
      <c r="D37" s="88"/>
      <c r="E37" s="82">
        <f t="shared" ref="E37:G37" si="23">SUM(E6:E35)</f>
        <v>140360.00000000017</v>
      </c>
      <c r="F37" s="82">
        <f t="shared" si="23"/>
        <v>617719.9999999993</v>
      </c>
      <c r="G37" s="82">
        <f t="shared" si="23"/>
        <v>758079.99999999953</v>
      </c>
      <c r="H37" s="82">
        <f>SUM(H6:H35)</f>
        <v>218073121.20000014</v>
      </c>
      <c r="I37" s="82">
        <f>SUM(I6:I35)</f>
        <v>639822021.59999943</v>
      </c>
      <c r="J37" s="82">
        <f>SUM(J6:J35)</f>
        <v>857895142.79999936</v>
      </c>
      <c r="K37" s="82">
        <f>SUM(K6:K35)</f>
        <v>20589483.42719999</v>
      </c>
      <c r="L37" s="82">
        <f>SUM(L6:L36)</f>
        <v>908288574.25919926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F5" sqref="F5:F35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6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3" customFormat="1" ht="27" customHeight="1" x14ac:dyDescent="0.3">
      <c r="A3" s="61"/>
      <c r="B3" s="138" t="s">
        <v>0</v>
      </c>
      <c r="C3" s="138" t="s">
        <v>22</v>
      </c>
      <c r="D3" s="139" t="s">
        <v>21</v>
      </c>
      <c r="E3" s="75" t="s">
        <v>30</v>
      </c>
      <c r="F3" s="77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8"/>
      <c r="C4" s="138"/>
      <c r="D4" s="140"/>
      <c r="E4" s="78" t="s">
        <v>31</v>
      </c>
      <c r="F4" s="77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9">
        <v>1</v>
      </c>
      <c r="C5" s="79">
        <v>7</v>
      </c>
      <c r="D5" s="79">
        <v>2018</v>
      </c>
      <c r="E5" s="111">
        <v>54</v>
      </c>
      <c r="F5" s="114">
        <v>176</v>
      </c>
      <c r="G5" s="56">
        <f>E5+F5</f>
        <v>230</v>
      </c>
    </row>
    <row r="6" spans="1:43" ht="15.75" x14ac:dyDescent="0.25">
      <c r="B6" s="79">
        <v>2</v>
      </c>
      <c r="C6" s="79">
        <v>7</v>
      </c>
      <c r="D6" s="79">
        <f>D5</f>
        <v>2018</v>
      </c>
      <c r="E6" s="111">
        <v>52</v>
      </c>
      <c r="F6" s="114">
        <v>201</v>
      </c>
      <c r="G6" s="56">
        <f t="shared" ref="G6:G35" si="0">E6+F6</f>
        <v>253</v>
      </c>
    </row>
    <row r="7" spans="1:43" ht="15.75" x14ac:dyDescent="0.25">
      <c r="B7" s="79">
        <v>3</v>
      </c>
      <c r="C7" s="79">
        <v>7</v>
      </c>
      <c r="D7" s="79">
        <f t="shared" ref="D7:D35" si="1">D6</f>
        <v>2018</v>
      </c>
      <c r="E7" s="111">
        <v>52</v>
      </c>
      <c r="F7" s="114">
        <v>200</v>
      </c>
      <c r="G7" s="56">
        <f t="shared" si="0"/>
        <v>252</v>
      </c>
    </row>
    <row r="8" spans="1:43" ht="15.75" x14ac:dyDescent="0.25">
      <c r="B8" s="79">
        <v>4</v>
      </c>
      <c r="C8" s="79">
        <v>7</v>
      </c>
      <c r="D8" s="79">
        <f t="shared" si="1"/>
        <v>2018</v>
      </c>
      <c r="E8" s="111">
        <v>53</v>
      </c>
      <c r="F8" s="114">
        <v>215</v>
      </c>
      <c r="G8" s="56">
        <f t="shared" si="0"/>
        <v>268</v>
      </c>
    </row>
    <row r="9" spans="1:43" ht="15.75" x14ac:dyDescent="0.25">
      <c r="B9" s="79">
        <v>5</v>
      </c>
      <c r="C9" s="79">
        <v>7</v>
      </c>
      <c r="D9" s="79">
        <f t="shared" si="1"/>
        <v>2018</v>
      </c>
      <c r="E9" s="112">
        <v>66</v>
      </c>
      <c r="F9" s="115">
        <v>248</v>
      </c>
      <c r="G9" s="56">
        <f t="shared" si="0"/>
        <v>314</v>
      </c>
    </row>
    <row r="10" spans="1:43" ht="15.75" x14ac:dyDescent="0.25">
      <c r="B10" s="79">
        <v>6</v>
      </c>
      <c r="C10" s="79">
        <v>7</v>
      </c>
      <c r="D10" s="79">
        <f t="shared" si="1"/>
        <v>2018</v>
      </c>
      <c r="E10" s="111">
        <v>69</v>
      </c>
      <c r="F10" s="114">
        <v>267</v>
      </c>
      <c r="G10" s="56">
        <f t="shared" si="0"/>
        <v>336</v>
      </c>
    </row>
    <row r="11" spans="1:43" ht="15.75" x14ac:dyDescent="0.25">
      <c r="B11" s="79">
        <v>7</v>
      </c>
      <c r="C11" s="79">
        <v>7</v>
      </c>
      <c r="D11" s="79">
        <f t="shared" si="1"/>
        <v>2018</v>
      </c>
      <c r="E11" s="111">
        <v>53</v>
      </c>
      <c r="F11" s="114">
        <v>218</v>
      </c>
      <c r="G11" s="56">
        <f t="shared" si="0"/>
        <v>271</v>
      </c>
    </row>
    <row r="12" spans="1:43" ht="15.75" x14ac:dyDescent="0.25">
      <c r="B12" s="79">
        <v>8</v>
      </c>
      <c r="C12" s="79">
        <v>7</v>
      </c>
      <c r="D12" s="79">
        <f t="shared" si="1"/>
        <v>2018</v>
      </c>
      <c r="E12" s="111">
        <v>55</v>
      </c>
      <c r="F12" s="114">
        <v>217</v>
      </c>
      <c r="G12" s="56">
        <f t="shared" si="0"/>
        <v>272</v>
      </c>
    </row>
    <row r="13" spans="1:43" ht="15.75" x14ac:dyDescent="0.25">
      <c r="B13" s="79">
        <v>9</v>
      </c>
      <c r="C13" s="79">
        <v>7</v>
      </c>
      <c r="D13" s="79">
        <f t="shared" si="1"/>
        <v>2018</v>
      </c>
      <c r="E13" s="111">
        <v>44</v>
      </c>
      <c r="F13" s="114">
        <v>169</v>
      </c>
      <c r="G13" s="56">
        <f t="shared" si="0"/>
        <v>213</v>
      </c>
    </row>
    <row r="14" spans="1:43" ht="15.75" x14ac:dyDescent="0.25">
      <c r="B14" s="79">
        <v>10</v>
      </c>
      <c r="C14" s="79">
        <v>7</v>
      </c>
      <c r="D14" s="79">
        <f t="shared" si="1"/>
        <v>2018</v>
      </c>
      <c r="E14" s="111">
        <v>67</v>
      </c>
      <c r="F14" s="114">
        <v>260</v>
      </c>
      <c r="G14" s="56">
        <f t="shared" si="0"/>
        <v>327</v>
      </c>
    </row>
    <row r="15" spans="1:43" ht="15.75" x14ac:dyDescent="0.25">
      <c r="B15" s="79">
        <v>11</v>
      </c>
      <c r="C15" s="79">
        <v>7</v>
      </c>
      <c r="D15" s="79">
        <f t="shared" si="1"/>
        <v>2018</v>
      </c>
      <c r="E15" s="111">
        <v>55</v>
      </c>
      <c r="F15" s="115">
        <v>218</v>
      </c>
      <c r="G15" s="56">
        <f t="shared" si="0"/>
        <v>273</v>
      </c>
    </row>
    <row r="16" spans="1:43" ht="15.75" x14ac:dyDescent="0.25">
      <c r="B16" s="79">
        <v>12</v>
      </c>
      <c r="C16" s="79">
        <v>7</v>
      </c>
      <c r="D16" s="79">
        <f t="shared" si="1"/>
        <v>2018</v>
      </c>
      <c r="E16" s="112">
        <v>68</v>
      </c>
      <c r="F16" s="115">
        <v>263</v>
      </c>
      <c r="G16" s="56">
        <f t="shared" si="0"/>
        <v>331</v>
      </c>
    </row>
    <row r="17" spans="2:7" ht="15.75" x14ac:dyDescent="0.25">
      <c r="B17" s="79">
        <v>13</v>
      </c>
      <c r="C17" s="79">
        <v>7</v>
      </c>
      <c r="D17" s="79">
        <f t="shared" si="1"/>
        <v>2018</v>
      </c>
      <c r="E17" s="111">
        <v>65</v>
      </c>
      <c r="F17" s="115">
        <v>254</v>
      </c>
      <c r="G17" s="56">
        <f t="shared" si="0"/>
        <v>319</v>
      </c>
    </row>
    <row r="18" spans="2:7" ht="15.75" x14ac:dyDescent="0.25">
      <c r="B18" s="79">
        <v>14</v>
      </c>
      <c r="C18" s="79">
        <v>7</v>
      </c>
      <c r="D18" s="79">
        <f t="shared" si="1"/>
        <v>2018</v>
      </c>
      <c r="E18" s="111">
        <v>70</v>
      </c>
      <c r="F18" s="114">
        <v>277</v>
      </c>
      <c r="G18" s="56">
        <f t="shared" si="0"/>
        <v>347</v>
      </c>
    </row>
    <row r="19" spans="2:7" ht="15.75" x14ac:dyDescent="0.25">
      <c r="B19" s="79">
        <v>15</v>
      </c>
      <c r="C19" s="79">
        <v>7</v>
      </c>
      <c r="D19" s="79">
        <f t="shared" si="1"/>
        <v>2018</v>
      </c>
      <c r="E19" s="111">
        <v>61</v>
      </c>
      <c r="F19" s="114">
        <v>241</v>
      </c>
      <c r="G19" s="56">
        <f t="shared" si="0"/>
        <v>302</v>
      </c>
    </row>
    <row r="20" spans="2:7" ht="15.75" x14ac:dyDescent="0.25">
      <c r="B20" s="79">
        <v>16</v>
      </c>
      <c r="C20" s="79">
        <v>7</v>
      </c>
      <c r="D20" s="79">
        <f t="shared" si="1"/>
        <v>2018</v>
      </c>
      <c r="E20" s="111">
        <v>56</v>
      </c>
      <c r="F20" s="114">
        <v>221</v>
      </c>
      <c r="G20" s="56">
        <f t="shared" si="0"/>
        <v>277</v>
      </c>
    </row>
    <row r="21" spans="2:7" ht="15.75" x14ac:dyDescent="0.25">
      <c r="B21" s="79">
        <v>17</v>
      </c>
      <c r="C21" s="79">
        <v>7</v>
      </c>
      <c r="D21" s="79">
        <f t="shared" si="1"/>
        <v>2018</v>
      </c>
      <c r="E21" s="111">
        <v>72</v>
      </c>
      <c r="F21" s="114">
        <v>289</v>
      </c>
      <c r="G21" s="56">
        <f t="shared" si="0"/>
        <v>361</v>
      </c>
    </row>
    <row r="22" spans="2:7" ht="15.75" x14ac:dyDescent="0.25">
      <c r="B22" s="79">
        <v>18</v>
      </c>
      <c r="C22" s="79">
        <v>7</v>
      </c>
      <c r="D22" s="79">
        <f t="shared" si="1"/>
        <v>2018</v>
      </c>
      <c r="E22" s="111">
        <v>77</v>
      </c>
      <c r="F22" s="114">
        <v>309</v>
      </c>
      <c r="G22" s="56">
        <f t="shared" si="0"/>
        <v>386</v>
      </c>
    </row>
    <row r="23" spans="2:7" ht="15.75" x14ac:dyDescent="0.25">
      <c r="B23" s="79">
        <v>19</v>
      </c>
      <c r="C23" s="79">
        <v>7</v>
      </c>
      <c r="D23" s="79">
        <f t="shared" si="1"/>
        <v>2018</v>
      </c>
      <c r="E23" s="112">
        <v>63</v>
      </c>
      <c r="F23" s="115">
        <v>243</v>
      </c>
      <c r="G23" s="56">
        <f t="shared" si="0"/>
        <v>306</v>
      </c>
    </row>
    <row r="24" spans="2:7" ht="15.75" x14ac:dyDescent="0.25">
      <c r="B24" s="79">
        <v>20</v>
      </c>
      <c r="C24" s="79">
        <v>7</v>
      </c>
      <c r="D24" s="79">
        <f t="shared" si="1"/>
        <v>2018</v>
      </c>
      <c r="E24" s="111">
        <v>48</v>
      </c>
      <c r="F24" s="114">
        <v>211</v>
      </c>
      <c r="G24" s="56">
        <f t="shared" si="0"/>
        <v>259</v>
      </c>
    </row>
    <row r="25" spans="2:7" ht="15.75" x14ac:dyDescent="0.25">
      <c r="B25" s="79">
        <v>21</v>
      </c>
      <c r="C25" s="79">
        <v>7</v>
      </c>
      <c r="D25" s="79">
        <f t="shared" si="1"/>
        <v>2018</v>
      </c>
      <c r="E25" s="111">
        <v>49</v>
      </c>
      <c r="F25" s="114">
        <v>203</v>
      </c>
      <c r="G25" s="56">
        <f t="shared" si="0"/>
        <v>252</v>
      </c>
    </row>
    <row r="26" spans="2:7" ht="15.75" x14ac:dyDescent="0.25">
      <c r="B26" s="79">
        <v>22</v>
      </c>
      <c r="C26" s="79">
        <v>7</v>
      </c>
      <c r="D26" s="79">
        <f t="shared" si="1"/>
        <v>2018</v>
      </c>
      <c r="E26" s="111">
        <v>84</v>
      </c>
      <c r="F26" s="114">
        <v>341</v>
      </c>
      <c r="G26" s="56">
        <f t="shared" si="0"/>
        <v>425</v>
      </c>
    </row>
    <row r="27" spans="2:7" ht="15.75" x14ac:dyDescent="0.25">
      <c r="B27" s="79">
        <v>23</v>
      </c>
      <c r="C27" s="79">
        <v>7</v>
      </c>
      <c r="D27" s="79">
        <f t="shared" si="1"/>
        <v>2018</v>
      </c>
      <c r="E27" s="111">
        <v>54</v>
      </c>
      <c r="F27" s="114">
        <v>215</v>
      </c>
      <c r="G27" s="56">
        <f t="shared" si="0"/>
        <v>269</v>
      </c>
    </row>
    <row r="28" spans="2:7" ht="15.75" x14ac:dyDescent="0.25">
      <c r="B28" s="79">
        <v>24</v>
      </c>
      <c r="C28" s="79">
        <v>7</v>
      </c>
      <c r="D28" s="79">
        <f t="shared" si="1"/>
        <v>2018</v>
      </c>
      <c r="E28" s="111">
        <v>52</v>
      </c>
      <c r="F28" s="114">
        <v>206</v>
      </c>
      <c r="G28" s="56">
        <f t="shared" si="0"/>
        <v>258</v>
      </c>
    </row>
    <row r="29" spans="2:7" ht="15.75" x14ac:dyDescent="0.25">
      <c r="B29" s="79">
        <v>25</v>
      </c>
      <c r="C29" s="79">
        <v>7</v>
      </c>
      <c r="D29" s="79">
        <f t="shared" si="1"/>
        <v>2018</v>
      </c>
      <c r="E29" s="111">
        <v>76</v>
      </c>
      <c r="F29" s="114">
        <v>606</v>
      </c>
      <c r="G29" s="56">
        <f t="shared" si="0"/>
        <v>682</v>
      </c>
    </row>
    <row r="30" spans="2:7" ht="15.75" x14ac:dyDescent="0.25">
      <c r="B30" s="79">
        <v>26</v>
      </c>
      <c r="C30" s="79">
        <v>7</v>
      </c>
      <c r="D30" s="79">
        <f t="shared" si="1"/>
        <v>2018</v>
      </c>
      <c r="E30" s="112">
        <v>136</v>
      </c>
      <c r="F30" s="115">
        <v>252</v>
      </c>
      <c r="G30" s="56">
        <f t="shared" si="0"/>
        <v>388</v>
      </c>
    </row>
    <row r="31" spans="2:7" ht="15.75" x14ac:dyDescent="0.25">
      <c r="B31" s="79">
        <v>27</v>
      </c>
      <c r="C31" s="79">
        <v>7</v>
      </c>
      <c r="D31" s="79">
        <f t="shared" si="1"/>
        <v>2018</v>
      </c>
      <c r="E31" s="111">
        <v>178</v>
      </c>
      <c r="F31" s="114">
        <v>702</v>
      </c>
      <c r="G31" s="56">
        <f t="shared" si="0"/>
        <v>880</v>
      </c>
    </row>
    <row r="32" spans="2:7" ht="15.75" x14ac:dyDescent="0.25">
      <c r="B32" s="79">
        <v>28</v>
      </c>
      <c r="C32" s="79">
        <v>7</v>
      </c>
      <c r="D32" s="79">
        <f t="shared" si="1"/>
        <v>2018</v>
      </c>
      <c r="E32" s="111">
        <v>55</v>
      </c>
      <c r="F32" s="114">
        <v>218</v>
      </c>
      <c r="G32" s="56">
        <f t="shared" si="0"/>
        <v>273</v>
      </c>
    </row>
    <row r="33" spans="2:9" ht="15.75" x14ac:dyDescent="0.25">
      <c r="B33" s="79">
        <v>29</v>
      </c>
      <c r="C33" s="79">
        <v>7</v>
      </c>
      <c r="D33" s="79">
        <f t="shared" si="1"/>
        <v>2018</v>
      </c>
      <c r="E33" s="111">
        <v>182</v>
      </c>
      <c r="F33" s="114">
        <v>707</v>
      </c>
      <c r="G33" s="56">
        <f t="shared" si="0"/>
        <v>889</v>
      </c>
    </row>
    <row r="34" spans="2:9" ht="15.75" x14ac:dyDescent="0.25">
      <c r="B34" s="79">
        <v>30</v>
      </c>
      <c r="C34" s="79">
        <v>7</v>
      </c>
      <c r="D34" s="79">
        <f t="shared" si="1"/>
        <v>2018</v>
      </c>
      <c r="E34" s="111">
        <v>90</v>
      </c>
      <c r="F34" s="114">
        <v>345</v>
      </c>
      <c r="G34" s="56">
        <f t="shared" si="0"/>
        <v>435</v>
      </c>
    </row>
    <row r="35" spans="2:9" ht="15.75" x14ac:dyDescent="0.25">
      <c r="B35" s="79">
        <v>31</v>
      </c>
      <c r="C35" s="79">
        <v>7</v>
      </c>
      <c r="D35" s="79">
        <f t="shared" si="1"/>
        <v>2018</v>
      </c>
      <c r="E35" s="111">
        <v>204</v>
      </c>
      <c r="F35" s="114">
        <v>782</v>
      </c>
      <c r="G35" s="56">
        <f t="shared" si="0"/>
        <v>986</v>
      </c>
    </row>
    <row r="36" spans="2:9" ht="21" x14ac:dyDescent="0.35">
      <c r="B36" s="64"/>
      <c r="C36" s="64"/>
      <c r="D36" s="64"/>
      <c r="E36" s="14">
        <f>SUM(E5:E35)</f>
        <v>2360</v>
      </c>
      <c r="F36" s="14">
        <f>SUM(F5:F35)</f>
        <v>9274</v>
      </c>
      <c r="G36" s="14">
        <f>SUM(G5:G35)</f>
        <v>11634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116"/>
      <c r="G40" s="67">
        <f>G36</f>
        <v>11634</v>
      </c>
      <c r="H40" s="68"/>
    </row>
    <row r="41" spans="2:9" ht="15.75" x14ac:dyDescent="0.25">
      <c r="B41" s="70"/>
      <c r="C41" s="70"/>
      <c r="D41" s="70"/>
      <c r="E41" s="70"/>
      <c r="F41" s="116"/>
      <c r="G41" s="69"/>
      <c r="H41" s="68"/>
    </row>
    <row r="42" spans="2:9" ht="15.75" x14ac:dyDescent="0.25">
      <c r="B42" s="70"/>
      <c r="C42" s="70"/>
      <c r="D42" s="70"/>
      <c r="E42" s="70"/>
      <c r="F42" s="116"/>
      <c r="G42" s="69"/>
      <c r="H42" s="68"/>
    </row>
    <row r="43" spans="2:9" ht="15.75" x14ac:dyDescent="0.25">
      <c r="B43" s="70" t="s">
        <v>4</v>
      </c>
      <c r="C43" s="70"/>
      <c r="D43" s="70"/>
      <c r="F43" s="65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116" t="s">
        <v>5</v>
      </c>
      <c r="G46" s="74">
        <f>G40*G43</f>
        <v>146006700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2023-03-10T08:27:39Z</dcterms:modified>
</cp:coreProperties>
</file>