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451B618-66B5-4B2F-806A-036D6137522F}" xr6:coauthVersionLast="47" xr6:coauthVersionMax="47" xr10:uidLastSave="{00000000-0000-0000-0000-000000000000}"/>
  <bookViews>
    <workbookView xWindow="-114" yWindow="-114" windowWidth="27602" windowHeight="15027" tabRatio="338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AB31" i="2"/>
  <c r="Y31" i="2"/>
  <c r="W31" i="2"/>
  <c r="U31" i="2"/>
  <c r="G31" i="2"/>
  <c r="E31" i="2"/>
  <c r="C31" i="2"/>
  <c r="AB14" i="2"/>
  <c r="AB13" i="2"/>
  <c r="AB12" i="2"/>
  <c r="AB11" i="2"/>
  <c r="AB10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2" i="2"/>
  <c r="AB3" i="2" l="1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K10" i="3"/>
  <c r="K11" i="3"/>
  <c r="K12" i="3"/>
  <c r="K13" i="3"/>
  <c r="K14" i="3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K28" i="3" s="1"/>
  <c r="AB29" i="2"/>
  <c r="K29" i="3" s="1"/>
  <c r="AB30" i="2"/>
  <c r="K30" i="3" s="1"/>
  <c r="K31" i="3"/>
  <c r="K32" i="3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Y30" i="2"/>
  <c r="K30" i="2"/>
  <c r="G30" i="2"/>
  <c r="E30" i="2"/>
  <c r="C30" i="2"/>
  <c r="Y29" i="2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E2" i="2"/>
  <c r="C2" i="2"/>
  <c r="G33" i="2" l="1"/>
  <c r="U29" i="2"/>
  <c r="G29" i="3" s="1"/>
  <c r="U18" i="2"/>
  <c r="G18" i="3" s="1"/>
  <c r="U16" i="2"/>
  <c r="G16" i="3" s="1"/>
  <c r="G14" i="3"/>
  <c r="G12" i="3"/>
  <c r="G10" i="3"/>
  <c r="G8" i="3"/>
  <c r="G6" i="3"/>
  <c r="U2" i="2"/>
  <c r="G2" i="3" s="1"/>
  <c r="G4" i="3"/>
  <c r="H23" i="2"/>
  <c r="I23" i="2" s="1"/>
  <c r="U20" i="2"/>
  <c r="G20" i="3" s="1"/>
  <c r="G3" i="3"/>
  <c r="G5" i="3"/>
  <c r="G7" i="3"/>
  <c r="G9" i="3"/>
  <c r="G11" i="3"/>
  <c r="G13" i="3"/>
  <c r="G15" i="3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2" i="3"/>
  <c r="F32" i="3"/>
  <c r="E32" i="3"/>
  <c r="G31" i="3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U33" i="2" l="1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<sst xmlns="http://schemas.openxmlformats.org/spreadsheetml/2006/main" count="77" uniqueCount="40">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</sst>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abSelected="1" topLeftCell="A8" workbookViewId="0">
      <selection activeCell="C39" sqref="C3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0</v>
      </c>
      <c r="F2" s="114">
        <f>(November!C2*0.27)/(November!C2+November!E2)</f>
        <v>0.25849550615068545</v>
      </c>
      <c r="G2" s="101">
        <f>November!U2</f>
        <v>0</v>
      </c>
      <c r="H2" s="117">
        <v>0.62</v>
      </c>
      <c r="I2" s="102" t="str">
        <f>November!W2</f>
        <v>0</v>
      </c>
      <c r="J2" s="103">
        <v>2.42</v>
      </c>
      <c r="K2" s="110">
        <f>November!AB2*5.04</f>
        <v>0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0</v>
      </c>
      <c r="P2" s="104">
        <f>November!AD2</f>
        <v>0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0</v>
      </c>
      <c r="F3" s="114" t="e">
        <f>(November!C3*0.27)/(November!C3+November!E3)</f>
        <v>#DIV/0!</v>
      </c>
      <c r="G3" s="101">
        <f>November!U3</f>
        <v>0</v>
      </c>
      <c r="H3" s="117">
        <v>0.62</v>
      </c>
      <c r="I3" s="102">
        <f>November!W3</f>
        <v>0</v>
      </c>
      <c r="J3" s="103">
        <v>2.42</v>
      </c>
      <c r="K3" s="110">
        <f>November!AB3*5.04</f>
        <v>0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0</v>
      </c>
      <c r="P3" s="104">
        <f>November!AD3</f>
        <v>0</v>
      </c>
    </row>
    <row r="4" spans="1:16" ht="14.3" x14ac:dyDescent="0.25">
      <c r="A4" s="99" t="s">
        <v>37</v>
      </c>
      <c r="B4" s="5">
        <f t="shared" ref="B4:B32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0</v>
      </c>
      <c r="F4" s="114" t="e">
        <f>(November!C4*0.27)/(November!C4+November!E4)</f>
        <v>#DIV/0!</v>
      </c>
      <c r="G4" s="101">
        <f>November!U4</f>
        <v>0</v>
      </c>
      <c r="H4" s="117">
        <v>0.62</v>
      </c>
      <c r="I4" s="102">
        <f>November!W4</f>
        <v>0</v>
      </c>
      <c r="J4" s="103">
        <v>2.42</v>
      </c>
      <c r="K4" s="110">
        <f>November!AB4*5.04</f>
        <v>0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0</v>
      </c>
      <c r="P4" s="104">
        <f>November!AD4</f>
        <v>0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0</v>
      </c>
      <c r="F5" s="114" t="e">
        <f>(November!C5*0.27)/(November!C5+November!E5)</f>
        <v>#DIV/0!</v>
      </c>
      <c r="G5" s="101">
        <f>November!U5</f>
        <v>0</v>
      </c>
      <c r="H5" s="117">
        <v>0.62</v>
      </c>
      <c r="I5" s="102">
        <f>November!W5</f>
        <v>0</v>
      </c>
      <c r="J5" s="103">
        <v>2.42</v>
      </c>
      <c r="K5" s="110">
        <f>November!AB5*5.04</f>
        <v>0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0</v>
      </c>
      <c r="P5" s="104">
        <f>November!AD5</f>
        <v>0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0</v>
      </c>
      <c r="F6" s="114" t="e">
        <f>(November!C6*0.27)/(November!C6+November!E6)</f>
        <v>#DIV/0!</v>
      </c>
      <c r="G6" s="101">
        <f>November!U6</f>
        <v>0</v>
      </c>
      <c r="H6" s="117">
        <v>0.62</v>
      </c>
      <c r="I6" s="102">
        <f>November!W6</f>
        <v>0</v>
      </c>
      <c r="J6" s="103">
        <v>2.42</v>
      </c>
      <c r="K6" s="110">
        <f>November!AB6*5.04</f>
        <v>0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0</v>
      </c>
      <c r="P6" s="104">
        <f>November!AD6</f>
        <v>0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0</v>
      </c>
      <c r="F7" s="114" t="e">
        <f>(November!C7*0.27)/(November!C7+November!E7)</f>
        <v>#DIV/0!</v>
      </c>
      <c r="G7" s="101">
        <f>November!U7</f>
        <v>0</v>
      </c>
      <c r="H7" s="117">
        <v>0.62</v>
      </c>
      <c r="I7" s="102">
        <f>November!W7</f>
        <v>0</v>
      </c>
      <c r="J7" s="103">
        <v>2.42</v>
      </c>
      <c r="K7" s="110">
        <f>November!AB7*5.04</f>
        <v>0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0</v>
      </c>
      <c r="P7" s="104">
        <f>November!AD7</f>
        <v>0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0</v>
      </c>
      <c r="F8" s="114" t="e">
        <f>(November!C8*0.27)/(November!C8+November!E8)</f>
        <v>#DIV/0!</v>
      </c>
      <c r="G8" s="101">
        <f>November!U8</f>
        <v>0</v>
      </c>
      <c r="H8" s="117">
        <v>0.62</v>
      </c>
      <c r="I8" s="102">
        <f>November!W8</f>
        <v>0</v>
      </c>
      <c r="J8" s="103">
        <v>2.42</v>
      </c>
      <c r="K8" s="110">
        <f>November!AB8*5.04</f>
        <v>0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0</v>
      </c>
      <c r="P8" s="104">
        <f>November!AD8</f>
        <v>0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0</v>
      </c>
      <c r="F9" s="114" t="e">
        <f>(November!C9*0.27)/(November!C9+November!E9)</f>
        <v>#DIV/0!</v>
      </c>
      <c r="G9" s="101">
        <f>November!U9</f>
        <v>0</v>
      </c>
      <c r="H9" s="117">
        <v>0.62</v>
      </c>
      <c r="I9" s="102">
        <f>November!W9</f>
        <v>0</v>
      </c>
      <c r="J9" s="103">
        <v>2.42</v>
      </c>
      <c r="K9" s="110">
        <f>November!AB9*5.04</f>
        <v>0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0</v>
      </c>
      <c r="P9" s="104">
        <f>November!AD9</f>
        <v>0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0</v>
      </c>
      <c r="F10" s="114" t="e">
        <f>(November!C10*0.27)/(November!C10+November!E10)</f>
        <v>#DIV/0!</v>
      </c>
      <c r="G10" s="101">
        <f>November!U10</f>
        <v>0</v>
      </c>
      <c r="H10" s="117">
        <v>0.62</v>
      </c>
      <c r="I10" s="102">
        <f>November!W10</f>
        <v>0</v>
      </c>
      <c r="J10" s="103">
        <v>2.42</v>
      </c>
      <c r="K10" s="110">
        <f>November!AB10*5.04</f>
        <v>0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0</v>
      </c>
      <c r="P10" s="104">
        <f>November!AD10</f>
        <v>0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0</v>
      </c>
      <c r="F11" s="114" t="e">
        <f>(November!C11*0.27)/(November!C11+November!E11)</f>
        <v>#DIV/0!</v>
      </c>
      <c r="G11" s="101">
        <f>November!U11</f>
        <v>0</v>
      </c>
      <c r="H11" s="117">
        <v>0.62</v>
      </c>
      <c r="I11" s="102">
        <f>November!W11</f>
        <v>0</v>
      </c>
      <c r="J11" s="103">
        <v>2.42</v>
      </c>
      <c r="K11" s="110">
        <f>November!AB11*5.04</f>
        <v>0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0</v>
      </c>
      <c r="P11" s="104">
        <f>November!AD11</f>
        <v>0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0</v>
      </c>
      <c r="F12" s="114" t="e">
        <f>(November!C12*0.27)/(November!C12+November!E12)</f>
        <v>#DIV/0!</v>
      </c>
      <c r="G12" s="101">
        <f>November!U12</f>
        <v>0</v>
      </c>
      <c r="H12" s="117">
        <v>0.62</v>
      </c>
      <c r="I12" s="102">
        <f>November!W12</f>
        <v>0</v>
      </c>
      <c r="J12" s="103">
        <v>2.42</v>
      </c>
      <c r="K12" s="110">
        <f>November!AB12*5.04</f>
        <v>0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0</v>
      </c>
      <c r="P12" s="104">
        <f>November!AD12</f>
        <v>0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0</v>
      </c>
      <c r="F13" s="114" t="e">
        <f>(November!C13*0.27)/(November!C13+November!E13)</f>
        <v>#DIV/0!</v>
      </c>
      <c r="G13" s="101">
        <f>November!U13</f>
        <v>0</v>
      </c>
      <c r="H13" s="117">
        <v>0.62</v>
      </c>
      <c r="I13" s="102">
        <f>November!W13</f>
        <v>0</v>
      </c>
      <c r="J13" s="103">
        <v>2.42</v>
      </c>
      <c r="K13" s="110">
        <f>November!AB13*5.04</f>
        <v>0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0</v>
      </c>
      <c r="P13" s="104">
        <f>November!AD13</f>
        <v>0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0</v>
      </c>
      <c r="F14" s="114" t="e">
        <f>(November!C14*0.27)/(November!C14+November!E14)</f>
        <v>#DIV/0!</v>
      </c>
      <c r="G14" s="101">
        <f>November!U14</f>
        <v>0</v>
      </c>
      <c r="H14" s="117">
        <v>0.62</v>
      </c>
      <c r="I14" s="102">
        <f>November!W14</f>
        <v>0</v>
      </c>
      <c r="J14" s="103">
        <v>2.42</v>
      </c>
      <c r="K14" s="110">
        <f>November!AB14*5.04</f>
        <v>0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0</v>
      </c>
      <c r="P14" s="104">
        <f>November!AD14</f>
        <v>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0</v>
      </c>
      <c r="F15" s="114" t="e">
        <f>(November!C15*0.27)/(November!C15+November!E15)</f>
        <v>#DIV/0!</v>
      </c>
      <c r="G15" s="101">
        <f>November!U15</f>
        <v>0</v>
      </c>
      <c r="H15" s="117">
        <v>0.62</v>
      </c>
      <c r="I15" s="102">
        <f>November!W15</f>
        <v>0</v>
      </c>
      <c r="J15" s="103">
        <v>2.42</v>
      </c>
      <c r="K15" s="110">
        <f>November!AB15*5.04</f>
        <v>0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0</v>
      </c>
      <c r="P15" s="104">
        <f>November!AD15</f>
        <v>0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0</v>
      </c>
      <c r="F16" s="114" t="e">
        <f>(November!C16*0.27)/(November!C16+November!E16)</f>
        <v>#DIV/0!</v>
      </c>
      <c r="G16" s="101">
        <f>November!U16</f>
        <v>0</v>
      </c>
      <c r="H16" s="117">
        <v>0.62</v>
      </c>
      <c r="I16" s="102">
        <f>November!W16</f>
        <v>0</v>
      </c>
      <c r="J16" s="103">
        <v>2.42</v>
      </c>
      <c r="K16" s="110">
        <f>November!AB16*5.04</f>
        <v>0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0</v>
      </c>
      <c r="P16" s="104">
        <f>November!AD16</f>
        <v>0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0</v>
      </c>
      <c r="F17" s="114" t="e">
        <f>(November!C17*0.27)/(November!C17+November!E17)</f>
        <v>#DIV/0!</v>
      </c>
      <c r="G17" s="101">
        <f>November!U17</f>
        <v>0</v>
      </c>
      <c r="H17" s="117">
        <v>0.62</v>
      </c>
      <c r="I17" s="102">
        <f>November!W17</f>
        <v>0</v>
      </c>
      <c r="J17" s="103">
        <v>2.42</v>
      </c>
      <c r="K17" s="110">
        <f>November!AB17*5.04</f>
        <v>0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0</v>
      </c>
      <c r="P17" s="104">
        <f>November!AD17</f>
        <v>0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0</v>
      </c>
      <c r="F18" s="114" t="e">
        <f>(November!C18*0.27)/(November!C18+November!E18)</f>
        <v>#DIV/0!</v>
      </c>
      <c r="G18" s="101">
        <f>November!U18</f>
        <v>0</v>
      </c>
      <c r="H18" s="117">
        <v>0.62</v>
      </c>
      <c r="I18" s="102">
        <f>November!W18</f>
        <v>0</v>
      </c>
      <c r="J18" s="103">
        <v>2.42</v>
      </c>
      <c r="K18" s="110">
        <f>November!AB18*5.04</f>
        <v>0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0</v>
      </c>
      <c r="P18" s="104">
        <f>November!AD18</f>
        <v>0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0</v>
      </c>
      <c r="F19" s="114" t="e">
        <f>(November!C19*0.27)/(November!C19+November!E19)</f>
        <v>#DIV/0!</v>
      </c>
      <c r="G19" s="101">
        <f>November!U19</f>
        <v>0</v>
      </c>
      <c r="H19" s="117">
        <v>0.62</v>
      </c>
      <c r="I19" s="102">
        <f>November!W19</f>
        <v>0</v>
      </c>
      <c r="J19" s="103">
        <v>2.42</v>
      </c>
      <c r="K19" s="110">
        <f>November!AB19*5.04</f>
        <v>0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0</v>
      </c>
      <c r="P19" s="104">
        <f>November!AD19</f>
        <v>0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0</v>
      </c>
      <c r="F20" s="114" t="e">
        <f>(November!C20*0.27)/(November!C20+November!E20)</f>
        <v>#DIV/0!</v>
      </c>
      <c r="G20" s="101">
        <f>November!U20</f>
        <v>0</v>
      </c>
      <c r="H20" s="117">
        <v>0.62</v>
      </c>
      <c r="I20" s="102">
        <f>November!W20</f>
        <v>0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0</v>
      </c>
      <c r="P20" s="104">
        <f>November!AD20</f>
        <v>0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0</v>
      </c>
      <c r="F21" s="114" t="e">
        <f>(November!C21*0.27)/(November!C21+November!E21)</f>
        <v>#DIV/0!</v>
      </c>
      <c r="G21" s="101">
        <f>November!U21</f>
        <v>0</v>
      </c>
      <c r="H21" s="117">
        <v>0.62</v>
      </c>
      <c r="I21" s="102">
        <f>November!W21</f>
        <v>0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0</v>
      </c>
      <c r="P21" s="104">
        <f>November!AD21</f>
        <v>0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0</v>
      </c>
      <c r="F22" s="114" t="e">
        <f>(November!C22*0.27)/(November!C22+November!E22)</f>
        <v>#DIV/0!</v>
      </c>
      <c r="G22" s="101">
        <f>November!U22</f>
        <v>0</v>
      </c>
      <c r="H22" s="117">
        <v>0.62</v>
      </c>
      <c r="I22" s="102">
        <f>November!W22</f>
        <v>0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0</v>
      </c>
      <c r="P22" s="104">
        <f>November!AD22</f>
        <v>0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0</v>
      </c>
      <c r="F23" s="114" t="e">
        <f>(November!C23*0.27)/(November!C23+November!E23)</f>
        <v>#DIV/0!</v>
      </c>
      <c r="G23" s="101">
        <f>November!U23</f>
        <v>0</v>
      </c>
      <c r="H23" s="117">
        <v>0.62</v>
      </c>
      <c r="I23" s="102">
        <f>November!W23</f>
        <v>0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0</v>
      </c>
      <c r="P23" s="104">
        <f>November!AD23</f>
        <v>0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0</v>
      </c>
      <c r="F24" s="114" t="e">
        <f>(November!C24*0.27)/(November!C24+November!E24)</f>
        <v>#DIV/0!</v>
      </c>
      <c r="G24" s="101">
        <f>November!U24</f>
        <v>0</v>
      </c>
      <c r="H24" s="117">
        <v>0.62</v>
      </c>
      <c r="I24" s="102">
        <f>November!W24</f>
        <v>0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0</v>
      </c>
      <c r="P24" s="104">
        <f>November!AD24</f>
        <v>0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0</v>
      </c>
      <c r="F25" s="114" t="e">
        <f>(November!C25*0.27)/(November!C25+November!E25)</f>
        <v>#DIV/0!</v>
      </c>
      <c r="G25" s="101">
        <f>November!U25</f>
        <v>0</v>
      </c>
      <c r="H25" s="117">
        <v>0.62</v>
      </c>
      <c r="I25" s="102">
        <f>November!W25</f>
        <v>0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0</v>
      </c>
      <c r="P25" s="104">
        <f>November!AD25</f>
        <v>0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0</v>
      </c>
      <c r="F26" s="114" t="e">
        <f>(November!C26*0.27)/(November!C26+November!E26)</f>
        <v>#DIV/0!</v>
      </c>
      <c r="G26" s="101">
        <f>November!U26</f>
        <v>0</v>
      </c>
      <c r="H26" s="117">
        <v>0.62</v>
      </c>
      <c r="I26" s="102">
        <f>November!W26</f>
        <v>0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0</v>
      </c>
      <c r="P26" s="104">
        <f>November!AD26</f>
        <v>0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0</v>
      </c>
      <c r="F27" s="114" t="e">
        <f>(November!C27*0.27)/(November!C27+November!E27)</f>
        <v>#DIV/0!</v>
      </c>
      <c r="G27" s="101">
        <f>November!U27</f>
        <v>0</v>
      </c>
      <c r="H27" s="117">
        <v>0.62</v>
      </c>
      <c r="I27" s="102">
        <f>November!W27</f>
        <v>0</v>
      </c>
      <c r="J27" s="103">
        <v>2.42</v>
      </c>
      <c r="K27" s="110">
        <f>November!AB27*5.04</f>
        <v>0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0</v>
      </c>
      <c r="P27" s="104">
        <f>November!AD27</f>
        <v>0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0</v>
      </c>
      <c r="F28" s="114" t="e">
        <f>(November!C28*0.27)/(November!C28+November!E28)</f>
        <v>#DIV/0!</v>
      </c>
      <c r="G28" s="101">
        <f>November!U28</f>
        <v>0</v>
      </c>
      <c r="H28" s="117">
        <v>0.62</v>
      </c>
      <c r="I28" s="102">
        <f>November!W28</f>
        <v>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0</v>
      </c>
      <c r="N28" s="123">
        <v>0.88</v>
      </c>
      <c r="O28" s="104">
        <f>November!AC28</f>
        <v>0</v>
      </c>
      <c r="P28" s="104">
        <f>November!AD28</f>
        <v>0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0</v>
      </c>
      <c r="F29" s="114" t="e">
        <f>(November!C29*0.27)/(November!C29+November!E29)</f>
        <v>#DIV/0!</v>
      </c>
      <c r="G29" s="101">
        <f>November!U29</f>
        <v>0</v>
      </c>
      <c r="H29" s="117">
        <v>0.62</v>
      </c>
      <c r="I29" s="102">
        <f>November!W29</f>
        <v>0</v>
      </c>
      <c r="J29" s="103">
        <v>2.42</v>
      </c>
      <c r="K29" s="110">
        <f>November!AB29*5.04</f>
        <v>0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0</v>
      </c>
      <c r="P29" s="104">
        <f>November!AD29</f>
        <v>0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>
        <f>November!U30</f>
        <v>0</v>
      </c>
      <c r="H30" s="117">
        <v>0.62</v>
      </c>
      <c r="I30" s="102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ht="14.3" x14ac:dyDescent="0.25">
      <c r="A32" s="99" t="s">
        <v>37</v>
      </c>
      <c r="D32" s="4">
        <v>2024</v>
      </c>
      <c r="E32" s="100" t="e">
        <f>IF(November!#REF!&lt;0,"0",November!#REF!)+(IF(November!#REF!&lt;0,"0",November!#REF!)-(IF(November!#REF!&lt;0,"0",November!#REF!)))</f>
        <v>#REF!</v>
      </c>
      <c r="F32" s="114" t="e">
        <f>(November!#REF!*0.27)/(November!#REF!+November!#REF!)</f>
        <v>#REF!</v>
      </c>
      <c r="G32" s="101" t="e">
        <f>November!#REF!</f>
        <v>#REF!</v>
      </c>
      <c r="H32" s="117">
        <v>0.62</v>
      </c>
      <c r="I32" s="102" t="e">
        <f>November!#REF!</f>
        <v>#REF!</v>
      </c>
      <c r="J32" s="103">
        <v>2.42</v>
      </c>
      <c r="K32" s="110" t="e">
        <f>November!#REF!*5.04</f>
        <v>#REF!</v>
      </c>
      <c r="L32" s="120"/>
      <c r="M32" s="111" t="e">
        <f>November!#REF!</f>
        <v>#REF!</v>
      </c>
      <c r="N32" s="123">
        <v>0.88</v>
      </c>
      <c r="O32" s="104" t="e">
        <f>November!#REF!</f>
        <v>#REF!</v>
      </c>
      <c r="P32" s="104" t="e">
        <f>November!#REF!</f>
        <v>#REF!</v>
      </c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D39" s="105"/>
      <c r="F39" s="114"/>
      <c r="I39" s="103"/>
      <c r="J39" s="103"/>
      <c r="K39" s="110"/>
      <c r="L39" s="120"/>
      <c r="O39" s="106"/>
      <c r="P39" s="106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F43" s="114"/>
      <c r="K43" s="110"/>
      <c r="L43" s="120"/>
    </row>
    <row r="44" spans="4:16" x14ac:dyDescent="0.2">
      <c r="K44" s="110"/>
      <c r="L44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zoomScale="85" zoomScaleNormal="85" workbookViewId="0">
      <selection activeCell="C5" sqref="C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B3-B2</f>
        <v>-13145923</v>
      </c>
      <c r="D2" s="9">
        <v>585067</v>
      </c>
      <c r="E2" s="14">
        <f>D3-D2</f>
        <v>-585067</v>
      </c>
      <c r="F2" s="27">
        <v>1704</v>
      </c>
      <c r="G2" s="71">
        <f>F3-F2</f>
        <v>0</v>
      </c>
      <c r="H2" s="73">
        <f>C2+E2-G2</f>
        <v>-13730990</v>
      </c>
      <c r="I2" s="77">
        <f>H2-K2-M2-O2-Q2</f>
        <v>-13776588.559999999</v>
      </c>
      <c r="J2" s="32">
        <f t="shared" ref="J2:J31" si="0">I3-I2</f>
        <v>13730990.559999999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/>
      <c r="T2" s="127"/>
      <c r="U2" s="32">
        <f t="shared" ref="U2:U16" si="2">IF(OR((S2+T2-S3)&lt;0,S2&gt;S1),"0",(S2+T2-S3))</f>
        <v>0</v>
      </c>
      <c r="V2" s="43">
        <v>120609</v>
      </c>
      <c r="W2" s="32" t="str">
        <f>IF(V3-V2&lt;0,"0",V3-V2)</f>
        <v>0</v>
      </c>
      <c r="X2" s="46">
        <v>61141</v>
      </c>
      <c r="Y2" s="32">
        <f>X3-X2</f>
        <v>-61141</v>
      </c>
      <c r="Z2" s="49">
        <v>3090</v>
      </c>
      <c r="AA2" s="55">
        <v>0</v>
      </c>
      <c r="AB2" s="32" t="str">
        <f>IF((Z2-Z3-AA2)=Z2,"0",(Z2-Z3-AA2))</f>
        <v>0</v>
      </c>
      <c r="AC2" s="12"/>
      <c r="AD2" s="17"/>
    </row>
    <row r="3" spans="1:30" ht="20.7" customHeight="1" x14ac:dyDescent="0.2">
      <c r="A3" s="20">
        <v>45598</v>
      </c>
      <c r="B3" s="10"/>
      <c r="C3" s="14">
        <f t="shared" ref="C3:C31" si="3">B4-B3</f>
        <v>0</v>
      </c>
      <c r="D3" s="11"/>
      <c r="E3" s="14">
        <f t="shared" ref="E3:E31" si="4">D4-D3</f>
        <v>0</v>
      </c>
      <c r="F3" s="27">
        <v>1704</v>
      </c>
      <c r="G3" s="71">
        <f t="shared" ref="G3:G31" si="5">F4-F3</f>
        <v>0</v>
      </c>
      <c r="H3" s="73">
        <f t="shared" ref="H3:H31" si="6">C3+E3-G3</f>
        <v>0</v>
      </c>
      <c r="I3" s="77">
        <f t="shared" ref="I3:I31" si="7">H3-K3-M3-O3-Q3</f>
        <v>-45598</v>
      </c>
      <c r="J3" s="32">
        <f t="shared" si="0"/>
        <v>-1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/>
      <c r="P3" s="90"/>
      <c r="Q3" s="89"/>
      <c r="R3" s="90"/>
      <c r="S3" s="39"/>
      <c r="T3" s="127"/>
      <c r="U3" s="32">
        <f t="shared" si="2"/>
        <v>0</v>
      </c>
      <c r="V3" s="44"/>
      <c r="W3" s="32">
        <f t="shared" ref="W3:W31" si="8">IF(V4-V3&lt;0,"0",V4-V3)</f>
        <v>0</v>
      </c>
      <c r="X3" s="47"/>
      <c r="Y3" s="32">
        <f t="shared" ref="Y3:Y31" si="9">X4-X3</f>
        <v>0</v>
      </c>
      <c r="Z3" s="50"/>
      <c r="AA3" s="56">
        <v>0</v>
      </c>
      <c r="AB3" s="32" t="str">
        <f t="shared" ref="AB3:AB31" si="10">IF((Z3-Z4-AA3)=Z3,"0",(Z3-Z4-AA3))</f>
        <v>0</v>
      </c>
      <c r="AC3" s="13"/>
      <c r="AD3" s="18"/>
    </row>
    <row r="4" spans="1:30" ht="20.7" customHeight="1" x14ac:dyDescent="0.2">
      <c r="A4" s="20">
        <v>45599</v>
      </c>
      <c r="B4" s="10"/>
      <c r="C4" s="14">
        <f t="shared" si="3"/>
        <v>0</v>
      </c>
      <c r="D4" s="11"/>
      <c r="E4" s="14">
        <f t="shared" si="4"/>
        <v>0</v>
      </c>
      <c r="F4" s="27">
        <v>1704</v>
      </c>
      <c r="G4" s="71">
        <f t="shared" si="5"/>
        <v>0</v>
      </c>
      <c r="H4" s="73">
        <f t="shared" si="6"/>
        <v>0</v>
      </c>
      <c r="I4" s="77">
        <f t="shared" si="7"/>
        <v>-45599</v>
      </c>
      <c r="J4" s="32">
        <f t="shared" si="0"/>
        <v>-1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/>
      <c r="P4" s="90"/>
      <c r="Q4" s="89"/>
      <c r="R4" s="90"/>
      <c r="S4" s="39"/>
      <c r="T4" s="127"/>
      <c r="U4" s="32">
        <f t="shared" si="2"/>
        <v>0</v>
      </c>
      <c r="V4" s="44"/>
      <c r="W4" s="32">
        <f t="shared" si="8"/>
        <v>0</v>
      </c>
      <c r="X4" s="47"/>
      <c r="Y4" s="32">
        <f t="shared" si="9"/>
        <v>0</v>
      </c>
      <c r="Z4" s="50"/>
      <c r="AA4" s="56">
        <v>0</v>
      </c>
      <c r="AB4" s="32" t="str">
        <f t="shared" si="10"/>
        <v>0</v>
      </c>
      <c r="AC4" s="13"/>
      <c r="AD4" s="18"/>
    </row>
    <row r="5" spans="1:30" ht="20.7" customHeight="1" x14ac:dyDescent="0.2">
      <c r="A5" s="20">
        <v>45600</v>
      </c>
      <c r="B5" s="10"/>
      <c r="C5" s="14">
        <f t="shared" si="3"/>
        <v>0</v>
      </c>
      <c r="D5" s="11"/>
      <c r="E5" s="14">
        <f t="shared" si="4"/>
        <v>0</v>
      </c>
      <c r="F5" s="27">
        <v>1704</v>
      </c>
      <c r="G5" s="71">
        <f t="shared" si="5"/>
        <v>0</v>
      </c>
      <c r="H5" s="73">
        <f t="shared" si="6"/>
        <v>0</v>
      </c>
      <c r="I5" s="77">
        <f t="shared" si="7"/>
        <v>-45600</v>
      </c>
      <c r="J5" s="32">
        <f t="shared" si="0"/>
        <v>-1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/>
      <c r="P5" s="90"/>
      <c r="Q5" s="89"/>
      <c r="R5" s="90"/>
      <c r="S5" s="39"/>
      <c r="T5" s="127"/>
      <c r="U5" s="32">
        <f t="shared" si="2"/>
        <v>0</v>
      </c>
      <c r="V5" s="44"/>
      <c r="W5" s="32">
        <f t="shared" si="8"/>
        <v>0</v>
      </c>
      <c r="X5" s="47"/>
      <c r="Y5" s="32">
        <f t="shared" si="9"/>
        <v>0</v>
      </c>
      <c r="Z5" s="50"/>
      <c r="AA5" s="56">
        <v>0</v>
      </c>
      <c r="AB5" s="32" t="str">
        <f t="shared" si="10"/>
        <v>0</v>
      </c>
      <c r="AC5" s="13"/>
      <c r="AD5" s="18"/>
    </row>
    <row r="6" spans="1:30" ht="20.7" customHeight="1" x14ac:dyDescent="0.2">
      <c r="A6" s="20">
        <v>45601</v>
      </c>
      <c r="B6" s="10"/>
      <c r="C6" s="14">
        <f t="shared" si="3"/>
        <v>0</v>
      </c>
      <c r="D6" s="11"/>
      <c r="E6" s="14">
        <f t="shared" si="4"/>
        <v>0</v>
      </c>
      <c r="F6" s="27">
        <v>1704</v>
      </c>
      <c r="G6" s="71">
        <f t="shared" si="5"/>
        <v>0</v>
      </c>
      <c r="H6" s="73">
        <f t="shared" si="6"/>
        <v>0</v>
      </c>
      <c r="I6" s="77">
        <f t="shared" si="7"/>
        <v>-45601</v>
      </c>
      <c r="J6" s="32">
        <f t="shared" si="0"/>
        <v>-1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/>
      <c r="P6" s="90"/>
      <c r="Q6" s="89"/>
      <c r="R6" s="90"/>
      <c r="S6" s="39"/>
      <c r="T6" s="127"/>
      <c r="U6" s="32">
        <f t="shared" si="2"/>
        <v>0</v>
      </c>
      <c r="V6" s="44"/>
      <c r="W6" s="32">
        <f t="shared" si="8"/>
        <v>0</v>
      </c>
      <c r="X6" s="47"/>
      <c r="Y6" s="32">
        <f t="shared" si="9"/>
        <v>0</v>
      </c>
      <c r="Z6" s="50"/>
      <c r="AA6" s="56">
        <v>0</v>
      </c>
      <c r="AB6" s="32" t="str">
        <f t="shared" si="10"/>
        <v>0</v>
      </c>
      <c r="AC6" s="13"/>
      <c r="AD6" s="18"/>
    </row>
    <row r="7" spans="1:30" ht="20.7" customHeight="1" x14ac:dyDescent="0.2">
      <c r="A7" s="20">
        <v>45602</v>
      </c>
      <c r="B7" s="10"/>
      <c r="C7" s="14">
        <f t="shared" si="3"/>
        <v>0</v>
      </c>
      <c r="D7" s="11"/>
      <c r="E7" s="14">
        <f t="shared" si="4"/>
        <v>0</v>
      </c>
      <c r="F7" s="27">
        <v>1704</v>
      </c>
      <c r="G7" s="71">
        <f t="shared" si="5"/>
        <v>0</v>
      </c>
      <c r="H7" s="73">
        <f t="shared" si="6"/>
        <v>0</v>
      </c>
      <c r="I7" s="77">
        <f t="shared" si="7"/>
        <v>-45602</v>
      </c>
      <c r="J7" s="32">
        <f t="shared" si="0"/>
        <v>-1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/>
      <c r="P7" s="90"/>
      <c r="Q7" s="89"/>
      <c r="R7" s="90"/>
      <c r="S7" s="39"/>
      <c r="T7" s="127"/>
      <c r="U7" s="32">
        <f t="shared" si="2"/>
        <v>0</v>
      </c>
      <c r="V7" s="44"/>
      <c r="W7" s="32">
        <f t="shared" si="8"/>
        <v>0</v>
      </c>
      <c r="X7" s="47"/>
      <c r="Y7" s="32">
        <f t="shared" si="9"/>
        <v>0</v>
      </c>
      <c r="Z7" s="50"/>
      <c r="AA7" s="56">
        <v>0</v>
      </c>
      <c r="AB7" s="32" t="str">
        <f t="shared" si="10"/>
        <v>0</v>
      </c>
      <c r="AC7" s="13"/>
      <c r="AD7" s="18"/>
    </row>
    <row r="8" spans="1:30" ht="20.7" customHeight="1" x14ac:dyDescent="0.2">
      <c r="A8" s="20">
        <v>45603</v>
      </c>
      <c r="B8" s="10"/>
      <c r="C8" s="14">
        <f t="shared" si="3"/>
        <v>0</v>
      </c>
      <c r="D8" s="11"/>
      <c r="E8" s="14">
        <f t="shared" si="4"/>
        <v>0</v>
      </c>
      <c r="F8" s="27">
        <v>1704</v>
      </c>
      <c r="G8" s="71">
        <f t="shared" si="5"/>
        <v>0</v>
      </c>
      <c r="H8" s="73">
        <f t="shared" si="6"/>
        <v>0</v>
      </c>
      <c r="I8" s="77">
        <f t="shared" si="7"/>
        <v>-45603</v>
      </c>
      <c r="J8" s="32">
        <f t="shared" si="0"/>
        <v>-1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/>
      <c r="P8" s="90"/>
      <c r="Q8" s="89"/>
      <c r="R8" s="90"/>
      <c r="S8" s="39"/>
      <c r="T8" s="127"/>
      <c r="U8" s="32">
        <f t="shared" si="2"/>
        <v>0</v>
      </c>
      <c r="V8" s="44"/>
      <c r="W8" s="32">
        <f t="shared" si="8"/>
        <v>0</v>
      </c>
      <c r="X8" s="47"/>
      <c r="Y8" s="32">
        <f t="shared" si="9"/>
        <v>0</v>
      </c>
      <c r="Z8" s="50"/>
      <c r="AA8" s="56">
        <v>0</v>
      </c>
      <c r="AB8" s="32" t="str">
        <f t="shared" si="10"/>
        <v>0</v>
      </c>
      <c r="AC8" s="13"/>
      <c r="AD8" s="18"/>
    </row>
    <row r="9" spans="1:30" ht="20.7" customHeight="1" x14ac:dyDescent="0.2">
      <c r="A9" s="20">
        <v>45604</v>
      </c>
      <c r="B9" s="10"/>
      <c r="C9" s="14">
        <f t="shared" si="3"/>
        <v>0</v>
      </c>
      <c r="D9" s="11"/>
      <c r="E9" s="14">
        <f t="shared" si="4"/>
        <v>0</v>
      </c>
      <c r="F9" s="27">
        <v>1704</v>
      </c>
      <c r="G9" s="71">
        <f t="shared" si="5"/>
        <v>0</v>
      </c>
      <c r="H9" s="73">
        <f t="shared" si="6"/>
        <v>0</v>
      </c>
      <c r="I9" s="77">
        <f t="shared" si="7"/>
        <v>-45604</v>
      </c>
      <c r="J9" s="32">
        <f t="shared" si="0"/>
        <v>-1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/>
      <c r="P9" s="90"/>
      <c r="Q9" s="89"/>
      <c r="R9" s="90"/>
      <c r="S9" s="39"/>
      <c r="T9" s="127"/>
      <c r="U9" s="32">
        <f t="shared" si="2"/>
        <v>0</v>
      </c>
      <c r="V9" s="44"/>
      <c r="W9" s="32">
        <f t="shared" si="8"/>
        <v>0</v>
      </c>
      <c r="X9" s="47"/>
      <c r="Y9" s="32">
        <f t="shared" si="9"/>
        <v>0</v>
      </c>
      <c r="Z9" s="50"/>
      <c r="AA9" s="56">
        <v>0</v>
      </c>
      <c r="AB9" s="32" t="str">
        <f t="shared" si="10"/>
        <v>0</v>
      </c>
      <c r="AC9" s="13"/>
      <c r="AD9" s="18"/>
    </row>
    <row r="10" spans="1:30" ht="20.7" customHeight="1" x14ac:dyDescent="0.2">
      <c r="A10" s="20">
        <v>45605</v>
      </c>
      <c r="B10" s="10"/>
      <c r="C10" s="14">
        <f t="shared" si="3"/>
        <v>0</v>
      </c>
      <c r="D10" s="11"/>
      <c r="E10" s="14">
        <f t="shared" si="4"/>
        <v>0</v>
      </c>
      <c r="F10" s="27">
        <v>1704</v>
      </c>
      <c r="G10" s="71">
        <f t="shared" si="5"/>
        <v>0</v>
      </c>
      <c r="H10" s="73">
        <f t="shared" si="6"/>
        <v>0</v>
      </c>
      <c r="I10" s="77">
        <f t="shared" si="7"/>
        <v>-45605</v>
      </c>
      <c r="J10" s="32">
        <f t="shared" si="0"/>
        <v>-1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/>
      <c r="P10" s="90"/>
      <c r="Q10" s="89"/>
      <c r="R10" s="90"/>
      <c r="S10" s="39"/>
      <c r="T10" s="127"/>
      <c r="U10" s="32">
        <f t="shared" si="2"/>
        <v>0</v>
      </c>
      <c r="V10" s="44"/>
      <c r="W10" s="32">
        <f t="shared" si="8"/>
        <v>0</v>
      </c>
      <c r="X10" s="47"/>
      <c r="Y10" s="32">
        <f t="shared" si="9"/>
        <v>0</v>
      </c>
      <c r="Z10" s="50"/>
      <c r="AA10" s="56">
        <v>0</v>
      </c>
      <c r="AB10" s="32" t="str">
        <f t="shared" si="10"/>
        <v>0</v>
      </c>
      <c r="AC10" s="13"/>
      <c r="AD10" s="18"/>
    </row>
    <row r="11" spans="1:30" ht="20.7" customHeight="1" x14ac:dyDescent="0.2">
      <c r="A11" s="20">
        <v>45606</v>
      </c>
      <c r="B11" s="10"/>
      <c r="C11" s="14">
        <f t="shared" si="3"/>
        <v>0</v>
      </c>
      <c r="D11" s="11"/>
      <c r="E11" s="14">
        <f t="shared" si="4"/>
        <v>0</v>
      </c>
      <c r="F11" s="27">
        <v>1704</v>
      </c>
      <c r="G11" s="71">
        <f t="shared" si="5"/>
        <v>0</v>
      </c>
      <c r="H11" s="73">
        <f t="shared" si="6"/>
        <v>0</v>
      </c>
      <c r="I11" s="77">
        <f t="shared" si="7"/>
        <v>-45606</v>
      </c>
      <c r="J11" s="32">
        <f t="shared" si="0"/>
        <v>-1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/>
      <c r="P11" s="90"/>
      <c r="Q11" s="89"/>
      <c r="R11" s="90"/>
      <c r="S11" s="39"/>
      <c r="T11" s="127"/>
      <c r="U11" s="32">
        <f t="shared" si="2"/>
        <v>0</v>
      </c>
      <c r="V11" s="44"/>
      <c r="W11" s="32">
        <f t="shared" si="8"/>
        <v>0</v>
      </c>
      <c r="X11" s="47"/>
      <c r="Y11" s="32">
        <f t="shared" si="9"/>
        <v>0</v>
      </c>
      <c r="Z11" s="50"/>
      <c r="AA11" s="56">
        <v>0</v>
      </c>
      <c r="AB11" s="32" t="str">
        <f t="shared" si="10"/>
        <v>0</v>
      </c>
      <c r="AC11" s="13"/>
      <c r="AD11" s="18"/>
    </row>
    <row r="12" spans="1:30" ht="20.7" customHeight="1" x14ac:dyDescent="0.2">
      <c r="A12" s="20">
        <v>45607</v>
      </c>
      <c r="B12" s="10"/>
      <c r="C12" s="14">
        <f t="shared" si="3"/>
        <v>0</v>
      </c>
      <c r="D12" s="11"/>
      <c r="E12" s="14">
        <f t="shared" si="4"/>
        <v>0</v>
      </c>
      <c r="F12" s="27">
        <v>1704</v>
      </c>
      <c r="G12" s="71">
        <f t="shared" si="5"/>
        <v>0</v>
      </c>
      <c r="H12" s="73">
        <f t="shared" si="6"/>
        <v>0</v>
      </c>
      <c r="I12" s="77">
        <f t="shared" si="7"/>
        <v>-45607</v>
      </c>
      <c r="J12" s="32">
        <f t="shared" si="0"/>
        <v>-1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/>
      <c r="P12" s="90"/>
      <c r="Q12" s="89"/>
      <c r="R12" s="90"/>
      <c r="S12" s="39"/>
      <c r="T12" s="127"/>
      <c r="U12" s="32">
        <f t="shared" si="2"/>
        <v>0</v>
      </c>
      <c r="V12" s="44"/>
      <c r="W12" s="32">
        <f t="shared" si="8"/>
        <v>0</v>
      </c>
      <c r="X12" s="47"/>
      <c r="Y12" s="32">
        <f t="shared" si="9"/>
        <v>0</v>
      </c>
      <c r="Z12" s="50"/>
      <c r="AA12" s="56">
        <v>0</v>
      </c>
      <c r="AB12" s="32" t="str">
        <f t="shared" si="10"/>
        <v>0</v>
      </c>
      <c r="AC12" s="13"/>
      <c r="AD12" s="18"/>
    </row>
    <row r="13" spans="1:30" ht="20.7" customHeight="1" x14ac:dyDescent="0.2">
      <c r="A13" s="20">
        <v>45608</v>
      </c>
      <c r="B13" s="10"/>
      <c r="C13" s="14">
        <f t="shared" si="3"/>
        <v>0</v>
      </c>
      <c r="D13" s="11"/>
      <c r="E13" s="14">
        <f t="shared" si="4"/>
        <v>0</v>
      </c>
      <c r="F13" s="27">
        <v>1704</v>
      </c>
      <c r="G13" s="71">
        <f t="shared" si="5"/>
        <v>0</v>
      </c>
      <c r="H13" s="73">
        <f t="shared" si="6"/>
        <v>0</v>
      </c>
      <c r="I13" s="77">
        <f t="shared" si="7"/>
        <v>-45608</v>
      </c>
      <c r="J13" s="32">
        <f t="shared" si="0"/>
        <v>-1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/>
      <c r="P13" s="90"/>
      <c r="Q13" s="89"/>
      <c r="R13" s="90"/>
      <c r="S13" s="39"/>
      <c r="T13" s="127"/>
      <c r="U13" s="32">
        <f t="shared" si="2"/>
        <v>0</v>
      </c>
      <c r="V13" s="44"/>
      <c r="W13" s="32">
        <f t="shared" si="8"/>
        <v>0</v>
      </c>
      <c r="X13" s="47"/>
      <c r="Y13" s="32">
        <f t="shared" si="9"/>
        <v>0</v>
      </c>
      <c r="Z13" s="50"/>
      <c r="AA13" s="56">
        <v>0</v>
      </c>
      <c r="AB13" s="32" t="str">
        <f t="shared" si="10"/>
        <v>0</v>
      </c>
      <c r="AC13" s="13"/>
      <c r="AD13" s="18"/>
    </row>
    <row r="14" spans="1:30" ht="20.7" customHeight="1" x14ac:dyDescent="0.2">
      <c r="A14" s="20">
        <v>45609</v>
      </c>
      <c r="B14" s="10"/>
      <c r="C14" s="14">
        <f t="shared" si="3"/>
        <v>0</v>
      </c>
      <c r="D14" s="11"/>
      <c r="E14" s="14">
        <f t="shared" si="4"/>
        <v>0</v>
      </c>
      <c r="F14" s="27">
        <v>1704</v>
      </c>
      <c r="G14" s="71">
        <f t="shared" si="5"/>
        <v>0</v>
      </c>
      <c r="H14" s="73">
        <f t="shared" si="6"/>
        <v>0</v>
      </c>
      <c r="I14" s="77">
        <f t="shared" si="7"/>
        <v>-45609</v>
      </c>
      <c r="J14" s="32">
        <f t="shared" si="0"/>
        <v>-1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/>
      <c r="P14" s="90"/>
      <c r="Q14" s="89"/>
      <c r="R14" s="90"/>
      <c r="S14" s="39"/>
      <c r="T14" s="127"/>
      <c r="U14" s="32">
        <f t="shared" si="2"/>
        <v>0</v>
      </c>
      <c r="V14" s="44"/>
      <c r="W14" s="32">
        <f t="shared" si="8"/>
        <v>0</v>
      </c>
      <c r="X14" s="47"/>
      <c r="Y14" s="32">
        <f t="shared" si="9"/>
        <v>0</v>
      </c>
      <c r="Z14" s="50"/>
      <c r="AA14" s="56">
        <v>0</v>
      </c>
      <c r="AB14" s="32" t="str">
        <f t="shared" si="10"/>
        <v>0</v>
      </c>
      <c r="AC14" s="13"/>
      <c r="AD14" s="18"/>
    </row>
    <row r="15" spans="1:30" ht="20.7" customHeight="1" x14ac:dyDescent="0.2">
      <c r="A15" s="20">
        <v>45610</v>
      </c>
      <c r="B15" s="10"/>
      <c r="C15" s="14">
        <f t="shared" si="3"/>
        <v>0</v>
      </c>
      <c r="D15" s="11"/>
      <c r="E15" s="14">
        <f t="shared" si="4"/>
        <v>0</v>
      </c>
      <c r="F15" s="27">
        <v>1704</v>
      </c>
      <c r="G15" s="71">
        <f t="shared" si="5"/>
        <v>0</v>
      </c>
      <c r="H15" s="73">
        <f t="shared" si="6"/>
        <v>0</v>
      </c>
      <c r="I15" s="77">
        <f t="shared" si="7"/>
        <v>-45610</v>
      </c>
      <c r="J15" s="32">
        <f t="shared" si="0"/>
        <v>-1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/>
      <c r="P15" s="90"/>
      <c r="Q15" s="89"/>
      <c r="R15" s="90"/>
      <c r="S15" s="39"/>
      <c r="T15" s="127"/>
      <c r="U15" s="32">
        <f t="shared" si="2"/>
        <v>0</v>
      </c>
      <c r="V15" s="44"/>
      <c r="W15" s="32">
        <f t="shared" si="8"/>
        <v>0</v>
      </c>
      <c r="X15" s="47"/>
      <c r="Y15" s="32">
        <f t="shared" si="9"/>
        <v>0</v>
      </c>
      <c r="Z15" s="50"/>
      <c r="AA15" s="56">
        <v>0</v>
      </c>
      <c r="AB15" s="32" t="str">
        <f t="shared" si="10"/>
        <v>0</v>
      </c>
      <c r="AC15" s="13"/>
      <c r="AD15" s="18"/>
    </row>
    <row r="16" spans="1:30" ht="20.7" customHeight="1" x14ac:dyDescent="0.2">
      <c r="A16" s="20">
        <v>45611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1">
        <f t="shared" si="5"/>
        <v>0</v>
      </c>
      <c r="H16" s="73">
        <f t="shared" si="6"/>
        <v>0</v>
      </c>
      <c r="I16" s="77">
        <f t="shared" si="7"/>
        <v>-45611</v>
      </c>
      <c r="J16" s="32">
        <f t="shared" si="0"/>
        <v>-1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/>
      <c r="P16" s="90"/>
      <c r="Q16" s="89"/>
      <c r="R16" s="90"/>
      <c r="S16" s="39"/>
      <c r="T16" s="127"/>
      <c r="U16" s="32">
        <f t="shared" si="2"/>
        <v>0</v>
      </c>
      <c r="V16" s="44"/>
      <c r="W16" s="32">
        <f t="shared" si="8"/>
        <v>0</v>
      </c>
      <c r="X16" s="47"/>
      <c r="Y16" s="32">
        <f t="shared" si="9"/>
        <v>0</v>
      </c>
      <c r="Z16" s="50"/>
      <c r="AA16" s="56">
        <v>0</v>
      </c>
      <c r="AB16" s="32" t="str">
        <f t="shared" si="10"/>
        <v>0</v>
      </c>
      <c r="AC16" s="13"/>
      <c r="AD16" s="18"/>
    </row>
    <row r="17" spans="1:30" ht="20.7" customHeight="1" x14ac:dyDescent="0.2">
      <c r="A17" s="20">
        <v>45612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1">
        <f t="shared" si="5"/>
        <v>0</v>
      </c>
      <c r="H17" s="73">
        <f t="shared" si="6"/>
        <v>0</v>
      </c>
      <c r="I17" s="77">
        <f t="shared" si="7"/>
        <v>-45612</v>
      </c>
      <c r="J17" s="32">
        <f t="shared" si="0"/>
        <v>-1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/>
      <c r="P17" s="90"/>
      <c r="Q17" s="89"/>
      <c r="R17" s="90"/>
      <c r="S17" s="39"/>
      <c r="T17" s="127"/>
      <c r="U17" s="32">
        <f t="shared" ref="U17:U20" si="11">IF(OR((S17+T17-S18)&lt;0,S17&gt;S16),"0",(S17+T17-S18))</f>
        <v>0</v>
      </c>
      <c r="V17" s="44"/>
      <c r="W17" s="32">
        <f t="shared" si="8"/>
        <v>0</v>
      </c>
      <c r="X17" s="47"/>
      <c r="Y17" s="32">
        <f t="shared" si="9"/>
        <v>0</v>
      </c>
      <c r="Z17" s="50"/>
      <c r="AA17" s="56">
        <v>0</v>
      </c>
      <c r="AB17" s="32" t="str">
        <f t="shared" si="10"/>
        <v>0</v>
      </c>
      <c r="AC17" s="13"/>
      <c r="AD17" s="18"/>
    </row>
    <row r="18" spans="1:30" ht="20.7" customHeight="1" x14ac:dyDescent="0.2">
      <c r="A18" s="20">
        <v>45613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1">
        <f t="shared" si="5"/>
        <v>0</v>
      </c>
      <c r="H18" s="73">
        <f t="shared" si="6"/>
        <v>0</v>
      </c>
      <c r="I18" s="77">
        <f t="shared" si="7"/>
        <v>-45613</v>
      </c>
      <c r="J18" s="32">
        <f t="shared" si="0"/>
        <v>-1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/>
      <c r="P18" s="90"/>
      <c r="Q18" s="89"/>
      <c r="R18" s="90"/>
      <c r="S18" s="39"/>
      <c r="T18" s="127"/>
      <c r="U18" s="32">
        <f t="shared" si="11"/>
        <v>0</v>
      </c>
      <c r="V18" s="44"/>
      <c r="W18" s="32">
        <f t="shared" si="8"/>
        <v>0</v>
      </c>
      <c r="X18" s="47"/>
      <c r="Y18" s="32">
        <f t="shared" si="9"/>
        <v>0</v>
      </c>
      <c r="Z18" s="50"/>
      <c r="AA18" s="56">
        <v>0</v>
      </c>
      <c r="AB18" s="32" t="str">
        <f t="shared" si="10"/>
        <v>0</v>
      </c>
      <c r="AC18" s="13"/>
      <c r="AD18" s="18"/>
    </row>
    <row r="19" spans="1:30" ht="20.7" customHeight="1" x14ac:dyDescent="0.2">
      <c r="A19" s="20">
        <v>45614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1">
        <f t="shared" si="5"/>
        <v>0</v>
      </c>
      <c r="H19" s="73">
        <f t="shared" si="6"/>
        <v>0</v>
      </c>
      <c r="I19" s="77">
        <f t="shared" si="7"/>
        <v>-45614</v>
      </c>
      <c r="J19" s="32">
        <f t="shared" si="0"/>
        <v>-1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/>
      <c r="P19" s="90"/>
      <c r="Q19" s="89"/>
      <c r="R19" s="90"/>
      <c r="S19" s="39"/>
      <c r="T19" s="127"/>
      <c r="U19" s="32">
        <f t="shared" si="11"/>
        <v>0</v>
      </c>
      <c r="V19" s="44"/>
      <c r="W19" s="32">
        <f t="shared" si="8"/>
        <v>0</v>
      </c>
      <c r="X19" s="47"/>
      <c r="Y19" s="32">
        <f t="shared" si="9"/>
        <v>0</v>
      </c>
      <c r="Z19" s="50"/>
      <c r="AA19" s="56">
        <v>0</v>
      </c>
      <c r="AB19" s="32" t="str">
        <f t="shared" si="10"/>
        <v>0</v>
      </c>
      <c r="AC19" s="13"/>
      <c r="AD19" s="18"/>
    </row>
    <row r="20" spans="1:30" ht="20.7" customHeight="1" x14ac:dyDescent="0.2">
      <c r="A20" s="20">
        <v>45615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1">
        <f t="shared" si="5"/>
        <v>0</v>
      </c>
      <c r="H20" s="73">
        <f t="shared" si="6"/>
        <v>0</v>
      </c>
      <c r="I20" s="77">
        <f t="shared" si="7"/>
        <v>-45615</v>
      </c>
      <c r="J20" s="32">
        <f t="shared" si="0"/>
        <v>-1</v>
      </c>
      <c r="K20" s="20">
        <f t="shared" si="1"/>
        <v>45615</v>
      </c>
      <c r="L20" s="33">
        <v>5661</v>
      </c>
      <c r="M20" s="34">
        <v>0</v>
      </c>
      <c r="N20" s="35">
        <v>0</v>
      </c>
      <c r="O20" s="89"/>
      <c r="P20" s="90"/>
      <c r="Q20" s="89"/>
      <c r="R20" s="90"/>
      <c r="S20" s="39"/>
      <c r="T20" s="127"/>
      <c r="U20" s="32">
        <f t="shared" si="11"/>
        <v>0</v>
      </c>
      <c r="V20" s="44"/>
      <c r="W20" s="32">
        <f t="shared" si="8"/>
        <v>0</v>
      </c>
      <c r="X20" s="47"/>
      <c r="Y20" s="32">
        <f t="shared" si="9"/>
        <v>0</v>
      </c>
      <c r="Z20" s="50"/>
      <c r="AA20" s="56">
        <v>0</v>
      </c>
      <c r="AB20" s="32" t="str">
        <f t="shared" si="10"/>
        <v>0</v>
      </c>
      <c r="AC20" s="13"/>
      <c r="AD20" s="18"/>
    </row>
    <row r="21" spans="1:30" ht="20.7" customHeight="1" x14ac:dyDescent="0.2">
      <c r="A21" s="20">
        <v>45616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1">
        <f t="shared" si="5"/>
        <v>0</v>
      </c>
      <c r="H21" s="73">
        <f t="shared" si="6"/>
        <v>0</v>
      </c>
      <c r="I21" s="77">
        <f t="shared" si="7"/>
        <v>-45616</v>
      </c>
      <c r="J21" s="32">
        <f t="shared" si="0"/>
        <v>-1</v>
      </c>
      <c r="K21" s="20">
        <f t="shared" si="1"/>
        <v>45616</v>
      </c>
      <c r="L21" s="33">
        <v>5660</v>
      </c>
      <c r="M21" s="34">
        <v>0</v>
      </c>
      <c r="N21" s="35">
        <v>0</v>
      </c>
      <c r="O21" s="89"/>
      <c r="P21" s="90"/>
      <c r="Q21" s="89"/>
      <c r="R21" s="90"/>
      <c r="S21" s="40"/>
      <c r="T21" s="127"/>
      <c r="U21" s="32">
        <f>IF(OR((S21+T21-S22)&lt;0,S21&gt;S20),"0",(S21+T21-S22))</f>
        <v>0</v>
      </c>
      <c r="V21" s="44"/>
      <c r="W21" s="32">
        <f t="shared" si="8"/>
        <v>0</v>
      </c>
      <c r="X21" s="47"/>
      <c r="Y21" s="32">
        <f t="shared" si="9"/>
        <v>0</v>
      </c>
      <c r="Z21" s="50"/>
      <c r="AA21" s="56">
        <v>0</v>
      </c>
      <c r="AB21" s="32" t="str">
        <f t="shared" si="10"/>
        <v>0</v>
      </c>
      <c r="AC21" s="13"/>
      <c r="AD21" s="18"/>
    </row>
    <row r="22" spans="1:30" ht="20.7" customHeight="1" x14ac:dyDescent="0.2">
      <c r="A22" s="20">
        <v>45617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1">
        <f t="shared" si="5"/>
        <v>0</v>
      </c>
      <c r="H22" s="73">
        <f t="shared" si="6"/>
        <v>0</v>
      </c>
      <c r="I22" s="77">
        <f t="shared" si="7"/>
        <v>-45617</v>
      </c>
      <c r="J22" s="32">
        <f t="shared" si="0"/>
        <v>-1</v>
      </c>
      <c r="K22" s="20">
        <f t="shared" si="1"/>
        <v>45617</v>
      </c>
      <c r="L22" s="33">
        <v>5660</v>
      </c>
      <c r="M22" s="34">
        <v>0</v>
      </c>
      <c r="N22" s="35">
        <v>0</v>
      </c>
      <c r="O22" s="89"/>
      <c r="P22" s="90"/>
      <c r="Q22" s="89"/>
      <c r="R22" s="90"/>
      <c r="S22" s="40"/>
      <c r="T22" s="127"/>
      <c r="U22" s="32">
        <f t="shared" ref="U22:U31" si="12">IF((S22+T22-S23)&lt;0,"0",(S22+T22-S23))</f>
        <v>0</v>
      </c>
      <c r="V22" s="44"/>
      <c r="W22" s="32">
        <f t="shared" si="8"/>
        <v>0</v>
      </c>
      <c r="X22" s="47"/>
      <c r="Y22" s="32">
        <f t="shared" si="9"/>
        <v>0</v>
      </c>
      <c r="Z22" s="50"/>
      <c r="AA22" s="56">
        <v>0</v>
      </c>
      <c r="AB22" s="32" t="str">
        <f t="shared" si="10"/>
        <v>0</v>
      </c>
      <c r="AC22" s="13"/>
      <c r="AD22" s="18"/>
    </row>
    <row r="23" spans="1:30" ht="20.7" customHeight="1" x14ac:dyDescent="0.2">
      <c r="A23" s="20">
        <v>45618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1">
        <f t="shared" si="5"/>
        <v>0</v>
      </c>
      <c r="H23" s="73">
        <f t="shared" si="6"/>
        <v>0</v>
      </c>
      <c r="I23" s="77">
        <f t="shared" si="7"/>
        <v>-45618</v>
      </c>
      <c r="J23" s="32">
        <f t="shared" si="0"/>
        <v>-1</v>
      </c>
      <c r="K23" s="20">
        <f t="shared" si="1"/>
        <v>45618</v>
      </c>
      <c r="L23" s="33">
        <v>5660</v>
      </c>
      <c r="M23" s="34">
        <v>0</v>
      </c>
      <c r="N23" s="35">
        <v>0</v>
      </c>
      <c r="O23" s="89"/>
      <c r="P23" s="90"/>
      <c r="Q23" s="89"/>
      <c r="R23" s="90"/>
      <c r="S23" s="40"/>
      <c r="T23" s="38"/>
      <c r="U23" s="32">
        <f t="shared" si="12"/>
        <v>0</v>
      </c>
      <c r="V23" s="44"/>
      <c r="W23" s="32">
        <f t="shared" si="8"/>
        <v>0</v>
      </c>
      <c r="X23" s="47"/>
      <c r="Y23" s="32">
        <f t="shared" si="9"/>
        <v>0</v>
      </c>
      <c r="Z23" s="50"/>
      <c r="AA23" s="56">
        <v>0</v>
      </c>
      <c r="AB23" s="32" t="str">
        <f t="shared" si="10"/>
        <v>0</v>
      </c>
      <c r="AC23" s="13"/>
      <c r="AD23" s="18"/>
    </row>
    <row r="24" spans="1:30" ht="20.7" customHeight="1" x14ac:dyDescent="0.2">
      <c r="A24" s="20">
        <v>45619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1">
        <f t="shared" si="5"/>
        <v>0</v>
      </c>
      <c r="H24" s="73">
        <f t="shared" si="6"/>
        <v>0</v>
      </c>
      <c r="I24" s="77">
        <f t="shared" si="7"/>
        <v>-45619</v>
      </c>
      <c r="J24" s="32">
        <f t="shared" si="0"/>
        <v>-1</v>
      </c>
      <c r="K24" s="20">
        <f t="shared" si="1"/>
        <v>45619</v>
      </c>
      <c r="L24" s="33">
        <v>5660</v>
      </c>
      <c r="M24" s="34">
        <v>0</v>
      </c>
      <c r="N24" s="35">
        <v>0</v>
      </c>
      <c r="O24" s="89"/>
      <c r="P24" s="90"/>
      <c r="Q24" s="89"/>
      <c r="R24" s="90"/>
      <c r="S24" s="40"/>
      <c r="T24" s="38"/>
      <c r="U24" s="32">
        <f t="shared" si="12"/>
        <v>0</v>
      </c>
      <c r="V24" s="44"/>
      <c r="W24" s="32">
        <f t="shared" si="8"/>
        <v>0</v>
      </c>
      <c r="X24" s="47"/>
      <c r="Y24" s="32">
        <f t="shared" si="9"/>
        <v>0</v>
      </c>
      <c r="Z24" s="50"/>
      <c r="AA24" s="56">
        <v>0</v>
      </c>
      <c r="AB24" s="32" t="str">
        <f t="shared" si="10"/>
        <v>0</v>
      </c>
      <c r="AC24" s="13"/>
      <c r="AD24" s="18"/>
    </row>
    <row r="25" spans="1:30" ht="20.7" customHeight="1" x14ac:dyDescent="0.2">
      <c r="A25" s="20">
        <v>45620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1">
        <f t="shared" si="5"/>
        <v>0</v>
      </c>
      <c r="H25" s="73">
        <f t="shared" si="6"/>
        <v>0</v>
      </c>
      <c r="I25" s="77">
        <f t="shared" si="7"/>
        <v>-45620</v>
      </c>
      <c r="J25" s="32">
        <f t="shared" si="0"/>
        <v>-1</v>
      </c>
      <c r="K25" s="20">
        <f t="shared" si="1"/>
        <v>45620</v>
      </c>
      <c r="L25" s="33">
        <v>5660</v>
      </c>
      <c r="M25" s="34">
        <v>0</v>
      </c>
      <c r="N25" s="35">
        <v>0</v>
      </c>
      <c r="O25" s="89"/>
      <c r="P25" s="90"/>
      <c r="Q25" s="89"/>
      <c r="R25" s="90"/>
      <c r="S25" s="40"/>
      <c r="T25" s="38"/>
      <c r="U25" s="32">
        <f t="shared" si="12"/>
        <v>0</v>
      </c>
      <c r="V25" s="44"/>
      <c r="W25" s="32">
        <f t="shared" si="8"/>
        <v>0</v>
      </c>
      <c r="X25" s="47"/>
      <c r="Y25" s="32">
        <f t="shared" si="9"/>
        <v>0</v>
      </c>
      <c r="Z25" s="50"/>
      <c r="AA25" s="56">
        <v>0</v>
      </c>
      <c r="AB25" s="32" t="str">
        <f t="shared" si="10"/>
        <v>0</v>
      </c>
      <c r="AC25" s="13"/>
      <c r="AD25" s="18"/>
    </row>
    <row r="26" spans="1:30" ht="20.7" customHeight="1" x14ac:dyDescent="0.2">
      <c r="A26" s="20">
        <v>45621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1">
        <f t="shared" si="5"/>
        <v>0</v>
      </c>
      <c r="H26" s="73">
        <f t="shared" si="6"/>
        <v>0</v>
      </c>
      <c r="I26" s="77">
        <f t="shared" si="7"/>
        <v>-45621</v>
      </c>
      <c r="J26" s="32">
        <f t="shared" si="0"/>
        <v>-1</v>
      </c>
      <c r="K26" s="20">
        <f t="shared" si="1"/>
        <v>45621</v>
      </c>
      <c r="L26" s="33">
        <v>5660</v>
      </c>
      <c r="M26" s="34">
        <v>0</v>
      </c>
      <c r="N26" s="35">
        <v>0</v>
      </c>
      <c r="O26" s="89"/>
      <c r="P26" s="90"/>
      <c r="Q26" s="89"/>
      <c r="R26" s="90"/>
      <c r="S26" s="40"/>
      <c r="T26" s="38"/>
      <c r="U26" s="32">
        <f t="shared" si="12"/>
        <v>0</v>
      </c>
      <c r="V26" s="44"/>
      <c r="W26" s="32">
        <f t="shared" si="8"/>
        <v>0</v>
      </c>
      <c r="X26" s="47"/>
      <c r="Y26" s="32">
        <f t="shared" si="9"/>
        <v>0</v>
      </c>
      <c r="Z26" s="50"/>
      <c r="AA26" s="56">
        <v>0</v>
      </c>
      <c r="AB26" s="32" t="str">
        <f t="shared" si="10"/>
        <v>0</v>
      </c>
      <c r="AC26" s="13"/>
      <c r="AD26" s="18"/>
    </row>
    <row r="27" spans="1:30" ht="20.7" customHeight="1" x14ac:dyDescent="0.2">
      <c r="A27" s="20">
        <v>45622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1">
        <f t="shared" si="5"/>
        <v>0</v>
      </c>
      <c r="H27" s="73">
        <f t="shared" si="6"/>
        <v>0</v>
      </c>
      <c r="I27" s="77">
        <f t="shared" si="7"/>
        <v>-45622</v>
      </c>
      <c r="J27" s="32">
        <f t="shared" si="0"/>
        <v>-1</v>
      </c>
      <c r="K27" s="20">
        <f t="shared" si="1"/>
        <v>45622</v>
      </c>
      <c r="L27" s="33">
        <v>5660</v>
      </c>
      <c r="M27" s="34">
        <v>0</v>
      </c>
      <c r="N27" s="35">
        <v>0</v>
      </c>
      <c r="O27" s="89"/>
      <c r="P27" s="90"/>
      <c r="Q27" s="89"/>
      <c r="R27" s="90"/>
      <c r="S27" s="40"/>
      <c r="T27" s="38"/>
      <c r="U27" s="32">
        <f t="shared" si="12"/>
        <v>0</v>
      </c>
      <c r="V27" s="44"/>
      <c r="W27" s="32">
        <f t="shared" si="8"/>
        <v>0</v>
      </c>
      <c r="X27" s="47"/>
      <c r="Y27" s="32">
        <f t="shared" si="9"/>
        <v>0</v>
      </c>
      <c r="Z27" s="50"/>
      <c r="AA27" s="56">
        <v>0</v>
      </c>
      <c r="AB27" s="32" t="str">
        <f t="shared" si="10"/>
        <v>0</v>
      </c>
      <c r="AC27" s="13"/>
      <c r="AD27" s="18"/>
    </row>
    <row r="28" spans="1:30" ht="20.7" customHeight="1" x14ac:dyDescent="0.2">
      <c r="A28" s="20">
        <v>45623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1">
        <f t="shared" si="5"/>
        <v>0</v>
      </c>
      <c r="H28" s="73">
        <f t="shared" si="6"/>
        <v>0</v>
      </c>
      <c r="I28" s="77">
        <f t="shared" si="7"/>
        <v>-45623</v>
      </c>
      <c r="J28" s="32">
        <f t="shared" si="0"/>
        <v>-1</v>
      </c>
      <c r="K28" s="20">
        <f t="shared" si="1"/>
        <v>45623</v>
      </c>
      <c r="L28" s="33">
        <v>5660</v>
      </c>
      <c r="M28" s="34">
        <v>0</v>
      </c>
      <c r="N28" s="35">
        <v>0</v>
      </c>
      <c r="O28" s="89"/>
      <c r="P28" s="90"/>
      <c r="Q28" s="89"/>
      <c r="R28" s="90"/>
      <c r="S28" s="40"/>
      <c r="T28" s="38"/>
      <c r="U28" s="32">
        <f t="shared" si="12"/>
        <v>0</v>
      </c>
      <c r="V28" s="44"/>
      <c r="W28" s="32">
        <f t="shared" si="8"/>
        <v>0</v>
      </c>
      <c r="X28" s="47"/>
      <c r="Y28" s="32">
        <f t="shared" si="9"/>
        <v>0</v>
      </c>
      <c r="Z28" s="50"/>
      <c r="AA28" s="56">
        <v>0</v>
      </c>
      <c r="AB28" s="32" t="str">
        <f t="shared" si="10"/>
        <v>0</v>
      </c>
      <c r="AC28" s="13"/>
      <c r="AD28" s="18"/>
    </row>
    <row r="29" spans="1:30" ht="20.7" customHeight="1" x14ac:dyDescent="0.2">
      <c r="A29" s="20">
        <v>45624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1">
        <f t="shared" si="5"/>
        <v>0</v>
      </c>
      <c r="H29" s="73">
        <f t="shared" si="6"/>
        <v>0</v>
      </c>
      <c r="I29" s="77">
        <f t="shared" si="7"/>
        <v>-45624</v>
      </c>
      <c r="J29" s="32">
        <f t="shared" si="0"/>
        <v>-1</v>
      </c>
      <c r="K29" s="20">
        <f t="shared" si="1"/>
        <v>45624</v>
      </c>
      <c r="L29" s="33">
        <v>5660</v>
      </c>
      <c r="M29" s="34">
        <v>0</v>
      </c>
      <c r="N29" s="35">
        <v>0</v>
      </c>
      <c r="O29" s="89"/>
      <c r="P29" s="90"/>
      <c r="Q29" s="89"/>
      <c r="R29" s="90"/>
      <c r="S29" s="40"/>
      <c r="T29" s="38"/>
      <c r="U29" s="32">
        <f t="shared" si="12"/>
        <v>0</v>
      </c>
      <c r="V29" s="44"/>
      <c r="W29" s="32">
        <f t="shared" si="8"/>
        <v>0</v>
      </c>
      <c r="X29" s="47"/>
      <c r="Y29" s="32">
        <f t="shared" si="9"/>
        <v>0</v>
      </c>
      <c r="Z29" s="50"/>
      <c r="AA29" s="56">
        <v>0</v>
      </c>
      <c r="AB29" s="32" t="str">
        <f t="shared" si="10"/>
        <v>0</v>
      </c>
      <c r="AC29" s="13"/>
      <c r="AD29" s="18"/>
    </row>
    <row r="30" spans="1:30" ht="20.7" customHeight="1" x14ac:dyDescent="0.2">
      <c r="A30" s="20">
        <v>45625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1">
        <f t="shared" si="5"/>
        <v>0</v>
      </c>
      <c r="H30" s="73">
        <f t="shared" si="6"/>
        <v>0</v>
      </c>
      <c r="I30" s="77">
        <f t="shared" si="7"/>
        <v>-45625</v>
      </c>
      <c r="J30" s="32">
        <f t="shared" si="0"/>
        <v>-1</v>
      </c>
      <c r="K30" s="20">
        <f t="shared" si="1"/>
        <v>45625</v>
      </c>
      <c r="L30" s="33">
        <v>5660</v>
      </c>
      <c r="M30" s="34">
        <v>0</v>
      </c>
      <c r="N30" s="35">
        <v>0</v>
      </c>
      <c r="O30" s="89"/>
      <c r="P30" s="90"/>
      <c r="Q30" s="89"/>
      <c r="R30" s="90"/>
      <c r="S30" s="40"/>
      <c r="T30" s="38"/>
      <c r="U30" s="32">
        <f t="shared" si="12"/>
        <v>0</v>
      </c>
      <c r="V30" s="44"/>
      <c r="W30" s="32">
        <f t="shared" si="8"/>
        <v>0</v>
      </c>
      <c r="X30" s="47"/>
      <c r="Y30" s="32">
        <f t="shared" si="9"/>
        <v>0</v>
      </c>
      <c r="Z30" s="50"/>
      <c r="AA30" s="56">
        <v>0</v>
      </c>
      <c r="AB30" s="32" t="str">
        <f t="shared" si="10"/>
        <v>0</v>
      </c>
      <c r="AC30" s="13"/>
      <c r="AD30" s="18"/>
    </row>
    <row r="31" spans="1:30" ht="20.7" customHeight="1" thickBot="1" x14ac:dyDescent="0.25">
      <c r="A31" s="20">
        <v>45626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1">
        <f t="shared" si="5"/>
        <v>0</v>
      </c>
      <c r="H31" s="73">
        <f t="shared" si="6"/>
        <v>0</v>
      </c>
      <c r="I31" s="77">
        <f t="shared" si="7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>
        <f t="shared" si="12"/>
        <v>0</v>
      </c>
      <c r="V31" s="44"/>
      <c r="W31" s="32">
        <f t="shared" si="8"/>
        <v>0</v>
      </c>
      <c r="X31" s="47"/>
      <c r="Y31" s="32">
        <f t="shared" si="9"/>
        <v>0</v>
      </c>
      <c r="Z31" s="50"/>
      <c r="AA31" s="56">
        <v>0</v>
      </c>
      <c r="AB31" s="32" t="str">
        <f t="shared" si="10"/>
        <v>0</v>
      </c>
      <c r="AC31" s="13"/>
      <c r="AD31" s="18"/>
    </row>
    <row r="32" spans="1:30" ht="20.7" customHeight="1" thickTop="1" thickBot="1" x14ac:dyDescent="0.2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-13145923</v>
      </c>
      <c r="D33" s="81"/>
      <c r="E33" s="80">
        <f>SUM(E2:E32)</f>
        <v>-585067</v>
      </c>
      <c r="F33" s="82"/>
      <c r="G33" s="80">
        <f>SUM(G2:G32)</f>
        <v>0</v>
      </c>
      <c r="H33" s="81">
        <f>SUM(H2:H32)</f>
        <v>-13730990</v>
      </c>
      <c r="I33" s="80">
        <f>SUM(I2:I31)</f>
        <v>-15099336.559999999</v>
      </c>
      <c r="J33" s="80">
        <f>SUM(J2:J32)</f>
        <v>13776588.559999999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0</v>
      </c>
      <c r="U33" s="80">
        <f>SUM(U2:U32)</f>
        <v>0</v>
      </c>
      <c r="V33" s="79"/>
      <c r="W33" s="80">
        <f>SUM(W2:W32)</f>
        <v>0</v>
      </c>
      <c r="X33" s="79"/>
      <c r="Y33" s="80">
        <f>SUM(Y2:Y32)</f>
        <v>-61141</v>
      </c>
      <c r="Z33" s="79"/>
      <c r="AA33" s="79">
        <f>SUM(AA2:AA32)</f>
        <v>0</v>
      </c>
      <c r="AB33" s="80">
        <f>SUM(AB2:AB32)</f>
        <v>0</v>
      </c>
      <c r="AC33" s="83">
        <f>SUM(AC2:AC32)</f>
        <v>174</v>
      </c>
      <c r="AD33" s="84">
        <f>SUM(AD2:AD32)</f>
        <v>370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2024-11-01T06:45:36Z</dcterms:modified>
  <cp:category/>
  <cp:contentStatus/>
</cp:coreProperties>
</file>