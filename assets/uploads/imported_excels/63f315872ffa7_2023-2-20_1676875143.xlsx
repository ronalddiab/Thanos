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2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19" l="1"/>
  <c r="H5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J35" i="119"/>
  <c r="K32" i="117" s="1"/>
  <c r="F35" i="119"/>
  <c r="G32" i="117" s="1"/>
  <c r="D35" i="119"/>
  <c r="E32" i="117" s="1"/>
  <c r="J34" i="119"/>
  <c r="K31" i="117" s="1"/>
  <c r="F34" i="119"/>
  <c r="G31" i="117" s="1"/>
  <c r="D34" i="119"/>
  <c r="E31" i="117" s="1"/>
  <c r="J33" i="119"/>
  <c r="K30" i="117" s="1"/>
  <c r="F33" i="119"/>
  <c r="G30" i="117" s="1"/>
  <c r="D33" i="119"/>
  <c r="E30" i="117" s="1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K2" i="117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<sst xmlns="http://schemas.openxmlformats.org/spreadsheetml/2006/main" count="61" uniqueCount="29">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</sst>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70" zoomScaleNormal="70" workbookViewId="0">
      <selection activeCell="A2" sqref="A2:A32"/>
    </sheetView>
  </sheetViews>
  <sheetFormatPr defaultRowHeight="12.75" x14ac:dyDescent="0.2"/>
  <cols>
    <col min="1" max="1" width="20.57031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3</v>
      </c>
      <c r="D2" s="7">
        <v>2022</v>
      </c>
      <c r="E2" s="9">
        <f>'Macao Daily'!D5</f>
        <v>22924</v>
      </c>
      <c r="F2" s="37">
        <v>1.2042999999999999</v>
      </c>
      <c r="G2" s="9">
        <f>'Macao Daily'!F5</f>
        <v>2</v>
      </c>
      <c r="H2" s="37">
        <v>5.1378105378105383</v>
      </c>
      <c r="I2" s="9">
        <f>'Macao Daily'!H5</f>
        <v>11984</v>
      </c>
      <c r="J2" s="37">
        <v>0.2</v>
      </c>
      <c r="K2" s="9">
        <f>'Macao Daily'!J5</f>
        <v>120</v>
      </c>
      <c r="L2" s="37">
        <v>7.76</v>
      </c>
      <c r="M2" s="9">
        <f>'Macao Daily'!K5</f>
        <v>91</v>
      </c>
      <c r="N2" s="9">
        <f>'Macao Daily'!L5</f>
        <v>204</v>
      </c>
    </row>
    <row r="3" spans="1:14" ht="15" x14ac:dyDescent="0.25">
      <c r="A3" s="6" t="s">
        <v>28</v>
      </c>
      <c r="B3" s="7">
        <f>B2+1</f>
        <v>2</v>
      </c>
      <c r="C3" s="8">
        <v>3</v>
      </c>
      <c r="D3" s="7">
        <v>2022</v>
      </c>
      <c r="E3" s="9">
        <f>'Macao Daily'!D6</f>
        <v>33599</v>
      </c>
      <c r="F3" s="37">
        <v>1.2042999999999999</v>
      </c>
      <c r="G3" s="9">
        <f>'Macao Daily'!F6</f>
        <v>2</v>
      </c>
      <c r="H3" s="37">
        <v>5.1378105378105383</v>
      </c>
      <c r="I3" s="9">
        <f>'Macao Daily'!H6</f>
        <v>35584</v>
      </c>
      <c r="J3" s="37">
        <v>0.2</v>
      </c>
      <c r="K3" s="9">
        <f>'Macao Daily'!J6</f>
        <v>218</v>
      </c>
      <c r="L3" s="37">
        <v>7.76</v>
      </c>
      <c r="M3" s="9">
        <f>'Macao Daily'!K6</f>
        <v>88</v>
      </c>
      <c r="N3" s="9">
        <f>'Macao Daily'!L6</f>
        <v>143</v>
      </c>
    </row>
    <row r="4" spans="1:14" ht="15" x14ac:dyDescent="0.25">
      <c r="A4" s="6" t="s">
        <v>28</v>
      </c>
      <c r="B4" s="7">
        <f t="shared" ref="B4:B32" si="0">B3+1</f>
        <v>3</v>
      </c>
      <c r="C4" s="8">
        <v>3</v>
      </c>
      <c r="D4" s="7">
        <v>2022</v>
      </c>
      <c r="E4" s="9">
        <f>'Macao Daily'!D7</f>
        <v>23202</v>
      </c>
      <c r="F4" s="37">
        <v>1.2042999999999999</v>
      </c>
      <c r="G4" s="9">
        <f>'Macao Daily'!F7</f>
        <v>2</v>
      </c>
      <c r="H4" s="37">
        <v>5.1378105378105383</v>
      </c>
      <c r="I4" s="9">
        <f>'Macao Daily'!H7</f>
        <v>14336</v>
      </c>
      <c r="J4" s="37">
        <v>0.2</v>
      </c>
      <c r="K4" s="9">
        <f>'Macao Daily'!J7</f>
        <v>161</v>
      </c>
      <c r="L4" s="37">
        <v>7.76</v>
      </c>
      <c r="M4" s="9">
        <f>'Macao Daily'!K7</f>
        <v>101</v>
      </c>
      <c r="N4" s="9">
        <f>'Macao Daily'!L7</f>
        <v>368</v>
      </c>
    </row>
    <row r="5" spans="1:14" ht="15" x14ac:dyDescent="0.25">
      <c r="A5" s="6" t="s">
        <v>28</v>
      </c>
      <c r="B5" s="7">
        <f t="shared" si="0"/>
        <v>4</v>
      </c>
      <c r="C5" s="8">
        <v>3</v>
      </c>
      <c r="D5" s="7">
        <v>2022</v>
      </c>
      <c r="E5" s="9">
        <f>'Macao Daily'!D8</f>
        <v>27948</v>
      </c>
      <c r="F5" s="37">
        <v>1.2042999999999999</v>
      </c>
      <c r="G5" s="9">
        <f>'Macao Daily'!F8</f>
        <v>2</v>
      </c>
      <c r="H5" s="37">
        <v>5.1378105378105383</v>
      </c>
      <c r="I5" s="9">
        <f>'Macao Daily'!H8</f>
        <v>22656</v>
      </c>
      <c r="J5" s="37">
        <v>0.2</v>
      </c>
      <c r="K5" s="9">
        <f>'Macao Daily'!J8</f>
        <v>119</v>
      </c>
      <c r="L5" s="37">
        <v>7.76</v>
      </c>
      <c r="M5" s="9">
        <f>'Macao Daily'!K8</f>
        <v>109</v>
      </c>
      <c r="N5" s="9">
        <f>'Macao Daily'!L8</f>
        <v>493</v>
      </c>
    </row>
    <row r="6" spans="1:14" ht="15" x14ac:dyDescent="0.25">
      <c r="A6" s="6" t="s">
        <v>28</v>
      </c>
      <c r="B6" s="7">
        <f t="shared" si="0"/>
        <v>5</v>
      </c>
      <c r="C6" s="8">
        <v>3</v>
      </c>
      <c r="D6" s="7">
        <v>2022</v>
      </c>
      <c r="E6" s="9">
        <f>'Macao Daily'!D9</f>
        <v>28384</v>
      </c>
      <c r="F6" s="37">
        <v>1.2042999999999999</v>
      </c>
      <c r="G6" s="9">
        <f>'Macao Daily'!F9</f>
        <v>3</v>
      </c>
      <c r="H6" s="37">
        <v>5.1378105378105383</v>
      </c>
      <c r="I6" s="9">
        <f>'Macao Daily'!H9</f>
        <v>31216</v>
      </c>
      <c r="J6" s="37">
        <v>0.2</v>
      </c>
      <c r="K6" s="9">
        <f>'Macao Daily'!J9</f>
        <v>168</v>
      </c>
      <c r="L6" s="37">
        <v>7.76</v>
      </c>
      <c r="M6" s="9">
        <f>'Macao Daily'!K9</f>
        <v>135</v>
      </c>
      <c r="N6" s="9">
        <f>'Macao Daily'!L9</f>
        <v>325</v>
      </c>
    </row>
    <row r="7" spans="1:14" ht="15" x14ac:dyDescent="0.25">
      <c r="A7" s="6" t="s">
        <v>28</v>
      </c>
      <c r="B7" s="7">
        <f t="shared" si="0"/>
        <v>6</v>
      </c>
      <c r="C7" s="8">
        <v>3</v>
      </c>
      <c r="D7" s="7">
        <v>2022</v>
      </c>
      <c r="E7" s="9">
        <f>'Macao Daily'!D10</f>
        <v>29177</v>
      </c>
      <c r="F7" s="37">
        <v>1.2042999999999999</v>
      </c>
      <c r="G7" s="9">
        <f>'Macao Daily'!F10</f>
        <v>3</v>
      </c>
      <c r="H7" s="37">
        <v>5.1378105378105383</v>
      </c>
      <c r="I7" s="9">
        <f>'Macao Daily'!H10</f>
        <v>27648</v>
      </c>
      <c r="J7" s="37">
        <v>0.2</v>
      </c>
      <c r="K7" s="9">
        <f>'Macao Daily'!J10</f>
        <v>111</v>
      </c>
      <c r="L7" s="37">
        <v>7.76</v>
      </c>
      <c r="M7" s="9">
        <f>'Macao Daily'!K10</f>
        <v>110</v>
      </c>
      <c r="N7" s="9">
        <f>'Macao Daily'!L10</f>
        <v>634</v>
      </c>
    </row>
    <row r="8" spans="1:14" ht="15" x14ac:dyDescent="0.25">
      <c r="A8" s="6" t="s">
        <v>28</v>
      </c>
      <c r="B8" s="7">
        <f t="shared" si="0"/>
        <v>7</v>
      </c>
      <c r="C8" s="8">
        <v>3</v>
      </c>
      <c r="D8" s="7">
        <v>2022</v>
      </c>
      <c r="E8" s="9">
        <f>'Macao Daily'!D11</f>
        <v>28721</v>
      </c>
      <c r="F8" s="37">
        <v>1.2042999999999999</v>
      </c>
      <c r="G8" s="9">
        <f>'Macao Daily'!F11</f>
        <v>2</v>
      </c>
      <c r="H8" s="37">
        <v>5.1378105378105383</v>
      </c>
      <c r="I8" s="9">
        <f>'Macao Daily'!H11</f>
        <v>20352</v>
      </c>
      <c r="J8" s="37">
        <v>0.2</v>
      </c>
      <c r="K8" s="9">
        <f>'Macao Daily'!J11</f>
        <v>146</v>
      </c>
      <c r="L8" s="37">
        <v>7.76</v>
      </c>
      <c r="M8" s="9">
        <f>'Macao Daily'!K11</f>
        <v>95</v>
      </c>
      <c r="N8" s="9">
        <f>'Macao Daily'!L11</f>
        <v>441</v>
      </c>
    </row>
    <row r="9" spans="1:14" ht="15" x14ac:dyDescent="0.25">
      <c r="A9" s="6" t="s">
        <v>28</v>
      </c>
      <c r="B9" s="7">
        <f t="shared" si="0"/>
        <v>8</v>
      </c>
      <c r="C9" s="8">
        <v>3</v>
      </c>
      <c r="D9" s="7">
        <v>2022</v>
      </c>
      <c r="E9" s="9">
        <f>'Macao Daily'!D12</f>
        <v>35949</v>
      </c>
      <c r="F9" s="37">
        <v>1.2042999999999999</v>
      </c>
      <c r="G9" s="9">
        <f>'Macao Daily'!F12</f>
        <v>2</v>
      </c>
      <c r="H9" s="37">
        <v>5.1378105378105383</v>
      </c>
      <c r="I9" s="9">
        <f>'Macao Daily'!H12</f>
        <v>20960</v>
      </c>
      <c r="J9" s="37">
        <v>0.2</v>
      </c>
      <c r="K9" s="9">
        <f>'Macao Daily'!J12</f>
        <v>159</v>
      </c>
      <c r="L9" s="37">
        <v>7.76</v>
      </c>
      <c r="M9" s="9">
        <f>'Macao Daily'!K12</f>
        <v>95</v>
      </c>
      <c r="N9" s="9">
        <f>'Macao Daily'!L12</f>
        <v>183</v>
      </c>
    </row>
    <row r="10" spans="1:14" ht="15" x14ac:dyDescent="0.25">
      <c r="A10" s="6" t="s">
        <v>28</v>
      </c>
      <c r="B10" s="7">
        <f t="shared" si="0"/>
        <v>9</v>
      </c>
      <c r="C10" s="8">
        <v>3</v>
      </c>
      <c r="D10" s="7">
        <v>2022</v>
      </c>
      <c r="E10" s="9">
        <f>'Macao Daily'!D13</f>
        <v>29108</v>
      </c>
      <c r="F10" s="37">
        <v>1.2042999999999999</v>
      </c>
      <c r="G10" s="9">
        <f>'Macao Daily'!F13</f>
        <v>3</v>
      </c>
      <c r="H10" s="37">
        <v>5.1378105378105383</v>
      </c>
      <c r="I10" s="9">
        <f>'Macao Daily'!H13</f>
        <v>13344</v>
      </c>
      <c r="J10" s="37">
        <v>0.2</v>
      </c>
      <c r="K10" s="9">
        <f>'Macao Daily'!J13</f>
        <v>115</v>
      </c>
      <c r="L10" s="37">
        <v>7.76</v>
      </c>
      <c r="M10" s="9">
        <f>'Macao Daily'!K13</f>
        <v>96</v>
      </c>
      <c r="N10" s="9">
        <f>'Macao Daily'!L13</f>
        <v>126</v>
      </c>
    </row>
    <row r="11" spans="1:14" ht="15" x14ac:dyDescent="0.25">
      <c r="A11" s="6" t="s">
        <v>28</v>
      </c>
      <c r="B11" s="7">
        <f t="shared" si="0"/>
        <v>10</v>
      </c>
      <c r="C11" s="8">
        <v>3</v>
      </c>
      <c r="D11" s="7">
        <v>2022</v>
      </c>
      <c r="E11" s="9">
        <f>'Macao Daily'!D14</f>
        <v>27549</v>
      </c>
      <c r="F11" s="37">
        <v>1.2042999999999999</v>
      </c>
      <c r="G11" s="9">
        <f>'Macao Daily'!F14</f>
        <v>2</v>
      </c>
      <c r="H11" s="37">
        <v>5.1378105378105383</v>
      </c>
      <c r="I11" s="9">
        <f>'Macao Daily'!H14</f>
        <v>19104</v>
      </c>
      <c r="J11" s="37">
        <v>0.2</v>
      </c>
      <c r="K11" s="9">
        <f>'Macao Daily'!J14</f>
        <v>145</v>
      </c>
      <c r="L11" s="37">
        <v>7.76</v>
      </c>
      <c r="M11" s="9">
        <f>'Macao Daily'!K14</f>
        <v>110</v>
      </c>
      <c r="N11" s="9">
        <f>'Macao Daily'!L14</f>
        <v>167</v>
      </c>
    </row>
    <row r="12" spans="1:14" ht="15" x14ac:dyDescent="0.25">
      <c r="A12" s="6" t="s">
        <v>28</v>
      </c>
      <c r="B12" s="7">
        <f t="shared" si="0"/>
        <v>11</v>
      </c>
      <c r="C12" s="8">
        <v>3</v>
      </c>
      <c r="D12" s="7">
        <v>2022</v>
      </c>
      <c r="E12" s="9">
        <f>'Macao Daily'!D15</f>
        <v>28217</v>
      </c>
      <c r="F12" s="37">
        <v>1.2042999999999999</v>
      </c>
      <c r="G12" s="9">
        <f>'Macao Daily'!F15</f>
        <v>2</v>
      </c>
      <c r="H12" s="37">
        <v>5.1378105378105383</v>
      </c>
      <c r="I12" s="9">
        <f>'Macao Daily'!H15</f>
        <v>25984</v>
      </c>
      <c r="J12" s="37">
        <v>0.2</v>
      </c>
      <c r="K12" s="9">
        <f>'Macao Daily'!J15</f>
        <v>158</v>
      </c>
      <c r="L12" s="37">
        <v>7.76</v>
      </c>
      <c r="M12" s="9">
        <f>'Macao Daily'!K15</f>
        <v>139</v>
      </c>
      <c r="N12" s="9">
        <f>'Macao Daily'!L15</f>
        <v>193</v>
      </c>
    </row>
    <row r="13" spans="1:14" ht="15" x14ac:dyDescent="0.25">
      <c r="A13" s="6" t="s">
        <v>28</v>
      </c>
      <c r="B13" s="7">
        <f t="shared" si="0"/>
        <v>12</v>
      </c>
      <c r="C13" s="8">
        <v>3</v>
      </c>
      <c r="D13" s="7">
        <v>2022</v>
      </c>
      <c r="E13" s="9">
        <f>'Macao Daily'!D16</f>
        <v>27814</v>
      </c>
      <c r="F13" s="37">
        <v>1.2042999999999999</v>
      </c>
      <c r="G13" s="9">
        <f>'Macao Daily'!F16</f>
        <v>2</v>
      </c>
      <c r="H13" s="37">
        <v>5.1378105378105383</v>
      </c>
      <c r="I13" s="9">
        <f>'Macao Daily'!H16</f>
        <v>29248</v>
      </c>
      <c r="J13" s="37">
        <v>0.2</v>
      </c>
      <c r="K13" s="9">
        <f>'Macao Daily'!J16</f>
        <v>175</v>
      </c>
      <c r="L13" s="37">
        <v>7.76</v>
      </c>
      <c r="M13" s="9">
        <f>'Macao Daily'!K16</f>
        <v>166</v>
      </c>
      <c r="N13" s="9">
        <f>'Macao Daily'!L16</f>
        <v>447</v>
      </c>
    </row>
    <row r="14" spans="1:14" ht="15" x14ac:dyDescent="0.25">
      <c r="A14" s="6" t="s">
        <v>28</v>
      </c>
      <c r="B14" s="7">
        <f t="shared" si="0"/>
        <v>13</v>
      </c>
      <c r="C14" s="8">
        <v>3</v>
      </c>
      <c r="D14" s="7">
        <v>2022</v>
      </c>
      <c r="E14" s="9">
        <f>'Macao Daily'!D17</f>
        <v>28554</v>
      </c>
      <c r="F14" s="37">
        <v>1.2042999999999999</v>
      </c>
      <c r="G14" s="9">
        <f>'Macao Daily'!F17</f>
        <v>2</v>
      </c>
      <c r="H14" s="37">
        <v>5.1378105378105383</v>
      </c>
      <c r="I14" s="9">
        <f>'Macao Daily'!H17</f>
        <v>34336</v>
      </c>
      <c r="J14" s="37">
        <v>0.2</v>
      </c>
      <c r="K14" s="9">
        <f>'Macao Daily'!J17</f>
        <v>151</v>
      </c>
      <c r="L14" s="37">
        <v>7.76</v>
      </c>
      <c r="M14" s="9">
        <f>'Macao Daily'!K17</f>
        <v>137</v>
      </c>
      <c r="N14" s="9">
        <f>'Macao Daily'!L17</f>
        <v>770</v>
      </c>
    </row>
    <row r="15" spans="1:14" ht="15" x14ac:dyDescent="0.25">
      <c r="A15" s="6" t="s">
        <v>28</v>
      </c>
      <c r="B15" s="7">
        <f t="shared" si="0"/>
        <v>14</v>
      </c>
      <c r="C15" s="8">
        <v>3</v>
      </c>
      <c r="D15" s="7">
        <v>2022</v>
      </c>
      <c r="E15" s="9">
        <f>'Macao Daily'!D18</f>
        <v>22077</v>
      </c>
      <c r="F15" s="37">
        <v>1.2042999999999999</v>
      </c>
      <c r="G15" s="9">
        <f>'Macao Daily'!F18</f>
        <v>2</v>
      </c>
      <c r="H15" s="37">
        <v>5.1378105378105383</v>
      </c>
      <c r="I15" s="9">
        <f>'Macao Daily'!H18</f>
        <v>32928</v>
      </c>
      <c r="J15" s="37">
        <v>0.2</v>
      </c>
      <c r="K15" s="9">
        <f>'Macao Daily'!J18</f>
        <v>145</v>
      </c>
      <c r="L15" s="37">
        <v>7.76</v>
      </c>
      <c r="M15" s="9">
        <f>'Macao Daily'!K18</f>
        <v>96</v>
      </c>
      <c r="N15" s="9">
        <f>'Macao Daily'!L18</f>
        <v>217</v>
      </c>
    </row>
    <row r="16" spans="1:14" ht="15" x14ac:dyDescent="0.25">
      <c r="A16" s="6" t="s">
        <v>28</v>
      </c>
      <c r="B16" s="7">
        <f t="shared" si="0"/>
        <v>15</v>
      </c>
      <c r="C16" s="8">
        <v>3</v>
      </c>
      <c r="D16" s="7">
        <v>2022</v>
      </c>
      <c r="E16" s="9">
        <f>'Macao Daily'!D19</f>
        <v>27183</v>
      </c>
      <c r="F16" s="37">
        <v>1.2042999999999999</v>
      </c>
      <c r="G16" s="9">
        <f>'Macao Daily'!F19</f>
        <v>2</v>
      </c>
      <c r="H16" s="37">
        <v>5.1378105378105383</v>
      </c>
      <c r="I16" s="9">
        <f>'Macao Daily'!H19</f>
        <v>48928</v>
      </c>
      <c r="J16" s="37">
        <v>0.2</v>
      </c>
      <c r="K16" s="9">
        <f>'Macao Daily'!J19</f>
        <v>136</v>
      </c>
      <c r="L16" s="37">
        <v>7.76</v>
      </c>
      <c r="M16" s="9">
        <f>'Macao Daily'!K19</f>
        <v>83</v>
      </c>
      <c r="N16" s="9">
        <f>'Macao Daily'!L19</f>
        <v>198</v>
      </c>
    </row>
    <row r="17" spans="1:14" ht="15" x14ac:dyDescent="0.25">
      <c r="A17" s="6" t="s">
        <v>28</v>
      </c>
      <c r="B17" s="7">
        <f t="shared" si="0"/>
        <v>16</v>
      </c>
      <c r="C17" s="8">
        <v>3</v>
      </c>
      <c r="D17" s="7">
        <v>2022</v>
      </c>
      <c r="E17" s="9">
        <f>'Macao Daily'!D20</f>
        <v>27652</v>
      </c>
      <c r="F17" s="37">
        <v>1.2042999999999999</v>
      </c>
      <c r="G17" s="9">
        <f>'Macao Daily'!F20</f>
        <v>1</v>
      </c>
      <c r="H17" s="37">
        <v>5.1378105378105383</v>
      </c>
      <c r="I17" s="9">
        <f>'Macao Daily'!H20</f>
        <v>39728</v>
      </c>
      <c r="J17" s="37">
        <v>0.2</v>
      </c>
      <c r="K17" s="9">
        <f>'Macao Daily'!J20</f>
        <v>151</v>
      </c>
      <c r="L17" s="37">
        <v>7.76</v>
      </c>
      <c r="M17" s="9">
        <f>'Macao Daily'!K20</f>
        <v>75</v>
      </c>
      <c r="N17" s="9">
        <f>'Macao Daily'!L20</f>
        <v>173</v>
      </c>
    </row>
    <row r="18" spans="1:14" ht="15" x14ac:dyDescent="0.25">
      <c r="A18" s="6" t="s">
        <v>28</v>
      </c>
      <c r="B18" s="7">
        <f t="shared" si="0"/>
        <v>17</v>
      </c>
      <c r="C18" s="8">
        <v>3</v>
      </c>
      <c r="D18" s="7">
        <v>2022</v>
      </c>
      <c r="E18" s="9">
        <f>'Macao Daily'!D21</f>
        <v>31701</v>
      </c>
      <c r="F18" s="37">
        <v>1.2042999999999999</v>
      </c>
      <c r="G18" s="9">
        <f>'Macao Daily'!F21</f>
        <v>1</v>
      </c>
      <c r="H18" s="37">
        <v>5.1378105378105383</v>
      </c>
      <c r="I18" s="9">
        <f>'Macao Daily'!H21</f>
        <v>50768</v>
      </c>
      <c r="J18" s="37">
        <v>0.2</v>
      </c>
      <c r="K18" s="9">
        <f>'Macao Daily'!J21</f>
        <v>174</v>
      </c>
      <c r="L18" s="37">
        <v>7.76</v>
      </c>
      <c r="M18" s="9">
        <f>'Macao Daily'!K21</f>
        <v>72</v>
      </c>
      <c r="N18" s="9">
        <f>'Macao Daily'!L21</f>
        <v>229</v>
      </c>
    </row>
    <row r="19" spans="1:14" ht="15" x14ac:dyDescent="0.25">
      <c r="A19" s="6" t="s">
        <v>28</v>
      </c>
      <c r="B19" s="7">
        <f t="shared" si="0"/>
        <v>18</v>
      </c>
      <c r="C19" s="8">
        <v>3</v>
      </c>
      <c r="D19" s="7">
        <v>2022</v>
      </c>
      <c r="E19" s="9">
        <f>'Macao Daily'!D22</f>
        <v>22979</v>
      </c>
      <c r="F19" s="37">
        <v>1.2042999999999999</v>
      </c>
      <c r="G19" s="9">
        <f>'Macao Daily'!F22</f>
        <v>3</v>
      </c>
      <c r="H19" s="37">
        <v>5.1378105378105383</v>
      </c>
      <c r="I19" s="9">
        <f>'Macao Daily'!H22</f>
        <v>42000</v>
      </c>
      <c r="J19" s="37">
        <v>0.2</v>
      </c>
      <c r="K19" s="9">
        <f>'Macao Daily'!J22</f>
        <v>157</v>
      </c>
      <c r="L19" s="37">
        <v>7.76</v>
      </c>
      <c r="M19" s="9">
        <f>'Macao Daily'!K22</f>
        <v>88</v>
      </c>
      <c r="N19" s="9">
        <f>'Macao Daily'!L22</f>
        <v>369</v>
      </c>
    </row>
    <row r="20" spans="1:14" ht="15" x14ac:dyDescent="0.25">
      <c r="A20" s="6" t="s">
        <v>28</v>
      </c>
      <c r="B20" s="7">
        <f t="shared" si="0"/>
        <v>19</v>
      </c>
      <c r="C20" s="8">
        <v>3</v>
      </c>
      <c r="D20" s="7">
        <v>2022</v>
      </c>
      <c r="E20" s="9">
        <f>'Macao Daily'!D23</f>
        <v>33975</v>
      </c>
      <c r="F20" s="37">
        <v>1.2042999999999999</v>
      </c>
      <c r="G20" s="9">
        <f>'Macao Daily'!F23</f>
        <v>2</v>
      </c>
      <c r="H20" s="37">
        <v>5.1378105378105383</v>
      </c>
      <c r="I20" s="9">
        <f>'Macao Daily'!H23</f>
        <v>60176</v>
      </c>
      <c r="J20" s="37">
        <v>0.2</v>
      </c>
      <c r="K20" s="9">
        <f>'Macao Daily'!J23</f>
        <v>167</v>
      </c>
      <c r="L20" s="37">
        <v>7.76</v>
      </c>
      <c r="M20" s="9">
        <f>'Macao Daily'!K23</f>
        <v>92</v>
      </c>
      <c r="N20" s="9">
        <f>'Macao Daily'!L23</f>
        <v>328</v>
      </c>
    </row>
    <row r="21" spans="1:14" ht="15" x14ac:dyDescent="0.25">
      <c r="A21" s="6" t="s">
        <v>28</v>
      </c>
      <c r="B21" s="7">
        <f t="shared" si="0"/>
        <v>20</v>
      </c>
      <c r="C21" s="8">
        <v>3</v>
      </c>
      <c r="D21" s="7">
        <v>2022</v>
      </c>
      <c r="E21" s="9">
        <f>'Macao Daily'!D24</f>
        <v>26568</v>
      </c>
      <c r="F21" s="37">
        <v>1.2042999999999999</v>
      </c>
      <c r="G21" s="9">
        <f>'Macao Daily'!F24</f>
        <v>1</v>
      </c>
      <c r="H21" s="37">
        <v>5.1378105378105383</v>
      </c>
      <c r="I21" s="9">
        <f>'Macao Daily'!H24</f>
        <v>36496</v>
      </c>
      <c r="J21" s="37">
        <v>0.2</v>
      </c>
      <c r="K21" s="9">
        <f>'Macao Daily'!J24</f>
        <v>156</v>
      </c>
      <c r="L21" s="37">
        <v>7.76</v>
      </c>
      <c r="M21" s="9">
        <f>'Macao Daily'!K24</f>
        <v>72</v>
      </c>
      <c r="N21" s="9">
        <f>'Macao Daily'!L24</f>
        <v>395</v>
      </c>
    </row>
    <row r="22" spans="1:14" ht="15" x14ac:dyDescent="0.25">
      <c r="A22" s="6" t="s">
        <v>28</v>
      </c>
      <c r="B22" s="7">
        <f t="shared" si="0"/>
        <v>21</v>
      </c>
      <c r="C22" s="8">
        <v>3</v>
      </c>
      <c r="D22" s="7">
        <v>2022</v>
      </c>
      <c r="E22" s="9">
        <f>'Macao Daily'!D25</f>
        <v>28483</v>
      </c>
      <c r="F22" s="37">
        <v>1.2042999999999999</v>
      </c>
      <c r="G22" s="9">
        <f>'Macao Daily'!F25</f>
        <v>2</v>
      </c>
      <c r="H22" s="37">
        <v>5.1378105378105383</v>
      </c>
      <c r="I22" s="9">
        <f>'Macao Daily'!H25</f>
        <v>40176</v>
      </c>
      <c r="J22" s="37">
        <v>0.2</v>
      </c>
      <c r="K22" s="9">
        <f>'Macao Daily'!J25</f>
        <v>134</v>
      </c>
      <c r="L22" s="37">
        <v>7.76</v>
      </c>
      <c r="M22" s="9">
        <f>'Macao Daily'!K25</f>
        <v>53</v>
      </c>
      <c r="N22" s="9">
        <f>'Macao Daily'!L25</f>
        <v>109</v>
      </c>
    </row>
    <row r="23" spans="1:14" ht="15" x14ac:dyDescent="0.25">
      <c r="A23" s="6" t="s">
        <v>28</v>
      </c>
      <c r="B23" s="7">
        <f t="shared" si="0"/>
        <v>22</v>
      </c>
      <c r="C23" s="8">
        <v>3</v>
      </c>
      <c r="D23" s="7">
        <v>2022</v>
      </c>
      <c r="E23" s="9">
        <f>'Macao Daily'!D26</f>
        <v>27258</v>
      </c>
      <c r="F23" s="37">
        <v>1.2042999999999999</v>
      </c>
      <c r="G23" s="9">
        <f>'Macao Daily'!F26</f>
        <v>1</v>
      </c>
      <c r="H23" s="37">
        <v>5.1378105378105383</v>
      </c>
      <c r="I23" s="9">
        <f>'Macao Daily'!H26</f>
        <v>46816</v>
      </c>
      <c r="J23" s="37">
        <v>0.2</v>
      </c>
      <c r="K23" s="9">
        <f>'Macao Daily'!J26</f>
        <v>91</v>
      </c>
      <c r="L23" s="37">
        <v>7.76</v>
      </c>
      <c r="M23" s="9">
        <f>'Macao Daily'!K26</f>
        <v>56</v>
      </c>
      <c r="N23" s="9">
        <f>'Macao Daily'!L26</f>
        <v>84</v>
      </c>
    </row>
    <row r="24" spans="1:14" ht="15" x14ac:dyDescent="0.25">
      <c r="A24" s="6" t="s">
        <v>28</v>
      </c>
      <c r="B24" s="7">
        <f t="shared" si="0"/>
        <v>23</v>
      </c>
      <c r="C24" s="8">
        <v>3</v>
      </c>
      <c r="D24" s="7">
        <v>2022</v>
      </c>
      <c r="E24" s="9">
        <f>'Macao Daily'!D27</f>
        <v>27751</v>
      </c>
      <c r="F24" s="37">
        <v>1.2042999999999999</v>
      </c>
      <c r="G24" s="9">
        <f>'Macao Daily'!F27</f>
        <v>2</v>
      </c>
      <c r="H24" s="37">
        <v>5.1378105378105383</v>
      </c>
      <c r="I24" s="9">
        <f>'Macao Daily'!H27</f>
        <v>28832</v>
      </c>
      <c r="J24" s="37">
        <v>0.2</v>
      </c>
      <c r="K24" s="9">
        <f>'Macao Daily'!J27</f>
        <v>159</v>
      </c>
      <c r="L24" s="37">
        <v>7.76</v>
      </c>
      <c r="M24" s="9">
        <f>'Macao Daily'!K27</f>
        <v>48</v>
      </c>
      <c r="N24" s="9">
        <f>'Macao Daily'!L27</f>
        <v>115</v>
      </c>
    </row>
    <row r="25" spans="1:14" ht="15" x14ac:dyDescent="0.25">
      <c r="A25" s="6" t="s">
        <v>28</v>
      </c>
      <c r="B25" s="7">
        <f t="shared" si="0"/>
        <v>24</v>
      </c>
      <c r="C25" s="8">
        <v>3</v>
      </c>
      <c r="D25" s="7">
        <v>2022</v>
      </c>
      <c r="E25" s="9">
        <f>'Macao Daily'!D28</f>
        <v>28066</v>
      </c>
      <c r="F25" s="37">
        <v>1.2042999999999999</v>
      </c>
      <c r="G25" s="9">
        <f>'Macao Daily'!F28</f>
        <v>1</v>
      </c>
      <c r="H25" s="37">
        <v>5.1378105378105383</v>
      </c>
      <c r="I25" s="9">
        <f>'Macao Daily'!H28</f>
        <v>12736</v>
      </c>
      <c r="J25" s="37">
        <v>0.2</v>
      </c>
      <c r="K25" s="9">
        <f>'Macao Daily'!J28</f>
        <v>120</v>
      </c>
      <c r="L25" s="37">
        <v>7.76</v>
      </c>
      <c r="M25" s="9">
        <f>'Macao Daily'!K28</f>
        <v>63</v>
      </c>
      <c r="N25" s="9">
        <f>'Macao Daily'!L28</f>
        <v>97</v>
      </c>
    </row>
    <row r="26" spans="1:14" ht="15" x14ac:dyDescent="0.25">
      <c r="A26" s="6" t="s">
        <v>28</v>
      </c>
      <c r="B26" s="7">
        <f>B25+1</f>
        <v>25</v>
      </c>
      <c r="C26" s="8">
        <v>3</v>
      </c>
      <c r="D26" s="7">
        <v>2022</v>
      </c>
      <c r="E26" s="9">
        <f>'Macao Daily'!D29</f>
        <v>25714</v>
      </c>
      <c r="F26" s="37">
        <v>1.2042999999999999</v>
      </c>
      <c r="G26" s="9">
        <f>'Macao Daily'!F29</f>
        <v>2</v>
      </c>
      <c r="H26" s="37">
        <v>5.1378105378105383</v>
      </c>
      <c r="I26" s="9">
        <f>'Macao Daily'!H29</f>
        <v>41472</v>
      </c>
      <c r="J26" s="37">
        <v>0.2</v>
      </c>
      <c r="K26" s="9">
        <f>'Macao Daily'!J29</f>
        <v>187</v>
      </c>
      <c r="L26" s="37">
        <v>7.76</v>
      </c>
      <c r="M26" s="9">
        <f>'Macao Daily'!K29</f>
        <v>75</v>
      </c>
      <c r="N26" s="9">
        <f>'Macao Daily'!L29</f>
        <v>504</v>
      </c>
    </row>
    <row r="27" spans="1:14" ht="15" x14ac:dyDescent="0.25">
      <c r="A27" s="6" t="s">
        <v>28</v>
      </c>
      <c r="B27" s="7">
        <f t="shared" si="0"/>
        <v>26</v>
      </c>
      <c r="C27" s="8">
        <v>3</v>
      </c>
      <c r="D27" s="7">
        <v>2022</v>
      </c>
      <c r="E27" s="9">
        <f>'Macao Daily'!D30</f>
        <v>26952</v>
      </c>
      <c r="F27" s="37">
        <v>1.2042999999999999</v>
      </c>
      <c r="G27" s="9">
        <f>'Macao Daily'!F30</f>
        <v>2</v>
      </c>
      <c r="H27" s="37">
        <v>5.1378105378105383</v>
      </c>
      <c r="I27" s="9">
        <f>'Macao Daily'!H30</f>
        <v>58832</v>
      </c>
      <c r="J27" s="37">
        <v>0.2</v>
      </c>
      <c r="K27" s="9">
        <f>'Macao Daily'!J30</f>
        <v>143</v>
      </c>
      <c r="L27" s="37">
        <v>7.76</v>
      </c>
      <c r="M27" s="9">
        <f>'Macao Daily'!K30</f>
        <v>83</v>
      </c>
      <c r="N27" s="9">
        <f>'Macao Daily'!L30</f>
        <v>412</v>
      </c>
    </row>
    <row r="28" spans="1:14" ht="15" x14ac:dyDescent="0.25">
      <c r="A28" s="6" t="s">
        <v>28</v>
      </c>
      <c r="B28" s="7">
        <f t="shared" si="0"/>
        <v>27</v>
      </c>
      <c r="C28" s="8">
        <v>3</v>
      </c>
      <c r="D28" s="7">
        <v>2022</v>
      </c>
      <c r="E28" s="9">
        <f>'Macao Daily'!D31</f>
        <v>28304</v>
      </c>
      <c r="F28" s="37">
        <v>1.2042999999999999</v>
      </c>
      <c r="G28" s="9">
        <f>'Macao Daily'!F31</f>
        <v>1</v>
      </c>
      <c r="H28" s="37">
        <v>5.1378105378105383</v>
      </c>
      <c r="I28" s="9">
        <f>'Macao Daily'!H31</f>
        <v>38896</v>
      </c>
      <c r="J28" s="37">
        <v>0.2</v>
      </c>
      <c r="K28" s="9">
        <f>'Macao Daily'!J31</f>
        <v>133</v>
      </c>
      <c r="L28" s="37">
        <v>7.76</v>
      </c>
      <c r="M28" s="9">
        <f>'Macao Daily'!K31</f>
        <v>38</v>
      </c>
      <c r="N28" s="9">
        <f>'Macao Daily'!L31</f>
        <v>431</v>
      </c>
    </row>
    <row r="29" spans="1:14" ht="15" x14ac:dyDescent="0.25">
      <c r="A29" s="6" t="s">
        <v>28</v>
      </c>
      <c r="B29" s="7">
        <f t="shared" si="0"/>
        <v>28</v>
      </c>
      <c r="C29" s="8">
        <v>3</v>
      </c>
      <c r="D29" s="7">
        <v>2022</v>
      </c>
      <c r="E29" s="9">
        <f>'Macao Daily'!D32</f>
        <v>22618</v>
      </c>
      <c r="F29" s="37">
        <v>1.2042999999999999</v>
      </c>
      <c r="G29" s="9">
        <f>'Macao Daily'!F32</f>
        <v>2</v>
      </c>
      <c r="H29" s="37">
        <v>5.1378105378105383</v>
      </c>
      <c r="I29" s="9">
        <f>'Macao Daily'!H32</f>
        <v>10880</v>
      </c>
      <c r="J29" s="37">
        <v>0.2</v>
      </c>
      <c r="K29" s="9">
        <f>'Macao Daily'!J32</f>
        <v>82</v>
      </c>
      <c r="L29" s="37">
        <v>7.76</v>
      </c>
      <c r="M29" s="9">
        <f>'Macao Daily'!K32</f>
        <v>37</v>
      </c>
      <c r="N29" s="9">
        <f>'Macao Daily'!L32</f>
        <v>95</v>
      </c>
    </row>
    <row r="30" spans="1:14" ht="15" x14ac:dyDescent="0.25">
      <c r="A30" s="6" t="s">
        <v>28</v>
      </c>
      <c r="B30" s="7">
        <f t="shared" si="0"/>
        <v>29</v>
      </c>
      <c r="C30" s="8">
        <v>3</v>
      </c>
      <c r="D30" s="7">
        <v>2022</v>
      </c>
      <c r="E30" s="9">
        <f>'Macao Daily'!D33</f>
        <v>31806</v>
      </c>
      <c r="F30" s="37">
        <v>1.2042999999999999</v>
      </c>
      <c r="G30" s="9">
        <f>'Macao Daily'!F33</f>
        <v>2</v>
      </c>
      <c r="H30" s="37">
        <v>5.1378105378105383</v>
      </c>
      <c r="I30" s="9">
        <f>'Macao Daily'!H33</f>
        <v>21744</v>
      </c>
      <c r="J30" s="37">
        <v>0.2</v>
      </c>
      <c r="K30" s="9">
        <f>'Macao Daily'!J33</f>
        <v>142</v>
      </c>
      <c r="L30" s="37">
        <v>7.76</v>
      </c>
      <c r="M30" s="9">
        <f>'Macao Daily'!K33</f>
        <v>43</v>
      </c>
      <c r="N30" s="9">
        <f>'Macao Daily'!L33</f>
        <v>65</v>
      </c>
    </row>
    <row r="31" spans="1:14" ht="15" x14ac:dyDescent="0.25">
      <c r="A31" s="6" t="s">
        <v>28</v>
      </c>
      <c r="B31" s="7">
        <f t="shared" si="0"/>
        <v>30</v>
      </c>
      <c r="C31" s="8">
        <v>3</v>
      </c>
      <c r="D31" s="7">
        <v>2022</v>
      </c>
      <c r="E31" s="9">
        <f>'Macao Daily'!D34</f>
        <v>23065</v>
      </c>
      <c r="F31" s="37">
        <v>1.2042999999999999</v>
      </c>
      <c r="G31" s="9">
        <f>'Macao Daily'!F34</f>
        <v>1</v>
      </c>
      <c r="H31" s="37">
        <v>5.1378105378105383</v>
      </c>
      <c r="I31" s="9">
        <f>'Macao Daily'!H34</f>
        <v>22672</v>
      </c>
      <c r="J31" s="37">
        <v>0.2</v>
      </c>
      <c r="K31" s="9">
        <f>'Macao Daily'!J34</f>
        <v>96</v>
      </c>
      <c r="L31" s="37">
        <v>7.76</v>
      </c>
      <c r="M31" s="9">
        <f>'Macao Daily'!K34</f>
        <v>51</v>
      </c>
      <c r="N31" s="9">
        <f>'Macao Daily'!L34</f>
        <v>244</v>
      </c>
    </row>
    <row r="32" spans="1:14" ht="15" x14ac:dyDescent="0.25">
      <c r="A32" s="6" t="s">
        <v>28</v>
      </c>
      <c r="B32" s="7">
        <f t="shared" si="0"/>
        <v>31</v>
      </c>
      <c r="C32" s="8">
        <v>3</v>
      </c>
      <c r="D32" s="7">
        <v>2022</v>
      </c>
      <c r="E32" s="9">
        <f>'Macao Daily'!D35</f>
        <v>25951</v>
      </c>
      <c r="F32" s="37">
        <v>1.2042999999999999</v>
      </c>
      <c r="G32" s="9">
        <f>'Macao Daily'!F35</f>
        <v>2</v>
      </c>
      <c r="H32" s="37">
        <v>5.1378105378105383</v>
      </c>
      <c r="I32" s="9">
        <f>'Macao Daily'!H35</f>
        <v>36480</v>
      </c>
      <c r="J32" s="37">
        <v>0.2</v>
      </c>
      <c r="K32" s="9">
        <f>'Macao Daily'!J35</f>
        <v>82</v>
      </c>
      <c r="L32" s="37">
        <v>7.76</v>
      </c>
      <c r="M32" s="9">
        <f>'Macao Daily'!K35</f>
        <v>50</v>
      </c>
      <c r="N32" s="9">
        <f>'Macao Daily'!L35</f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5"/>
  <sheetViews>
    <sheetView zoomScale="70" zoomScaleNormal="70" workbookViewId="0">
      <pane xSplit="1" topLeftCell="B1" activePane="topRight" state="frozen"/>
      <selection pane="topRight" activeCell="J9" sqref="J9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44620</v>
      </c>
      <c r="B4" s="38"/>
      <c r="C4" s="23">
        <v>94382189</v>
      </c>
      <c r="D4" s="24"/>
      <c r="E4" s="23">
        <v>2712</v>
      </c>
      <c r="F4" s="25"/>
      <c r="G4" s="23">
        <v>245007776</v>
      </c>
      <c r="H4" s="25"/>
      <c r="I4" s="23">
        <v>396126</v>
      </c>
      <c r="K4" s="27">
        <v>86</v>
      </c>
      <c r="L4" s="27">
        <v>159</v>
      </c>
    </row>
    <row r="5" spans="1:12" ht="33" customHeight="1" x14ac:dyDescent="0.25">
      <c r="A5" s="28">
        <v>44621</v>
      </c>
      <c r="B5" s="38"/>
      <c r="C5" s="29">
        <v>94405113</v>
      </c>
      <c r="D5" s="30">
        <f t="shared" ref="D5:D22" si="0">IF((C5-C4&lt;0), "0",C5-C4)</f>
        <v>22924</v>
      </c>
      <c r="E5" s="29">
        <v>2714</v>
      </c>
      <c r="F5" s="30">
        <f>IF((E5-E4&lt;0), "0",E5-E4)</f>
        <v>2</v>
      </c>
      <c r="G5" s="29">
        <v>245019760</v>
      </c>
      <c r="H5" s="30">
        <f>IF((G5-G4&lt;0), "0",G5-G4)</f>
        <v>11984</v>
      </c>
      <c r="I5" s="29">
        <v>396246</v>
      </c>
      <c r="J5" s="30">
        <f>IF((I5-I4&lt;0), "0",I5-I4)</f>
        <v>120</v>
      </c>
      <c r="K5" s="31">
        <v>91</v>
      </c>
      <c r="L5" s="31">
        <v>204</v>
      </c>
    </row>
    <row r="6" spans="1:12" ht="45" customHeight="1" x14ac:dyDescent="0.25">
      <c r="A6" s="28">
        <v>44622</v>
      </c>
      <c r="B6" s="38"/>
      <c r="C6" s="29">
        <v>94438712</v>
      </c>
      <c r="D6" s="30">
        <f t="shared" si="0"/>
        <v>33599</v>
      </c>
      <c r="E6" s="29">
        <v>2716</v>
      </c>
      <c r="F6" s="30">
        <f t="shared" ref="F6:F35" si="1">IF((E6-E5&lt;0), "0",E6-E5)</f>
        <v>2</v>
      </c>
      <c r="G6" s="29">
        <v>245055344</v>
      </c>
      <c r="H6" s="30">
        <f t="shared" ref="H6:H35" si="2">IF((G6-G5&lt;0), "0",G6-G5)</f>
        <v>35584</v>
      </c>
      <c r="I6" s="29">
        <v>396464</v>
      </c>
      <c r="J6" s="30">
        <f t="shared" ref="J6:J35" si="3">IF((I6-I5&lt;0), "0",I6-I5)</f>
        <v>218</v>
      </c>
      <c r="K6" s="12">
        <v>88</v>
      </c>
      <c r="L6" s="12">
        <v>143</v>
      </c>
    </row>
    <row r="7" spans="1:12" ht="45" customHeight="1" x14ac:dyDescent="0.25">
      <c r="A7" s="28">
        <v>44623</v>
      </c>
      <c r="B7" s="38"/>
      <c r="C7" s="29">
        <v>94461914</v>
      </c>
      <c r="D7" s="30">
        <f t="shared" si="0"/>
        <v>23202</v>
      </c>
      <c r="E7" s="29">
        <v>2718</v>
      </c>
      <c r="F7" s="30">
        <f t="shared" si="1"/>
        <v>2</v>
      </c>
      <c r="G7" s="29">
        <v>245069680</v>
      </c>
      <c r="H7" s="30">
        <f t="shared" si="2"/>
        <v>14336</v>
      </c>
      <c r="I7" s="29">
        <v>396625</v>
      </c>
      <c r="J7" s="30">
        <f t="shared" si="3"/>
        <v>161</v>
      </c>
      <c r="K7" s="12">
        <v>101</v>
      </c>
      <c r="L7" s="12">
        <v>368</v>
      </c>
    </row>
    <row r="8" spans="1:12" ht="45" customHeight="1" x14ac:dyDescent="0.25">
      <c r="A8" s="28">
        <v>44624</v>
      </c>
      <c r="B8" s="38"/>
      <c r="C8" s="29">
        <v>94489862</v>
      </c>
      <c r="D8" s="30">
        <f t="shared" si="0"/>
        <v>27948</v>
      </c>
      <c r="E8" s="29">
        <v>2720</v>
      </c>
      <c r="F8" s="30">
        <f t="shared" si="1"/>
        <v>2</v>
      </c>
      <c r="G8" s="29">
        <v>245092336</v>
      </c>
      <c r="H8" s="30">
        <f t="shared" si="2"/>
        <v>22656</v>
      </c>
      <c r="I8" s="29">
        <v>396744</v>
      </c>
      <c r="J8" s="30">
        <f t="shared" si="3"/>
        <v>119</v>
      </c>
      <c r="K8" s="12">
        <v>109</v>
      </c>
      <c r="L8" s="12">
        <v>493</v>
      </c>
    </row>
    <row r="9" spans="1:12" ht="45" customHeight="1" x14ac:dyDescent="0.25">
      <c r="A9" s="28">
        <v>44625</v>
      </c>
      <c r="B9" s="38"/>
      <c r="C9" s="29">
        <v>94518246</v>
      </c>
      <c r="D9" s="30">
        <f t="shared" si="0"/>
        <v>28384</v>
      </c>
      <c r="E9" s="29">
        <v>2723</v>
      </c>
      <c r="F9" s="30">
        <f t="shared" si="1"/>
        <v>3</v>
      </c>
      <c r="G9" s="29">
        <v>245123552</v>
      </c>
      <c r="H9" s="30">
        <f t="shared" si="2"/>
        <v>31216</v>
      </c>
      <c r="I9" s="29">
        <v>396912</v>
      </c>
      <c r="J9" s="30">
        <f t="shared" si="3"/>
        <v>168</v>
      </c>
      <c r="K9" s="12">
        <v>135</v>
      </c>
      <c r="L9" s="12">
        <v>325</v>
      </c>
    </row>
    <row r="10" spans="1:12" ht="45" customHeight="1" x14ac:dyDescent="0.25">
      <c r="A10" s="28">
        <v>44626</v>
      </c>
      <c r="B10" s="38"/>
      <c r="C10" s="29">
        <v>94547423</v>
      </c>
      <c r="D10" s="30">
        <f t="shared" si="0"/>
        <v>29177</v>
      </c>
      <c r="E10" s="29">
        <v>2726</v>
      </c>
      <c r="F10" s="30">
        <f t="shared" si="1"/>
        <v>3</v>
      </c>
      <c r="G10" s="29">
        <v>245151200</v>
      </c>
      <c r="H10" s="30">
        <f t="shared" si="2"/>
        <v>27648</v>
      </c>
      <c r="I10" s="29">
        <v>397023</v>
      </c>
      <c r="J10" s="30">
        <f t="shared" si="3"/>
        <v>111</v>
      </c>
      <c r="K10" s="12">
        <v>110</v>
      </c>
      <c r="L10" s="12">
        <v>634</v>
      </c>
    </row>
    <row r="11" spans="1:12" ht="45" customHeight="1" x14ac:dyDescent="0.25">
      <c r="A11" s="28">
        <v>44627</v>
      </c>
      <c r="B11" s="38"/>
      <c r="C11" s="29">
        <v>94576144</v>
      </c>
      <c r="D11" s="30">
        <f t="shared" si="0"/>
        <v>28721</v>
      </c>
      <c r="E11" s="29">
        <v>2728</v>
      </c>
      <c r="F11" s="30">
        <f t="shared" si="1"/>
        <v>2</v>
      </c>
      <c r="G11" s="29">
        <v>245171552</v>
      </c>
      <c r="H11" s="30">
        <f t="shared" si="2"/>
        <v>20352</v>
      </c>
      <c r="I11" s="29">
        <v>397169</v>
      </c>
      <c r="J11" s="30">
        <f t="shared" si="3"/>
        <v>146</v>
      </c>
      <c r="K11" s="12">
        <v>95</v>
      </c>
      <c r="L11" s="12">
        <v>441</v>
      </c>
    </row>
    <row r="12" spans="1:12" ht="45" customHeight="1" x14ac:dyDescent="0.25">
      <c r="A12" s="28">
        <v>44628</v>
      </c>
      <c r="B12" s="38"/>
      <c r="C12" s="29">
        <v>94612093</v>
      </c>
      <c r="D12" s="30">
        <f t="shared" si="0"/>
        <v>35949</v>
      </c>
      <c r="E12" s="29">
        <v>2730</v>
      </c>
      <c r="F12" s="30">
        <f t="shared" si="1"/>
        <v>2</v>
      </c>
      <c r="G12" s="29">
        <v>245192512</v>
      </c>
      <c r="H12" s="30">
        <f t="shared" si="2"/>
        <v>20960</v>
      </c>
      <c r="I12" s="29">
        <v>397328</v>
      </c>
      <c r="J12" s="30">
        <f t="shared" si="3"/>
        <v>159</v>
      </c>
      <c r="K12" s="12">
        <v>95</v>
      </c>
      <c r="L12" s="12">
        <v>183</v>
      </c>
    </row>
    <row r="13" spans="1:12" ht="45" customHeight="1" x14ac:dyDescent="0.25">
      <c r="A13" s="28">
        <v>44629</v>
      </c>
      <c r="B13" s="38"/>
      <c r="C13" s="29">
        <v>94641201</v>
      </c>
      <c r="D13" s="30">
        <f t="shared" si="0"/>
        <v>29108</v>
      </c>
      <c r="E13" s="29">
        <v>2733</v>
      </c>
      <c r="F13" s="30">
        <f t="shared" si="1"/>
        <v>3</v>
      </c>
      <c r="G13" s="29">
        <v>245205856</v>
      </c>
      <c r="H13" s="30">
        <f t="shared" si="2"/>
        <v>13344</v>
      </c>
      <c r="I13" s="29">
        <v>397443</v>
      </c>
      <c r="J13" s="30">
        <f t="shared" si="3"/>
        <v>115</v>
      </c>
      <c r="K13" s="12">
        <v>96</v>
      </c>
      <c r="L13" s="12">
        <v>126</v>
      </c>
    </row>
    <row r="14" spans="1:12" ht="45" customHeight="1" x14ac:dyDescent="0.25">
      <c r="A14" s="28">
        <v>44630</v>
      </c>
      <c r="B14" s="38"/>
      <c r="C14" s="29">
        <v>94668750</v>
      </c>
      <c r="D14" s="30">
        <f t="shared" si="0"/>
        <v>27549</v>
      </c>
      <c r="E14" s="29">
        <v>2735</v>
      </c>
      <c r="F14" s="30">
        <f t="shared" si="1"/>
        <v>2</v>
      </c>
      <c r="G14" s="29">
        <v>245224960</v>
      </c>
      <c r="H14" s="30">
        <f t="shared" si="2"/>
        <v>19104</v>
      </c>
      <c r="I14" s="29">
        <v>397588</v>
      </c>
      <c r="J14" s="30">
        <f t="shared" si="3"/>
        <v>145</v>
      </c>
      <c r="K14" s="12">
        <v>110</v>
      </c>
      <c r="L14" s="12">
        <v>167</v>
      </c>
    </row>
    <row r="15" spans="1:12" ht="45" customHeight="1" x14ac:dyDescent="0.25">
      <c r="A15" s="28">
        <v>44631</v>
      </c>
      <c r="B15" s="38"/>
      <c r="C15" s="29">
        <v>94696967</v>
      </c>
      <c r="D15" s="30">
        <f t="shared" si="0"/>
        <v>28217</v>
      </c>
      <c r="E15" s="29">
        <v>2737</v>
      </c>
      <c r="F15" s="30">
        <f t="shared" si="1"/>
        <v>2</v>
      </c>
      <c r="G15" s="29">
        <v>245250944</v>
      </c>
      <c r="H15" s="30">
        <f t="shared" si="2"/>
        <v>25984</v>
      </c>
      <c r="I15" s="29">
        <v>397746</v>
      </c>
      <c r="J15" s="30">
        <f t="shared" si="3"/>
        <v>158</v>
      </c>
      <c r="K15" s="12">
        <v>139</v>
      </c>
      <c r="L15" s="12">
        <v>193</v>
      </c>
    </row>
    <row r="16" spans="1:12" ht="45" customHeight="1" x14ac:dyDescent="0.25">
      <c r="A16" s="28">
        <v>44632</v>
      </c>
      <c r="B16" s="38"/>
      <c r="C16" s="29">
        <v>94724781</v>
      </c>
      <c r="D16" s="30">
        <f t="shared" si="0"/>
        <v>27814</v>
      </c>
      <c r="E16" s="29">
        <v>2739</v>
      </c>
      <c r="F16" s="30">
        <f t="shared" si="1"/>
        <v>2</v>
      </c>
      <c r="G16" s="29">
        <v>245280192</v>
      </c>
      <c r="H16" s="30">
        <f t="shared" si="2"/>
        <v>29248</v>
      </c>
      <c r="I16" s="29">
        <v>397921</v>
      </c>
      <c r="J16" s="30">
        <f t="shared" si="3"/>
        <v>175</v>
      </c>
      <c r="K16" s="12">
        <v>166</v>
      </c>
      <c r="L16" s="12">
        <v>447</v>
      </c>
    </row>
    <row r="17" spans="1:12" ht="45" customHeight="1" x14ac:dyDescent="0.25">
      <c r="A17" s="28">
        <v>44633</v>
      </c>
      <c r="B17" s="38"/>
      <c r="C17" s="29">
        <v>94753335</v>
      </c>
      <c r="D17" s="30">
        <f t="shared" si="0"/>
        <v>28554</v>
      </c>
      <c r="E17" s="29">
        <v>2741</v>
      </c>
      <c r="F17" s="30">
        <f t="shared" si="1"/>
        <v>2</v>
      </c>
      <c r="G17" s="29">
        <v>245314528</v>
      </c>
      <c r="H17" s="30">
        <f t="shared" si="2"/>
        <v>34336</v>
      </c>
      <c r="I17" s="29">
        <v>398072</v>
      </c>
      <c r="J17" s="30">
        <f t="shared" si="3"/>
        <v>151</v>
      </c>
      <c r="K17" s="12">
        <v>137</v>
      </c>
      <c r="L17" s="12">
        <v>770</v>
      </c>
    </row>
    <row r="18" spans="1:12" ht="45" customHeight="1" x14ac:dyDescent="0.25">
      <c r="A18" s="28">
        <v>44634</v>
      </c>
      <c r="B18" s="38"/>
      <c r="C18" s="29">
        <v>94775412</v>
      </c>
      <c r="D18" s="30">
        <f t="shared" si="0"/>
        <v>22077</v>
      </c>
      <c r="E18" s="29">
        <v>2743</v>
      </c>
      <c r="F18" s="30">
        <f t="shared" si="1"/>
        <v>2</v>
      </c>
      <c r="G18" s="29">
        <v>245347456</v>
      </c>
      <c r="H18" s="30">
        <f t="shared" si="2"/>
        <v>32928</v>
      </c>
      <c r="I18" s="29">
        <v>398217</v>
      </c>
      <c r="J18" s="30">
        <f t="shared" si="3"/>
        <v>145</v>
      </c>
      <c r="K18" s="12">
        <v>96</v>
      </c>
      <c r="L18" s="12">
        <v>217</v>
      </c>
    </row>
    <row r="19" spans="1:12" ht="45" customHeight="1" x14ac:dyDescent="0.25">
      <c r="A19" s="28">
        <v>44635</v>
      </c>
      <c r="B19" s="38"/>
      <c r="C19" s="29">
        <v>94802595</v>
      </c>
      <c r="D19" s="30">
        <f t="shared" si="0"/>
        <v>27183</v>
      </c>
      <c r="E19" s="29">
        <v>2745</v>
      </c>
      <c r="F19" s="30">
        <f t="shared" si="1"/>
        <v>2</v>
      </c>
      <c r="G19" s="29">
        <v>245396384</v>
      </c>
      <c r="H19" s="30">
        <f t="shared" si="2"/>
        <v>48928</v>
      </c>
      <c r="I19" s="29">
        <v>398353</v>
      </c>
      <c r="J19" s="30">
        <f t="shared" si="3"/>
        <v>136</v>
      </c>
      <c r="K19" s="12">
        <v>83</v>
      </c>
      <c r="L19" s="12">
        <v>198</v>
      </c>
    </row>
    <row r="20" spans="1:12" ht="45" customHeight="1" x14ac:dyDescent="0.25">
      <c r="A20" s="28">
        <v>44636</v>
      </c>
      <c r="B20" s="38"/>
      <c r="C20" s="29">
        <v>94830247</v>
      </c>
      <c r="D20" s="30">
        <f t="shared" si="0"/>
        <v>27652</v>
      </c>
      <c r="E20" s="29">
        <v>2746</v>
      </c>
      <c r="F20" s="30">
        <f t="shared" si="1"/>
        <v>1</v>
      </c>
      <c r="G20" s="29">
        <v>245436112</v>
      </c>
      <c r="H20" s="30">
        <f t="shared" si="2"/>
        <v>39728</v>
      </c>
      <c r="I20" s="29">
        <v>398504</v>
      </c>
      <c r="J20" s="30">
        <f t="shared" si="3"/>
        <v>151</v>
      </c>
      <c r="K20" s="12">
        <v>75</v>
      </c>
      <c r="L20" s="12">
        <v>173</v>
      </c>
    </row>
    <row r="21" spans="1:12" ht="45" customHeight="1" x14ac:dyDescent="0.25">
      <c r="A21" s="28">
        <v>44637</v>
      </c>
      <c r="B21" s="38"/>
      <c r="C21" s="29">
        <v>94861948</v>
      </c>
      <c r="D21" s="30">
        <f t="shared" si="0"/>
        <v>31701</v>
      </c>
      <c r="E21" s="29">
        <v>2747</v>
      </c>
      <c r="F21" s="30">
        <f t="shared" si="1"/>
        <v>1</v>
      </c>
      <c r="G21" s="29">
        <v>245486880</v>
      </c>
      <c r="H21" s="30">
        <f t="shared" si="2"/>
        <v>50768</v>
      </c>
      <c r="I21" s="29">
        <v>398678</v>
      </c>
      <c r="J21" s="30">
        <f t="shared" si="3"/>
        <v>174</v>
      </c>
      <c r="K21" s="12">
        <v>72</v>
      </c>
      <c r="L21" s="12">
        <v>229</v>
      </c>
    </row>
    <row r="22" spans="1:12" ht="45" customHeight="1" x14ac:dyDescent="0.25">
      <c r="A22" s="28">
        <v>44638</v>
      </c>
      <c r="B22" s="38"/>
      <c r="C22" s="29">
        <v>94884927</v>
      </c>
      <c r="D22" s="30">
        <f t="shared" si="0"/>
        <v>22979</v>
      </c>
      <c r="E22" s="29">
        <v>2750</v>
      </c>
      <c r="F22" s="30">
        <f t="shared" si="1"/>
        <v>3</v>
      </c>
      <c r="G22" s="29">
        <v>245528880</v>
      </c>
      <c r="H22" s="30">
        <f t="shared" si="2"/>
        <v>42000</v>
      </c>
      <c r="I22" s="29">
        <v>398835</v>
      </c>
      <c r="J22" s="30">
        <f t="shared" si="3"/>
        <v>157</v>
      </c>
      <c r="K22" s="12">
        <v>88</v>
      </c>
      <c r="L22" s="12">
        <v>369</v>
      </c>
    </row>
    <row r="23" spans="1:12" ht="45" customHeight="1" x14ac:dyDescent="0.25">
      <c r="A23" s="28">
        <v>44639</v>
      </c>
      <c r="B23" s="38"/>
      <c r="C23" s="29">
        <v>94918902</v>
      </c>
      <c r="D23" s="30">
        <f>IF((C23-C22&lt;0), "0",C23-C22)</f>
        <v>33975</v>
      </c>
      <c r="E23" s="29">
        <v>2752</v>
      </c>
      <c r="F23" s="30">
        <f t="shared" si="1"/>
        <v>2</v>
      </c>
      <c r="G23" s="29">
        <v>245589056</v>
      </c>
      <c r="H23" s="30">
        <f t="shared" si="2"/>
        <v>60176</v>
      </c>
      <c r="I23" s="29">
        <v>399002</v>
      </c>
      <c r="J23" s="30">
        <f t="shared" si="3"/>
        <v>167</v>
      </c>
      <c r="K23" s="12">
        <v>92</v>
      </c>
      <c r="L23" s="12">
        <v>328</v>
      </c>
    </row>
    <row r="24" spans="1:12" ht="45" customHeight="1" x14ac:dyDescent="0.25">
      <c r="A24" s="28">
        <v>44640</v>
      </c>
      <c r="B24" s="38"/>
      <c r="C24" s="29">
        <v>94945470</v>
      </c>
      <c r="D24" s="30">
        <f t="shared" ref="D24:D35" si="4">IF((C24-C23&lt;0), "0",C24-C23)</f>
        <v>26568</v>
      </c>
      <c r="E24" s="29">
        <v>2753</v>
      </c>
      <c r="F24" s="30">
        <f t="shared" si="1"/>
        <v>1</v>
      </c>
      <c r="G24" s="29">
        <v>245625552</v>
      </c>
      <c r="H24" s="30">
        <f t="shared" si="2"/>
        <v>36496</v>
      </c>
      <c r="I24" s="29">
        <v>399158</v>
      </c>
      <c r="J24" s="30">
        <f t="shared" si="3"/>
        <v>156</v>
      </c>
      <c r="K24" s="12">
        <v>72</v>
      </c>
      <c r="L24" s="12">
        <v>395</v>
      </c>
    </row>
    <row r="25" spans="1:12" ht="45" customHeight="1" x14ac:dyDescent="0.25">
      <c r="A25" s="28">
        <v>44641</v>
      </c>
      <c r="B25" s="38"/>
      <c r="C25" s="29">
        <v>94973953</v>
      </c>
      <c r="D25" s="30">
        <f t="shared" si="4"/>
        <v>28483</v>
      </c>
      <c r="E25" s="29">
        <v>2755</v>
      </c>
      <c r="F25" s="30">
        <f t="shared" si="1"/>
        <v>2</v>
      </c>
      <c r="G25" s="29">
        <v>245665728</v>
      </c>
      <c r="H25" s="30">
        <f t="shared" si="2"/>
        <v>40176</v>
      </c>
      <c r="I25" s="29">
        <v>399292</v>
      </c>
      <c r="J25" s="30">
        <f t="shared" si="3"/>
        <v>134</v>
      </c>
      <c r="K25" s="12">
        <v>53</v>
      </c>
      <c r="L25" s="12">
        <v>109</v>
      </c>
    </row>
    <row r="26" spans="1:12" ht="45" customHeight="1" x14ac:dyDescent="0.25">
      <c r="A26" s="28">
        <v>44642</v>
      </c>
      <c r="B26" s="38"/>
      <c r="C26" s="29">
        <v>95001211</v>
      </c>
      <c r="D26" s="30">
        <f t="shared" si="4"/>
        <v>27258</v>
      </c>
      <c r="E26" s="29">
        <v>2756</v>
      </c>
      <c r="F26" s="30">
        <f t="shared" si="1"/>
        <v>1</v>
      </c>
      <c r="G26" s="29">
        <v>245712544</v>
      </c>
      <c r="H26" s="30">
        <f t="shared" si="2"/>
        <v>46816</v>
      </c>
      <c r="I26" s="29">
        <v>399383</v>
      </c>
      <c r="J26" s="30">
        <f t="shared" si="3"/>
        <v>91</v>
      </c>
      <c r="K26" s="12">
        <v>56</v>
      </c>
      <c r="L26" s="12">
        <v>84</v>
      </c>
    </row>
    <row r="27" spans="1:12" ht="45" customHeight="1" x14ac:dyDescent="0.25">
      <c r="A27" s="28">
        <v>44643</v>
      </c>
      <c r="B27" s="38"/>
      <c r="C27" s="29">
        <v>95028962</v>
      </c>
      <c r="D27" s="30">
        <f t="shared" si="4"/>
        <v>27751</v>
      </c>
      <c r="E27" s="29">
        <v>2758</v>
      </c>
      <c r="F27" s="30">
        <f t="shared" si="1"/>
        <v>2</v>
      </c>
      <c r="G27" s="29">
        <v>245741376</v>
      </c>
      <c r="H27" s="30">
        <f t="shared" si="2"/>
        <v>28832</v>
      </c>
      <c r="I27" s="29">
        <v>399542</v>
      </c>
      <c r="J27" s="30">
        <f t="shared" si="3"/>
        <v>159</v>
      </c>
      <c r="K27" s="12">
        <v>48</v>
      </c>
      <c r="L27" s="12">
        <v>115</v>
      </c>
    </row>
    <row r="28" spans="1:12" ht="45" customHeight="1" x14ac:dyDescent="0.25">
      <c r="A28" s="28">
        <v>44644</v>
      </c>
      <c r="B28" s="38"/>
      <c r="C28" s="29">
        <v>95057028</v>
      </c>
      <c r="D28" s="30">
        <f t="shared" si="4"/>
        <v>28066</v>
      </c>
      <c r="E28" s="29">
        <v>2759</v>
      </c>
      <c r="F28" s="30">
        <f t="shared" si="1"/>
        <v>1</v>
      </c>
      <c r="G28" s="29">
        <v>245754112</v>
      </c>
      <c r="H28" s="30">
        <f t="shared" si="2"/>
        <v>12736</v>
      </c>
      <c r="I28" s="29">
        <v>399662</v>
      </c>
      <c r="J28" s="30">
        <f t="shared" si="3"/>
        <v>120</v>
      </c>
      <c r="K28" s="12">
        <v>63</v>
      </c>
      <c r="L28" s="12">
        <v>97</v>
      </c>
    </row>
    <row r="29" spans="1:12" ht="45" customHeight="1" x14ac:dyDescent="0.25">
      <c r="A29" s="28">
        <v>44645</v>
      </c>
      <c r="B29" s="38"/>
      <c r="C29" s="29">
        <v>95082742</v>
      </c>
      <c r="D29" s="30">
        <f t="shared" si="4"/>
        <v>25714</v>
      </c>
      <c r="E29" s="29">
        <v>2761</v>
      </c>
      <c r="F29" s="30">
        <f t="shared" si="1"/>
        <v>2</v>
      </c>
      <c r="G29" s="29">
        <v>245795584</v>
      </c>
      <c r="H29" s="30">
        <f t="shared" si="2"/>
        <v>41472</v>
      </c>
      <c r="I29" s="29">
        <v>399849</v>
      </c>
      <c r="J29" s="30">
        <f t="shared" si="3"/>
        <v>187</v>
      </c>
      <c r="K29" s="12">
        <v>75</v>
      </c>
      <c r="L29" s="12">
        <v>504</v>
      </c>
    </row>
    <row r="30" spans="1:12" ht="45" customHeight="1" x14ac:dyDescent="0.25">
      <c r="A30" s="28">
        <v>44646</v>
      </c>
      <c r="B30" s="38"/>
      <c r="C30" s="29">
        <v>95109694</v>
      </c>
      <c r="D30" s="30">
        <f t="shared" si="4"/>
        <v>26952</v>
      </c>
      <c r="E30" s="29">
        <v>2763</v>
      </c>
      <c r="F30" s="30">
        <f t="shared" si="1"/>
        <v>2</v>
      </c>
      <c r="G30" s="29">
        <v>245854416</v>
      </c>
      <c r="H30" s="30">
        <f t="shared" si="2"/>
        <v>58832</v>
      </c>
      <c r="I30" s="29">
        <v>399992</v>
      </c>
      <c r="J30" s="30">
        <f t="shared" si="3"/>
        <v>143</v>
      </c>
      <c r="K30" s="12">
        <v>83</v>
      </c>
      <c r="L30" s="12">
        <v>412</v>
      </c>
    </row>
    <row r="31" spans="1:12" ht="45" customHeight="1" x14ac:dyDescent="0.25">
      <c r="A31" s="28">
        <v>44647</v>
      </c>
      <c r="B31" s="38"/>
      <c r="C31" s="29">
        <v>95137998</v>
      </c>
      <c r="D31" s="30">
        <f t="shared" si="4"/>
        <v>28304</v>
      </c>
      <c r="E31" s="29">
        <v>2764</v>
      </c>
      <c r="F31" s="30">
        <f t="shared" si="1"/>
        <v>1</v>
      </c>
      <c r="G31" s="29">
        <v>245893312</v>
      </c>
      <c r="H31" s="30">
        <f t="shared" si="2"/>
        <v>38896</v>
      </c>
      <c r="I31" s="29">
        <v>400125</v>
      </c>
      <c r="J31" s="30">
        <f t="shared" si="3"/>
        <v>133</v>
      </c>
      <c r="K31" s="12">
        <v>38</v>
      </c>
      <c r="L31" s="12">
        <v>431</v>
      </c>
    </row>
    <row r="32" spans="1:12" ht="45" customHeight="1" x14ac:dyDescent="0.25">
      <c r="A32" s="28">
        <v>44648</v>
      </c>
      <c r="B32" s="38"/>
      <c r="C32" s="29">
        <v>95160616</v>
      </c>
      <c r="D32" s="30">
        <f t="shared" si="4"/>
        <v>22618</v>
      </c>
      <c r="E32" s="29">
        <v>2766</v>
      </c>
      <c r="F32" s="30">
        <f t="shared" si="1"/>
        <v>2</v>
      </c>
      <c r="G32" s="29">
        <v>245904192</v>
      </c>
      <c r="H32" s="30">
        <f t="shared" si="2"/>
        <v>10880</v>
      </c>
      <c r="I32" s="29">
        <v>400207</v>
      </c>
      <c r="J32" s="30">
        <f t="shared" si="3"/>
        <v>82</v>
      </c>
      <c r="K32" s="12">
        <v>37</v>
      </c>
      <c r="L32" s="12">
        <v>95</v>
      </c>
    </row>
    <row r="33" spans="1:12" ht="36" customHeight="1" x14ac:dyDescent="0.25">
      <c r="A33" s="28">
        <v>44649</v>
      </c>
      <c r="C33" s="29">
        <v>95192422</v>
      </c>
      <c r="D33" s="30">
        <f t="shared" si="4"/>
        <v>31806</v>
      </c>
      <c r="E33" s="29">
        <v>2768</v>
      </c>
      <c r="F33" s="30">
        <f t="shared" si="1"/>
        <v>2</v>
      </c>
      <c r="G33" s="29">
        <v>245925936</v>
      </c>
      <c r="H33" s="30">
        <f t="shared" si="2"/>
        <v>21744</v>
      </c>
      <c r="I33" s="29">
        <v>400349</v>
      </c>
      <c r="J33" s="30">
        <f t="shared" si="3"/>
        <v>142</v>
      </c>
      <c r="K33" s="12">
        <v>43</v>
      </c>
      <c r="L33" s="12">
        <v>65</v>
      </c>
    </row>
    <row r="34" spans="1:12" ht="45.6" customHeight="1" x14ac:dyDescent="0.25">
      <c r="A34" s="28">
        <v>44650</v>
      </c>
      <c r="C34" s="29">
        <v>95215487</v>
      </c>
      <c r="D34" s="30">
        <f t="shared" si="4"/>
        <v>23065</v>
      </c>
      <c r="E34" s="29">
        <v>2769</v>
      </c>
      <c r="F34" s="30">
        <f t="shared" si="1"/>
        <v>1</v>
      </c>
      <c r="G34" s="29">
        <v>245948608</v>
      </c>
      <c r="H34" s="30">
        <f t="shared" si="2"/>
        <v>22672</v>
      </c>
      <c r="I34" s="29">
        <v>400445</v>
      </c>
      <c r="J34" s="30">
        <f t="shared" si="3"/>
        <v>96</v>
      </c>
      <c r="K34" s="12">
        <v>51</v>
      </c>
      <c r="L34" s="12">
        <v>244</v>
      </c>
    </row>
    <row r="35" spans="1:12" ht="47.45" customHeight="1" x14ac:dyDescent="0.25">
      <c r="A35" s="28">
        <v>44651</v>
      </c>
      <c r="C35" s="29">
        <v>95241438</v>
      </c>
      <c r="D35" s="30">
        <f t="shared" si="4"/>
        <v>25951</v>
      </c>
      <c r="E35" s="29">
        <v>2771</v>
      </c>
      <c r="F35" s="30">
        <f t="shared" si="1"/>
        <v>2</v>
      </c>
      <c r="G35" s="29">
        <v>245985088</v>
      </c>
      <c r="H35" s="30">
        <f t="shared" si="2"/>
        <v>36480</v>
      </c>
      <c r="I35" s="29">
        <v>400527</v>
      </c>
      <c r="J35" s="30">
        <f t="shared" si="3"/>
        <v>82</v>
      </c>
      <c r="K35" s="12">
        <v>50</v>
      </c>
      <c r="L35" s="12">
        <v>109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2023-02-20T06:37:37Z</dcterms:modified>
  <cp:category/>
  <cp:contentStatus/>
</cp:coreProperties>
</file>