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E6" i="4" l="1"/>
  <c r="E7" i="4"/>
  <c r="E8" i="4"/>
  <c r="E9" i="4"/>
  <c r="E10" i="4"/>
  <c r="E11" i="4"/>
  <c r="E12" i="4"/>
  <c r="E13" i="4"/>
  <c r="E14" i="4"/>
  <c r="E15" i="4"/>
  <c r="E16" i="4"/>
  <c r="E5" i="4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I11" i="1" l="1"/>
  <c r="I12" i="1"/>
  <c r="I13" i="1"/>
  <c r="I14" i="1"/>
  <c r="I15" i="1"/>
  <c r="I16" i="1"/>
  <c r="I17" i="1"/>
  <c r="I18" i="1"/>
  <c r="I19" i="1"/>
  <c r="I20" i="1"/>
  <c r="I21" i="1"/>
  <c r="I2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<sst xmlns="http://schemas.openxmlformats.org/spreadsheetml/2006/main" count="110" uniqueCount="37">
  <si>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</si>
  <si>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</si>
  <si>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</si>
  <si>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</si>
  <si>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</si>
  <si>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</si>
  <si>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</si>
  <si>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</si>
  <si>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</si>
  <si>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</si>
  <si>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</si>
  <si>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</si>
  <si>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</si>
  <si>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</si>
  <si>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</si>
  <si>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</si>
  <si>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</si>
  <si>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</si>
  <si>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</si>
  <si>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</si>
  <si>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</si>
  <si>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</si>
  <si>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</si>
  <si>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</si>
  <si>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</si>
  <si>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</si>
  <si>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</si>
  <si>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</si>
  <si>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</si>
  <si>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</si>
  <si>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</si>
  <si>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</si>
  <si>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</si>
  <si>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Ecart</t>
  </si>
  <si>
    <t>Relevé avant le 13/09</t>
  </si>
  <si>
    <t>Relevé du 19/09</t>
  </si>
  <si>
    <t>Différence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</si>
</sst>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4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0" fillId="12" borderId="3" xfId="0" applyNumberForma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topLeftCell="A19" workbookViewId="0">
      <selection activeCell="A32" sqref="A32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9</v>
      </c>
      <c r="D2" s="9">
        <v>2021</v>
      </c>
      <c r="E2" s="20">
        <f>Submetering!E3</f>
        <v>9020.89</v>
      </c>
      <c r="F2" s="16">
        <v>0.12</v>
      </c>
      <c r="G2" s="20">
        <f>Submetering!F3+Submetering!G3</f>
        <v>148.76999999999998</v>
      </c>
      <c r="H2" s="16">
        <v>0.71</v>
      </c>
      <c r="I2" s="20">
        <f>Submetering!J3+Submetering!I3+Submetering!H3</f>
        <v>91.34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9</v>
      </c>
      <c r="D3" s="9">
        <v>2021</v>
      </c>
      <c r="E3" s="20">
        <f>Submetering!E4</f>
        <v>9128.44</v>
      </c>
      <c r="F3" s="16">
        <v>0.12</v>
      </c>
      <c r="G3" s="20">
        <f>Submetering!F4+Submetering!G4</f>
        <v>148.75</v>
      </c>
      <c r="H3" s="16">
        <v>0.71</v>
      </c>
      <c r="I3" s="20">
        <f>Submetering!J4+Submetering!I4+Submetering!H4</f>
        <v>96.85</v>
      </c>
      <c r="J3" s="16">
        <v>2.3196172978505634</v>
      </c>
      <c r="K3" s="20">
        <f>Submetering!K3</f>
        <v>97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9</v>
      </c>
      <c r="D4" s="9">
        <v>2021</v>
      </c>
      <c r="E4" s="20">
        <f>Submetering!E5</f>
        <v>9266.36</v>
      </c>
      <c r="F4" s="16">
        <v>0.12</v>
      </c>
      <c r="G4" s="20">
        <f>Submetering!F5+Submetering!G5</f>
        <v>132.35</v>
      </c>
      <c r="H4" s="16">
        <v>0.71</v>
      </c>
      <c r="I4" s="20">
        <f>Submetering!J5+Submetering!I5+Submetering!H5</f>
        <v>85.99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9</v>
      </c>
      <c r="D5" s="9">
        <v>2021</v>
      </c>
      <c r="E5" s="20">
        <f>Submetering!E6</f>
        <v>8758.35</v>
      </c>
      <c r="F5" s="16">
        <v>0.12</v>
      </c>
      <c r="G5" s="20">
        <f>Submetering!F6+Submetering!G6</f>
        <v>94.95</v>
      </c>
      <c r="H5" s="16">
        <v>0.71</v>
      </c>
      <c r="I5" s="20">
        <f>Submetering!J6+Submetering!I6+Submetering!H6</f>
        <v>44.82</v>
      </c>
      <c r="J5" s="16">
        <v>2.3196172978505634</v>
      </c>
      <c r="K5" s="20">
        <f>Submetering!K5</f>
        <v>102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9</v>
      </c>
      <c r="D6" s="9">
        <v>2021</v>
      </c>
      <c r="E6" s="20">
        <f>Submetering!E7</f>
        <v>7921.37</v>
      </c>
      <c r="F6" s="16">
        <v>0.12</v>
      </c>
      <c r="G6" s="20">
        <f>Submetering!F7+Submetering!G7</f>
        <v>97.740000000000009</v>
      </c>
      <c r="H6" s="16">
        <v>0.71</v>
      </c>
      <c r="I6" s="20">
        <f>Submetering!J7+Submetering!I7+Submetering!H7</f>
        <v>43.98</v>
      </c>
      <c r="J6" s="16">
        <v>2.3196172978505634</v>
      </c>
      <c r="K6" s="20">
        <f>Submetering!K6</f>
        <v>99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9</v>
      </c>
      <c r="D7" s="9">
        <v>2021</v>
      </c>
      <c r="E7" s="20">
        <f>Submetering!E8</f>
        <v>7797.1</v>
      </c>
      <c r="F7" s="16">
        <v>0.12</v>
      </c>
      <c r="G7" s="20">
        <f>Submetering!F8+Submetering!G8</f>
        <v>99.92</v>
      </c>
      <c r="H7" s="16">
        <v>0.71</v>
      </c>
      <c r="I7" s="20">
        <f>Submetering!J8+Submetering!I8+Submetering!H8</f>
        <v>40.599999999999994</v>
      </c>
      <c r="J7" s="16">
        <v>2.3196172978505634</v>
      </c>
      <c r="K7" s="20">
        <f>Submetering!K7</f>
        <v>99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9</v>
      </c>
      <c r="D8" s="9">
        <v>2021</v>
      </c>
      <c r="E8" s="20">
        <f>Submetering!E9</f>
        <v>7672.82</v>
      </c>
      <c r="F8" s="16">
        <v>0.12</v>
      </c>
      <c r="G8" s="20">
        <f>Submetering!F9+Submetering!G9</f>
        <v>138.64000000000001</v>
      </c>
      <c r="H8" s="16">
        <v>0.71</v>
      </c>
      <c r="I8" s="20">
        <f>Submetering!J9+Submetering!I9+Submetering!H9</f>
        <v>37.24</v>
      </c>
      <c r="J8" s="16">
        <v>2.3196172978505634</v>
      </c>
      <c r="K8" s="20">
        <f>Submetering!K8</f>
        <v>96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9</v>
      </c>
      <c r="D9" s="9">
        <v>2021</v>
      </c>
      <c r="E9" s="20">
        <f>Submetering!E9</f>
        <v>7672.82</v>
      </c>
      <c r="F9" s="16">
        <v>0.12</v>
      </c>
      <c r="G9" s="20">
        <f>Submetering!F10+Submetering!G10</f>
        <v>104.27</v>
      </c>
      <c r="H9" s="16">
        <v>0.71</v>
      </c>
      <c r="I9" s="20">
        <f>Submetering!J10+Submetering!I10+Submetering!H10</f>
        <v>33.880000000000003</v>
      </c>
      <c r="J9" s="16">
        <v>2.3196172978505634</v>
      </c>
      <c r="K9" s="20">
        <f>Submetering!K9</f>
        <v>80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9</v>
      </c>
      <c r="D10" s="9">
        <v>2021</v>
      </c>
      <c r="E10" s="20">
        <f>Submetering!E10</f>
        <v>7548.55</v>
      </c>
      <c r="F10" s="16">
        <v>0.12</v>
      </c>
      <c r="G10" s="20">
        <f>Submetering!F11+Submetering!G11</f>
        <v>106.44999999999999</v>
      </c>
      <c r="H10" s="16">
        <v>0.71</v>
      </c>
      <c r="I10" s="20">
        <f>Submetering!J10+Submetering!I10+Submetering!H10</f>
        <v>33.880000000000003</v>
      </c>
      <c r="J10" s="16">
        <v>2.3196172978505634</v>
      </c>
      <c r="K10" s="20">
        <f>Submetering!K10</f>
        <v>91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9</v>
      </c>
      <c r="D11" s="9">
        <v>2021</v>
      </c>
      <c r="E11" s="20">
        <f>Submetering!E11</f>
        <v>7424.28</v>
      </c>
      <c r="F11" s="16">
        <v>0.12</v>
      </c>
      <c r="G11" s="20">
        <f>Submetering!F11+Submetering!G11</f>
        <v>106.44999999999999</v>
      </c>
      <c r="H11" s="16">
        <v>0.71</v>
      </c>
      <c r="I11" s="20">
        <f>Submetering!J11+Submetering!I11+Submetering!H11</f>
        <v>30.509999999999998</v>
      </c>
      <c r="J11" s="16">
        <v>2.3196172978505634</v>
      </c>
      <c r="K11" s="20">
        <f>Submetering!K11</f>
        <v>88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9</v>
      </c>
      <c r="D12" s="9">
        <v>2021</v>
      </c>
      <c r="E12" s="20">
        <f>Submetering!E12</f>
        <v>7300.01</v>
      </c>
      <c r="F12" s="16">
        <v>0.12</v>
      </c>
      <c r="G12" s="20">
        <f>Submetering!F12+Submetering!G12</f>
        <v>108.61999999999999</v>
      </c>
      <c r="H12" s="16">
        <v>0.71</v>
      </c>
      <c r="I12" s="20">
        <f>Submetering!J12+Submetering!I12+Submetering!H12</f>
        <v>26.78</v>
      </c>
      <c r="J12" s="16">
        <v>2.3196172978505634</v>
      </c>
      <c r="K12" s="20">
        <f>Submetering!K12</f>
        <v>83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9</v>
      </c>
      <c r="D13" s="9">
        <v>2021</v>
      </c>
      <c r="E13" s="20">
        <f>Submetering!E13</f>
        <v>7175.74</v>
      </c>
      <c r="F13" s="16">
        <v>0.12</v>
      </c>
      <c r="G13" s="20">
        <f>Submetering!F13+Submetering!G13</f>
        <v>134.6</v>
      </c>
      <c r="H13" s="16">
        <v>0.71</v>
      </c>
      <c r="I13" s="20">
        <f>Submetering!J13+Submetering!I13+Submetering!H13</f>
        <v>75.77</v>
      </c>
      <c r="J13" s="16">
        <v>2.3196172978505634</v>
      </c>
      <c r="K13" s="20">
        <f>Submetering!K13</f>
        <v>77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9</v>
      </c>
      <c r="D14" s="9">
        <v>2021</v>
      </c>
      <c r="E14" s="20">
        <f>Submetering!E14</f>
        <v>8691.86</v>
      </c>
      <c r="F14" s="16">
        <v>0.12</v>
      </c>
      <c r="G14" s="20">
        <f>Submetering!F14+Submetering!G14</f>
        <v>139.23000000000002</v>
      </c>
      <c r="H14" s="16">
        <v>0.71</v>
      </c>
      <c r="I14" s="20">
        <f>Submetering!J14+Submetering!I14+Submetering!H14</f>
        <v>93.73</v>
      </c>
      <c r="J14" s="16">
        <v>2.3196172978505634</v>
      </c>
      <c r="K14" s="20">
        <f>Submetering!K14</f>
        <v>92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9</v>
      </c>
      <c r="D15" s="9">
        <v>2021</v>
      </c>
      <c r="E15" s="20">
        <f>Submetering!E15</f>
        <v>9019.24</v>
      </c>
      <c r="F15" s="16">
        <v>0.12</v>
      </c>
      <c r="G15" s="20">
        <f>Submetering!F15+Submetering!G15</f>
        <v>154.18</v>
      </c>
      <c r="H15" s="16">
        <v>0.71</v>
      </c>
      <c r="I15" s="20">
        <f>Submetering!J15+Submetering!I15+Submetering!H15</f>
        <v>95.69</v>
      </c>
      <c r="J15" s="16">
        <v>2.3196172978505634</v>
      </c>
      <c r="K15" s="20">
        <f>Submetering!K15</f>
        <v>92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9</v>
      </c>
      <c r="D16" s="9">
        <v>2021</v>
      </c>
      <c r="E16" s="20">
        <f>Submetering!E16</f>
        <v>9262.69</v>
      </c>
      <c r="F16" s="16">
        <v>0.12</v>
      </c>
      <c r="G16" s="20">
        <f>Submetering!F16+Submetering!G16</f>
        <v>147.43</v>
      </c>
      <c r="H16" s="16">
        <v>0.71</v>
      </c>
      <c r="I16" s="20">
        <f>Submetering!J16+Submetering!I16+Submetering!H16</f>
        <v>82.18</v>
      </c>
      <c r="J16" s="16">
        <v>2.3196172978505634</v>
      </c>
      <c r="K16" s="20">
        <f>Submetering!K16</f>
        <v>105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9</v>
      </c>
      <c r="D17" s="9">
        <v>2021</v>
      </c>
      <c r="E17" s="20">
        <f>Submetering!E17</f>
        <v>9311.2900000000009</v>
      </c>
      <c r="F17" s="16">
        <v>0.12</v>
      </c>
      <c r="G17" s="20">
        <f>Submetering!F17+Submetering!G17</f>
        <v>121.71</v>
      </c>
      <c r="H17" s="16">
        <v>0.71</v>
      </c>
      <c r="I17" s="20">
        <f>Submetering!J17+Submetering!I17+Submetering!H17</f>
        <v>24.01</v>
      </c>
      <c r="J17" s="16">
        <v>2.3196172978505634</v>
      </c>
      <c r="K17" s="20">
        <f>Submetering!K17</f>
        <v>82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9</v>
      </c>
      <c r="D18" s="9">
        <v>2021</v>
      </c>
      <c r="E18" s="20">
        <f>Submetering!E18</f>
        <v>9210.64</v>
      </c>
      <c r="F18" s="16">
        <v>0.12</v>
      </c>
      <c r="G18" s="20">
        <f>Submetering!F18+Submetering!G18</f>
        <v>114.45</v>
      </c>
      <c r="H18" s="16">
        <v>0.71</v>
      </c>
      <c r="I18" s="20">
        <f>Submetering!J18+Submetering!I18+Submetering!H18</f>
        <v>94.08</v>
      </c>
      <c r="J18" s="16">
        <v>2.3196172978505634</v>
      </c>
      <c r="K18" s="20">
        <f>Submetering!K18</f>
        <v>105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9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66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9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9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9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9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9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9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9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9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9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9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9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9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9</v>
      </c>
      <c r="D2" s="6">
        <v>2021</v>
      </c>
      <c r="E2" s="32">
        <v>8741.44</v>
      </c>
      <c r="F2" s="20">
        <v>151.71</v>
      </c>
      <c r="G2" s="20">
        <v>10.92</v>
      </c>
      <c r="H2" s="32">
        <v>4.01</v>
      </c>
      <c r="I2" s="32">
        <v>33.44</v>
      </c>
      <c r="J2" s="32">
        <v>55.5</v>
      </c>
      <c r="K2" s="6">
        <v>96</v>
      </c>
    </row>
    <row r="3" spans="1:12" x14ac:dyDescent="0.25">
      <c r="A3" s="17" t="s">
        <v>32</v>
      </c>
      <c r="B3" s="6">
        <f>B2+1</f>
        <v>2</v>
      </c>
      <c r="C3" s="6">
        <f>C2</f>
        <v>9</v>
      </c>
      <c r="D3" s="6">
        <v>2021</v>
      </c>
      <c r="E3" s="32">
        <v>9020.89</v>
      </c>
      <c r="F3" s="20">
        <v>136.16999999999999</v>
      </c>
      <c r="G3" s="20">
        <v>12.6</v>
      </c>
      <c r="H3" s="32">
        <v>3.28</v>
      </c>
      <c r="I3" s="32">
        <v>36.56</v>
      </c>
      <c r="J3" s="32">
        <v>51.5</v>
      </c>
      <c r="K3" s="6">
        <v>97</v>
      </c>
    </row>
    <row r="4" spans="1:12" x14ac:dyDescent="0.25">
      <c r="A4" s="17" t="s">
        <v>32</v>
      </c>
      <c r="B4" s="6">
        <f t="shared" ref="B4:B31" si="0">B3+1</f>
        <v>3</v>
      </c>
      <c r="C4" s="6">
        <f t="shared" ref="C4:C31" si="1">C3</f>
        <v>9</v>
      </c>
      <c r="D4" s="6">
        <v>2021</v>
      </c>
      <c r="E4" s="32">
        <v>9128.44</v>
      </c>
      <c r="F4" s="20">
        <v>139.66999999999999</v>
      </c>
      <c r="G4" s="20">
        <v>9.08</v>
      </c>
      <c r="H4" s="32">
        <v>3.35</v>
      </c>
      <c r="I4" s="32">
        <v>33.5</v>
      </c>
      <c r="J4" s="32">
        <v>60</v>
      </c>
      <c r="K4" s="6">
        <v>101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9</v>
      </c>
      <c r="D5" s="6">
        <v>2021</v>
      </c>
      <c r="E5" s="32">
        <v>9266.36</v>
      </c>
      <c r="F5" s="20">
        <v>121.26</v>
      </c>
      <c r="G5" s="20">
        <v>11.09</v>
      </c>
      <c r="H5" s="32">
        <v>2.99</v>
      </c>
      <c r="I5" s="32">
        <v>30.5</v>
      </c>
      <c r="J5" s="32">
        <v>52.5</v>
      </c>
      <c r="K5" s="6">
        <v>102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9</v>
      </c>
      <c r="D6" s="6">
        <v>2021</v>
      </c>
      <c r="E6" s="32">
        <v>8758.35</v>
      </c>
      <c r="F6" s="20">
        <v>94.95</v>
      </c>
      <c r="G6" s="20">
        <v>0</v>
      </c>
      <c r="H6" s="32">
        <v>1.54</v>
      </c>
      <c r="I6" s="32">
        <v>21.78</v>
      </c>
      <c r="J6" s="32">
        <v>21.5</v>
      </c>
      <c r="K6" s="6">
        <v>99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9</v>
      </c>
      <c r="D7" s="6">
        <v>2021</v>
      </c>
      <c r="E7" s="32">
        <v>7921.37</v>
      </c>
      <c r="F7" s="20">
        <v>95.98</v>
      </c>
      <c r="G7" s="20">
        <v>1.76</v>
      </c>
      <c r="H7" s="32">
        <v>0.66</v>
      </c>
      <c r="I7" s="32">
        <v>19.32</v>
      </c>
      <c r="J7" s="32">
        <v>24</v>
      </c>
      <c r="K7" s="6">
        <v>99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9</v>
      </c>
      <c r="D8" s="6">
        <v>2021</v>
      </c>
      <c r="E8" s="32">
        <v>7797.1</v>
      </c>
      <c r="F8" s="20">
        <v>97.01</v>
      </c>
      <c r="G8" s="20">
        <v>2.91</v>
      </c>
      <c r="H8" s="32">
        <v>0.8</v>
      </c>
      <c r="I8" s="32">
        <v>15.8</v>
      </c>
      <c r="J8" s="32">
        <v>24</v>
      </c>
      <c r="K8" s="6">
        <v>96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9</v>
      </c>
      <c r="D9" s="6">
        <v>2021</v>
      </c>
      <c r="E9" s="32">
        <v>7672.82</v>
      </c>
      <c r="F9" s="20">
        <v>98.04</v>
      </c>
      <c r="G9" s="20">
        <v>40.6</v>
      </c>
      <c r="H9" s="32">
        <v>0.95</v>
      </c>
      <c r="I9" s="32">
        <v>12.29</v>
      </c>
      <c r="J9" s="32">
        <v>24</v>
      </c>
      <c r="K9" s="6">
        <v>80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9</v>
      </c>
      <c r="D10" s="6">
        <v>2021</v>
      </c>
      <c r="E10" s="32">
        <v>7548.55</v>
      </c>
      <c r="F10" s="32">
        <v>99.07</v>
      </c>
      <c r="G10" s="32">
        <v>5.2</v>
      </c>
      <c r="H10" s="32">
        <v>1.1000000000000001</v>
      </c>
      <c r="I10" s="32">
        <v>8.7799999999999994</v>
      </c>
      <c r="J10" s="32">
        <v>24</v>
      </c>
      <c r="K10" s="6">
        <v>91</v>
      </c>
      <c r="L10" s="32"/>
    </row>
    <row r="11" spans="1:12" x14ac:dyDescent="0.25">
      <c r="A11" s="17" t="s">
        <v>32</v>
      </c>
      <c r="B11" s="6">
        <f t="shared" si="0"/>
        <v>10</v>
      </c>
      <c r="C11" s="6">
        <f t="shared" si="1"/>
        <v>9</v>
      </c>
      <c r="D11" s="6">
        <v>2021</v>
      </c>
      <c r="E11" s="32">
        <v>7424.28</v>
      </c>
      <c r="F11" s="32">
        <v>100.1</v>
      </c>
      <c r="G11" s="32">
        <v>6.35</v>
      </c>
      <c r="H11" s="32">
        <v>1.24</v>
      </c>
      <c r="I11" s="20">
        <v>5.27</v>
      </c>
      <c r="J11" s="32">
        <v>24</v>
      </c>
      <c r="K11" s="6">
        <v>88</v>
      </c>
      <c r="L11" s="32"/>
    </row>
    <row r="12" spans="1:12" x14ac:dyDescent="0.25">
      <c r="A12" s="17" t="s">
        <v>32</v>
      </c>
      <c r="B12" s="6">
        <f t="shared" si="0"/>
        <v>11</v>
      </c>
      <c r="C12" s="6">
        <f t="shared" si="1"/>
        <v>9</v>
      </c>
      <c r="D12" s="6">
        <v>2021</v>
      </c>
      <c r="E12" s="32">
        <v>7300.01</v>
      </c>
      <c r="F12" s="32">
        <v>101.13</v>
      </c>
      <c r="G12" s="32">
        <v>7.49</v>
      </c>
      <c r="H12" s="32">
        <v>1.39</v>
      </c>
      <c r="I12" s="20">
        <v>1.39</v>
      </c>
      <c r="J12" s="32">
        <v>24</v>
      </c>
      <c r="K12" s="6">
        <v>83</v>
      </c>
      <c r="L12" s="32"/>
    </row>
    <row r="13" spans="1:12" x14ac:dyDescent="0.25">
      <c r="A13" s="17" t="s">
        <v>32</v>
      </c>
      <c r="B13" s="6">
        <f t="shared" si="0"/>
        <v>12</v>
      </c>
      <c r="C13" s="6">
        <f t="shared" si="1"/>
        <v>9</v>
      </c>
      <c r="D13" s="6">
        <v>2021</v>
      </c>
      <c r="E13" s="32">
        <v>7175.74</v>
      </c>
      <c r="F13" s="32">
        <v>126.2</v>
      </c>
      <c r="G13" s="32">
        <v>8.4</v>
      </c>
      <c r="H13" s="32">
        <v>3.27</v>
      </c>
      <c r="I13" s="32">
        <v>30.5</v>
      </c>
      <c r="J13" s="32">
        <v>42</v>
      </c>
      <c r="K13" s="6">
        <v>77</v>
      </c>
      <c r="L13" s="32"/>
    </row>
    <row r="14" spans="1:12" x14ac:dyDescent="0.25">
      <c r="A14" s="17" t="s">
        <v>32</v>
      </c>
      <c r="B14" s="6">
        <f t="shared" si="0"/>
        <v>13</v>
      </c>
      <c r="C14" s="6">
        <f t="shared" si="1"/>
        <v>9</v>
      </c>
      <c r="D14" s="6">
        <v>2021</v>
      </c>
      <c r="E14" s="32">
        <v>8691.86</v>
      </c>
      <c r="F14" s="32">
        <v>130.24</v>
      </c>
      <c r="G14" s="32">
        <v>8.99</v>
      </c>
      <c r="H14" s="32">
        <v>7.73</v>
      </c>
      <c r="I14" s="32">
        <v>33</v>
      </c>
      <c r="J14" s="32">
        <v>53</v>
      </c>
      <c r="K14" s="6">
        <v>92</v>
      </c>
      <c r="L14" s="32"/>
    </row>
    <row r="15" spans="1:12" x14ac:dyDescent="0.25">
      <c r="A15" s="17" t="s">
        <v>32</v>
      </c>
      <c r="B15" s="6">
        <f t="shared" si="0"/>
        <v>14</v>
      </c>
      <c r="C15" s="6">
        <f t="shared" si="1"/>
        <v>9</v>
      </c>
      <c r="D15" s="6">
        <v>2021</v>
      </c>
      <c r="E15" s="32">
        <v>9019.24</v>
      </c>
      <c r="F15" s="32">
        <v>142.75</v>
      </c>
      <c r="G15" s="32">
        <v>11.43</v>
      </c>
      <c r="H15" s="32">
        <v>7.19</v>
      </c>
      <c r="I15" s="32">
        <v>32.5</v>
      </c>
      <c r="J15" s="32">
        <v>56</v>
      </c>
      <c r="K15" s="6">
        <v>92</v>
      </c>
      <c r="L15" s="32"/>
    </row>
    <row r="16" spans="1:12" x14ac:dyDescent="0.25">
      <c r="A16" s="17" t="s">
        <v>32</v>
      </c>
      <c r="B16" s="6">
        <f t="shared" si="0"/>
        <v>15</v>
      </c>
      <c r="C16" s="6">
        <f t="shared" si="1"/>
        <v>9</v>
      </c>
      <c r="D16" s="6">
        <v>2021</v>
      </c>
      <c r="E16" s="32">
        <v>9262.69</v>
      </c>
      <c r="F16" s="32">
        <v>138.86000000000001</v>
      </c>
      <c r="G16" s="32">
        <v>8.57</v>
      </c>
      <c r="H16" s="32">
        <v>3.18</v>
      </c>
      <c r="I16" s="32">
        <v>30</v>
      </c>
      <c r="J16" s="32">
        <v>49</v>
      </c>
      <c r="K16" s="6">
        <v>105</v>
      </c>
      <c r="L16" s="32"/>
    </row>
    <row r="17" spans="1:12" x14ac:dyDescent="0.25">
      <c r="A17" s="17" t="s">
        <v>32</v>
      </c>
      <c r="B17" s="6">
        <f t="shared" si="0"/>
        <v>16</v>
      </c>
      <c r="C17" s="6">
        <f t="shared" si="1"/>
        <v>9</v>
      </c>
      <c r="D17" s="6">
        <v>2021</v>
      </c>
      <c r="E17" s="32">
        <v>9311.2900000000009</v>
      </c>
      <c r="F17" s="32">
        <v>121.71</v>
      </c>
      <c r="G17" s="32">
        <v>0</v>
      </c>
      <c r="H17" s="32">
        <v>1.01</v>
      </c>
      <c r="I17" s="32">
        <v>12</v>
      </c>
      <c r="J17" s="32">
        <v>11</v>
      </c>
      <c r="K17" s="6">
        <v>82</v>
      </c>
      <c r="L17" s="32"/>
    </row>
    <row r="18" spans="1:12" x14ac:dyDescent="0.25">
      <c r="A18" s="17" t="s">
        <v>32</v>
      </c>
      <c r="B18" s="6">
        <f t="shared" si="0"/>
        <v>17</v>
      </c>
      <c r="C18" s="6">
        <f t="shared" si="1"/>
        <v>9</v>
      </c>
      <c r="D18" s="6">
        <v>2021</v>
      </c>
      <c r="E18" s="32">
        <v>9210.64</v>
      </c>
      <c r="F18" s="32">
        <v>105.04</v>
      </c>
      <c r="G18" s="32">
        <v>9.41</v>
      </c>
      <c r="H18" s="32">
        <v>3.08</v>
      </c>
      <c r="I18" s="32">
        <v>35.5</v>
      </c>
      <c r="J18" s="32">
        <v>55.5</v>
      </c>
      <c r="K18" s="32">
        <v>105</v>
      </c>
      <c r="L18" s="32"/>
    </row>
    <row r="19" spans="1:12" x14ac:dyDescent="0.25">
      <c r="A19" s="17" t="s">
        <v>32</v>
      </c>
      <c r="B19" s="6">
        <f t="shared" si="0"/>
        <v>18</v>
      </c>
      <c r="C19" s="6">
        <f t="shared" si="1"/>
        <v>9</v>
      </c>
      <c r="D19" s="6">
        <v>2021</v>
      </c>
      <c r="E19" s="32"/>
      <c r="F19" s="32"/>
      <c r="G19" s="32"/>
      <c r="H19" s="32"/>
      <c r="I19" s="32"/>
      <c r="J19" s="32"/>
      <c r="K19" s="35">
        <v>66</v>
      </c>
      <c r="L19" s="32"/>
    </row>
    <row r="20" spans="1:12" x14ac:dyDescent="0.25">
      <c r="A20" s="17" t="s">
        <v>32</v>
      </c>
      <c r="B20" s="6">
        <f t="shared" si="0"/>
        <v>19</v>
      </c>
      <c r="C20" s="6">
        <f t="shared" si="1"/>
        <v>9</v>
      </c>
      <c r="D20" s="6">
        <v>2021</v>
      </c>
      <c r="E20" s="32"/>
      <c r="F20" s="32"/>
      <c r="G20" s="32"/>
      <c r="H20" s="32"/>
      <c r="I20" s="32"/>
      <c r="K20" s="35"/>
      <c r="L20" s="32"/>
    </row>
    <row r="21" spans="1:12" x14ac:dyDescent="0.25">
      <c r="A21" s="17" t="s">
        <v>32</v>
      </c>
      <c r="B21" s="6">
        <f t="shared" si="0"/>
        <v>20</v>
      </c>
      <c r="C21" s="6">
        <f t="shared" si="1"/>
        <v>9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f t="shared" si="1"/>
        <v>9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f t="shared" si="1"/>
        <v>9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f t="shared" si="1"/>
        <v>9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9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f t="shared" si="1"/>
        <v>9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9</v>
      </c>
      <c r="D27" s="6">
        <v>2021</v>
      </c>
      <c r="E27" s="32"/>
      <c r="F27" s="32"/>
      <c r="G27" s="32"/>
      <c r="H27" s="32"/>
      <c r="I27" s="32"/>
      <c r="J27" s="32"/>
      <c r="K27" s="6"/>
      <c r="L27" s="32"/>
    </row>
    <row r="28" spans="1:12" x14ac:dyDescent="0.25">
      <c r="A28" s="17" t="s">
        <v>32</v>
      </c>
      <c r="B28" s="6">
        <f t="shared" si="0"/>
        <v>27</v>
      </c>
      <c r="C28" s="6">
        <f t="shared" si="1"/>
        <v>9</v>
      </c>
      <c r="D28" s="6">
        <v>2021</v>
      </c>
      <c r="E28" s="32"/>
      <c r="F28" s="32"/>
      <c r="G28" s="32"/>
      <c r="H28" s="32"/>
      <c r="I28" s="32"/>
      <c r="J28" s="32"/>
      <c r="K28" s="6"/>
      <c r="L28" s="32"/>
    </row>
    <row r="29" spans="1:12" x14ac:dyDescent="0.25">
      <c r="A29" s="17" t="s">
        <v>32</v>
      </c>
      <c r="B29" s="6">
        <f t="shared" si="0"/>
        <v>28</v>
      </c>
      <c r="C29" s="6">
        <f t="shared" si="1"/>
        <v>9</v>
      </c>
      <c r="D29" s="6">
        <v>2021</v>
      </c>
      <c r="E29" s="32"/>
      <c r="F29" s="32"/>
      <c r="G29" s="32"/>
      <c r="H29" s="32"/>
      <c r="I29" s="32"/>
      <c r="J29" s="32"/>
      <c r="K29" s="6"/>
      <c r="L29" s="32"/>
    </row>
    <row r="30" spans="1:12" x14ac:dyDescent="0.25">
      <c r="A30" s="17" t="s">
        <v>32</v>
      </c>
      <c r="B30" s="6">
        <f t="shared" si="0"/>
        <v>29</v>
      </c>
      <c r="C30" s="6">
        <f t="shared" si="1"/>
        <v>9</v>
      </c>
      <c r="D30" s="6">
        <v>2021</v>
      </c>
      <c r="E30" s="32"/>
      <c r="F30" s="32"/>
      <c r="G30" s="32"/>
      <c r="H30" s="32"/>
      <c r="I30" s="32"/>
      <c r="J30" s="32"/>
      <c r="K30" s="6"/>
      <c r="L30" s="32"/>
    </row>
    <row r="31" spans="1:12" x14ac:dyDescent="0.25">
      <c r="A31" s="17" t="s">
        <v>32</v>
      </c>
      <c r="B31" s="6">
        <f t="shared" si="0"/>
        <v>30</v>
      </c>
      <c r="C31" s="6">
        <f t="shared" si="1"/>
        <v>9</v>
      </c>
      <c r="D31" s="6">
        <v>2021</v>
      </c>
      <c r="E31" s="32"/>
      <c r="F31" s="32"/>
      <c r="G31" s="32"/>
      <c r="H31" s="32"/>
      <c r="I31" s="32"/>
      <c r="J31" s="32"/>
      <c r="K31" s="6"/>
      <c r="L31" s="32"/>
    </row>
    <row r="32" spans="1:12" x14ac:dyDescent="0.25">
      <c r="E32" s="32"/>
      <c r="F32" s="32"/>
      <c r="G32" s="32"/>
      <c r="H32" s="32"/>
      <c r="I32" s="32"/>
      <c r="J32" s="32"/>
      <c r="K32" s="34"/>
      <c r="L32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B4" sqref="B4:E21"/>
    </sheetView>
  </sheetViews>
  <sheetFormatPr defaultRowHeight="15" x14ac:dyDescent="0.25"/>
  <cols>
    <col min="3" max="3" width="12.42578125" customWidth="1"/>
    <col min="4" max="4" width="11.140625" customWidth="1"/>
    <col min="5" max="5" width="9.85546875" customWidth="1"/>
  </cols>
  <sheetData>
    <row r="1" spans="1:8" x14ac:dyDescent="0.25">
      <c r="A1" t="s">
        <v>33</v>
      </c>
    </row>
    <row r="4" spans="1:8" ht="30" x14ac:dyDescent="0.25">
      <c r="C4" s="52" t="s">
        <v>34</v>
      </c>
      <c r="D4" s="52" t="s">
        <v>35</v>
      </c>
      <c r="E4" s="53" t="s">
        <v>36</v>
      </c>
    </row>
    <row r="5" spans="1:8" x14ac:dyDescent="0.25">
      <c r="B5" s="18">
        <v>1</v>
      </c>
      <c r="C5" s="51">
        <v>8741.44</v>
      </c>
      <c r="D5" s="51">
        <v>8741.44</v>
      </c>
      <c r="E5" s="51">
        <f>D5-C5</f>
        <v>0</v>
      </c>
      <c r="G5" s="32"/>
      <c r="H5" s="10"/>
    </row>
    <row r="6" spans="1:8" x14ac:dyDescent="0.25">
      <c r="B6" s="18">
        <f>B5+1</f>
        <v>2</v>
      </c>
      <c r="C6" s="51">
        <v>9020.89</v>
      </c>
      <c r="D6" s="51">
        <v>9020.89</v>
      </c>
      <c r="E6" s="51">
        <f t="shared" ref="E6:E21" si="0">D6-C6</f>
        <v>0</v>
      </c>
      <c r="G6" s="32"/>
      <c r="H6" s="10"/>
    </row>
    <row r="7" spans="1:8" x14ac:dyDescent="0.25">
      <c r="B7" s="18">
        <f t="shared" ref="B7:B21" si="1">B6+1</f>
        <v>3</v>
      </c>
      <c r="C7" s="51">
        <v>9128.44</v>
      </c>
      <c r="D7" s="51">
        <v>9128.44</v>
      </c>
      <c r="E7" s="51">
        <f t="shared" si="0"/>
        <v>0</v>
      </c>
      <c r="G7" s="32"/>
      <c r="H7" s="10"/>
    </row>
    <row r="8" spans="1:8" x14ac:dyDescent="0.25">
      <c r="B8" s="18">
        <f t="shared" si="1"/>
        <v>4</v>
      </c>
      <c r="C8" s="51">
        <v>9266.36</v>
      </c>
      <c r="D8" s="51">
        <v>9266.36</v>
      </c>
      <c r="E8" s="51">
        <f t="shared" si="0"/>
        <v>0</v>
      </c>
      <c r="G8" s="32"/>
      <c r="H8" s="10"/>
    </row>
    <row r="9" spans="1:8" x14ac:dyDescent="0.25">
      <c r="B9" s="18">
        <f t="shared" si="1"/>
        <v>5</v>
      </c>
      <c r="C9" s="51">
        <v>8758.35</v>
      </c>
      <c r="D9" s="51">
        <v>9106.58</v>
      </c>
      <c r="E9" s="51">
        <f t="shared" si="0"/>
        <v>348.22999999999956</v>
      </c>
      <c r="G9" s="32"/>
      <c r="H9" s="10"/>
    </row>
    <row r="10" spans="1:8" x14ac:dyDescent="0.25">
      <c r="B10" s="18">
        <f t="shared" si="1"/>
        <v>6</v>
      </c>
      <c r="C10" s="51">
        <v>7921.37</v>
      </c>
      <c r="D10" s="51">
        <v>9326.18</v>
      </c>
      <c r="E10" s="51">
        <f t="shared" si="0"/>
        <v>1404.8100000000004</v>
      </c>
      <c r="G10" s="32"/>
      <c r="H10" s="10"/>
    </row>
    <row r="11" spans="1:8" x14ac:dyDescent="0.25">
      <c r="B11" s="18">
        <f t="shared" si="1"/>
        <v>7</v>
      </c>
      <c r="C11" s="51">
        <v>7797.1</v>
      </c>
      <c r="D11" s="51">
        <v>9888.34</v>
      </c>
      <c r="E11" s="51">
        <f t="shared" si="0"/>
        <v>2091.2399999999998</v>
      </c>
      <c r="G11" s="32"/>
      <c r="H11" s="10"/>
    </row>
    <row r="12" spans="1:8" x14ac:dyDescent="0.25">
      <c r="B12" s="18">
        <f t="shared" si="1"/>
        <v>8</v>
      </c>
      <c r="C12" s="51">
        <v>7672.82</v>
      </c>
      <c r="D12" s="51">
        <v>9684.41</v>
      </c>
      <c r="E12" s="51">
        <f t="shared" si="0"/>
        <v>2011.5900000000001</v>
      </c>
      <c r="G12" s="32"/>
      <c r="H12" s="10"/>
    </row>
    <row r="13" spans="1:8" x14ac:dyDescent="0.25">
      <c r="B13" s="18">
        <f t="shared" si="1"/>
        <v>9</v>
      </c>
      <c r="C13" s="51">
        <v>7548.55</v>
      </c>
      <c r="D13" s="51">
        <v>9136.65</v>
      </c>
      <c r="E13" s="51">
        <f t="shared" si="0"/>
        <v>1588.0999999999995</v>
      </c>
      <c r="G13" s="32"/>
      <c r="H13" s="10"/>
    </row>
    <row r="14" spans="1:8" x14ac:dyDescent="0.25">
      <c r="B14" s="18">
        <f t="shared" si="1"/>
        <v>10</v>
      </c>
      <c r="C14" s="51">
        <v>7424.28</v>
      </c>
      <c r="D14" s="51">
        <v>9042.4500000000007</v>
      </c>
      <c r="E14" s="51">
        <f t="shared" si="0"/>
        <v>1618.170000000001</v>
      </c>
      <c r="G14" s="32"/>
      <c r="H14" s="10"/>
    </row>
    <row r="15" spans="1:8" x14ac:dyDescent="0.25">
      <c r="B15" s="18">
        <f t="shared" si="1"/>
        <v>11</v>
      </c>
      <c r="C15" s="51">
        <v>7300.01</v>
      </c>
      <c r="D15" s="51">
        <v>9111.64</v>
      </c>
      <c r="E15" s="51">
        <f t="shared" si="0"/>
        <v>1811.6299999999992</v>
      </c>
      <c r="G15" s="32"/>
      <c r="H15" s="10"/>
    </row>
    <row r="16" spans="1:8" x14ac:dyDescent="0.25">
      <c r="B16" s="18">
        <f t="shared" si="1"/>
        <v>12</v>
      </c>
      <c r="C16" s="51">
        <v>7175.74</v>
      </c>
      <c r="D16" s="51">
        <v>8642.2900000000009</v>
      </c>
      <c r="E16" s="51">
        <f t="shared" si="0"/>
        <v>1466.5500000000011</v>
      </c>
      <c r="G16" s="32"/>
      <c r="H16" s="10"/>
    </row>
    <row r="17" spans="2:8" x14ac:dyDescent="0.25">
      <c r="B17" s="18">
        <f t="shared" si="1"/>
        <v>13</v>
      </c>
      <c r="C17" s="51"/>
      <c r="D17" s="51">
        <v>8691.86</v>
      </c>
      <c r="E17" s="51"/>
      <c r="G17" s="32"/>
      <c r="H17" s="10"/>
    </row>
    <row r="18" spans="2:8" x14ac:dyDescent="0.25">
      <c r="B18" s="18">
        <f t="shared" si="1"/>
        <v>14</v>
      </c>
      <c r="C18" s="51"/>
      <c r="D18" s="51">
        <v>9019.24</v>
      </c>
      <c r="E18" s="51"/>
      <c r="G18" s="32"/>
      <c r="H18" s="10"/>
    </row>
    <row r="19" spans="2:8" x14ac:dyDescent="0.25">
      <c r="B19" s="18">
        <f t="shared" si="1"/>
        <v>15</v>
      </c>
      <c r="C19" s="51"/>
      <c r="D19" s="51">
        <v>9262.69</v>
      </c>
      <c r="E19" s="51"/>
      <c r="G19" s="32"/>
      <c r="H19" s="10"/>
    </row>
    <row r="20" spans="2:8" x14ac:dyDescent="0.25">
      <c r="B20" s="18">
        <f t="shared" si="1"/>
        <v>16</v>
      </c>
      <c r="C20" s="51"/>
      <c r="D20" s="51">
        <v>9311.2900000000009</v>
      </c>
      <c r="E20" s="51"/>
      <c r="G20" s="32"/>
      <c r="H20" s="10"/>
    </row>
    <row r="21" spans="2:8" x14ac:dyDescent="0.25">
      <c r="B21" s="18">
        <f t="shared" si="1"/>
        <v>17</v>
      </c>
      <c r="C21" s="51"/>
      <c r="D21" s="51">
        <v>9210.64</v>
      </c>
      <c r="E21" s="51"/>
      <c r="G21" s="32"/>
      <c r="H21" s="10"/>
    </row>
    <row r="22" spans="2:8" x14ac:dyDescent="0.25">
      <c r="G22" s="32"/>
      <c r="H22" s="10"/>
    </row>
    <row r="23" spans="2:8" x14ac:dyDescent="0.25">
      <c r="G23" s="32"/>
      <c r="H23" s="10"/>
    </row>
    <row r="24" spans="2:8" x14ac:dyDescent="0.25">
      <c r="G24" s="32"/>
      <c r="H24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6"/>
      <c r="C1" s="1"/>
      <c r="D1" s="11"/>
      <c r="E1" s="1"/>
      <c r="F1" s="14"/>
      <c r="G1" s="1"/>
      <c r="H1" s="1"/>
      <c r="I1" s="37"/>
      <c r="J1" s="42"/>
      <c r="K1" s="43"/>
      <c r="L1" s="43"/>
      <c r="M1" s="43"/>
      <c r="N1" s="43"/>
      <c r="O1" s="43"/>
      <c r="P1" s="21"/>
      <c r="Q1" s="21"/>
    </row>
    <row r="2" spans="1:17" ht="35.25" customHeight="1" thickBot="1" x14ac:dyDescent="0.3">
      <c r="A2" s="19" t="s">
        <v>15</v>
      </c>
      <c r="B2" s="36"/>
      <c r="C2" s="46" t="s">
        <v>22</v>
      </c>
      <c r="D2" s="47"/>
      <c r="E2" s="40" t="s">
        <v>23</v>
      </c>
      <c r="F2" s="40"/>
      <c r="G2" s="40" t="s">
        <v>24</v>
      </c>
      <c r="H2" s="40"/>
      <c r="I2" s="38"/>
      <c r="J2" s="44" t="s">
        <v>27</v>
      </c>
      <c r="K2" s="45"/>
      <c r="L2" s="48" t="s">
        <v>28</v>
      </c>
      <c r="M2" s="48"/>
      <c r="N2" s="48" t="s">
        <v>29</v>
      </c>
      <c r="O2" s="48"/>
      <c r="P2" s="10"/>
      <c r="Q2" s="10"/>
    </row>
    <row r="3" spans="1:17" ht="44.25" customHeight="1" x14ac:dyDescent="0.25">
      <c r="A3" s="2" t="s">
        <v>0</v>
      </c>
      <c r="B3" s="36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8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6"/>
      <c r="C4" s="18">
        <v>22342913</v>
      </c>
      <c r="D4" s="41">
        <f>IF((C5-C4&lt;0), "",C5-C4)</f>
        <v>7975</v>
      </c>
      <c r="E4" s="18">
        <v>23837512</v>
      </c>
      <c r="F4" s="49">
        <f>IF((E5-E4&lt;0), "",E5-E4)</f>
        <v>5799</v>
      </c>
      <c r="G4" s="18">
        <v>9975816</v>
      </c>
      <c r="H4" s="41">
        <f>IF((G5-G4&lt;0), "",G5-G4)</f>
        <v>3477</v>
      </c>
      <c r="I4" s="38"/>
      <c r="J4" s="18"/>
      <c r="K4" s="41">
        <v>0</v>
      </c>
      <c r="L4" s="18"/>
      <c r="M4" s="41">
        <v>0</v>
      </c>
      <c r="N4" s="18">
        <v>75776</v>
      </c>
      <c r="O4" s="41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6"/>
      <c r="C5" s="18">
        <v>22350888</v>
      </c>
      <c r="D5" s="41"/>
      <c r="E5" s="18">
        <v>23843311</v>
      </c>
      <c r="F5" s="50"/>
      <c r="G5" s="18">
        <v>9979293</v>
      </c>
      <c r="H5" s="41"/>
      <c r="I5" s="38"/>
      <c r="J5" s="18">
        <v>0</v>
      </c>
      <c r="K5" s="41"/>
      <c r="L5" s="18">
        <v>0</v>
      </c>
      <c r="M5" s="41"/>
      <c r="N5" s="18">
        <v>75809</v>
      </c>
      <c r="O5" s="41"/>
      <c r="P5" s="23"/>
      <c r="Q5" s="23"/>
    </row>
    <row r="6" spans="1:17" ht="45" customHeight="1" x14ac:dyDescent="0.3">
      <c r="A6" s="7">
        <v>43557</v>
      </c>
      <c r="B6" s="3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9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6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8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6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8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6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8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6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8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6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8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6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8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6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8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6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8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6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8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6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8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6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8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6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8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6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8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6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8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6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8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6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8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6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8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6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8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6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8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6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8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6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8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6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8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6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8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6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9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6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9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6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9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2021-09-19T11:49:08Z</dcterms:modified>
</cp:coreProperties>
</file>