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<sst xmlns="http://schemas.openxmlformats.org/spreadsheetml/2006/main" count="315" uniqueCount="148">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</sst>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1018.3140000000001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 t="e">
        <f>Submetering!E7+Submetering!F7+Submetering!G7+Submetering!H7+Submetering!J7-Submetering!AV7</f>
        <v>#VALUE!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 t="e">
        <f>'FS Desroches Daily'!CM9</f>
        <v>#VALUE!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 t="str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990.8415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20399.999999999975</v>
      </c>
      <c r="F33" s="17">
        <f t="shared" ref="F33:BC33" si="0">SUM(F2:F32)</f>
        <v>18399.999999999749</v>
      </c>
      <c r="G33" s="17">
        <f t="shared" si="0"/>
        <v>16799.999999999927</v>
      </c>
      <c r="H33" s="17">
        <f t="shared" si="0"/>
        <v>8900.000000000131</v>
      </c>
      <c r="I33" s="17">
        <f t="shared" si="0"/>
        <v>10799.9999999997</v>
      </c>
      <c r="J33" s="17">
        <f t="shared" si="0"/>
        <v>9899.9999999997981</v>
      </c>
      <c r="K33" s="17">
        <f t="shared" si="0"/>
        <v>261</v>
      </c>
      <c r="L33" s="17">
        <f t="shared" si="0"/>
        <v>35</v>
      </c>
      <c r="M33" s="17">
        <f t="shared" si="0"/>
        <v>7.1000000000001364</v>
      </c>
      <c r="N33" s="17">
        <f t="shared" si="0"/>
        <v>2377.6000000000349</v>
      </c>
      <c r="O33" s="17">
        <f t="shared" si="0"/>
        <v>2289.9999999999636</v>
      </c>
      <c r="P33" s="17">
        <f t="shared" si="0"/>
        <v>16300.000000000204</v>
      </c>
      <c r="Q33" s="17">
        <f t="shared" si="0"/>
        <v>2079.9999999999841</v>
      </c>
      <c r="R33" s="17">
        <f t="shared" si="0"/>
        <v>2490.0000000000091</v>
      </c>
      <c r="S33" s="17">
        <f t="shared" si="0"/>
        <v>4889.9999999999864</v>
      </c>
      <c r="T33" s="17">
        <f t="shared" si="0"/>
        <v>236</v>
      </c>
      <c r="U33" s="35">
        <f t="shared" si="0"/>
        <v>5210.0000000000364</v>
      </c>
      <c r="V33" s="35">
        <f t="shared" si="0"/>
        <v>1620.0000000000045</v>
      </c>
      <c r="W33" s="35">
        <f t="shared" si="0"/>
        <v>1500</v>
      </c>
      <c r="X33" s="35">
        <f t="shared" si="0"/>
        <v>1539.999999999992</v>
      </c>
      <c r="Y33" s="35">
        <f t="shared" si="0"/>
        <v>1459.9999999999795</v>
      </c>
      <c r="Z33" s="35">
        <f t="shared" si="0"/>
        <v>1910.000000000025</v>
      </c>
      <c r="AA33" s="35">
        <f t="shared" si="0"/>
        <v>1910.000000000025</v>
      </c>
      <c r="AB33" s="35">
        <f t="shared" si="0"/>
        <v>1439.9999999999977</v>
      </c>
      <c r="AC33" s="35">
        <f t="shared" si="0"/>
        <v>1519.9999999999818</v>
      </c>
      <c r="AD33" s="35">
        <f t="shared" si="0"/>
        <v>1250</v>
      </c>
      <c r="AE33" s="35">
        <f t="shared" si="0"/>
        <v>480.00000000001819</v>
      </c>
      <c r="AF33" s="17">
        <f t="shared" si="0"/>
        <v>160</v>
      </c>
      <c r="AG33" s="32">
        <f t="shared" si="0"/>
        <v>270.00000000001023</v>
      </c>
      <c r="AH33" s="32">
        <f t="shared" si="0"/>
        <v>189.99999999999773</v>
      </c>
      <c r="AI33" s="32">
        <f t="shared" si="0"/>
        <v>240.00000000000909</v>
      </c>
      <c r="AJ33" s="32">
        <f t="shared" si="0"/>
        <v>240.00000000000909</v>
      </c>
      <c r="AK33" s="32">
        <f t="shared" si="0"/>
        <v>330.00000000004093</v>
      </c>
      <c r="AL33" s="32">
        <f t="shared" si="0"/>
        <v>181</v>
      </c>
      <c r="AM33" s="32">
        <f t="shared" si="0"/>
        <v>250</v>
      </c>
      <c r="AN33" s="32">
        <f t="shared" si="0"/>
        <v>234</v>
      </c>
      <c r="AO33" s="32">
        <f t="shared" si="0"/>
        <v>250</v>
      </c>
      <c r="AP33" s="32">
        <f t="shared" si="0"/>
        <v>238</v>
      </c>
      <c r="AQ33" s="17">
        <f t="shared" si="0"/>
        <v>268.09999999999854</v>
      </c>
      <c r="AR33" s="17">
        <f t="shared" si="0"/>
        <v>74.600000000000364</v>
      </c>
      <c r="AS33" s="17">
        <f t="shared" si="0"/>
        <v>27.399999999999636</v>
      </c>
      <c r="AT33" s="17">
        <f t="shared" si="0"/>
        <v>199.10000000000582</v>
      </c>
      <c r="AU33" s="17">
        <f t="shared" si="0"/>
        <v>1666</v>
      </c>
      <c r="AV33" s="17">
        <f t="shared" si="0"/>
        <v>3750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21.977999999999998</v>
      </c>
      <c r="BC33" s="17">
        <f t="shared" si="0"/>
        <v>190</v>
      </c>
    </row>
    <row r="35" spans="5:55" x14ac:dyDescent="0.25">
      <c r="E35" s="38">
        <f>E33/E37</f>
        <v>0.31126979767463314</v>
      </c>
      <c r="G35" s="29">
        <f>G33-M36</f>
        <v>14415.299999999892</v>
      </c>
      <c r="AE35" s="35">
        <f>SUM(U33:AE33)</f>
        <v>19840.000000000062</v>
      </c>
      <c r="AG35" s="32">
        <f>SUM(AG33:AP33)</f>
        <v>2423.0000000000673</v>
      </c>
    </row>
    <row r="36" spans="5:55" x14ac:dyDescent="0.25">
      <c r="G36" s="29">
        <f>G35-633*14</f>
        <v>5553.299999999892</v>
      </c>
      <c r="M36" s="29">
        <f>M33+N33</f>
        <v>2384.7000000000353</v>
      </c>
    </row>
    <row r="37" spans="5:55" x14ac:dyDescent="0.25">
      <c r="E37" s="17">
        <f>E33+F33+G33+H33+J33-633*14</f>
        <v>65537.999999999578</v>
      </c>
      <c r="G37" s="37">
        <f>M36/E37</f>
        <v>3.6386523848760274E-2</v>
      </c>
      <c r="M37" s="35">
        <f>AE35</f>
        <v>19840.000000000062</v>
      </c>
    </row>
    <row r="38" spans="5:55" x14ac:dyDescent="0.25">
      <c r="L38" s="27">
        <f>M38/E37</f>
        <v>3.6970917635571469E-2</v>
      </c>
      <c r="M38" s="29">
        <f>AG35</f>
        <v>2423.0000000000673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zoomScale="82" zoomScaleNormal="82" workbookViewId="0">
      <pane ySplit="1" topLeftCell="A2" activePane="bottomLeft" state="frozen"/>
      <selection pane="bottomLeft" activeCell="O9" sqref="O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/>
      <c r="D9" s="64" t="str">
        <f t="shared" si="50"/>
        <v>0</v>
      </c>
      <c r="E9" s="58"/>
      <c r="F9" s="64" t="str">
        <f t="shared" si="51"/>
        <v>0</v>
      </c>
      <c r="G9" s="58"/>
      <c r="H9" s="64" t="str">
        <f t="shared" si="52"/>
        <v>0</v>
      </c>
      <c r="I9" s="58"/>
      <c r="J9" s="64" t="str">
        <f t="shared" si="53"/>
        <v>0</v>
      </c>
      <c r="K9" s="58"/>
      <c r="L9" s="64" t="str">
        <f t="shared" si="54"/>
        <v>0</v>
      </c>
      <c r="M9" s="58"/>
      <c r="N9" s="64" t="str">
        <f t="shared" si="55"/>
        <v/>
      </c>
      <c r="O9" s="58"/>
      <c r="P9" s="67" t="str">
        <f t="shared" si="56"/>
        <v/>
      </c>
      <c r="Q9" s="58"/>
      <c r="R9" s="67" t="str">
        <f t="shared" si="57"/>
        <v/>
      </c>
      <c r="S9" s="58"/>
      <c r="T9" s="67" t="str">
        <f t="shared" si="58"/>
        <v/>
      </c>
      <c r="U9" s="58"/>
      <c r="V9" s="67" t="str">
        <f t="shared" si="59"/>
        <v/>
      </c>
      <c r="W9" s="58"/>
      <c r="X9" s="65" t="str">
        <f t="shared" si="60"/>
        <v/>
      </c>
      <c r="Y9" s="58"/>
      <c r="Z9" s="65" t="str">
        <f t="shared" si="61"/>
        <v/>
      </c>
      <c r="AA9" s="58"/>
      <c r="AB9" s="65" t="str">
        <f t="shared" si="62"/>
        <v/>
      </c>
      <c r="AC9" s="58"/>
      <c r="AD9" s="65" t="str">
        <f t="shared" si="63"/>
        <v/>
      </c>
      <c r="AE9" s="58"/>
      <c r="AF9" s="65" t="str">
        <f t="shared" si="64"/>
        <v/>
      </c>
      <c r="AG9" s="58"/>
      <c r="AH9" s="67" t="str">
        <f t="shared" si="65"/>
        <v/>
      </c>
      <c r="AI9" s="58"/>
      <c r="AJ9" s="65" t="str">
        <f t="shared" si="66"/>
        <v/>
      </c>
      <c r="AK9" s="58"/>
      <c r="AL9" s="65" t="str">
        <f t="shared" si="67"/>
        <v/>
      </c>
      <c r="AM9" s="58"/>
      <c r="AN9" s="65" t="str">
        <f t="shared" si="68"/>
        <v/>
      </c>
      <c r="AO9" s="58"/>
      <c r="AP9" s="65" t="str">
        <f t="shared" si="69"/>
        <v/>
      </c>
      <c r="AQ9" s="58"/>
      <c r="AR9" s="65" t="str">
        <f t="shared" si="70"/>
        <v/>
      </c>
      <c r="AS9" s="58"/>
      <c r="AT9" s="65" t="str">
        <f t="shared" si="71"/>
        <v/>
      </c>
      <c r="AU9" s="58"/>
      <c r="AV9" s="65" t="str">
        <f t="shared" si="72"/>
        <v/>
      </c>
      <c r="AW9" s="58"/>
      <c r="AX9" s="65" t="str">
        <f t="shared" si="73"/>
        <v/>
      </c>
      <c r="AY9" s="58"/>
      <c r="AZ9" s="65" t="str">
        <f t="shared" si="74"/>
        <v/>
      </c>
      <c r="BA9" s="58"/>
      <c r="BB9" s="65" t="str">
        <f t="shared" si="75"/>
        <v/>
      </c>
      <c r="BC9" s="58"/>
      <c r="BD9" s="65" t="str">
        <f t="shared" si="76"/>
        <v/>
      </c>
      <c r="BE9" s="59"/>
      <c r="BF9" s="67" t="str">
        <f t="shared" si="77"/>
        <v/>
      </c>
      <c r="BG9" s="60"/>
      <c r="BH9" s="65" t="str">
        <f t="shared" si="78"/>
        <v/>
      </c>
      <c r="BI9" s="60"/>
      <c r="BJ9" s="65" t="str">
        <f t="shared" si="79"/>
        <v/>
      </c>
      <c r="BK9" s="60"/>
      <c r="BL9" s="65" t="str">
        <f t="shared" si="80"/>
        <v/>
      </c>
      <c r="BM9" s="60"/>
      <c r="BN9" s="65" t="str">
        <f t="shared" si="81"/>
        <v/>
      </c>
      <c r="BO9" s="60"/>
      <c r="BP9" s="65" t="str">
        <f t="shared" si="82"/>
        <v/>
      </c>
      <c r="BQ9" s="60"/>
      <c r="BR9" s="65" t="str">
        <f t="shared" si="83"/>
        <v/>
      </c>
      <c r="BS9" s="60"/>
      <c r="BT9" s="65" t="str">
        <f t="shared" si="84"/>
        <v/>
      </c>
      <c r="BU9" s="60"/>
      <c r="BV9" s="65" t="str">
        <f t="shared" si="85"/>
        <v/>
      </c>
      <c r="BW9" s="60"/>
      <c r="BX9" s="65" t="str">
        <f t="shared" si="86"/>
        <v/>
      </c>
      <c r="BY9" s="60"/>
      <c r="BZ9" s="67" t="str">
        <f t="shared" si="87"/>
        <v/>
      </c>
      <c r="CA9" s="60"/>
      <c r="CB9" s="67" t="str">
        <f t="shared" si="88"/>
        <v/>
      </c>
      <c r="CC9" s="60"/>
      <c r="CD9" s="67" t="str">
        <f t="shared" si="89"/>
        <v/>
      </c>
      <c r="CE9" s="60"/>
      <c r="CF9" s="67" t="str">
        <f t="shared" si="90"/>
        <v/>
      </c>
      <c r="CG9" s="60"/>
      <c r="CH9" s="67" t="str">
        <f t="shared" si="91"/>
        <v/>
      </c>
      <c r="CI9" s="60"/>
      <c r="CJ9" s="67" t="str">
        <f t="shared" si="92"/>
        <v/>
      </c>
      <c r="CK9" s="60"/>
      <c r="CL9" s="64" t="str">
        <f t="shared" si="93"/>
        <v/>
      </c>
      <c r="CM9" s="65" t="e">
        <f t="shared" si="94"/>
        <v>#VALUE!</v>
      </c>
      <c r="CN9" s="62"/>
      <c r="CO9" s="62"/>
      <c r="CP9" s="68"/>
      <c r="CQ9" s="67" t="str">
        <f t="shared" si="95"/>
        <v/>
      </c>
      <c r="CR9" s="68"/>
      <c r="CS9" s="67" t="str">
        <f t="shared" si="96"/>
        <v/>
      </c>
      <c r="CT9" s="75"/>
      <c r="CU9" s="67" t="str">
        <f t="shared" si="97"/>
        <v/>
      </c>
      <c r="CV9" s="68"/>
      <c r="CW9" s="67" t="str">
        <f t="shared" si="98"/>
        <v/>
      </c>
      <c r="CX9" s="58"/>
      <c r="CY9" s="67" t="str">
        <f t="shared" si="99"/>
        <v/>
      </c>
    </row>
    <row r="10" spans="1:103" ht="25.5" customHeight="1" thickBot="1" x14ac:dyDescent="0.45">
      <c r="A10" s="63">
        <v>44627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6"/>
        <v>0</v>
      </c>
      <c r="CT10" s="75"/>
      <c r="CU10" s="67">
        <f t="shared" si="97"/>
        <v>0</v>
      </c>
      <c r="CV10" s="68"/>
      <c r="CW10" s="67">
        <f t="shared" si="98"/>
        <v>0</v>
      </c>
      <c r="CX10" s="58"/>
      <c r="CY10" s="67">
        <f t="shared" si="99"/>
        <v>0</v>
      </c>
    </row>
    <row r="11" spans="1:103" ht="25.5" customHeight="1" thickBot="1" x14ac:dyDescent="0.45">
      <c r="A11" s="63">
        <v>44628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6"/>
        <v>0</v>
      </c>
      <c r="CT11" s="75"/>
      <c r="CU11" s="67">
        <f t="shared" si="97"/>
        <v>0</v>
      </c>
      <c r="CV11" s="68"/>
      <c r="CW11" s="67">
        <f t="shared" si="98"/>
        <v>0</v>
      </c>
      <c r="CX11" s="58"/>
      <c r="CY11" s="67">
        <f t="shared" si="99"/>
        <v>0</v>
      </c>
    </row>
    <row r="12" spans="1:103" ht="25.5" customHeight="1" thickBot="1" x14ac:dyDescent="0.45">
      <c r="A12" s="63">
        <v>44629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44630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44631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44632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44633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44634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44635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44636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44637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44638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44639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44640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44641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44642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44643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44644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3" sqref="B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-220</v>
      </c>
    </row>
    <row r="14" spans="1:20" ht="17.25" customHeight="1" x14ac:dyDescent="0.25">
      <c r="A14" s="73">
        <v>44627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44628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44629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44630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44631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44632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44633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44634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44635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44636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44637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44638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44639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44640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44641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44642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44643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2022-03-06T19:31:18Z</dcterms:modified>
</cp:coreProperties>
</file>