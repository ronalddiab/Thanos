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17" i="7" l="1"/>
  <c r="L18" i="7"/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<sst xmlns="http://schemas.openxmlformats.org/spreadsheetml/2006/main" count="315" uniqueCount="148">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</sst>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40.292999999999999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23.8095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14540.0000000001</v>
      </c>
      <c r="F12" s="11">
        <f t="shared" si="0"/>
        <v>0.58765030286592534</v>
      </c>
      <c r="G12" s="12">
        <f>(Submetering!AX12+Submetering!AY12+Submetering!AZ12+Submetering!BA12+Submetering!BB12)</f>
        <v>31.135499999999997</v>
      </c>
      <c r="H12" s="11">
        <f t="shared" si="1"/>
        <v>0.99</v>
      </c>
      <c r="I12" s="12">
        <f>'FS Desroches Daily'!CM14</f>
        <v>131</v>
      </c>
      <c r="J12" s="11">
        <f t="shared" si="2"/>
        <v>10.487297712684205</v>
      </c>
      <c r="K12" s="13">
        <f>'FS Desroches Daily'!CN14</f>
        <v>35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12620.000000000658</v>
      </c>
      <c r="F13" s="11">
        <f t="shared" si="0"/>
        <v>0.58765030286592534</v>
      </c>
      <c r="G13" s="12">
        <f>(Submetering!AX13+Submetering!AY13+Submetering!AZ13+Submetering!BA13+Submetering!BB13)</f>
        <v>20.1465</v>
      </c>
      <c r="H13" s="11">
        <f t="shared" si="1"/>
        <v>0.99</v>
      </c>
      <c r="I13" s="12">
        <f>'FS Desroches Daily'!CM15</f>
        <v>111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13559.999999999525</v>
      </c>
      <c r="F14" s="11">
        <f t="shared" si="0"/>
        <v>0.58765030286592534</v>
      </c>
      <c r="G14" s="12">
        <f>(Submetering!AX14+Submetering!AY14+Submetering!AZ14+Submetering!BA14+Submetering!BB14)</f>
        <v>21.977999999999998</v>
      </c>
      <c r="H14" s="11">
        <f t="shared" si="1"/>
        <v>0.99</v>
      </c>
      <c r="I14" s="12">
        <f>'FS Desroches Daily'!CM16</f>
        <v>113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14590.000000000357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123</v>
      </c>
      <c r="J15" s="11">
        <f t="shared" si="2"/>
        <v>10.487297712684205</v>
      </c>
      <c r="K15" s="13">
        <f>'FS Desroches Daily'!CN17</f>
        <v>40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 t="e">
        <f>Submetering!E16+Submetering!F16+Submetering!G16+Submetering!H16+Submetering!J16-Submetering!AV16</f>
        <v>#VALUE!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 t="e">
        <f>'FS Desroches Daily'!CM18</f>
        <v>#VALUE!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>
        <f>IF(LPG!F18-LPG!F16&lt;0,"0",(LPG!F18-LPG!F16)*1.8315)</f>
        <v>9.1574999999999989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10.988999999999999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10.988999999999999</v>
      </c>
      <c r="BB11" s="31">
        <f>IF(LPG!Q18-LPG!Q17&lt;0,"0",(LPG!Q18-LPG!Q17)*1.8315)</f>
        <v>7.3259999999999996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3899.9999999997926</v>
      </c>
      <c r="F12" s="32">
        <f>'FS Desroches Daily'!F14</f>
        <v>4100.0000000002146</v>
      </c>
      <c r="G12" s="31">
        <f>'FS Desroches Daily'!H14</f>
        <v>3400.0000000000696</v>
      </c>
      <c r="H12" s="32">
        <f>'FS Desroches Daily'!J14</f>
        <v>1900.0000000000127</v>
      </c>
      <c r="I12" s="31">
        <f>'FS Desroches Daily'!L14</f>
        <v>2500.0000000003906</v>
      </c>
      <c r="J12" s="32">
        <f>'FS Desroches Daily'!N14</f>
        <v>2000.0000000000018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1.5999999999999091</v>
      </c>
      <c r="N12" s="31">
        <f>'FS Desroches Daily'!V14</f>
        <v>551</v>
      </c>
      <c r="O12" s="31">
        <f>'FS Desroches Daily'!X14</f>
        <v>449.99999999998863</v>
      </c>
      <c r="P12" s="31">
        <f>'FS Desroches Daily'!Z14</f>
        <v>3800.0000000000255</v>
      </c>
      <c r="Q12" s="31">
        <f>'FS Desroches Daily'!AB14</f>
        <v>509.99999999999091</v>
      </c>
      <c r="R12" s="31">
        <f>'FS Desroches Daily'!AD14</f>
        <v>480.00000000001819</v>
      </c>
      <c r="S12" s="31">
        <f>'FS Desroches Daily'!AF14</f>
        <v>990.00000000000909</v>
      </c>
      <c r="T12" s="31">
        <f>'FS Desroches Daily'!AH14</f>
        <v>48</v>
      </c>
      <c r="U12" s="35">
        <f>'FS Desroches Daily'!AJ14</f>
        <v>850.00000000002274</v>
      </c>
      <c r="V12" s="35">
        <f>'FS Desroches Daily'!AL14</f>
        <v>310.00000000000227</v>
      </c>
      <c r="W12" s="35">
        <f>'FS Desroches Daily'!AN14</f>
        <v>360.00000000001364</v>
      </c>
      <c r="X12" s="35">
        <f>'FS Desroches Daily'!AP14</f>
        <v>260.00000000001933</v>
      </c>
      <c r="Y12" s="35">
        <f>'FS Desroches Daily'!AR14</f>
        <v>259.99999999999091</v>
      </c>
      <c r="Z12" s="35">
        <f>'FS Desroches Daily'!AT14</f>
        <v>290.00000000002046</v>
      </c>
      <c r="AA12" s="35">
        <f>'FS Desroches Daily'!AT14</f>
        <v>290.00000000002046</v>
      </c>
      <c r="AB12" s="35">
        <f>'FS Desroches Daily'!AV14</f>
        <v>280.00000000002956</v>
      </c>
      <c r="AC12" s="35">
        <f>'FS Desroches Daily'!AZ14</f>
        <v>319.99999999999318</v>
      </c>
      <c r="AD12" s="35">
        <f>'FS Desroches Daily'!BB14</f>
        <v>269.99999999998181</v>
      </c>
      <c r="AE12" s="35">
        <f>'FS Desroches Daily'!BD14</f>
        <v>210.00000000003638</v>
      </c>
      <c r="AF12" s="31">
        <f>'FS Desroches Daily'!BF14</f>
        <v>27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51</v>
      </c>
      <c r="AM12" s="32">
        <f>'FS Desroches Daily'!BT14</f>
        <v>50.000000000011369</v>
      </c>
      <c r="AN12" s="32">
        <f>'FS Desroches Daily'!BV14</f>
        <v>64</v>
      </c>
      <c r="AO12" s="32">
        <f>'FS Desroches Daily'!BX14</f>
        <v>69.999999999993179</v>
      </c>
      <c r="AP12" s="32">
        <f>'FS Desroches Daily'!BZ14</f>
        <v>50</v>
      </c>
      <c r="AQ12" s="31">
        <f>'FS Desroches Daily'!CB14</f>
        <v>67.099999999998545</v>
      </c>
      <c r="AR12" s="31">
        <f>'FS Desroches Daily'!CD14</f>
        <v>16.5</v>
      </c>
      <c r="AS12" s="31">
        <f>'FS Desroches Daily'!CF14</f>
        <v>2.1000000000003638</v>
      </c>
      <c r="AT12" s="31">
        <f>'FS Desroches Daily'!CH14</f>
        <v>78.19999999999709</v>
      </c>
      <c r="AU12" s="31">
        <f>'FS Desroches Daily'!CJ14</f>
        <v>403</v>
      </c>
      <c r="AV12" s="31">
        <f>'FS Desroches Daily'!CL14</f>
        <v>759.99999999999091</v>
      </c>
      <c r="AW12" s="31">
        <f>'FS Desroches Daily'!CM14</f>
        <v>131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5.4944999999999995</v>
      </c>
      <c r="BB12" s="31">
        <f>IF(LPG!Q20-LPG!Q18&lt;0,"0",(LPG!Q20-LPG!Q18)*1.8315)</f>
        <v>16.483499999999999</v>
      </c>
      <c r="BC12" s="13">
        <f>'FS Desroches Daily'!CN14</f>
        <v>35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2900.0000000003465</v>
      </c>
      <c r="F13" s="32">
        <f>'FS Desroches Daily'!F15</f>
        <v>3700.0000000002588</v>
      </c>
      <c r="G13" s="31">
        <f>'FS Desroches Daily'!H15</f>
        <v>3499.9999999998367</v>
      </c>
      <c r="H13" s="32">
        <f>'FS Desroches Daily'!J15</f>
        <v>1600.0000000002678</v>
      </c>
      <c r="I13" s="31">
        <f>'FS Desroches Daily'!L15</f>
        <v>2499.9999999999468</v>
      </c>
      <c r="J13" s="32">
        <f>'FS Desroches Daily'!N15</f>
        <v>1700.0000000000348</v>
      </c>
      <c r="K13" s="13">
        <f>'FS Desroches Daily'!P15</f>
        <v>34</v>
      </c>
      <c r="L13" s="31">
        <f>'FS Desroches Daily'!R15</f>
        <v>4</v>
      </c>
      <c r="M13" s="31">
        <f>'FS Desroches Daily'!T15</f>
        <v>1.4000000000000909</v>
      </c>
      <c r="N13" s="31">
        <f>'FS Desroches Daily'!V15</f>
        <v>358.80000000004657</v>
      </c>
      <c r="O13" s="31">
        <f>'FS Desroches Daily'!X15</f>
        <v>360.00000000001364</v>
      </c>
      <c r="P13" s="31">
        <f>'FS Desroches Daily'!Z15</f>
        <v>3299.9999999998586</v>
      </c>
      <c r="Q13" s="31">
        <f>'FS Desroches Daily'!AB15</f>
        <v>459.99999999997954</v>
      </c>
      <c r="R13" s="31">
        <f>'FS Desroches Daily'!AD15</f>
        <v>379.99999999999545</v>
      </c>
      <c r="S13" s="31">
        <f>'FS Desroches Daily'!AF15</f>
        <v>789.99999999996362</v>
      </c>
      <c r="T13" s="31">
        <f>'FS Desroches Daily'!AH15</f>
        <v>54</v>
      </c>
      <c r="U13" s="35">
        <f>'FS Desroches Daily'!AJ15</f>
        <v>699.99999999993179</v>
      </c>
      <c r="V13" s="35">
        <f>'FS Desroches Daily'!AL15</f>
        <v>199.99999999998863</v>
      </c>
      <c r="W13" s="35">
        <f>'FS Desroches Daily'!AN15</f>
        <v>229.99999999998977</v>
      </c>
      <c r="X13" s="35">
        <f>'FS Desroches Daily'!AP15</f>
        <v>169.99999999998749</v>
      </c>
      <c r="Y13" s="35">
        <f>'FS Desroches Daily'!AR15</f>
        <v>170.00000000001592</v>
      </c>
      <c r="Z13" s="35">
        <f>'FS Desroches Daily'!AT15</f>
        <v>209.99999999997954</v>
      </c>
      <c r="AA13" s="35">
        <f>'FS Desroches Daily'!AT15</f>
        <v>209.99999999997954</v>
      </c>
      <c r="AB13" s="35">
        <f>'FS Desroches Daily'!AV15</f>
        <v>259.99999999999091</v>
      </c>
      <c r="AC13" s="35">
        <f>'FS Desroches Daily'!AZ15</f>
        <v>240.00000000000909</v>
      </c>
      <c r="AD13" s="35">
        <f>'FS Desroches Daily'!BB15</f>
        <v>190.00000000005457</v>
      </c>
      <c r="AE13" s="35">
        <f>'FS Desroches Daily'!BD15</f>
        <v>179.99999999994998</v>
      </c>
      <c r="AF13" s="31">
        <f>'FS Desroches Daily'!BF15</f>
        <v>36</v>
      </c>
      <c r="AG13" s="32">
        <f>'FS Desroches Daily'!BH15</f>
        <v>40.000000000020464</v>
      </c>
      <c r="AH13" s="32">
        <f>'FS Desroches Daily'!BJ15</f>
        <v>30.000000000029559</v>
      </c>
      <c r="AI13" s="32">
        <f>'FS Desroches Daily'!BL15</f>
        <v>50.000000000011369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37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40</v>
      </c>
      <c r="AQ13" s="31">
        <f>'FS Desroches Daily'!CB15</f>
        <v>36.400000000001455</v>
      </c>
      <c r="AR13" s="31">
        <f>'FS Desroches Daily'!CD15</f>
        <v>18.399999999999636</v>
      </c>
      <c r="AS13" s="31">
        <f>'FS Desroches Daily'!CF15</f>
        <v>26.299999999999272</v>
      </c>
      <c r="AT13" s="31">
        <f>'FS Desroches Daily'!CH15</f>
        <v>68</v>
      </c>
      <c r="AU13" s="31">
        <f>'FS Desroches Daily'!CJ15</f>
        <v>317</v>
      </c>
      <c r="AV13" s="31">
        <f>'FS Desroches Daily'!CL15</f>
        <v>780.0000000000864</v>
      </c>
      <c r="AW13" s="31">
        <f>'FS Desroches Daily'!CM15</f>
        <v>111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1.8314999999999999</v>
      </c>
      <c r="BA13" s="31">
        <f>IF(LPG!M20-LPG!M19&lt;0,"0",(LPG!M20-LPG!M19)*1.8315)</f>
        <v>5.4944999999999995</v>
      </c>
      <c r="BB13" s="31">
        <f>IF(LPG!Q20-LPG!Q19&lt;0,"0",(LPG!Q20-LPG!Q19)*1.8315)</f>
        <v>7.3259999999999996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3299.9999999998586</v>
      </c>
      <c r="F14" s="32">
        <f>'FS Desroches Daily'!F16</f>
        <v>3699.9999999993706</v>
      </c>
      <c r="G14" s="31">
        <f>'FS Desroches Daily'!H16</f>
        <v>3300.0000000003029</v>
      </c>
      <c r="H14" s="32">
        <f>'FS Desroches Daily'!J16</f>
        <v>1900.0000000000127</v>
      </c>
      <c r="I14" s="31">
        <f>'FS Desroches Daily'!L16</f>
        <v>2499.9999999999468</v>
      </c>
      <c r="J14" s="32">
        <f>'FS Desroches Daily'!N16</f>
        <v>2099.9999999999909</v>
      </c>
      <c r="K14" s="13">
        <f>'FS Desroches Daily'!P16</f>
        <v>36</v>
      </c>
      <c r="L14" s="31">
        <f>'FS Desroches Daily'!R16</f>
        <v>6</v>
      </c>
      <c r="M14" s="31">
        <f>'FS Desroches Daily'!T16</f>
        <v>1.4000000000000909</v>
      </c>
      <c r="N14" s="31">
        <f>'FS Desroches Daily'!V16</f>
        <v>478.19999999995343</v>
      </c>
      <c r="O14" s="31">
        <f>'FS Desroches Daily'!X16</f>
        <v>399.99999999997726</v>
      </c>
      <c r="P14" s="31">
        <f>'FS Desroches Daily'!Z16</f>
        <v>3600.0000000000477</v>
      </c>
      <c r="Q14" s="31">
        <f>'FS Desroches Daily'!AB16</f>
        <v>500</v>
      </c>
      <c r="R14" s="31">
        <f>'FS Desroches Daily'!AD16</f>
        <v>449.99999999998863</v>
      </c>
      <c r="S14" s="31">
        <f>'FS Desroches Daily'!AF16</f>
        <v>1049.9999999999545</v>
      </c>
      <c r="T14" s="31">
        <f>'FS Desroches Daily'!AH16</f>
        <v>65</v>
      </c>
      <c r="U14" s="35">
        <f>'FS Desroches Daily'!AJ16</f>
        <v>789.99999999996362</v>
      </c>
      <c r="V14" s="35">
        <f>'FS Desroches Daily'!AL16</f>
        <v>270.00000000003865</v>
      </c>
      <c r="W14" s="35">
        <f>'FS Desroches Daily'!AN16</f>
        <v>290.00000000002046</v>
      </c>
      <c r="X14" s="35">
        <f>'FS Desroches Daily'!AP16</f>
        <v>210.00000000000796</v>
      </c>
      <c r="Y14" s="35">
        <f>'FS Desroches Daily'!AR16</f>
        <v>199.99999999998863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310.00000000000227</v>
      </c>
      <c r="AD14" s="35">
        <f>'FS Desroches Daily'!BB16</f>
        <v>219.99999999997044</v>
      </c>
      <c r="AE14" s="35">
        <f>'FS Desroches Daily'!BD16</f>
        <v>200.00000000004547</v>
      </c>
      <c r="AF14" s="31">
        <f>'FS Desroches Daily'!BF16</f>
        <v>36</v>
      </c>
      <c r="AG14" s="32">
        <f>'FS Desroches Daily'!BH16</f>
        <v>29.999999999972715</v>
      </c>
      <c r="AH14" s="32">
        <f>'FS Desroches Daily'!BJ16</f>
        <v>29.999999999972715</v>
      </c>
      <c r="AI14" s="32">
        <f>'FS Desroches Daily'!BL16</f>
        <v>49.999999999982947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46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60.000000000002274</v>
      </c>
      <c r="AP14" s="32">
        <f>'FS Desroches Daily'!BZ16</f>
        <v>46</v>
      </c>
      <c r="AQ14" s="31">
        <f>'FS Desroches Daily'!CB16</f>
        <v>71.69999999999709</v>
      </c>
      <c r="AR14" s="31">
        <f>'FS Desroches Daily'!CD16</f>
        <v>13.700000000000728</v>
      </c>
      <c r="AS14" s="31">
        <f>'FS Desroches Daily'!CF16</f>
        <v>3.2000000000007276</v>
      </c>
      <c r="AT14" s="31">
        <f>'FS Desroches Daily'!CH16</f>
        <v>52.399999999994179</v>
      </c>
      <c r="AU14" s="31">
        <f>'FS Desroches Daily'!CJ16</f>
        <v>373</v>
      </c>
      <c r="AV14" s="31">
        <f>'FS Desroches Daily'!CL16</f>
        <v>740.00000000000909</v>
      </c>
      <c r="AW14" s="31">
        <f>'FS Desroches Daily'!CM16</f>
        <v>113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5.4944999999999995</v>
      </c>
      <c r="BB14" s="31">
        <f>IF(LPG!Q21-LPG!Q20&lt;0,"0",(LPG!Q21-LPG!Q20)*1.8315)</f>
        <v>10.988999999999999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3800.0000000000255</v>
      </c>
      <c r="F15" s="32">
        <f>'FS Desroches Daily'!F17</f>
        <v>3900.0000000006808</v>
      </c>
      <c r="G15" s="31">
        <f>'FS Desroches Daily'!H17</f>
        <v>3499.9999999998367</v>
      </c>
      <c r="H15" s="32">
        <f>'FS Desroches Daily'!J17</f>
        <v>1999.9999999997797</v>
      </c>
      <c r="I15" s="31">
        <f>'FS Desroches Daily'!L17</f>
        <v>4899.9999999996826</v>
      </c>
      <c r="J15" s="32">
        <f>'FS Desroches Daily'!N17</f>
        <v>2199.9999999999795</v>
      </c>
      <c r="K15" s="13">
        <f>'FS Desroches Daily'!P17</f>
        <v>37</v>
      </c>
      <c r="L15" s="31">
        <f>'FS Desroches Daily'!R17</f>
        <v>7</v>
      </c>
      <c r="M15" s="31">
        <f>'FS Desroches Daily'!T17</f>
        <v>1.2999999999999545</v>
      </c>
      <c r="N15" s="31">
        <f>'FS Desroches Daily'!V17</f>
        <v>434.80000000004657</v>
      </c>
      <c r="O15" s="31">
        <f>'FS Desroches Daily'!X17</f>
        <v>410.00000000002501</v>
      </c>
      <c r="P15" s="31">
        <f>'FS Desroches Daily'!Z17</f>
        <v>3200.0000000000919</v>
      </c>
      <c r="Q15" s="31">
        <f>'FS Desroches Daily'!AB17</f>
        <v>490.00000000000909</v>
      </c>
      <c r="R15" s="31">
        <f>'FS Desroches Daily'!AD17</f>
        <v>439.99999999999773</v>
      </c>
      <c r="S15" s="31">
        <f>'FS Desroches Daily'!AF17</f>
        <v>1010.0000000001046</v>
      </c>
      <c r="T15" s="31">
        <f>'FS Desroches Daily'!AH17</f>
        <v>44</v>
      </c>
      <c r="U15" s="35">
        <f>'FS Desroches Daily'!AJ17</f>
        <v>900.00000000009095</v>
      </c>
      <c r="V15" s="35">
        <f>'FS Desroches Daily'!AL17</f>
        <v>289.99999999996362</v>
      </c>
      <c r="W15" s="35">
        <f>'FS Desroches Daily'!AN17</f>
        <v>299.99999999995453</v>
      </c>
      <c r="X15" s="35">
        <f>'FS Desroches Daily'!AP17</f>
        <v>269.99999999998181</v>
      </c>
      <c r="Y15" s="35">
        <f>'FS Desroches Daily'!AR17</f>
        <v>200.00000000004547</v>
      </c>
      <c r="Z15" s="35">
        <f>'FS Desroches Daily'!AT17</f>
        <v>230.00000000001819</v>
      </c>
      <c r="AA15" s="35">
        <f>'FS Desroches Daily'!AT17</f>
        <v>230.00000000001819</v>
      </c>
      <c r="AB15" s="35">
        <f>'FS Desroches Daily'!AV17</f>
        <v>269.99999999998181</v>
      </c>
      <c r="AC15" s="35">
        <f>'FS Desroches Daily'!AZ17</f>
        <v>349.99999999996589</v>
      </c>
      <c r="AD15" s="35">
        <f>'FS Desroches Daily'!BB17</f>
        <v>259.99999999999091</v>
      </c>
      <c r="AE15" s="35">
        <f>'FS Desroches Daily'!BD17</f>
        <v>250</v>
      </c>
      <c r="AF15" s="31">
        <f>'FS Desroches Daily'!BF17</f>
        <v>40</v>
      </c>
      <c r="AG15" s="32">
        <f>'FS Desroches Daily'!BH17</f>
        <v>60.000000000002274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79.999999999984084</v>
      </c>
      <c r="AL15" s="32">
        <f>'FS Desroches Daily'!BR17</f>
        <v>52</v>
      </c>
      <c r="AM15" s="32">
        <f>'FS Desroches Daily'!BT17</f>
        <v>60.000000000002274</v>
      </c>
      <c r="AN15" s="32">
        <f>'FS Desroches Daily'!BV17</f>
        <v>61</v>
      </c>
      <c r="AO15" s="32">
        <f>'FS Desroches Daily'!BX17</f>
        <v>60.000000000002274</v>
      </c>
      <c r="AP15" s="32">
        <f>'FS Desroches Daily'!BZ17</f>
        <v>50</v>
      </c>
      <c r="AQ15" s="31">
        <f>'FS Desroches Daily'!CB17</f>
        <v>76.599999999998545</v>
      </c>
      <c r="AR15" s="31">
        <f>'FS Desroches Daily'!CD17</f>
        <v>22.199999999998909</v>
      </c>
      <c r="AS15" s="31">
        <f>'FS Desroches Daily'!CF17</f>
        <v>7.2999999999992724</v>
      </c>
      <c r="AT15" s="31">
        <f>'FS Desroches Daily'!CH17</f>
        <v>62.80000000000291</v>
      </c>
      <c r="AU15" s="31">
        <f>'FS Desroches Daily'!CJ17</f>
        <v>330</v>
      </c>
      <c r="AV15" s="31">
        <f>'FS Desroches Daily'!CL17</f>
        <v>809.99999999994543</v>
      </c>
      <c r="AW15" s="31">
        <f>'FS Desroches Daily'!CM17</f>
        <v>123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40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49399.999999999884</v>
      </c>
      <c r="F33" s="17">
        <f t="shared" ref="F33:BC33" si="0">SUM(F2:F32)</f>
        <v>53400.0000000008</v>
      </c>
      <c r="G33" s="17">
        <f t="shared" si="0"/>
        <v>47100.000000000378</v>
      </c>
      <c r="H33" s="17">
        <f t="shared" si="0"/>
        <v>26499.999999999967</v>
      </c>
      <c r="I33" s="17">
        <f t="shared" si="0"/>
        <v>37899.999999999593</v>
      </c>
      <c r="J33" s="17">
        <f t="shared" si="0"/>
        <v>29399.999999999869</v>
      </c>
      <c r="K33" s="17">
        <f t="shared" si="0"/>
        <v>564</v>
      </c>
      <c r="L33" s="17">
        <f t="shared" si="0"/>
        <v>92</v>
      </c>
      <c r="M33" s="17">
        <f t="shared" si="0"/>
        <v>18.600000000000136</v>
      </c>
      <c r="N33" s="17">
        <f t="shared" si="0"/>
        <v>6815.0999999999767</v>
      </c>
      <c r="O33" s="17">
        <f t="shared" si="0"/>
        <v>5970.0000000000273</v>
      </c>
      <c r="P33" s="17">
        <f t="shared" si="0"/>
        <v>47700.000000000298</v>
      </c>
      <c r="Q33" s="17">
        <f t="shared" si="0"/>
        <v>6329.9999999999836</v>
      </c>
      <c r="R33" s="17">
        <f t="shared" si="0"/>
        <v>7519.9999999999818</v>
      </c>
      <c r="S33" s="17">
        <f t="shared" si="0"/>
        <v>14070.000000000051</v>
      </c>
      <c r="T33" s="17">
        <f t="shared" si="0"/>
        <v>736</v>
      </c>
      <c r="U33" s="35">
        <f t="shared" si="0"/>
        <v>11310.000000000058</v>
      </c>
      <c r="V33" s="35">
        <f t="shared" si="0"/>
        <v>4189.9999999999982</v>
      </c>
      <c r="W33" s="35">
        <f t="shared" si="0"/>
        <v>3479.9999999999895</v>
      </c>
      <c r="X33" s="35">
        <f t="shared" si="0"/>
        <v>3711.9799999999968</v>
      </c>
      <c r="Y33" s="35">
        <f t="shared" si="0"/>
        <v>3060.0000000000023</v>
      </c>
      <c r="Z33" s="35">
        <f t="shared" si="0"/>
        <v>3069.9999999999932</v>
      </c>
      <c r="AA33" s="35">
        <f t="shared" si="0"/>
        <v>3069.9999999999932</v>
      </c>
      <c r="AB33" s="35">
        <f t="shared" si="0"/>
        <v>3819.9999999999932</v>
      </c>
      <c r="AC33" s="35">
        <f t="shared" si="0"/>
        <v>3750</v>
      </c>
      <c r="AD33" s="35">
        <f t="shared" si="0"/>
        <v>3159.9999999999682</v>
      </c>
      <c r="AE33" s="35">
        <f t="shared" si="0"/>
        <v>2520.0000000000387</v>
      </c>
      <c r="AF33" s="17">
        <f t="shared" si="0"/>
        <v>527</v>
      </c>
      <c r="AG33" s="32">
        <f t="shared" si="0"/>
        <v>679.9999999999784</v>
      </c>
      <c r="AH33" s="32">
        <f t="shared" si="0"/>
        <v>500</v>
      </c>
      <c r="AI33" s="32">
        <f t="shared" si="0"/>
        <v>789.99999999999204</v>
      </c>
      <c r="AJ33" s="32">
        <f t="shared" si="0"/>
        <v>629.99999999999545</v>
      </c>
      <c r="AK33" s="32">
        <f t="shared" si="0"/>
        <v>919.99999999995907</v>
      </c>
      <c r="AL33" s="32">
        <f t="shared" si="0"/>
        <v>689</v>
      </c>
      <c r="AM33" s="32">
        <f t="shared" si="0"/>
        <v>680.00000000000682</v>
      </c>
      <c r="AN33" s="32">
        <f t="shared" si="0"/>
        <v>741</v>
      </c>
      <c r="AO33" s="32">
        <f t="shared" si="0"/>
        <v>920.00000000001592</v>
      </c>
      <c r="AP33" s="32">
        <f t="shared" si="0"/>
        <v>693</v>
      </c>
      <c r="AQ33" s="17">
        <f t="shared" si="0"/>
        <v>775.59999999999854</v>
      </c>
      <c r="AR33" s="17">
        <f t="shared" si="0"/>
        <v>253.19999999999891</v>
      </c>
      <c r="AS33" s="17">
        <f t="shared" si="0"/>
        <v>79.399999999999636</v>
      </c>
      <c r="AT33" s="17">
        <f t="shared" si="0"/>
        <v>776.89999999999418</v>
      </c>
      <c r="AU33" s="17">
        <f t="shared" si="0"/>
        <v>5256</v>
      </c>
      <c r="AV33" s="17">
        <f t="shared" si="0"/>
        <v>11220.000000000027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109.88999999999999</v>
      </c>
      <c r="BC33" s="17">
        <f t="shared" si="0"/>
        <v>462</v>
      </c>
    </row>
    <row r="35" spans="5:55" x14ac:dyDescent="0.25">
      <c r="E35" s="38">
        <f>E33/E37</f>
        <v>0.25084036600351212</v>
      </c>
      <c r="G35" s="29">
        <f>G33-M36</f>
        <v>40266.300000000403</v>
      </c>
      <c r="AE35" s="35">
        <f>SUM(U33:AE33)</f>
        <v>45141.980000000032</v>
      </c>
      <c r="AG35" s="32">
        <f>SUM(AG33:AP33)</f>
        <v>7242.9999999999491</v>
      </c>
    </row>
    <row r="36" spans="5:55" x14ac:dyDescent="0.25">
      <c r="G36" s="29">
        <f>G35-633*14</f>
        <v>31404.300000000403</v>
      </c>
      <c r="M36" s="29">
        <f>M33+N33</f>
        <v>6833.6999999999771</v>
      </c>
    </row>
    <row r="37" spans="5:55" x14ac:dyDescent="0.25">
      <c r="E37" s="17">
        <f>E33+F33+G33+H33+J33-633*14</f>
        <v>196938.00000000087</v>
      </c>
      <c r="G37" s="37">
        <f>M36/E37</f>
        <v>3.4699753221825891E-2</v>
      </c>
      <c r="M37" s="35">
        <f>AE35</f>
        <v>45141.980000000032</v>
      </c>
    </row>
    <row r="38" spans="5:55" x14ac:dyDescent="0.25">
      <c r="L38" s="27">
        <f>M38/E37</f>
        <v>3.6778072286709103E-2</v>
      </c>
      <c r="M38" s="29">
        <f>AG35</f>
        <v>7242.9999999999491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BV1" zoomScale="85" zoomScaleNormal="85" workbookViewId="0">
      <pane ySplit="1" topLeftCell="A2" activePane="bottomLeft" state="frozen"/>
      <selection pane="bottomLeft" activeCell="CG20" sqref="CG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>
        <v>3.0781999999999998</v>
      </c>
      <c r="D14" s="64">
        <f t="shared" si="50"/>
        <v>3899.9999999997926</v>
      </c>
      <c r="E14" s="58">
        <v>4.1703000000000001</v>
      </c>
      <c r="F14" s="64">
        <f t="shared" si="51"/>
        <v>4100.0000000002146</v>
      </c>
      <c r="G14" s="58">
        <v>4.1318000000000001</v>
      </c>
      <c r="H14" s="64">
        <f t="shared" si="52"/>
        <v>3400.0000000000696</v>
      </c>
      <c r="I14" s="58">
        <v>2.0735999999999999</v>
      </c>
      <c r="J14" s="64">
        <f t="shared" si="53"/>
        <v>1900.0000000000127</v>
      </c>
      <c r="K14" s="58">
        <v>3.2480000000000002</v>
      </c>
      <c r="L14" s="64">
        <f t="shared" si="54"/>
        <v>2500.0000000003906</v>
      </c>
      <c r="M14" s="58">
        <v>1.8472</v>
      </c>
      <c r="N14" s="64">
        <f t="shared" si="55"/>
        <v>2000.0000000000018</v>
      </c>
      <c r="O14" s="58">
        <v>19531</v>
      </c>
      <c r="P14" s="67">
        <f t="shared" si="56"/>
        <v>45</v>
      </c>
      <c r="Q14" s="58">
        <v>2327</v>
      </c>
      <c r="R14" s="67">
        <f t="shared" si="57"/>
        <v>7</v>
      </c>
      <c r="S14" s="58">
        <v>1292.0999999999999</v>
      </c>
      <c r="T14" s="67">
        <f t="shared" si="58"/>
        <v>1.5999999999999091</v>
      </c>
      <c r="U14" s="58">
        <v>529798.69999999995</v>
      </c>
      <c r="V14" s="67">
        <f t="shared" si="59"/>
        <v>551</v>
      </c>
      <c r="W14" s="58">
        <v>494.63</v>
      </c>
      <c r="X14" s="65">
        <f t="shared" si="60"/>
        <v>449.99999999998863</v>
      </c>
      <c r="Y14" s="58">
        <v>3.6646000000000001</v>
      </c>
      <c r="Z14" s="65">
        <f t="shared" si="61"/>
        <v>3800.0000000000255</v>
      </c>
      <c r="AA14" s="58">
        <v>496.42</v>
      </c>
      <c r="AB14" s="65">
        <f t="shared" si="62"/>
        <v>509.99999999999091</v>
      </c>
      <c r="AC14" s="58">
        <v>486.23</v>
      </c>
      <c r="AD14" s="65">
        <f t="shared" si="63"/>
        <v>480.00000000001819</v>
      </c>
      <c r="AE14" s="58">
        <v>710.22</v>
      </c>
      <c r="AF14" s="65">
        <f t="shared" si="64"/>
        <v>990.00000000000909</v>
      </c>
      <c r="AG14" s="58">
        <v>15639</v>
      </c>
      <c r="AH14" s="67">
        <f t="shared" si="65"/>
        <v>48</v>
      </c>
      <c r="AI14" s="58">
        <v>818.69</v>
      </c>
      <c r="AJ14" s="65">
        <f t="shared" si="66"/>
        <v>850.00000000002274</v>
      </c>
      <c r="AK14" s="58">
        <v>274.38</v>
      </c>
      <c r="AL14" s="65">
        <f t="shared" si="67"/>
        <v>310.00000000000227</v>
      </c>
      <c r="AM14" s="58">
        <v>255.83</v>
      </c>
      <c r="AN14" s="65">
        <f t="shared" si="68"/>
        <v>360.00000000001364</v>
      </c>
      <c r="AO14" s="58">
        <v>247.52</v>
      </c>
      <c r="AP14" s="65">
        <f t="shared" si="69"/>
        <v>260.00000000001933</v>
      </c>
      <c r="AQ14" s="58">
        <v>304.02999999999997</v>
      </c>
      <c r="AR14" s="65">
        <f t="shared" si="70"/>
        <v>259.99999999999091</v>
      </c>
      <c r="AS14" s="58">
        <v>428.92</v>
      </c>
      <c r="AT14" s="65">
        <f t="shared" si="71"/>
        <v>290.00000000002046</v>
      </c>
      <c r="AU14" s="58">
        <v>336.73</v>
      </c>
      <c r="AV14" s="65">
        <f t="shared" si="72"/>
        <v>280.00000000002956</v>
      </c>
      <c r="AW14" s="58">
        <v>367.61</v>
      </c>
      <c r="AX14" s="65">
        <f t="shared" si="73"/>
        <v>199.99999999998863</v>
      </c>
      <c r="AY14" s="58">
        <v>401.94</v>
      </c>
      <c r="AZ14" s="65">
        <f t="shared" si="74"/>
        <v>319.99999999999318</v>
      </c>
      <c r="BA14" s="58">
        <v>422.03</v>
      </c>
      <c r="BB14" s="65">
        <f t="shared" si="75"/>
        <v>269.99999999998181</v>
      </c>
      <c r="BC14" s="58">
        <v>269.72000000000003</v>
      </c>
      <c r="BD14" s="65">
        <f t="shared" si="76"/>
        <v>210.00000000003638</v>
      </c>
      <c r="BE14" s="59">
        <v>49927</v>
      </c>
      <c r="BF14" s="67">
        <f t="shared" si="77"/>
        <v>27</v>
      </c>
      <c r="BG14" s="60">
        <v>246.57</v>
      </c>
      <c r="BH14" s="65">
        <f t="shared" si="78"/>
        <v>49.999999999982947</v>
      </c>
      <c r="BI14" s="60">
        <v>301.7</v>
      </c>
      <c r="BJ14" s="65">
        <f t="shared" si="79"/>
        <v>39.99999999996362</v>
      </c>
      <c r="BK14" s="60">
        <v>249.44</v>
      </c>
      <c r="BL14" s="65">
        <f t="shared" si="80"/>
        <v>60.000000000002274</v>
      </c>
      <c r="BM14" s="60">
        <v>236.15</v>
      </c>
      <c r="BN14" s="65">
        <f t="shared" si="81"/>
        <v>50.000000000011369</v>
      </c>
      <c r="BO14" s="60">
        <v>303.14999999999998</v>
      </c>
      <c r="BP14" s="65">
        <f t="shared" si="82"/>
        <v>60.000000000002274</v>
      </c>
      <c r="BQ14" s="60">
        <v>54701</v>
      </c>
      <c r="BR14" s="65">
        <f t="shared" si="83"/>
        <v>51</v>
      </c>
      <c r="BS14" s="60">
        <v>213.44</v>
      </c>
      <c r="BT14" s="65">
        <f t="shared" si="84"/>
        <v>50.000000000011369</v>
      </c>
      <c r="BU14" s="60">
        <v>52116</v>
      </c>
      <c r="BV14" s="65">
        <f t="shared" si="85"/>
        <v>64</v>
      </c>
      <c r="BW14" s="60">
        <v>241.76</v>
      </c>
      <c r="BX14" s="65">
        <f t="shared" si="86"/>
        <v>69.999999999993179</v>
      </c>
      <c r="BY14" s="60">
        <v>71827</v>
      </c>
      <c r="BZ14" s="67">
        <f t="shared" si="87"/>
        <v>50</v>
      </c>
      <c r="CA14" s="60">
        <v>45644.9</v>
      </c>
      <c r="CB14" s="67">
        <f t="shared" si="88"/>
        <v>67.099999999998545</v>
      </c>
      <c r="CC14" s="60">
        <v>15186.6</v>
      </c>
      <c r="CD14" s="67">
        <f t="shared" si="89"/>
        <v>16.5</v>
      </c>
      <c r="CE14" s="60">
        <v>7893.6</v>
      </c>
      <c r="CF14" s="67">
        <f t="shared" si="90"/>
        <v>2.1000000000003638</v>
      </c>
      <c r="CG14" s="60">
        <v>72400</v>
      </c>
      <c r="CH14" s="67">
        <f t="shared" si="91"/>
        <v>78.19999999999709</v>
      </c>
      <c r="CI14" s="60">
        <v>1033702</v>
      </c>
      <c r="CJ14" s="67">
        <f t="shared" si="92"/>
        <v>403</v>
      </c>
      <c r="CK14" s="60">
        <v>955.18</v>
      </c>
      <c r="CL14" s="64">
        <f t="shared" si="93"/>
        <v>759.99999999999091</v>
      </c>
      <c r="CM14" s="65">
        <f t="shared" si="94"/>
        <v>131</v>
      </c>
      <c r="CN14" s="62">
        <v>35</v>
      </c>
      <c r="CO14" s="62">
        <v>102</v>
      </c>
      <c r="CP14" s="68">
        <v>26836</v>
      </c>
      <c r="CQ14" s="67">
        <f t="shared" si="95"/>
        <v>102</v>
      </c>
      <c r="CR14" s="68">
        <v>20483</v>
      </c>
      <c r="CS14" s="67">
        <f t="shared" si="96"/>
        <v>29</v>
      </c>
      <c r="CT14" s="75">
        <v>9633</v>
      </c>
      <c r="CU14" s="67">
        <f t="shared" si="97"/>
        <v>25</v>
      </c>
      <c r="CV14" s="68">
        <v>23566</v>
      </c>
      <c r="CW14" s="67">
        <f t="shared" si="98"/>
        <v>13</v>
      </c>
      <c r="CX14" s="58">
        <v>2501.6999999999998</v>
      </c>
      <c r="CY14" s="67">
        <f t="shared" si="99"/>
        <v>14</v>
      </c>
    </row>
    <row r="15" spans="1:103" ht="25.5" customHeight="1" thickBot="1" x14ac:dyDescent="0.45">
      <c r="A15" s="63">
        <v>44663</v>
      </c>
      <c r="B15" s="44"/>
      <c r="C15" s="58">
        <v>3.0811000000000002</v>
      </c>
      <c r="D15" s="64">
        <f t="shared" si="50"/>
        <v>2900.0000000003465</v>
      </c>
      <c r="E15" s="58">
        <v>4.1740000000000004</v>
      </c>
      <c r="F15" s="64">
        <f t="shared" si="51"/>
        <v>3700.0000000002588</v>
      </c>
      <c r="G15" s="58">
        <v>4.1353</v>
      </c>
      <c r="H15" s="64">
        <f t="shared" si="52"/>
        <v>3499.9999999998367</v>
      </c>
      <c r="I15" s="58">
        <v>2.0752000000000002</v>
      </c>
      <c r="J15" s="64">
        <f t="shared" si="53"/>
        <v>1600.0000000002678</v>
      </c>
      <c r="K15" s="58">
        <v>3.2505000000000002</v>
      </c>
      <c r="L15" s="64">
        <f t="shared" si="54"/>
        <v>2499.9999999999468</v>
      </c>
      <c r="M15" s="58">
        <v>1.8489</v>
      </c>
      <c r="N15" s="64">
        <f t="shared" si="55"/>
        <v>1700.0000000000348</v>
      </c>
      <c r="O15" s="58">
        <v>19565</v>
      </c>
      <c r="P15" s="67">
        <f t="shared" si="56"/>
        <v>34</v>
      </c>
      <c r="Q15" s="58">
        <v>2331</v>
      </c>
      <c r="R15" s="67">
        <f>IF((Q15-Q14&lt;0), "",Q15-Q14)</f>
        <v>4</v>
      </c>
      <c r="S15" s="58">
        <v>1293.5</v>
      </c>
      <c r="T15" s="67">
        <f t="shared" si="58"/>
        <v>1.4000000000000909</v>
      </c>
      <c r="U15" s="58">
        <v>530157.5</v>
      </c>
      <c r="V15" s="67">
        <f t="shared" si="59"/>
        <v>358.80000000004657</v>
      </c>
      <c r="W15" s="58">
        <v>494.99</v>
      </c>
      <c r="X15" s="65">
        <f t="shared" si="60"/>
        <v>360.00000000001364</v>
      </c>
      <c r="Y15" s="58">
        <v>3.6678999999999999</v>
      </c>
      <c r="Z15" s="65">
        <f t="shared" si="61"/>
        <v>3299.9999999998586</v>
      </c>
      <c r="AA15" s="58">
        <v>496.88</v>
      </c>
      <c r="AB15" s="65">
        <f t="shared" si="62"/>
        <v>459.99999999997954</v>
      </c>
      <c r="AC15" s="58">
        <v>486.61</v>
      </c>
      <c r="AD15" s="65">
        <f t="shared" si="63"/>
        <v>379.99999999999545</v>
      </c>
      <c r="AE15" s="58">
        <v>711.01</v>
      </c>
      <c r="AF15" s="65">
        <f t="shared" si="64"/>
        <v>789.99999999996362</v>
      </c>
      <c r="AG15" s="58">
        <v>15693</v>
      </c>
      <c r="AH15" s="67">
        <f t="shared" si="65"/>
        <v>54</v>
      </c>
      <c r="AI15" s="58">
        <v>819.39</v>
      </c>
      <c r="AJ15" s="65">
        <f t="shared" si="66"/>
        <v>699.99999999993179</v>
      </c>
      <c r="AK15" s="58">
        <v>274.58</v>
      </c>
      <c r="AL15" s="65">
        <f t="shared" si="67"/>
        <v>199.99999999998863</v>
      </c>
      <c r="AM15" s="58">
        <v>256.06</v>
      </c>
      <c r="AN15" s="65">
        <f t="shared" si="68"/>
        <v>229.99999999998977</v>
      </c>
      <c r="AO15" s="58">
        <v>247.69</v>
      </c>
      <c r="AP15" s="65">
        <f t="shared" si="69"/>
        <v>169.99999999998749</v>
      </c>
      <c r="AQ15" s="58">
        <v>304.2</v>
      </c>
      <c r="AR15" s="65">
        <f t="shared" si="70"/>
        <v>170.00000000001592</v>
      </c>
      <c r="AS15" s="58">
        <v>429.13</v>
      </c>
      <c r="AT15" s="65">
        <f t="shared" si="71"/>
        <v>209.99999999997954</v>
      </c>
      <c r="AU15" s="58">
        <v>336.99</v>
      </c>
      <c r="AV15" s="65">
        <f t="shared" si="72"/>
        <v>259.99999999999091</v>
      </c>
      <c r="AW15" s="58">
        <v>367.76</v>
      </c>
      <c r="AX15" s="65">
        <f t="shared" si="73"/>
        <v>149.99999999997726</v>
      </c>
      <c r="AY15" s="58">
        <v>402.18</v>
      </c>
      <c r="AZ15" s="65">
        <f t="shared" si="74"/>
        <v>240.00000000000909</v>
      </c>
      <c r="BA15" s="58">
        <v>422.22</v>
      </c>
      <c r="BB15" s="65">
        <f t="shared" si="75"/>
        <v>190.00000000005457</v>
      </c>
      <c r="BC15" s="58">
        <v>269.89999999999998</v>
      </c>
      <c r="BD15" s="65">
        <f t="shared" si="76"/>
        <v>179.99999999994998</v>
      </c>
      <c r="BE15" s="59">
        <v>49963</v>
      </c>
      <c r="BF15" s="67">
        <f t="shared" si="77"/>
        <v>36</v>
      </c>
      <c r="BG15" s="60">
        <v>246.61</v>
      </c>
      <c r="BH15" s="65">
        <f t="shared" si="78"/>
        <v>40.000000000020464</v>
      </c>
      <c r="BI15" s="60">
        <v>301.73</v>
      </c>
      <c r="BJ15" s="65">
        <f t="shared" si="79"/>
        <v>30.000000000029559</v>
      </c>
      <c r="BK15" s="60">
        <v>249.49</v>
      </c>
      <c r="BL15" s="65">
        <f t="shared" si="80"/>
        <v>50.000000000011369</v>
      </c>
      <c r="BM15" s="60">
        <v>236.19</v>
      </c>
      <c r="BN15" s="65">
        <f t="shared" si="81"/>
        <v>39.999999999992042</v>
      </c>
      <c r="BO15" s="60">
        <v>303.20999999999998</v>
      </c>
      <c r="BP15" s="65">
        <f t="shared" si="82"/>
        <v>60.000000000002274</v>
      </c>
      <c r="BQ15" s="60">
        <v>54738</v>
      </c>
      <c r="BR15" s="65">
        <f t="shared" si="83"/>
        <v>37</v>
      </c>
      <c r="BS15" s="60">
        <v>213.48</v>
      </c>
      <c r="BT15" s="65">
        <f t="shared" si="84"/>
        <v>39.999999999992042</v>
      </c>
      <c r="BU15" s="60">
        <v>52161</v>
      </c>
      <c r="BV15" s="65">
        <f t="shared" si="85"/>
        <v>45</v>
      </c>
      <c r="BW15" s="60">
        <v>241.81</v>
      </c>
      <c r="BX15" s="65">
        <f t="shared" si="86"/>
        <v>50.000000000011369</v>
      </c>
      <c r="BY15" s="60">
        <v>71867</v>
      </c>
      <c r="BZ15" s="67">
        <f t="shared" si="87"/>
        <v>40</v>
      </c>
      <c r="CA15" s="60">
        <v>45681.3</v>
      </c>
      <c r="CB15" s="67">
        <f t="shared" si="88"/>
        <v>36.400000000001455</v>
      </c>
      <c r="CC15" s="60">
        <v>15205</v>
      </c>
      <c r="CD15" s="67">
        <f t="shared" si="89"/>
        <v>18.399999999999636</v>
      </c>
      <c r="CE15" s="60">
        <v>7919.9</v>
      </c>
      <c r="CF15" s="67">
        <f t="shared" si="90"/>
        <v>26.299999999999272</v>
      </c>
      <c r="CG15" s="60">
        <v>72468</v>
      </c>
      <c r="CH15" s="67">
        <f t="shared" si="91"/>
        <v>68</v>
      </c>
      <c r="CI15" s="60">
        <v>1034019</v>
      </c>
      <c r="CJ15" s="67">
        <f t="shared" si="92"/>
        <v>317</v>
      </c>
      <c r="CK15" s="60">
        <v>955.96</v>
      </c>
      <c r="CL15" s="64">
        <f t="shared" si="93"/>
        <v>780.0000000000864</v>
      </c>
      <c r="CM15" s="65">
        <f t="shared" si="94"/>
        <v>111</v>
      </c>
      <c r="CN15" s="62">
        <v>37</v>
      </c>
      <c r="CO15" s="62">
        <v>106</v>
      </c>
      <c r="CP15" s="68">
        <v>26921</v>
      </c>
      <c r="CQ15" s="67">
        <f t="shared" si="95"/>
        <v>85</v>
      </c>
      <c r="CR15" s="68">
        <v>20509</v>
      </c>
      <c r="CS15" s="67">
        <f t="shared" si="96"/>
        <v>26</v>
      </c>
      <c r="CT15" s="75">
        <v>9650</v>
      </c>
      <c r="CU15" s="67">
        <f t="shared" si="97"/>
        <v>17</v>
      </c>
      <c r="CV15" s="68">
        <v>23582</v>
      </c>
      <c r="CW15" s="67">
        <f t="shared" si="98"/>
        <v>16</v>
      </c>
      <c r="CX15" s="58">
        <v>2511.1</v>
      </c>
      <c r="CY15" s="67">
        <f t="shared" si="99"/>
        <v>9.4000000000000909</v>
      </c>
    </row>
    <row r="16" spans="1:103" ht="25.5" customHeight="1" thickBot="1" x14ac:dyDescent="0.45">
      <c r="A16" s="63">
        <v>44664</v>
      </c>
      <c r="B16" s="44"/>
      <c r="C16" s="58">
        <v>3.0844</v>
      </c>
      <c r="D16" s="64">
        <f t="shared" si="50"/>
        <v>3299.9999999998586</v>
      </c>
      <c r="E16" s="58">
        <v>4.1776999999999997</v>
      </c>
      <c r="F16" s="64">
        <f t="shared" si="51"/>
        <v>3699.9999999993706</v>
      </c>
      <c r="G16" s="58">
        <v>4.1386000000000003</v>
      </c>
      <c r="H16" s="64">
        <f t="shared" si="52"/>
        <v>3300.0000000003029</v>
      </c>
      <c r="I16" s="58">
        <v>2.0771000000000002</v>
      </c>
      <c r="J16" s="64">
        <f>IF((I16-I15&lt;0), "0",(I16-I15)*1000000)</f>
        <v>1900.0000000000127</v>
      </c>
      <c r="K16" s="58">
        <v>3.2530000000000001</v>
      </c>
      <c r="L16" s="64">
        <f t="shared" si="54"/>
        <v>2499.9999999999468</v>
      </c>
      <c r="M16" s="58">
        <v>1.851</v>
      </c>
      <c r="N16" s="64">
        <f t="shared" si="55"/>
        <v>2099.9999999999909</v>
      </c>
      <c r="O16" s="58">
        <v>19601</v>
      </c>
      <c r="P16" s="67">
        <f t="shared" si="56"/>
        <v>36</v>
      </c>
      <c r="Q16" s="58">
        <v>2337</v>
      </c>
      <c r="R16" s="67">
        <f t="shared" si="57"/>
        <v>6</v>
      </c>
      <c r="S16" s="58">
        <v>1294.9000000000001</v>
      </c>
      <c r="T16" s="67">
        <f t="shared" si="58"/>
        <v>1.4000000000000909</v>
      </c>
      <c r="U16" s="58">
        <v>530635.69999999995</v>
      </c>
      <c r="V16" s="67">
        <f t="shared" si="59"/>
        <v>478.19999999995343</v>
      </c>
      <c r="W16" s="58">
        <v>495.39</v>
      </c>
      <c r="X16" s="65">
        <f t="shared" si="60"/>
        <v>399.99999999997726</v>
      </c>
      <c r="Y16" s="58">
        <v>3.6715</v>
      </c>
      <c r="Z16" s="65">
        <f t="shared" si="61"/>
        <v>3600.0000000000477</v>
      </c>
      <c r="AA16" s="58">
        <v>497.38</v>
      </c>
      <c r="AB16" s="65">
        <f t="shared" si="62"/>
        <v>500</v>
      </c>
      <c r="AC16" s="58">
        <v>487.06</v>
      </c>
      <c r="AD16" s="65">
        <f t="shared" si="63"/>
        <v>449.99999999998863</v>
      </c>
      <c r="AE16" s="58">
        <v>712.06</v>
      </c>
      <c r="AF16" s="65">
        <f t="shared" si="64"/>
        <v>1049.9999999999545</v>
      </c>
      <c r="AG16" s="58">
        <v>15758</v>
      </c>
      <c r="AH16" s="67">
        <f t="shared" si="65"/>
        <v>65</v>
      </c>
      <c r="AI16" s="58">
        <v>820.18</v>
      </c>
      <c r="AJ16" s="65">
        <f t="shared" si="66"/>
        <v>789.99999999996362</v>
      </c>
      <c r="AK16" s="58">
        <v>274.85000000000002</v>
      </c>
      <c r="AL16" s="65">
        <f t="shared" si="67"/>
        <v>270.00000000003865</v>
      </c>
      <c r="AM16" s="58">
        <v>256.35000000000002</v>
      </c>
      <c r="AN16" s="65">
        <f t="shared" si="68"/>
        <v>290.00000000002046</v>
      </c>
      <c r="AO16" s="58">
        <v>247.9</v>
      </c>
      <c r="AP16" s="65">
        <f t="shared" si="69"/>
        <v>210.00000000000796</v>
      </c>
      <c r="AQ16" s="58">
        <v>304.39999999999998</v>
      </c>
      <c r="AR16" s="65">
        <f t="shared" si="70"/>
        <v>199.99999999998863</v>
      </c>
      <c r="AS16" s="58">
        <v>429.33</v>
      </c>
      <c r="AT16" s="65">
        <f t="shared" si="71"/>
        <v>199.99999999998863</v>
      </c>
      <c r="AU16" s="58">
        <v>337.23</v>
      </c>
      <c r="AV16" s="65">
        <f t="shared" si="72"/>
        <v>240.00000000000909</v>
      </c>
      <c r="AW16" s="58">
        <v>367.93</v>
      </c>
      <c r="AX16" s="65">
        <f t="shared" si="73"/>
        <v>170.00000000001592</v>
      </c>
      <c r="AY16" s="58">
        <v>402.49</v>
      </c>
      <c r="AZ16" s="65">
        <f t="shared" si="74"/>
        <v>310.00000000000227</v>
      </c>
      <c r="BA16" s="58">
        <v>422.44</v>
      </c>
      <c r="BB16" s="65">
        <f t="shared" si="75"/>
        <v>219.99999999997044</v>
      </c>
      <c r="BC16" s="58">
        <v>270.10000000000002</v>
      </c>
      <c r="BD16" s="65">
        <f t="shared" si="76"/>
        <v>200.00000000004547</v>
      </c>
      <c r="BE16" s="59">
        <v>49999</v>
      </c>
      <c r="BF16" s="67">
        <f t="shared" si="77"/>
        <v>36</v>
      </c>
      <c r="BG16" s="60">
        <v>246.64</v>
      </c>
      <c r="BH16" s="65">
        <f t="shared" si="78"/>
        <v>29.999999999972715</v>
      </c>
      <c r="BI16" s="60">
        <v>301.76</v>
      </c>
      <c r="BJ16" s="65">
        <f t="shared" si="79"/>
        <v>29.999999999972715</v>
      </c>
      <c r="BK16" s="60">
        <v>249.54</v>
      </c>
      <c r="BL16" s="65">
        <f t="shared" si="80"/>
        <v>49.999999999982947</v>
      </c>
      <c r="BM16" s="60">
        <v>236.23</v>
      </c>
      <c r="BN16" s="65">
        <f t="shared" si="81"/>
        <v>39.999999999992042</v>
      </c>
      <c r="BO16" s="60">
        <v>303.26</v>
      </c>
      <c r="BP16" s="65">
        <f t="shared" si="82"/>
        <v>50.000000000011369</v>
      </c>
      <c r="BQ16" s="60">
        <v>54784</v>
      </c>
      <c r="BR16" s="65">
        <f t="shared" si="83"/>
        <v>46</v>
      </c>
      <c r="BS16" s="60">
        <v>213.53</v>
      </c>
      <c r="BT16" s="65">
        <f t="shared" si="84"/>
        <v>50.000000000011369</v>
      </c>
      <c r="BU16" s="60">
        <v>52202</v>
      </c>
      <c r="BV16" s="65">
        <f t="shared" si="85"/>
        <v>41</v>
      </c>
      <c r="BW16" s="60">
        <v>241.87</v>
      </c>
      <c r="BX16" s="65">
        <f t="shared" si="86"/>
        <v>60.000000000002274</v>
      </c>
      <c r="BY16" s="60">
        <v>71913</v>
      </c>
      <c r="BZ16" s="67">
        <f t="shared" si="87"/>
        <v>46</v>
      </c>
      <c r="CA16" s="60">
        <v>45753</v>
      </c>
      <c r="CB16" s="67">
        <f t="shared" si="88"/>
        <v>71.69999999999709</v>
      </c>
      <c r="CC16" s="60">
        <v>15218.7</v>
      </c>
      <c r="CD16" s="67">
        <f t="shared" si="89"/>
        <v>13.700000000000728</v>
      </c>
      <c r="CE16" s="60">
        <v>7923.1</v>
      </c>
      <c r="CF16" s="67">
        <f t="shared" si="90"/>
        <v>3.2000000000007276</v>
      </c>
      <c r="CG16" s="60">
        <v>72520.399999999994</v>
      </c>
      <c r="CH16" s="67">
        <f t="shared" si="91"/>
        <v>52.399999999994179</v>
      </c>
      <c r="CI16" s="60">
        <v>1034392</v>
      </c>
      <c r="CJ16" s="67">
        <f t="shared" si="92"/>
        <v>373</v>
      </c>
      <c r="CK16" s="60">
        <v>956.7</v>
      </c>
      <c r="CL16" s="64">
        <f t="shared" si="93"/>
        <v>740.00000000000909</v>
      </c>
      <c r="CM16" s="65">
        <f t="shared" si="94"/>
        <v>113</v>
      </c>
      <c r="CN16" s="62">
        <v>37</v>
      </c>
      <c r="CO16" s="62">
        <v>106</v>
      </c>
      <c r="CP16" s="68">
        <v>27014</v>
      </c>
      <c r="CQ16" s="67">
        <f t="shared" si="95"/>
        <v>93</v>
      </c>
      <c r="CR16" s="68">
        <v>20529</v>
      </c>
      <c r="CS16" s="67">
        <f t="shared" si="96"/>
        <v>20</v>
      </c>
      <c r="CT16" s="75">
        <v>9667</v>
      </c>
      <c r="CU16" s="67">
        <f t="shared" si="97"/>
        <v>17</v>
      </c>
      <c r="CV16" s="68">
        <v>23601</v>
      </c>
      <c r="CW16" s="67">
        <f t="shared" si="98"/>
        <v>19</v>
      </c>
      <c r="CX16" s="58">
        <v>2524.3000000000002</v>
      </c>
      <c r="CY16" s="67">
        <f t="shared" si="99"/>
        <v>13.200000000000273</v>
      </c>
    </row>
    <row r="17" spans="1:103" ht="25.5" customHeight="1" thickBot="1" x14ac:dyDescent="0.45">
      <c r="A17" s="63">
        <v>44665</v>
      </c>
      <c r="B17" s="44"/>
      <c r="C17" s="58">
        <v>3.0882000000000001</v>
      </c>
      <c r="D17" s="64">
        <f t="shared" si="50"/>
        <v>3800.0000000000255</v>
      </c>
      <c r="E17" s="58">
        <v>4.1816000000000004</v>
      </c>
      <c r="F17" s="64">
        <f t="shared" si="51"/>
        <v>3900.0000000006808</v>
      </c>
      <c r="G17" s="58">
        <v>4.1421000000000001</v>
      </c>
      <c r="H17" s="64">
        <f t="shared" si="52"/>
        <v>3499.9999999998367</v>
      </c>
      <c r="I17" s="58">
        <v>2.0790999999999999</v>
      </c>
      <c r="J17" s="64">
        <f t="shared" si="53"/>
        <v>1999.9999999997797</v>
      </c>
      <c r="K17" s="58">
        <v>3.2578999999999998</v>
      </c>
      <c r="L17" s="64">
        <f t="shared" si="54"/>
        <v>4899.9999999996826</v>
      </c>
      <c r="M17" s="58">
        <v>1.8532</v>
      </c>
      <c r="N17" s="64">
        <f t="shared" si="55"/>
        <v>2199.9999999999795</v>
      </c>
      <c r="O17" s="58">
        <v>19638</v>
      </c>
      <c r="P17" s="67">
        <f t="shared" si="56"/>
        <v>37</v>
      </c>
      <c r="Q17" s="58">
        <v>2344</v>
      </c>
      <c r="R17" s="67">
        <f t="shared" si="57"/>
        <v>7</v>
      </c>
      <c r="S17" s="58">
        <v>1296.2</v>
      </c>
      <c r="T17" s="67">
        <f t="shared" si="58"/>
        <v>1.2999999999999545</v>
      </c>
      <c r="U17" s="58">
        <v>531070.5</v>
      </c>
      <c r="V17" s="67">
        <f t="shared" si="59"/>
        <v>434.80000000004657</v>
      </c>
      <c r="W17" s="58">
        <v>495.8</v>
      </c>
      <c r="X17" s="65">
        <f t="shared" si="60"/>
        <v>410.00000000002501</v>
      </c>
      <c r="Y17" s="58">
        <v>3.6747000000000001</v>
      </c>
      <c r="Z17" s="65">
        <f t="shared" si="61"/>
        <v>3200.0000000000919</v>
      </c>
      <c r="AA17" s="58">
        <v>497.87</v>
      </c>
      <c r="AB17" s="65">
        <f t="shared" si="62"/>
        <v>490.00000000000909</v>
      </c>
      <c r="AC17" s="58">
        <v>487.5</v>
      </c>
      <c r="AD17" s="65">
        <f t="shared" si="63"/>
        <v>439.99999999999773</v>
      </c>
      <c r="AE17" s="58">
        <v>713.07</v>
      </c>
      <c r="AF17" s="65">
        <f t="shared" si="64"/>
        <v>1010.0000000001046</v>
      </c>
      <c r="AG17" s="58">
        <v>15802</v>
      </c>
      <c r="AH17" s="67">
        <f t="shared" si="65"/>
        <v>44</v>
      </c>
      <c r="AI17" s="58">
        <v>821.08</v>
      </c>
      <c r="AJ17" s="65">
        <f t="shared" si="66"/>
        <v>900.00000000009095</v>
      </c>
      <c r="AK17" s="58">
        <v>275.14</v>
      </c>
      <c r="AL17" s="65">
        <f t="shared" si="67"/>
        <v>289.99999999996362</v>
      </c>
      <c r="AM17" s="58">
        <v>256.64999999999998</v>
      </c>
      <c r="AN17" s="65">
        <f t="shared" si="68"/>
        <v>299.99999999995453</v>
      </c>
      <c r="AO17" s="58">
        <v>248.17</v>
      </c>
      <c r="AP17" s="65">
        <f t="shared" si="69"/>
        <v>269.99999999998181</v>
      </c>
      <c r="AQ17" s="58">
        <v>304.60000000000002</v>
      </c>
      <c r="AR17" s="65">
        <f t="shared" si="70"/>
        <v>200.00000000004547</v>
      </c>
      <c r="AS17" s="58">
        <v>429.56</v>
      </c>
      <c r="AT17" s="65">
        <f t="shared" si="71"/>
        <v>230.00000000001819</v>
      </c>
      <c r="AU17" s="58">
        <v>337.5</v>
      </c>
      <c r="AV17" s="65">
        <f t="shared" si="72"/>
        <v>269.99999999998181</v>
      </c>
      <c r="AW17" s="58">
        <v>368.18</v>
      </c>
      <c r="AX17" s="65">
        <f t="shared" si="73"/>
        <v>250</v>
      </c>
      <c r="AY17" s="58">
        <v>402.84</v>
      </c>
      <c r="AZ17" s="65">
        <f t="shared" si="74"/>
        <v>349.99999999996589</v>
      </c>
      <c r="BA17" s="58">
        <v>422.7</v>
      </c>
      <c r="BB17" s="65">
        <f t="shared" si="75"/>
        <v>259.99999999999091</v>
      </c>
      <c r="BC17" s="58">
        <v>270.35000000000002</v>
      </c>
      <c r="BD17" s="65">
        <f t="shared" si="76"/>
        <v>250</v>
      </c>
      <c r="BE17" s="59">
        <v>50039</v>
      </c>
      <c r="BF17" s="67">
        <f t="shared" si="77"/>
        <v>40</v>
      </c>
      <c r="BG17" s="60">
        <v>246.7</v>
      </c>
      <c r="BH17" s="65">
        <f t="shared" si="78"/>
        <v>60.000000000002274</v>
      </c>
      <c r="BI17" s="60">
        <v>301.79000000000002</v>
      </c>
      <c r="BJ17" s="65">
        <f t="shared" si="79"/>
        <v>30.000000000029559</v>
      </c>
      <c r="BK17" s="60">
        <v>249.6</v>
      </c>
      <c r="BL17" s="65">
        <f t="shared" si="80"/>
        <v>60.000000000002274</v>
      </c>
      <c r="BM17" s="60">
        <v>236.28</v>
      </c>
      <c r="BN17" s="65">
        <f t="shared" si="81"/>
        <v>50.000000000011369</v>
      </c>
      <c r="BO17" s="60">
        <v>303.33999999999997</v>
      </c>
      <c r="BP17" s="65">
        <f t="shared" si="82"/>
        <v>79.999999999984084</v>
      </c>
      <c r="BQ17" s="60">
        <v>54836</v>
      </c>
      <c r="BR17" s="65">
        <f t="shared" si="83"/>
        <v>52</v>
      </c>
      <c r="BS17" s="60">
        <v>213.59</v>
      </c>
      <c r="BT17" s="65">
        <f t="shared" si="84"/>
        <v>60.000000000002274</v>
      </c>
      <c r="BU17" s="60">
        <v>52263</v>
      </c>
      <c r="BV17" s="65">
        <f t="shared" si="85"/>
        <v>61</v>
      </c>
      <c r="BW17" s="60">
        <v>241.93</v>
      </c>
      <c r="BX17" s="65">
        <f t="shared" si="86"/>
        <v>60.000000000002274</v>
      </c>
      <c r="BY17" s="60">
        <v>71963</v>
      </c>
      <c r="BZ17" s="67">
        <f t="shared" si="87"/>
        <v>50</v>
      </c>
      <c r="CA17" s="60">
        <v>45829.599999999999</v>
      </c>
      <c r="CB17" s="67">
        <f t="shared" si="88"/>
        <v>76.599999999998545</v>
      </c>
      <c r="CC17" s="60">
        <v>15240.9</v>
      </c>
      <c r="CD17" s="67">
        <f t="shared" si="89"/>
        <v>22.199999999998909</v>
      </c>
      <c r="CE17" s="60">
        <v>7930.4</v>
      </c>
      <c r="CF17" s="67">
        <f t="shared" si="90"/>
        <v>7.2999999999992724</v>
      </c>
      <c r="CG17" s="60">
        <v>72583.199999999997</v>
      </c>
      <c r="CH17" s="67">
        <f t="shared" si="91"/>
        <v>62.80000000000291</v>
      </c>
      <c r="CI17" s="60">
        <v>1034722</v>
      </c>
      <c r="CJ17" s="67">
        <f t="shared" si="92"/>
        <v>330</v>
      </c>
      <c r="CK17" s="60">
        <v>957.51</v>
      </c>
      <c r="CL17" s="64">
        <f t="shared" si="93"/>
        <v>809.99999999994543</v>
      </c>
      <c r="CM17" s="65">
        <f t="shared" si="94"/>
        <v>123</v>
      </c>
      <c r="CN17" s="62">
        <v>40</v>
      </c>
      <c r="CO17" s="62">
        <v>112</v>
      </c>
      <c r="CP17" s="68">
        <v>27104</v>
      </c>
      <c r="CQ17" s="67">
        <f t="shared" si="95"/>
        <v>90</v>
      </c>
      <c r="CR17" s="68">
        <v>20562</v>
      </c>
      <c r="CS17" s="67">
        <f t="shared" si="96"/>
        <v>33</v>
      </c>
      <c r="CT17" s="75">
        <v>9685</v>
      </c>
      <c r="CU17" s="67">
        <f t="shared" si="97"/>
        <v>18</v>
      </c>
      <c r="CV17" s="68">
        <v>23644</v>
      </c>
      <c r="CW17" s="67">
        <f t="shared" si="98"/>
        <v>43</v>
      </c>
      <c r="CX17" s="58">
        <v>2538.1</v>
      </c>
      <c r="CY17" s="67">
        <f t="shared" si="99"/>
        <v>13.799999999999727</v>
      </c>
    </row>
    <row r="18" spans="1:103" ht="25.5" customHeight="1" thickBot="1" x14ac:dyDescent="0.45">
      <c r="A18" s="63">
        <v>44666</v>
      </c>
      <c r="B18" s="44"/>
      <c r="C18" s="58"/>
      <c r="D18" s="64" t="str">
        <f t="shared" si="50"/>
        <v>0</v>
      </c>
      <c r="E18" s="58"/>
      <c r="F18" s="64" t="str">
        <f t="shared" si="51"/>
        <v>0</v>
      </c>
      <c r="G18" s="58"/>
      <c r="H18" s="64" t="str">
        <f t="shared" si="52"/>
        <v>0</v>
      </c>
      <c r="I18" s="58"/>
      <c r="J18" s="64" t="str">
        <f t="shared" si="53"/>
        <v>0</v>
      </c>
      <c r="K18" s="58"/>
      <c r="L18" s="64" t="str">
        <f t="shared" si="54"/>
        <v>0</v>
      </c>
      <c r="M18" s="58"/>
      <c r="N18" s="64" t="str">
        <f t="shared" si="55"/>
        <v/>
      </c>
      <c r="O18" s="58"/>
      <c r="P18" s="67" t="str">
        <f t="shared" si="56"/>
        <v/>
      </c>
      <c r="Q18" s="58"/>
      <c r="R18" s="67" t="str">
        <f t="shared" si="57"/>
        <v/>
      </c>
      <c r="S18" s="58"/>
      <c r="T18" s="67" t="str">
        <f t="shared" si="58"/>
        <v/>
      </c>
      <c r="U18" s="58"/>
      <c r="V18" s="67" t="str">
        <f t="shared" si="59"/>
        <v/>
      </c>
      <c r="W18" s="58"/>
      <c r="X18" s="65" t="str">
        <f t="shared" si="60"/>
        <v/>
      </c>
      <c r="Y18" s="58"/>
      <c r="Z18" s="65" t="str">
        <f t="shared" si="61"/>
        <v/>
      </c>
      <c r="AA18" s="58"/>
      <c r="AB18" s="65" t="str">
        <f t="shared" si="62"/>
        <v/>
      </c>
      <c r="AC18" s="58"/>
      <c r="AD18" s="65" t="str">
        <f t="shared" si="63"/>
        <v/>
      </c>
      <c r="AE18" s="58"/>
      <c r="AF18" s="65" t="str">
        <f t="shared" si="64"/>
        <v/>
      </c>
      <c r="AG18" s="58"/>
      <c r="AH18" s="67" t="str">
        <f t="shared" si="65"/>
        <v/>
      </c>
      <c r="AI18" s="58"/>
      <c r="AJ18" s="65" t="str">
        <f t="shared" si="66"/>
        <v/>
      </c>
      <c r="AK18" s="58"/>
      <c r="AL18" s="65" t="str">
        <f t="shared" si="67"/>
        <v/>
      </c>
      <c r="AM18" s="58"/>
      <c r="AN18" s="65" t="str">
        <f t="shared" si="68"/>
        <v/>
      </c>
      <c r="AO18" s="58"/>
      <c r="AP18" s="65" t="str">
        <f t="shared" si="69"/>
        <v/>
      </c>
      <c r="AQ18" s="58"/>
      <c r="AR18" s="65" t="str">
        <f t="shared" si="70"/>
        <v/>
      </c>
      <c r="AS18" s="58"/>
      <c r="AT18" s="65" t="str">
        <f t="shared" si="71"/>
        <v/>
      </c>
      <c r="AU18" s="58"/>
      <c r="AV18" s="65" t="str">
        <f t="shared" si="72"/>
        <v/>
      </c>
      <c r="AW18" s="58"/>
      <c r="AX18" s="65" t="str">
        <f t="shared" si="73"/>
        <v/>
      </c>
      <c r="AY18" s="58"/>
      <c r="AZ18" s="65" t="str">
        <f t="shared" si="74"/>
        <v/>
      </c>
      <c r="BA18" s="58"/>
      <c r="BB18" s="65" t="str">
        <f t="shared" si="75"/>
        <v/>
      </c>
      <c r="BC18" s="58"/>
      <c r="BD18" s="65" t="str">
        <f t="shared" si="76"/>
        <v/>
      </c>
      <c r="BE18" s="59"/>
      <c r="BF18" s="67" t="str">
        <f t="shared" si="77"/>
        <v/>
      </c>
      <c r="BG18" s="60"/>
      <c r="BH18" s="65" t="str">
        <f t="shared" si="78"/>
        <v/>
      </c>
      <c r="BI18" s="60"/>
      <c r="BJ18" s="65" t="str">
        <f t="shared" si="79"/>
        <v/>
      </c>
      <c r="BK18" s="60"/>
      <c r="BL18" s="65" t="str">
        <f t="shared" si="80"/>
        <v/>
      </c>
      <c r="BM18" s="60"/>
      <c r="BN18" s="65" t="str">
        <f t="shared" si="81"/>
        <v/>
      </c>
      <c r="BO18" s="60"/>
      <c r="BP18" s="65" t="str">
        <f t="shared" si="82"/>
        <v/>
      </c>
      <c r="BQ18" s="60"/>
      <c r="BR18" s="65" t="str">
        <f t="shared" si="83"/>
        <v/>
      </c>
      <c r="BS18" s="60"/>
      <c r="BT18" s="65" t="str">
        <f t="shared" si="84"/>
        <v/>
      </c>
      <c r="BU18" s="60"/>
      <c r="BV18" s="65" t="str">
        <f t="shared" si="85"/>
        <v/>
      </c>
      <c r="BW18" s="60"/>
      <c r="BX18" s="65" t="str">
        <f t="shared" si="86"/>
        <v/>
      </c>
      <c r="BY18" s="60"/>
      <c r="BZ18" s="67" t="str">
        <f t="shared" si="87"/>
        <v/>
      </c>
      <c r="CA18" s="60"/>
      <c r="CB18" s="67" t="str">
        <f t="shared" si="88"/>
        <v/>
      </c>
      <c r="CC18" s="60"/>
      <c r="CD18" s="67" t="str">
        <f t="shared" si="89"/>
        <v/>
      </c>
      <c r="CE18" s="60"/>
      <c r="CF18" s="67" t="str">
        <f t="shared" si="90"/>
        <v/>
      </c>
      <c r="CG18" s="60"/>
      <c r="CH18" s="67" t="str">
        <f t="shared" si="91"/>
        <v/>
      </c>
      <c r="CI18" s="60"/>
      <c r="CJ18" s="67" t="str">
        <f t="shared" si="92"/>
        <v/>
      </c>
      <c r="CK18" s="60"/>
      <c r="CL18" s="64" t="str">
        <f t="shared" si="93"/>
        <v/>
      </c>
      <c r="CM18" s="65" t="e">
        <f t="shared" si="94"/>
        <v>#VALUE!</v>
      </c>
      <c r="CN18" s="62"/>
      <c r="CO18" s="62"/>
      <c r="CP18" s="68"/>
      <c r="CQ18" s="67" t="str">
        <f t="shared" si="95"/>
        <v/>
      </c>
      <c r="CR18" s="68"/>
      <c r="CS18" s="67" t="str">
        <f t="shared" si="96"/>
        <v/>
      </c>
      <c r="CT18" s="75"/>
      <c r="CU18" s="67" t="str">
        <f t="shared" si="97"/>
        <v/>
      </c>
      <c r="CV18" s="68"/>
      <c r="CW18" s="67" t="str">
        <f t="shared" si="98"/>
        <v/>
      </c>
      <c r="CX18" s="58"/>
      <c r="CY18" s="67" t="str">
        <f t="shared" si="99"/>
        <v/>
      </c>
    </row>
    <row r="19" spans="1:103" ht="25.5" customHeight="1" thickBot="1" x14ac:dyDescent="0.45">
      <c r="A19" s="63">
        <v>44667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21" sqref="C21:Q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>
        <v>0</v>
      </c>
      <c r="C18" s="40">
        <v>35</v>
      </c>
      <c r="D18" s="40">
        <v>102</v>
      </c>
      <c r="E18" s="41">
        <v>85</v>
      </c>
      <c r="F18" s="41">
        <v>6834</v>
      </c>
      <c r="G18" s="41">
        <v>80</v>
      </c>
      <c r="H18" s="41">
        <v>2185</v>
      </c>
      <c r="I18" s="41">
        <v>85</v>
      </c>
      <c r="J18" s="41">
        <v>546</v>
      </c>
      <c r="K18" s="42">
        <v>85</v>
      </c>
      <c r="L18" s="42">
        <v>65</v>
      </c>
      <c r="M18" s="42">
        <v>1672</v>
      </c>
      <c r="N18" s="39">
        <v>85</v>
      </c>
      <c r="O18" s="39">
        <v>85</v>
      </c>
      <c r="P18" s="39">
        <v>83</v>
      </c>
      <c r="Q18" s="39">
        <v>4853</v>
      </c>
      <c r="R18" s="77">
        <v>75</v>
      </c>
      <c r="S18" s="77">
        <v>227</v>
      </c>
      <c r="T18">
        <f t="shared" si="1"/>
        <v>0</v>
      </c>
    </row>
    <row r="19" spans="1:20" x14ac:dyDescent="0.25">
      <c r="A19" s="73">
        <v>44663</v>
      </c>
      <c r="B19" s="40">
        <v>0</v>
      </c>
      <c r="C19" s="40">
        <v>37</v>
      </c>
      <c r="D19" s="40">
        <v>106</v>
      </c>
      <c r="E19" s="41">
        <v>85</v>
      </c>
      <c r="F19" s="41">
        <v>6834</v>
      </c>
      <c r="G19" s="41">
        <v>66</v>
      </c>
      <c r="H19" s="41">
        <v>2188</v>
      </c>
      <c r="I19" s="41">
        <v>85</v>
      </c>
      <c r="J19" s="41">
        <v>548</v>
      </c>
      <c r="K19" s="42">
        <v>85</v>
      </c>
      <c r="L19" s="42">
        <v>61</v>
      </c>
      <c r="M19" s="42">
        <v>1675</v>
      </c>
      <c r="N19" s="39">
        <v>85</v>
      </c>
      <c r="O19" s="39">
        <v>85</v>
      </c>
      <c r="P19" s="39">
        <v>79</v>
      </c>
      <c r="Q19" s="39">
        <v>4858</v>
      </c>
      <c r="R19" s="77">
        <v>75</v>
      </c>
      <c r="S19" s="77">
        <v>227</v>
      </c>
      <c r="T19">
        <f t="shared" si="1"/>
        <v>0</v>
      </c>
    </row>
    <row r="20" spans="1:20" x14ac:dyDescent="0.25">
      <c r="A20" s="73">
        <v>44664</v>
      </c>
      <c r="B20" s="40">
        <v>0</v>
      </c>
      <c r="C20" s="40">
        <v>37</v>
      </c>
      <c r="D20" s="40">
        <v>106</v>
      </c>
      <c r="E20" s="41">
        <v>85</v>
      </c>
      <c r="F20" s="41">
        <v>6834</v>
      </c>
      <c r="G20" s="41">
        <v>55</v>
      </c>
      <c r="H20" s="41">
        <v>2191</v>
      </c>
      <c r="I20" s="41">
        <v>85</v>
      </c>
      <c r="J20" s="41">
        <v>549</v>
      </c>
      <c r="K20" s="42">
        <v>85</v>
      </c>
      <c r="L20" s="42">
        <v>55</v>
      </c>
      <c r="M20" s="42">
        <v>1678</v>
      </c>
      <c r="N20" s="39">
        <v>85</v>
      </c>
      <c r="O20" s="39">
        <v>85</v>
      </c>
      <c r="P20" s="39">
        <v>75</v>
      </c>
      <c r="Q20" s="39">
        <v>4862</v>
      </c>
      <c r="R20" s="77">
        <v>75</v>
      </c>
      <c r="S20" s="77">
        <v>227</v>
      </c>
      <c r="T20">
        <f t="shared" si="1"/>
        <v>0</v>
      </c>
    </row>
    <row r="21" spans="1:20" x14ac:dyDescent="0.25">
      <c r="A21" s="73">
        <v>44665</v>
      </c>
      <c r="B21" s="40">
        <v>0</v>
      </c>
      <c r="C21" s="40">
        <v>40</v>
      </c>
      <c r="D21" s="40">
        <v>112</v>
      </c>
      <c r="E21" s="41">
        <v>85</v>
      </c>
      <c r="F21" s="41">
        <v>6834</v>
      </c>
      <c r="G21" s="41">
        <v>45</v>
      </c>
      <c r="H21" s="41">
        <v>2193</v>
      </c>
      <c r="I21" s="41">
        <v>85</v>
      </c>
      <c r="J21" s="41">
        <v>550</v>
      </c>
      <c r="K21" s="42">
        <v>85</v>
      </c>
      <c r="L21" s="42">
        <v>55</v>
      </c>
      <c r="M21" s="42">
        <v>1681</v>
      </c>
      <c r="N21" s="39">
        <v>85</v>
      </c>
      <c r="O21" s="39">
        <v>85</v>
      </c>
      <c r="P21" s="39">
        <v>65</v>
      </c>
      <c r="Q21" s="39">
        <v>4868</v>
      </c>
      <c r="R21" s="77">
        <v>75</v>
      </c>
      <c r="S21" s="77">
        <v>227</v>
      </c>
      <c r="T21">
        <f t="shared" si="1"/>
        <v>0</v>
      </c>
    </row>
    <row r="22" spans="1:20" x14ac:dyDescent="0.25">
      <c r="A22" s="73">
        <v>44666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-227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2022-04-15T18:00:57Z</dcterms:modified>
</cp:coreProperties>
</file>