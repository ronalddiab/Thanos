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629CD2B3-163B-4117-A6F5-5668A2F5FF8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31" i="31" l="1"/>
  <c r="L32" i="31"/>
  <c r="L33" i="31"/>
  <c r="L34" i="31"/>
  <c r="L35" i="31"/>
  <c r="I33" i="31"/>
  <c r="I34" i="31"/>
  <c r="I35" i="31"/>
  <c r="G33" i="31"/>
  <c r="G34" i="31"/>
  <c r="G35" i="31"/>
  <c r="I32" i="31" l="1"/>
  <c r="G32" i="31"/>
  <c r="I31" i="31" l="1"/>
  <c r="G31" i="31"/>
  <c r="G30" i="31" l="1"/>
  <c r="L30" i="31"/>
  <c r="I30" i="31"/>
  <c r="L29" i="31" l="1"/>
  <c r="G29" i="31"/>
  <c r="I29" i="31"/>
  <c r="L27" i="31" l="1"/>
  <c r="L28" i="31"/>
  <c r="I27" i="31"/>
  <c r="I28" i="31"/>
  <c r="G27" i="31"/>
  <c r="G28" i="31"/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<sst xmlns="http://schemas.openxmlformats.org/spreadsheetml/2006/main" count="66" uniqueCount="32">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</sst>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116000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39887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116000</v>
      </c>
      <c r="J24" s="10">
        <v>3.61E-2</v>
      </c>
      <c r="K24" s="1">
        <f>'July 2021'!I27</f>
        <v>504</v>
      </c>
      <c r="L24" s="10">
        <v>0.75</v>
      </c>
      <c r="M24" s="10">
        <f>'July 2021'!L27</f>
        <v>199</v>
      </c>
      <c r="N24" s="10">
        <v>0.56299999999999994</v>
      </c>
      <c r="O24" s="14">
        <f>'July 2021'!D27</f>
        <v>275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39854</v>
      </c>
      <c r="F25" s="10">
        <v>2.9000000000000001E-2</v>
      </c>
      <c r="G25" s="1">
        <f>'July 2021'!J28</f>
        <v>2970</v>
      </c>
      <c r="H25" s="10">
        <v>0.112</v>
      </c>
      <c r="I25" s="1">
        <f>'July 2021'!G28*1000</f>
        <v>110000</v>
      </c>
      <c r="J25" s="10">
        <v>3.61E-2</v>
      </c>
      <c r="K25" s="1">
        <f>'July 2021'!I28</f>
        <v>521</v>
      </c>
      <c r="L25" s="10">
        <v>0.75</v>
      </c>
      <c r="M25" s="10">
        <f>'July 2021'!L28</f>
        <v>193</v>
      </c>
      <c r="N25" s="10">
        <v>0.56299999999999994</v>
      </c>
      <c r="O25" s="14">
        <f>'July 2021'!D28</f>
        <v>124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39542</v>
      </c>
      <c r="F26" s="10">
        <v>2.9000000000000001E-2</v>
      </c>
      <c r="G26" s="1">
        <f>'July 2021'!J29</f>
        <v>2970</v>
      </c>
      <c r="H26" s="10">
        <v>0.112</v>
      </c>
      <c r="I26" s="1">
        <f>'July 2021'!G29*1000</f>
        <v>110000</v>
      </c>
      <c r="J26" s="10">
        <v>3.61E-2</v>
      </c>
      <c r="K26" s="1">
        <f>'July 2021'!I29</f>
        <v>326</v>
      </c>
      <c r="L26" s="10">
        <v>0.75</v>
      </c>
      <c r="M26" s="10">
        <f>'July 2021'!L29</f>
        <v>243</v>
      </c>
      <c r="N26" s="10">
        <v>0.56299999999999994</v>
      </c>
      <c r="O26" s="14">
        <f>'July 2021'!D29</f>
        <v>109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39626</v>
      </c>
      <c r="F27" s="10">
        <v>2.9000000000000001E-2</v>
      </c>
      <c r="G27" s="1">
        <f>'July 2021'!J30</f>
        <v>2970</v>
      </c>
      <c r="H27" s="10">
        <v>0.112</v>
      </c>
      <c r="I27" s="1">
        <f>'July 2021'!G30*1000</f>
        <v>109000</v>
      </c>
      <c r="J27" s="10">
        <v>3.61E-2</v>
      </c>
      <c r="K27" s="1">
        <f>'July 2021'!I30</f>
        <v>485</v>
      </c>
      <c r="L27" s="10">
        <v>0.75</v>
      </c>
      <c r="M27" s="10">
        <f>'July 2021'!L30</f>
        <v>226</v>
      </c>
      <c r="N27" s="10">
        <v>0.56299999999999994</v>
      </c>
      <c r="O27" s="14">
        <f>'July 2021'!D30</f>
        <v>136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33060</v>
      </c>
      <c r="F28" s="10">
        <v>2.9000000000000001E-2</v>
      </c>
      <c r="G28" s="1">
        <f>'July 2021'!J31</f>
        <v>2970</v>
      </c>
      <c r="H28" s="10">
        <v>0.112</v>
      </c>
      <c r="I28" s="1">
        <f>'July 2021'!G31*1000</f>
        <v>109000</v>
      </c>
      <c r="J28" s="10">
        <v>3.61E-2</v>
      </c>
      <c r="K28" s="1">
        <f>'July 2021'!I31</f>
        <v>117</v>
      </c>
      <c r="L28" s="10">
        <v>0.75</v>
      </c>
      <c r="M28" s="10">
        <f>'July 2021'!L31</f>
        <v>214</v>
      </c>
      <c r="N28" s="10">
        <v>0.56299999999999994</v>
      </c>
      <c r="O28" s="14">
        <f>'July 2021'!D31</f>
        <v>170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36898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113000</v>
      </c>
      <c r="J29" s="10">
        <v>3.61E-2</v>
      </c>
      <c r="K29" s="1">
        <f>'July 2021'!I32</f>
        <v>577</v>
      </c>
      <c r="L29" s="10">
        <v>0.75</v>
      </c>
      <c r="M29" s="10">
        <f>'July 2021'!L32</f>
        <v>194</v>
      </c>
      <c r="N29" s="10">
        <v>0.56299999999999994</v>
      </c>
      <c r="O29" s="14">
        <f>'July 2021'!D32</f>
        <v>215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38976</v>
      </c>
      <c r="F30" s="10">
        <v>2.9000000000000001E-2</v>
      </c>
      <c r="G30" s="1">
        <f>'July 2021'!J33</f>
        <v>5940</v>
      </c>
      <c r="H30" s="10">
        <v>0.112</v>
      </c>
      <c r="I30" s="1">
        <f>'July 2021'!G33*1000</f>
        <v>118000</v>
      </c>
      <c r="J30" s="10">
        <v>3.61E-2</v>
      </c>
      <c r="K30" s="1">
        <f>'July 2021'!I33</f>
        <v>504</v>
      </c>
      <c r="L30" s="10">
        <v>0.75</v>
      </c>
      <c r="M30" s="10">
        <f>'July 2021'!L33</f>
        <v>285</v>
      </c>
      <c r="N30" s="10">
        <v>0.56299999999999994</v>
      </c>
      <c r="O30" s="14">
        <f>'July 2021'!D33</f>
        <v>266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39991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109000</v>
      </c>
      <c r="J31" s="10">
        <v>3.61E-2</v>
      </c>
      <c r="K31" s="1">
        <f>'July 2021'!I34</f>
        <v>606</v>
      </c>
      <c r="L31" s="10">
        <v>0.75</v>
      </c>
      <c r="M31" s="10">
        <f>'July 2021'!L34</f>
        <v>253</v>
      </c>
      <c r="N31" s="10">
        <v>0.56299999999999994</v>
      </c>
      <c r="O31" s="14">
        <f>'July 2021'!D34</f>
        <v>267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41073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112000</v>
      </c>
      <c r="J32" s="10">
        <v>3.61E-2</v>
      </c>
      <c r="K32" s="1">
        <f>'July 2021'!I35</f>
        <v>560</v>
      </c>
      <c r="L32" s="10">
        <v>0.75</v>
      </c>
      <c r="M32" s="10">
        <f>'July 2021'!L35</f>
        <v>235</v>
      </c>
      <c r="N32" s="10">
        <v>0.56299999999999994</v>
      </c>
      <c r="O32" s="14">
        <f>'July 2021'!D35</f>
        <v>141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41" sqref="L4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>
        <v>275</v>
      </c>
      <c r="E27" s="7">
        <v>39887</v>
      </c>
      <c r="F27" s="4">
        <v>192835</v>
      </c>
      <c r="G27" s="8">
        <f t="shared" ref="G27:G35" si="3">F28-F27</f>
        <v>116</v>
      </c>
      <c r="H27" s="7">
        <v>493550</v>
      </c>
      <c r="I27" s="3">
        <f t="shared" ref="I27:I35" si="4">H28-H27</f>
        <v>504</v>
      </c>
      <c r="J27" s="3">
        <v>0</v>
      </c>
      <c r="K27" s="4">
        <v>299416</v>
      </c>
      <c r="L27" s="9">
        <f t="shared" ref="L27:L35" si="5">K28-K27</f>
        <v>199</v>
      </c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>
        <v>124</v>
      </c>
      <c r="E28" s="7">
        <v>39854</v>
      </c>
      <c r="F28" s="4">
        <v>192951</v>
      </c>
      <c r="G28" s="8">
        <f t="shared" si="3"/>
        <v>110</v>
      </c>
      <c r="H28" s="7">
        <v>494054</v>
      </c>
      <c r="I28" s="3">
        <f t="shared" si="4"/>
        <v>521</v>
      </c>
      <c r="J28" s="3">
        <v>2970</v>
      </c>
      <c r="K28" s="4">
        <v>299615</v>
      </c>
      <c r="L28" s="9">
        <f t="shared" si="5"/>
        <v>193</v>
      </c>
      <c r="N28" s="1"/>
    </row>
    <row r="29" spans="1:14" x14ac:dyDescent="0.2">
      <c r="A29" t="s">
        <v>30</v>
      </c>
      <c r="B29" s="2">
        <v>25</v>
      </c>
      <c r="C29" s="11">
        <v>44402</v>
      </c>
      <c r="D29" s="7">
        <v>109</v>
      </c>
      <c r="E29" s="7">
        <v>39542</v>
      </c>
      <c r="F29" s="4">
        <v>193061</v>
      </c>
      <c r="G29" s="8">
        <f t="shared" si="3"/>
        <v>110</v>
      </c>
      <c r="H29" s="7">
        <v>494575</v>
      </c>
      <c r="I29" s="3">
        <f t="shared" si="4"/>
        <v>326</v>
      </c>
      <c r="J29" s="3">
        <v>2970</v>
      </c>
      <c r="K29" s="4">
        <v>299808</v>
      </c>
      <c r="L29" s="9">
        <f t="shared" si="5"/>
        <v>243</v>
      </c>
      <c r="N29" s="1"/>
    </row>
    <row r="30" spans="1:14" x14ac:dyDescent="0.2">
      <c r="B30" s="2">
        <v>26</v>
      </c>
      <c r="C30" s="11">
        <v>44403</v>
      </c>
      <c r="D30" s="7">
        <v>136</v>
      </c>
      <c r="E30" s="7">
        <v>39626</v>
      </c>
      <c r="F30" s="4">
        <v>193171</v>
      </c>
      <c r="G30" s="8">
        <f t="shared" si="3"/>
        <v>109</v>
      </c>
      <c r="H30" s="7">
        <v>494901</v>
      </c>
      <c r="I30" s="3">
        <f t="shared" si="4"/>
        <v>485</v>
      </c>
      <c r="J30" s="3">
        <v>2970</v>
      </c>
      <c r="K30" s="30">
        <v>300051</v>
      </c>
      <c r="L30" s="9">
        <f t="shared" si="5"/>
        <v>226</v>
      </c>
      <c r="N30" s="1"/>
    </row>
    <row r="31" spans="1:14" x14ac:dyDescent="0.2">
      <c r="A31" t="s">
        <v>29</v>
      </c>
      <c r="B31" s="2">
        <v>27</v>
      </c>
      <c r="C31" s="11">
        <v>44404</v>
      </c>
      <c r="D31" s="7">
        <v>170</v>
      </c>
      <c r="E31" s="7">
        <v>33060</v>
      </c>
      <c r="F31" s="28">
        <v>193280</v>
      </c>
      <c r="G31" s="8">
        <f t="shared" si="3"/>
        <v>109</v>
      </c>
      <c r="H31" s="16">
        <v>495386</v>
      </c>
      <c r="I31" s="3">
        <f t="shared" si="4"/>
        <v>117</v>
      </c>
      <c r="J31" s="3">
        <v>2970</v>
      </c>
      <c r="K31" s="34">
        <v>300277</v>
      </c>
      <c r="L31" s="9">
        <f t="shared" si="5"/>
        <v>214</v>
      </c>
      <c r="N31" s="1"/>
    </row>
    <row r="32" spans="1:14" x14ac:dyDescent="0.2">
      <c r="B32" s="2">
        <v>28</v>
      </c>
      <c r="C32" s="11">
        <v>44405</v>
      </c>
      <c r="D32" s="7">
        <v>215</v>
      </c>
      <c r="E32" s="12">
        <v>36898</v>
      </c>
      <c r="F32" s="4">
        <v>193389</v>
      </c>
      <c r="G32" s="8">
        <f t="shared" si="3"/>
        <v>113</v>
      </c>
      <c r="H32" s="7">
        <v>495503</v>
      </c>
      <c r="I32" s="3">
        <f t="shared" si="4"/>
        <v>577</v>
      </c>
      <c r="J32" s="3">
        <v>0</v>
      </c>
      <c r="K32" s="4">
        <v>300491</v>
      </c>
      <c r="L32" s="9">
        <f t="shared" si="5"/>
        <v>194</v>
      </c>
      <c r="N32" s="1"/>
    </row>
    <row r="33" spans="2:14" x14ac:dyDescent="0.2">
      <c r="B33" s="2">
        <v>29</v>
      </c>
      <c r="C33" s="11">
        <v>44406</v>
      </c>
      <c r="D33" s="22">
        <v>266</v>
      </c>
      <c r="E33" s="23">
        <v>38976</v>
      </c>
      <c r="F33" s="4">
        <v>193502</v>
      </c>
      <c r="G33" s="8">
        <f t="shared" si="3"/>
        <v>118</v>
      </c>
      <c r="H33" s="7">
        <v>496080</v>
      </c>
      <c r="I33" s="3">
        <f t="shared" si="4"/>
        <v>504</v>
      </c>
      <c r="J33" s="3">
        <v>5940</v>
      </c>
      <c r="K33" s="4">
        <v>300685</v>
      </c>
      <c r="L33" s="9">
        <f t="shared" si="5"/>
        <v>285</v>
      </c>
      <c r="N33" s="1"/>
    </row>
    <row r="34" spans="2:14" x14ac:dyDescent="0.2">
      <c r="B34" s="2">
        <v>30</v>
      </c>
      <c r="C34" s="11">
        <v>44407</v>
      </c>
      <c r="D34" s="21">
        <v>267</v>
      </c>
      <c r="E34" s="3">
        <v>39991</v>
      </c>
      <c r="F34" s="29">
        <v>193620</v>
      </c>
      <c r="G34" s="8">
        <f t="shared" si="3"/>
        <v>109</v>
      </c>
      <c r="H34" s="7">
        <v>496584</v>
      </c>
      <c r="I34" s="3">
        <f t="shared" si="4"/>
        <v>606</v>
      </c>
      <c r="J34" s="3">
        <v>0</v>
      </c>
      <c r="K34" s="29">
        <v>300970</v>
      </c>
      <c r="L34" s="9">
        <f t="shared" si="5"/>
        <v>253</v>
      </c>
      <c r="M34" s="15"/>
      <c r="N34" s="1"/>
    </row>
    <row r="35" spans="2:14" ht="13.5" thickBot="1" x14ac:dyDescent="0.25">
      <c r="B35" s="2">
        <v>31</v>
      </c>
      <c r="C35" s="11">
        <v>44408</v>
      </c>
      <c r="D35" s="26">
        <v>141</v>
      </c>
      <c r="E35" s="27">
        <v>41073</v>
      </c>
      <c r="F35" s="21">
        <v>193729</v>
      </c>
      <c r="G35" s="8">
        <f t="shared" si="3"/>
        <v>112</v>
      </c>
      <c r="H35" s="21">
        <v>497190</v>
      </c>
      <c r="I35" s="3">
        <f t="shared" si="4"/>
        <v>560</v>
      </c>
      <c r="J35" s="3">
        <v>0</v>
      </c>
      <c r="K35" s="29">
        <v>301223</v>
      </c>
      <c r="L35" s="9">
        <f t="shared" si="5"/>
        <v>235</v>
      </c>
      <c r="M35" s="15"/>
      <c r="N35" s="1"/>
    </row>
    <row r="36" spans="2:14" x14ac:dyDescent="0.2">
      <c r="E36" s="1"/>
      <c r="F36" s="28">
        <v>193841</v>
      </c>
      <c r="G36" s="1"/>
      <c r="H36" s="16">
        <v>497750</v>
      </c>
      <c r="I36" s="1"/>
      <c r="K36" s="28">
        <v>301458</v>
      </c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2021-08-01T05:32:16Z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