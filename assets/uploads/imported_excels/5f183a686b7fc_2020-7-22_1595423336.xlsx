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<sst xmlns="http://schemas.openxmlformats.org/spreadsheetml/2006/main" count="308" uniqueCount="145">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</sst>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 t="str">
        <f>IF(LPG!F30-LPG!F29&lt;0,"0",(LPG!F30-LPG!F29)*1.8315)</f>
        <v>0</v>
      </c>
      <c r="AY23" s="31" t="str">
        <f>IF(LPG!H30-LPG!H29&lt;0,"0",(LPG!H30-LPG!H29)*1.8315)</f>
        <v>0</v>
      </c>
      <c r="AZ23" s="31" t="str">
        <f>IF(LPG!J30-LPG!J29&lt;0,"0",(LPG!J30-LPG!J29)*1.8315)</f>
        <v>0</v>
      </c>
      <c r="BA23" s="31" t="str">
        <f>IF(LPG!M30-LPG!M29&lt;0,"0",(LPG!M30-LPG!M29)*1.8315)</f>
        <v>0</v>
      </c>
      <c r="BB23" s="31" t="str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16900.000000000146</v>
      </c>
      <c r="F33" s="17">
        <f t="shared" ref="F33:BC33" si="1">SUM(F2:F32)</f>
        <v>11299.999999999869</v>
      </c>
      <c r="G33" s="17">
        <f t="shared" si="1"/>
        <v>30899.999999999938</v>
      </c>
      <c r="H33" s="17">
        <f t="shared" si="1"/>
        <v>15500.000000000075</v>
      </c>
      <c r="I33" s="17">
        <f t="shared" si="1"/>
        <v>35000.000000000153</v>
      </c>
      <c r="J33" s="17">
        <f t="shared" si="1"/>
        <v>8599.9999999999436</v>
      </c>
      <c r="K33" s="17">
        <f t="shared" si="1"/>
        <v>15</v>
      </c>
      <c r="L33" s="17">
        <f t="shared" si="1"/>
        <v>58</v>
      </c>
      <c r="M33" s="17">
        <f t="shared" si="1"/>
        <v>3594</v>
      </c>
      <c r="N33" s="17">
        <f t="shared" si="1"/>
        <v>1565.3999999999651</v>
      </c>
      <c r="O33" s="17">
        <f t="shared" si="1"/>
        <v>1610.0000000000136</v>
      </c>
      <c r="P33" s="17">
        <f t="shared" si="1"/>
        <v>7499.9999999998417</v>
      </c>
      <c r="Q33" s="17">
        <f t="shared" si="1"/>
        <v>1139.9999999999864</v>
      </c>
      <c r="R33" s="17">
        <f t="shared" si="1"/>
        <v>2020.0000000000387</v>
      </c>
      <c r="S33" s="17">
        <f t="shared" si="1"/>
        <v>3230.0000000000182</v>
      </c>
      <c r="T33" s="17">
        <f t="shared" si="1"/>
        <v>24.699999999999818</v>
      </c>
      <c r="U33" s="35">
        <f t="shared" si="1"/>
        <v>8169.9999999999618</v>
      </c>
      <c r="V33" s="35">
        <f t="shared" si="1"/>
        <v>910.00000000002501</v>
      </c>
      <c r="W33" s="35">
        <f t="shared" si="1"/>
        <v>770.00000000001023</v>
      </c>
      <c r="X33" s="35">
        <f t="shared" si="1"/>
        <v>580.00000000001251</v>
      </c>
      <c r="Y33" s="35">
        <f t="shared" si="1"/>
        <v>439.99999999999773</v>
      </c>
      <c r="Z33" s="35">
        <f t="shared" si="1"/>
        <v>656.31999999998629</v>
      </c>
      <c r="AA33" s="35">
        <f t="shared" si="1"/>
        <v>656.31999999998629</v>
      </c>
      <c r="AB33" s="35">
        <f t="shared" si="1"/>
        <v>379.99999999999545</v>
      </c>
      <c r="AC33" s="35">
        <f t="shared" si="1"/>
        <v>379.99999999999545</v>
      </c>
      <c r="AD33" s="35">
        <f t="shared" si="1"/>
        <v>300.00000000001137</v>
      </c>
      <c r="AE33" s="35">
        <f t="shared" si="1"/>
        <v>370.00000000000455</v>
      </c>
      <c r="AF33" s="17">
        <f t="shared" si="1"/>
        <v>420</v>
      </c>
      <c r="AG33" s="32">
        <f t="shared" si="1"/>
        <v>259.99999999999091</v>
      </c>
      <c r="AH33" s="32">
        <f t="shared" si="1"/>
        <v>369.9999999999477</v>
      </c>
      <c r="AI33" s="32">
        <f t="shared" si="1"/>
        <v>140.00000000001478</v>
      </c>
      <c r="AJ33" s="32">
        <f t="shared" si="1"/>
        <v>409.99999999999659</v>
      </c>
      <c r="AK33" s="32">
        <f t="shared" si="1"/>
        <v>460.00000000003638</v>
      </c>
      <c r="AL33" s="32">
        <f t="shared" si="1"/>
        <v>252</v>
      </c>
      <c r="AM33" s="32">
        <f t="shared" si="1"/>
        <v>109.99999999998522</v>
      </c>
      <c r="AN33" s="32">
        <f t="shared" si="1"/>
        <v>318</v>
      </c>
      <c r="AO33" s="32">
        <f t="shared" si="1"/>
        <v>310.00000000000227</v>
      </c>
      <c r="AP33" s="32">
        <f t="shared" si="1"/>
        <v>206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876</v>
      </c>
      <c r="AU33" s="17">
        <f t="shared" si="1"/>
        <v>4050</v>
      </c>
      <c r="AV33" s="17">
        <f t="shared" si="1"/>
        <v>7649.9999999999773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108.05849999999998</v>
      </c>
      <c r="BC33" s="17">
        <f t="shared" si="1"/>
        <v>0</v>
      </c>
    </row>
    <row r="35" spans="5:55" x14ac:dyDescent="0.25">
      <c r="E35" s="38">
        <f>E33/E37</f>
        <v>0.22733998762409741</v>
      </c>
      <c r="G35" s="29">
        <f>G33-M36</f>
        <v>25740.599999999973</v>
      </c>
      <c r="AE35" s="35">
        <f>SUM(U33:AE33)</f>
        <v>13612.639999999989</v>
      </c>
      <c r="AG35" s="32">
        <f>SUM(AG33:AP33)</f>
        <v>2835.9999999999741</v>
      </c>
    </row>
    <row r="36" spans="5:55" x14ac:dyDescent="0.25">
      <c r="G36" s="29">
        <f>G35-633*14</f>
        <v>16878.599999999973</v>
      </c>
      <c r="M36" s="29">
        <f>M33+N33</f>
        <v>5159.3999999999651</v>
      </c>
    </row>
    <row r="37" spans="5:55" x14ac:dyDescent="0.25">
      <c r="E37" s="17">
        <f>E33+F33+G33+H33+J33-633*14</f>
        <v>74337.999999999971</v>
      </c>
      <c r="G37" s="37">
        <f>M36/E37</f>
        <v>6.9404611369689354E-2</v>
      </c>
      <c r="M37" s="35">
        <f>AE35</f>
        <v>13612.639999999989</v>
      </c>
    </row>
    <row r="38" spans="5:55" x14ac:dyDescent="0.25">
      <c r="L38" s="27">
        <f>M38/E37</f>
        <v>3.8150071295972116E-2</v>
      </c>
      <c r="M38" s="29">
        <f>AG35</f>
        <v>2835.9999999999741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W1" zoomScale="80" zoomScaleNormal="80" workbookViewId="0">
      <pane ySplit="1" topLeftCell="A9" activePane="bottomLeft" state="frozen"/>
      <selection pane="bottomLeft" activeCell="BF28" sqref="BF2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4"/>
        <v>0</v>
      </c>
      <c r="M25" s="58"/>
      <c r="N25" s="64" t="str">
        <f t="shared" si="5"/>
        <v/>
      </c>
      <c r="O25" s="58"/>
      <c r="P25" s="67" t="str">
        <f t="shared" si="44"/>
        <v/>
      </c>
      <c r="Q25" s="58"/>
      <c r="R25" s="67" t="str">
        <f t="shared" si="6"/>
        <v/>
      </c>
      <c r="S25" s="58"/>
      <c r="T25" s="67" t="str">
        <f t="shared" si="7"/>
        <v/>
      </c>
      <c r="U25" s="58"/>
      <c r="V25" s="67" t="str">
        <f t="shared" si="8"/>
        <v/>
      </c>
      <c r="W25" s="58"/>
      <c r="X25" s="65" t="str">
        <f t="shared" si="9"/>
        <v/>
      </c>
      <c r="Y25" s="58"/>
      <c r="Z25" s="65" t="str">
        <f t="shared" si="10"/>
        <v/>
      </c>
      <c r="AA25" s="58"/>
      <c r="AB25" s="65" t="str">
        <f t="shared" si="11"/>
        <v/>
      </c>
      <c r="AC25" s="58"/>
      <c r="AD25" s="65" t="str">
        <f t="shared" si="12"/>
        <v/>
      </c>
      <c r="AE25" s="58"/>
      <c r="AF25" s="65" t="str">
        <f t="shared" si="13"/>
        <v/>
      </c>
      <c r="AG25" s="58"/>
      <c r="AH25" s="67" t="str">
        <f t="shared" si="14"/>
        <v/>
      </c>
      <c r="AI25" s="58"/>
      <c r="AJ25" s="65" t="str">
        <f t="shared" si="15"/>
        <v/>
      </c>
      <c r="AK25" s="58"/>
      <c r="AL25" s="65" t="str">
        <f t="shared" si="15"/>
        <v/>
      </c>
      <c r="AM25" s="58"/>
      <c r="AN25" s="65" t="str">
        <f t="shared" si="15"/>
        <v/>
      </c>
      <c r="AO25" s="58"/>
      <c r="AP25" s="65" t="str">
        <f t="shared" si="15"/>
        <v/>
      </c>
      <c r="AQ25" s="58"/>
      <c r="AR25" s="65" t="str">
        <f t="shared" si="16"/>
        <v/>
      </c>
      <c r="AS25" s="58"/>
      <c r="AT25" s="65" t="str">
        <f t="shared" si="17"/>
        <v/>
      </c>
      <c r="AU25" s="58"/>
      <c r="AV25" s="65" t="str">
        <f t="shared" si="18"/>
        <v/>
      </c>
      <c r="AW25" s="58"/>
      <c r="AX25" s="65" t="str">
        <f t="shared" si="19"/>
        <v/>
      </c>
      <c r="AY25" s="58"/>
      <c r="AZ25" s="65" t="str">
        <f t="shared" si="20"/>
        <v/>
      </c>
      <c r="BA25" s="58"/>
      <c r="BB25" s="65" t="str">
        <f t="shared" si="21"/>
        <v/>
      </c>
      <c r="BC25" s="58"/>
      <c r="BD25" s="65" t="str">
        <f t="shared" si="22"/>
        <v/>
      </c>
      <c r="BE25" s="59"/>
      <c r="BF25" s="67" t="str">
        <f t="shared" si="39"/>
        <v/>
      </c>
      <c r="BG25" s="60"/>
      <c r="BH25" s="65" t="str">
        <f t="shared" si="23"/>
        <v/>
      </c>
      <c r="BI25" s="60"/>
      <c r="BJ25" s="65" t="str">
        <f t="shared" si="40"/>
        <v/>
      </c>
      <c r="BK25" s="60"/>
      <c r="BL25" s="65" t="str">
        <f t="shared" si="24"/>
        <v/>
      </c>
      <c r="BM25" s="60"/>
      <c r="BN25" s="65" t="str">
        <f t="shared" si="25"/>
        <v/>
      </c>
      <c r="BO25" s="60"/>
      <c r="BP25" s="65" t="str">
        <f t="shared" si="26"/>
        <v/>
      </c>
      <c r="BQ25" s="60"/>
      <c r="BR25" s="65" t="str">
        <f t="shared" si="27"/>
        <v/>
      </c>
      <c r="BS25" s="60"/>
      <c r="BT25" s="65" t="str">
        <f t="shared" si="43"/>
        <v/>
      </c>
      <c r="BU25" s="60"/>
      <c r="BV25" s="65" t="str">
        <f t="shared" si="29"/>
        <v/>
      </c>
      <c r="BW25" s="60"/>
      <c r="BX25" s="65" t="str">
        <f t="shared" si="30"/>
        <v/>
      </c>
      <c r="BY25" s="60"/>
      <c r="BZ25" s="67" t="str">
        <f t="shared" si="31"/>
        <v/>
      </c>
      <c r="CA25" s="60"/>
      <c r="CB25" s="67" t="str">
        <f t="shared" si="32"/>
        <v/>
      </c>
      <c r="CC25" s="60"/>
      <c r="CD25" s="67" t="str">
        <f t="shared" si="33"/>
        <v/>
      </c>
      <c r="CE25" s="60"/>
      <c r="CF25" s="67" t="str">
        <f t="shared" si="34"/>
        <v/>
      </c>
      <c r="CG25" s="60"/>
      <c r="CH25" s="67" t="str">
        <f t="shared" si="35"/>
        <v/>
      </c>
      <c r="CI25" s="60"/>
      <c r="CJ25" s="67" t="str">
        <f t="shared" si="36"/>
        <v/>
      </c>
      <c r="CK25" s="60"/>
      <c r="CL25" s="64" t="str">
        <f t="shared" si="37"/>
        <v/>
      </c>
      <c r="CM25" s="65" t="e">
        <f t="shared" si="41"/>
        <v>#VALUE!</v>
      </c>
      <c r="CN25" s="62">
        <v>0</v>
      </c>
      <c r="CO25" s="62">
        <v>0</v>
      </c>
      <c r="CP25" s="68"/>
      <c r="CQ25" s="67" t="str">
        <f t="shared" si="38"/>
        <v/>
      </c>
      <c r="CR25" s="68"/>
      <c r="CS25" s="67" t="str">
        <f t="shared" si="38"/>
        <v/>
      </c>
      <c r="CT25" s="75"/>
      <c r="CU25" s="67" t="str">
        <f t="shared" si="38"/>
        <v/>
      </c>
      <c r="CV25" s="68"/>
      <c r="CW25" s="67" t="str">
        <f t="shared" si="38"/>
        <v/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6" zoomScaleNormal="100" workbookViewId="0">
      <selection activeCell="I46" sqref="I4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4" t="s">
        <v>0</v>
      </c>
      <c r="B4" s="87" t="s">
        <v>52</v>
      </c>
      <c r="C4" s="87" t="s">
        <v>53</v>
      </c>
      <c r="D4" s="90" t="s">
        <v>54</v>
      </c>
      <c r="E4" s="93" t="s">
        <v>55</v>
      </c>
      <c r="F4" s="94"/>
      <c r="G4" s="94"/>
      <c r="H4" s="94"/>
      <c r="I4" s="94"/>
      <c r="J4" s="95"/>
      <c r="K4" s="103" t="s">
        <v>56</v>
      </c>
      <c r="L4" s="104"/>
      <c r="M4" s="105"/>
      <c r="N4" s="96" t="s">
        <v>35</v>
      </c>
      <c r="O4" s="96"/>
      <c r="P4" s="96"/>
      <c r="Q4" s="96"/>
    </row>
    <row r="5" spans="1:17" ht="33.75" customHeight="1" x14ac:dyDescent="0.25">
      <c r="A5" s="85"/>
      <c r="B5" s="88"/>
      <c r="C5" s="88"/>
      <c r="D5" s="91"/>
      <c r="E5" s="93" t="s">
        <v>57</v>
      </c>
      <c r="F5" s="95"/>
      <c r="G5" s="93" t="s">
        <v>58</v>
      </c>
      <c r="H5" s="95"/>
      <c r="I5" s="93" t="s">
        <v>59</v>
      </c>
      <c r="J5" s="95"/>
      <c r="K5" s="97" t="s">
        <v>60</v>
      </c>
      <c r="L5" s="98"/>
      <c r="M5" s="99"/>
      <c r="N5" s="100" t="s">
        <v>61</v>
      </c>
      <c r="O5" s="101"/>
      <c r="P5" s="101"/>
      <c r="Q5" s="102"/>
    </row>
    <row r="6" spans="1:17" x14ac:dyDescent="0.25">
      <c r="A6" s="86"/>
      <c r="B6" s="89"/>
      <c r="C6" s="89"/>
      <c r="D6" s="9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2020-07-22T12:20:12Z</dcterms:modified>
</cp:coreProperties>
</file>