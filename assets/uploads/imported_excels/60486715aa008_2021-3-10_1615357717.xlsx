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383DC207-5133-433E-BB81-276D21BC8993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  <c r="B9" i="8"/>
  <c r="B10" i="8"/>
  <c r="B4" i="2"/>
  <c r="S27" i="2"/>
  <c r="B20" i="4"/>
  <c r="B3" i="4"/>
  <c r="H21" i="2"/>
  <c r="C21" i="2"/>
  <c r="C22" i="2"/>
  <c r="C23" i="2"/>
  <c r="C24" i="2"/>
  <c r="O17" i="8" l="1"/>
  <c r="G17" i="8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<sst xmlns="http://schemas.openxmlformats.org/spreadsheetml/2006/main" count="201" uniqueCount="128">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</sst>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</c:v>
                </c:pt>
                <c:pt idx="2">
                  <c:v>-202200</c:v>
                </c:pt>
                <c:pt idx="3">
                  <c:v>-804710.00000000012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-58267</c:v>
                </c:pt>
                <c:pt idx="7">
                  <c:v>0.23413942199504933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2424.6999999999971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-757836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07616"/>
        <c:axId val="154609152"/>
      </c:barChart>
      <c:catAx>
        <c:axId val="1546076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54609152"/>
        <c:crosses val="autoZero"/>
        <c:auto val="1"/>
        <c:lblAlgn val="ctr"/>
        <c:lblOffset val="100"/>
        <c:noMultiLvlLbl val="0"/>
      </c:catAx>
      <c:valAx>
        <c:axId val="15460915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4607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22069.999999999709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23210.000000000262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22360.000000000357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22909.999999999625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23109.999999999898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22680.000000000065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>
        <v>28</v>
      </c>
      <c r="N7" s="72">
        <v>70</v>
      </c>
      <c r="O7" s="72">
        <v>175</v>
      </c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>
        <v>21099.99999999968</v>
      </c>
      <c r="F8" s="48">
        <v>0.14000000000000001</v>
      </c>
      <c r="G8" s="107">
        <v>6035</v>
      </c>
      <c r="H8" s="48">
        <v>0.4453480216384178</v>
      </c>
      <c r="I8" s="65">
        <v>329</v>
      </c>
      <c r="J8" s="76">
        <v>0.4</v>
      </c>
      <c r="K8" s="108">
        <v>0</v>
      </c>
      <c r="L8" s="76">
        <v>1.5287027707808565</v>
      </c>
      <c r="M8" s="72">
        <v>30</v>
      </c>
      <c r="N8" s="72">
        <v>78</v>
      </c>
      <c r="O8" s="72">
        <v>205</v>
      </c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>
        <v>21140.000000000095</v>
      </c>
      <c r="F9" s="48">
        <v>0.14000000000000001</v>
      </c>
      <c r="G9" s="107">
        <v>5946</v>
      </c>
      <c r="H9" s="48">
        <v>0.4453480216384178</v>
      </c>
      <c r="I9" s="65">
        <v>242.40000000000146</v>
      </c>
      <c r="J9" s="76">
        <v>0.4</v>
      </c>
      <c r="K9" s="108">
        <v>0</v>
      </c>
      <c r="L9" s="76">
        <v>1.5287027707808565</v>
      </c>
      <c r="M9" s="72">
        <v>34</v>
      </c>
      <c r="N9" s="72">
        <v>87</v>
      </c>
      <c r="O9" s="72">
        <v>226</v>
      </c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>
        <v>21810.000000000859</v>
      </c>
      <c r="F10" s="48">
        <v>0.14000000000000001</v>
      </c>
      <c r="G10" s="107">
        <v>6086</v>
      </c>
      <c r="H10" s="48">
        <v>0.4453480216384178</v>
      </c>
      <c r="I10" s="65">
        <v>219.59999999999854</v>
      </c>
      <c r="J10" s="76">
        <v>0.4</v>
      </c>
      <c r="K10" s="108">
        <v>0</v>
      </c>
      <c r="L10" s="76">
        <v>1.5287027707808565</v>
      </c>
      <c r="M10" s="72">
        <v>32</v>
      </c>
      <c r="N10" s="72">
        <v>82</v>
      </c>
      <c r="O10" s="72">
        <v>220</v>
      </c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/>
      <c r="F11" s="48">
        <v>0.14000000000000001</v>
      </c>
      <c r="G11" s="107"/>
      <c r="H11" s="48">
        <v>0.4453480216384178</v>
      </c>
      <c r="I11" s="65"/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/>
      <c r="F12" s="48">
        <v>0.14000000000000001</v>
      </c>
      <c r="G12" s="107"/>
      <c r="H12" s="48">
        <v>0.4453480216384178</v>
      </c>
      <c r="I12" s="65"/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/>
      <c r="F13" s="48">
        <v>0.14000000000000001</v>
      </c>
      <c r="G13" s="107"/>
      <c r="H13" s="48">
        <v>0.4453480216384178</v>
      </c>
      <c r="I13" s="65"/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200390.00000000052</v>
      </c>
      <c r="F33" s="104">
        <v>0</v>
      </c>
      <c r="G33" s="101">
        <f>SUM(G2:G32)</f>
        <v>56975</v>
      </c>
      <c r="H33" s="102">
        <v>0</v>
      </c>
      <c r="I33" s="103">
        <f>SUM(I2:I32)</f>
        <v>2424.6999999999971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364</v>
      </c>
      <c r="N33" s="106">
        <f t="shared" si="1"/>
        <v>864</v>
      </c>
      <c r="O33" s="106">
        <f t="shared" si="1"/>
        <v>2330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>
        <v>28</v>
      </c>
      <c r="W9" s="71">
        <v>70</v>
      </c>
      <c r="X9" s="71">
        <v>175</v>
      </c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>
        <v>30</v>
      </c>
      <c r="W10" s="71">
        <v>78</v>
      </c>
      <c r="X10" s="71">
        <v>205</v>
      </c>
      <c r="Y10" s="17"/>
    </row>
    <row r="11" spans="1:25" ht="21" customHeight="1" x14ac:dyDescent="0.25">
      <c r="A11" s="8">
        <v>44263</v>
      </c>
      <c r="B11" s="1">
        <v>831.24</v>
      </c>
      <c r="C11" s="1">
        <v>203.88</v>
      </c>
      <c r="D11" s="1">
        <v>7204562.9000000004</v>
      </c>
      <c r="E11" s="1">
        <v>7831066.2000000002</v>
      </c>
      <c r="F11" s="1">
        <v>2.1006</v>
      </c>
      <c r="G11" s="1">
        <v>641.01</v>
      </c>
      <c r="H11" s="1">
        <v>538.91999999999996</v>
      </c>
      <c r="I11" s="1">
        <v>199.36</v>
      </c>
      <c r="J11" s="1">
        <v>292.2</v>
      </c>
      <c r="K11" s="1">
        <v>308.19</v>
      </c>
      <c r="L11" s="1">
        <v>210.73</v>
      </c>
      <c r="M11" s="1">
        <v>432.57</v>
      </c>
      <c r="N11" s="1">
        <v>382.25</v>
      </c>
      <c r="O11" s="1">
        <v>123.19</v>
      </c>
      <c r="P11" s="1">
        <v>502.51</v>
      </c>
      <c r="Q11" s="1">
        <v>376.32</v>
      </c>
      <c r="R11" s="1">
        <v>124.75</v>
      </c>
      <c r="S11" s="1">
        <v>100.21</v>
      </c>
      <c r="T11" s="1">
        <v>367.66</v>
      </c>
      <c r="V11" s="71">
        <v>34</v>
      </c>
      <c r="W11" s="71">
        <v>87</v>
      </c>
      <c r="X11" s="71">
        <v>226</v>
      </c>
      <c r="Y11" s="17"/>
    </row>
    <row r="12" spans="1:25" ht="21" customHeight="1" x14ac:dyDescent="0.25">
      <c r="A12" s="8">
        <v>44264</v>
      </c>
      <c r="B12" s="1">
        <v>832.36</v>
      </c>
      <c r="C12" s="1">
        <v>204.13</v>
      </c>
      <c r="D12" s="1">
        <v>7206805.2000000002</v>
      </c>
      <c r="E12" s="1">
        <v>7833854.7199999997</v>
      </c>
      <c r="F12" s="1">
        <v>2.1029</v>
      </c>
      <c r="G12" s="1">
        <v>641.96</v>
      </c>
      <c r="H12" s="1">
        <v>539.66</v>
      </c>
      <c r="I12" s="1">
        <v>199.7</v>
      </c>
      <c r="J12" s="1">
        <v>292.24</v>
      </c>
      <c r="K12" s="1">
        <v>308.54000000000002</v>
      </c>
      <c r="L12" s="1">
        <v>210.97</v>
      </c>
      <c r="M12" s="1">
        <v>433.33</v>
      </c>
      <c r="N12" s="1">
        <v>383.06</v>
      </c>
      <c r="O12" s="1">
        <v>123.44</v>
      </c>
      <c r="P12" s="1">
        <v>503.49</v>
      </c>
      <c r="Q12" s="1">
        <v>377.04</v>
      </c>
      <c r="R12" s="1">
        <v>124.87</v>
      </c>
      <c r="S12" s="1">
        <v>100.27</v>
      </c>
      <c r="T12" s="1">
        <v>368.15</v>
      </c>
      <c r="V12" s="71">
        <v>32</v>
      </c>
      <c r="W12" s="71">
        <v>82</v>
      </c>
      <c r="X12" s="71">
        <v>220</v>
      </c>
      <c r="Y12" s="17"/>
    </row>
    <row r="13" spans="1:25" ht="21" customHeight="1" x14ac:dyDescent="0.25">
      <c r="A13" s="8">
        <v>44265</v>
      </c>
      <c r="B13" s="1">
        <v>833.46</v>
      </c>
      <c r="C13" s="1">
        <v>204.35</v>
      </c>
      <c r="D13" s="1">
        <v>7209153.1900000004</v>
      </c>
      <c r="E13" s="1">
        <v>7836582.9500000002</v>
      </c>
      <c r="F13" s="1">
        <v>2.1053000000000002</v>
      </c>
      <c r="G13" s="1">
        <v>642.82000000000005</v>
      </c>
      <c r="H13" s="1">
        <v>540.41999999999996</v>
      </c>
      <c r="I13" s="1">
        <v>200</v>
      </c>
      <c r="J13" s="1">
        <v>292.27999999999997</v>
      </c>
      <c r="K13" s="1">
        <v>308.88</v>
      </c>
      <c r="L13" s="1">
        <v>211.2</v>
      </c>
      <c r="M13" s="1">
        <v>434.07</v>
      </c>
      <c r="N13" s="1">
        <v>383.93</v>
      </c>
      <c r="O13" s="1">
        <v>123.66</v>
      </c>
      <c r="P13" s="1">
        <v>504.53</v>
      </c>
      <c r="Q13" s="1">
        <v>377.81</v>
      </c>
      <c r="R13" s="1">
        <v>124.92</v>
      </c>
      <c r="S13" s="1">
        <v>100.27</v>
      </c>
      <c r="T13" s="1">
        <v>368.84</v>
      </c>
      <c r="V13" s="71"/>
      <c r="W13" s="71"/>
      <c r="X13" s="71"/>
      <c r="Y13" s="17"/>
    </row>
    <row r="14" spans="1:25" ht="21" customHeight="1" x14ac:dyDescent="0.25">
      <c r="A14" s="8">
        <v>44266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44267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44268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44269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44270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44271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44272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44273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44274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44275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44280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44281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44282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364</v>
      </c>
      <c r="W35" s="78">
        <f>SUM(W4:W34)</f>
        <v>864</v>
      </c>
      <c r="X35" s="78">
        <f>SUM(X4:X34)</f>
        <v>2330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19" sqref="P1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22069.999999999709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5772.0100000004095</v>
      </c>
    </row>
    <row r="5" spans="1:22" x14ac:dyDescent="0.25">
      <c r="A5" s="3">
        <f>'Kwh Reading'!A5</f>
        <v>44257</v>
      </c>
      <c r="B5" s="26">
        <f>TOTAL!E3</f>
        <v>23210.000000000262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6802.1599999997961</v>
      </c>
    </row>
    <row r="6" spans="1:22" x14ac:dyDescent="0.25">
      <c r="A6" s="3">
        <f>'Kwh Reading'!A6</f>
        <v>44258</v>
      </c>
      <c r="B6" s="26">
        <f>TOTAL!E4</f>
        <v>22360.000000000357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6106.2600000006132</v>
      </c>
    </row>
    <row r="7" spans="1:22" x14ac:dyDescent="0.25">
      <c r="A7" s="3">
        <f>'Kwh Reading'!A7</f>
        <v>44259</v>
      </c>
      <c r="B7" s="26">
        <f>TOTAL!E5</f>
        <v>22909.999999999625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6233.2000000000589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22680.000000000065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5979.0700000001343</v>
      </c>
    </row>
    <row r="10" spans="1:22" x14ac:dyDescent="0.25">
      <c r="A10" s="3">
        <f>'Kwh Reading'!A10</f>
        <v>44262</v>
      </c>
      <c r="B10" s="26">
        <f>TOTAL!E8</f>
        <v>21099.99999999968</v>
      </c>
      <c r="C10" s="4">
        <f>('Kwh Reading'!T11-'Kwh Reading'!T10)*1000</f>
        <v>480.00000000001819</v>
      </c>
      <c r="D10" s="2">
        <f>('Kwh Reading'!F11-'Kwh Reading'!F10)*1000000</f>
        <v>2299.9999999999686</v>
      </c>
      <c r="E10" s="2">
        <f>('Kwh Reading'!C11-'Kwh Reading'!C10)*1000</f>
        <v>210.00000000000796</v>
      </c>
      <c r="F10" s="2">
        <f>('Kwh Reading'!J11-'Kwh Reading'!J10)*1000</f>
        <v>219.99999999997044</v>
      </c>
      <c r="G10" s="2">
        <f>('Kwh Reading'!K11-'Kwh Reading'!K10)*1000</f>
        <v>360.00000000001364</v>
      </c>
      <c r="H10" s="2">
        <f>('Kwh Reading'!L11-'Kwh Reading'!L10)*1000</f>
        <v>229.99999999998977</v>
      </c>
      <c r="I10" s="2">
        <f>('Kwh Reading'!R11-'Kwh Reading'!R10)*1000</f>
        <v>99.999999999994316</v>
      </c>
      <c r="J10" s="2">
        <f>('Kwh Reading'!S11-'Kwh Reading'!S10)*1000</f>
        <v>49.999999999997158</v>
      </c>
      <c r="K10" s="2">
        <f>('Kwh Reading'!I11-'Kwh Reading'!I10)*1000</f>
        <v>320.0000000000216</v>
      </c>
      <c r="L10" s="2">
        <f>('Kwh Reading'!B11-'Kwh Reading'!B10)*1000</f>
        <v>1269.9999999999818</v>
      </c>
      <c r="M10" s="2">
        <f>('Kwh Reading'!M11-'Kwh Reading'!M10)*1000</f>
        <v>689.99999999999773</v>
      </c>
      <c r="N10" s="2">
        <f>('Kwh Reading'!H11-'Kwh Reading'!H10)*1000</f>
        <v>860.00000000001364</v>
      </c>
      <c r="O10" s="2">
        <f>('Kwh Reading'!P11-'Kwh Reading'!P10)*1000</f>
        <v>1000</v>
      </c>
      <c r="P10" s="2">
        <f>('Kwh Reading'!G11-'Kwh Reading'!G10)*1000</f>
        <v>830.00000000004093</v>
      </c>
      <c r="Q10" s="2">
        <f>('Kwh Reading'!Q11-'Kwh Reading'!Q10)*1000</f>
        <v>709.99999999997954</v>
      </c>
      <c r="R10" s="2">
        <f>('Kwh Reading'!N11-'Kwh Reading'!N10)*1000</f>
        <v>899.99999999997726</v>
      </c>
      <c r="S10" s="34">
        <f>'Kwh Reading'!E11-'Kwh Reading'!E10</f>
        <v>2720.140000000596</v>
      </c>
      <c r="T10" s="34">
        <f>'Kwh Reading'!D11-'Kwh Reading'!D10</f>
        <v>1957.820000000298</v>
      </c>
      <c r="U10" s="27">
        <f>('Kwh Reading'!O11-'Kwh Reading'!O10)*1000</f>
        <v>219.99999999999886</v>
      </c>
      <c r="V10" s="16">
        <f t="shared" si="0"/>
        <v>5672.0399999988131</v>
      </c>
    </row>
    <row r="11" spans="1:22" x14ac:dyDescent="0.25">
      <c r="A11" s="3">
        <f>'Kwh Reading'!A11</f>
        <v>44263</v>
      </c>
      <c r="B11" s="26">
        <f>TOTAL!E9</f>
        <v>21140.000000000095</v>
      </c>
      <c r="C11" s="4">
        <f>('Kwh Reading'!T12-'Kwh Reading'!T11)*1000</f>
        <v>489.99999999995225</v>
      </c>
      <c r="D11" s="2">
        <f>('Kwh Reading'!F12-'Kwh Reading'!F11)*1000000</f>
        <v>2299.9999999999686</v>
      </c>
      <c r="E11" s="2">
        <f>('Kwh Reading'!C12-'Kwh Reading'!C11)*1000</f>
        <v>250</v>
      </c>
      <c r="F11" s="2">
        <f>('Kwh Reading'!J12-'Kwh Reading'!J11)*1000</f>
        <v>40.000000000020464</v>
      </c>
      <c r="G11" s="2">
        <f>('Kwh Reading'!K12-'Kwh Reading'!K11)*1000</f>
        <v>350.00000000002274</v>
      </c>
      <c r="H11" s="2">
        <f>('Kwh Reading'!L12-'Kwh Reading'!L11)*1000</f>
        <v>240.00000000000909</v>
      </c>
      <c r="I11" s="2">
        <f>('Kwh Reading'!R12-'Kwh Reading'!R11)*1000</f>
        <v>120.00000000000455</v>
      </c>
      <c r="J11" s="2">
        <f>('Kwh Reading'!S12-'Kwh Reading'!S11)*1000</f>
        <v>60.000000000002274</v>
      </c>
      <c r="K11" s="2">
        <f>('Kwh Reading'!I12-'Kwh Reading'!I11)*1000</f>
        <v>339.99999999997499</v>
      </c>
      <c r="L11" s="2">
        <f>('Kwh Reading'!B12-'Kwh Reading'!B11)*1000</f>
        <v>1120.0000000000045</v>
      </c>
      <c r="M11" s="2">
        <f>('Kwh Reading'!M12-'Kwh Reading'!M11)*1000</f>
        <v>759.99999999999091</v>
      </c>
      <c r="N11" s="2">
        <f>('Kwh Reading'!H12-'Kwh Reading'!H11)*1000</f>
        <v>740.00000000000909</v>
      </c>
      <c r="O11" s="2">
        <f>('Kwh Reading'!P12-'Kwh Reading'!P11)*1000</f>
        <v>980.00000000001819</v>
      </c>
      <c r="P11" s="2">
        <f>('Kwh Reading'!G12-'Kwh Reading'!G11)*1000</f>
        <v>950.00000000004547</v>
      </c>
      <c r="Q11" s="2">
        <f>('Kwh Reading'!Q12-'Kwh Reading'!Q11)*1000</f>
        <v>720.00000000002728</v>
      </c>
      <c r="R11" s="2">
        <f>('Kwh Reading'!N12-'Kwh Reading'!N11)*1000</f>
        <v>810.00000000000227</v>
      </c>
      <c r="S11" s="34">
        <f>'Kwh Reading'!E12-'Kwh Reading'!E11</f>
        <v>2788.519999999553</v>
      </c>
      <c r="T11" s="34">
        <f>'Kwh Reading'!D12-'Kwh Reading'!D11</f>
        <v>2242.2999999998137</v>
      </c>
      <c r="U11" s="27">
        <f>('Kwh Reading'!O12-'Kwh Reading'!O11)*1000</f>
        <v>250</v>
      </c>
      <c r="V11" s="16">
        <f t="shared" si="0"/>
        <v>5589.180000000677</v>
      </c>
    </row>
    <row r="12" spans="1:22" x14ac:dyDescent="0.25">
      <c r="A12" s="3">
        <f>'Kwh Reading'!A12</f>
        <v>44264</v>
      </c>
      <c r="B12" s="26">
        <f>TOTAL!E10</f>
        <v>21810.000000000859</v>
      </c>
      <c r="C12" s="4">
        <f>('Kwh Reading'!T13-'Kwh Reading'!T12)*1000</f>
        <v>689.99999999999773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39.99999999996362</v>
      </c>
      <c r="G12" s="2">
        <f>('Kwh Reading'!K13-'Kwh Reading'!K12)*1000</f>
        <v>339.99999999997499</v>
      </c>
      <c r="H12" s="2">
        <f>('Kwh Reading'!L13-'Kwh Reading'!L12)*1000</f>
        <v>229.99999999998977</v>
      </c>
      <c r="I12" s="2">
        <f>('Kwh Reading'!R13-'Kwh Reading'!R12)*1000</f>
        <v>49.999999999997158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</f>
        <v>1100.0000000000227</v>
      </c>
      <c r="M12" s="2">
        <f>('Kwh Reading'!M13-'Kwh Reading'!M12)*1000</f>
        <v>740.00000000000909</v>
      </c>
      <c r="N12" s="2">
        <f>('Kwh Reading'!H13-'Kwh Reading'!H12)*1000</f>
        <v>759.99999999999091</v>
      </c>
      <c r="O12" s="2">
        <f>('Kwh Reading'!P13-'Kwh Reading'!P12)*1000</f>
        <v>1039.9999999999636</v>
      </c>
      <c r="P12" s="2">
        <f>('Kwh Reading'!G13-'Kwh Reading'!G12)*1000</f>
        <v>860.00000000001364</v>
      </c>
      <c r="Q12" s="2">
        <f>('Kwh Reading'!Q13-'Kwh Reading'!Q12)*1000</f>
        <v>769.99999999998181</v>
      </c>
      <c r="R12" s="2">
        <f>('Kwh Reading'!N13-'Kwh Reading'!N12)*1000</f>
        <v>870.00000000000455</v>
      </c>
      <c r="S12" s="34">
        <f>'Kwh Reading'!E13-'Kwh Reading'!E12</f>
        <v>2728.230000000447</v>
      </c>
      <c r="T12" s="34">
        <f>'Kwh Reading'!D13-'Kwh Reading'!D12</f>
        <v>2347.9900000002235</v>
      </c>
      <c r="U12" s="27">
        <f>('Kwh Reading'!O13-'Kwh Reading'!O12)*1000</f>
        <v>219.99999999999886</v>
      </c>
      <c r="V12" s="16">
        <f t="shared" si="0"/>
        <v>6103.7800000000916</v>
      </c>
    </row>
    <row r="13" spans="1:22" x14ac:dyDescent="0.25">
      <c r="A13" s="3">
        <f>'Kwh Reading'!A13</f>
        <v>44265</v>
      </c>
      <c r="B13" s="26">
        <f>TOTAL!E11</f>
        <v>0</v>
      </c>
      <c r="C13" s="4">
        <f>('Kwh Reading'!T14-'Kwh Reading'!T13)*1000</f>
        <v>-368840</v>
      </c>
      <c r="D13" s="2">
        <f>('Kwh Reading'!F14-'Kwh Reading'!F13)*1000000</f>
        <v>-2105300</v>
      </c>
      <c r="E13" s="2">
        <f>('Kwh Reading'!C14-'Kwh Reading'!C13)*1000</f>
        <v>-204350</v>
      </c>
      <c r="F13" s="2">
        <f>('Kwh Reading'!J14-'Kwh Reading'!J13)*1000</f>
        <v>-292280</v>
      </c>
      <c r="G13" s="2">
        <f>('Kwh Reading'!K14-'Kwh Reading'!K13)*1000</f>
        <v>-308880</v>
      </c>
      <c r="H13" s="2">
        <f>('Kwh Reading'!L14-'Kwh Reading'!L13)*1000</f>
        <v>-211200</v>
      </c>
      <c r="I13" s="2">
        <f>('Kwh Reading'!R14-'Kwh Reading'!R13)*1000</f>
        <v>-124920</v>
      </c>
      <c r="J13" s="2">
        <f>('Kwh Reading'!S14-'Kwh Reading'!S13)*1000</f>
        <v>-100270</v>
      </c>
      <c r="K13" s="2">
        <f>('Kwh Reading'!I14-'Kwh Reading'!I13)*1000</f>
        <v>-200000</v>
      </c>
      <c r="L13" s="2">
        <f>('Kwh Reading'!B14-'Kwh Reading'!B13)*1000</f>
        <v>-833460</v>
      </c>
      <c r="M13" s="2">
        <f>('Kwh Reading'!M14-'Kwh Reading'!M13)*1000</f>
        <v>-434070</v>
      </c>
      <c r="N13" s="2">
        <f>('Kwh Reading'!H14-'Kwh Reading'!H13)*1000</f>
        <v>-540420</v>
      </c>
      <c r="O13" s="2">
        <f>('Kwh Reading'!P14-'Kwh Reading'!P13)*1000</f>
        <v>-504530</v>
      </c>
      <c r="P13" s="2">
        <f>('Kwh Reading'!G14-'Kwh Reading'!G13)*1000</f>
        <v>-642820</v>
      </c>
      <c r="Q13" s="2">
        <f>('Kwh Reading'!Q14-'Kwh Reading'!Q13)*1000</f>
        <v>-377810</v>
      </c>
      <c r="R13" s="2">
        <f>('Kwh Reading'!N14-'Kwh Reading'!N13)*1000</f>
        <v>-383930</v>
      </c>
      <c r="S13" s="34">
        <f>'Kwh Reading'!E14-'Kwh Reading'!E13</f>
        <v>-7836582.9500000002</v>
      </c>
      <c r="T13" s="34">
        <f>'Kwh Reading'!D14-'Kwh Reading'!D13</f>
        <v>-7209153.1900000004</v>
      </c>
      <c r="U13" s="27">
        <f>('Kwh Reading'!O14-'Kwh Reading'!O13)*1000</f>
        <v>-123660</v>
      </c>
      <c r="V13" s="16">
        <f t="shared" si="0"/>
        <v>22802476.140000001</v>
      </c>
    </row>
    <row r="14" spans="1:22" x14ac:dyDescent="0.25">
      <c r="A14" s="3">
        <f>'Kwh Reading'!A14</f>
        <v>44266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0"/>
        <v>0</v>
      </c>
    </row>
    <row r="15" spans="1:22" x14ac:dyDescent="0.25">
      <c r="A15" s="3">
        <f>'Kwh Reading'!A15</f>
        <v>44267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44268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44269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44270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44271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44272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44273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44274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44275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44276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44277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44278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44279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44280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44281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200390.00000000064</v>
      </c>
      <c r="C35" s="75">
        <f t="shared" ref="C35" si="1">SUM(C4:C34)</f>
        <v>-364120</v>
      </c>
      <c r="D35" s="75">
        <f t="shared" ref="D35" si="2">SUM(D4:D34)</f>
        <v>-2084000</v>
      </c>
      <c r="E35" s="75">
        <f t="shared" ref="E35" si="3">SUM(E4:E34)</f>
        <v>-202200</v>
      </c>
      <c r="F35" s="75">
        <f t="shared" ref="F35" si="4">SUM(F4:F34)</f>
        <v>-290290.00000000006</v>
      </c>
      <c r="G35" s="75">
        <f t="shared" ref="G35:U35" si="5">SUM(G4:G34)</f>
        <v>-305370</v>
      </c>
      <c r="H35" s="75">
        <f t="shared" si="5"/>
        <v>-209050.00000000003</v>
      </c>
      <c r="I35" s="75">
        <f t="shared" si="5"/>
        <v>-124010</v>
      </c>
      <c r="J35" s="75">
        <f t="shared" si="5"/>
        <v>-99441</v>
      </c>
      <c r="K35" s="75">
        <f t="shared" si="5"/>
        <v>-197090</v>
      </c>
      <c r="L35" s="75">
        <f t="shared" si="5"/>
        <v>-822659.99999999988</v>
      </c>
      <c r="M35" s="75">
        <f t="shared" si="5"/>
        <v>-427590</v>
      </c>
      <c r="N35" s="75">
        <f t="shared" si="5"/>
        <v>-532790</v>
      </c>
      <c r="O35" s="75">
        <f t="shared" si="5"/>
        <v>-495620.00000000006</v>
      </c>
      <c r="P35" s="75">
        <f t="shared" si="5"/>
        <v>-634350</v>
      </c>
      <c r="Q35" s="75">
        <f t="shared" si="5"/>
        <v>-370650</v>
      </c>
      <c r="R35" s="75">
        <f t="shared" si="5"/>
        <v>-376040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22856703.220000003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22069.999999999709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5772.0100000004059</v>
      </c>
    </row>
    <row r="4" spans="1:12" x14ac:dyDescent="0.25">
      <c r="A4" s="14">
        <f>'Kwh Reading'!A5</f>
        <v>44257</v>
      </c>
      <c r="B4" s="83">
        <f>TOTAL!E3</f>
        <v>23210.000000000262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6802.1599999997998</v>
      </c>
    </row>
    <row r="5" spans="1:12" x14ac:dyDescent="0.25">
      <c r="A5" s="14">
        <f>'Kwh Reading'!A6</f>
        <v>44258</v>
      </c>
      <c r="B5" s="83">
        <f>TOTAL!E4</f>
        <v>22360.000000000357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6106.2600000006187</v>
      </c>
    </row>
    <row r="6" spans="1:12" x14ac:dyDescent="0.25">
      <c r="A6" s="14">
        <f>'Kwh Reading'!A7</f>
        <v>44259</v>
      </c>
      <c r="B6" s="83">
        <f>TOTAL!E5</f>
        <v>22909.999999999625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6233.2000000000626</v>
      </c>
    </row>
    <row r="7" spans="1:12" x14ac:dyDescent="0.25">
      <c r="A7" s="14">
        <f>'Kwh Reading'!A8</f>
        <v>44260</v>
      </c>
      <c r="B7" s="83">
        <f>TOTAL!E6</f>
        <v>23109.999999999898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5969.3799999999719</v>
      </c>
    </row>
    <row r="8" spans="1:12" x14ac:dyDescent="0.25">
      <c r="A8" s="14">
        <f>'Kwh Reading'!A9</f>
        <v>44261</v>
      </c>
      <c r="B8" s="83">
        <f>TOTAL!E7</f>
        <v>22680.000000000065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5979.0700000001343</v>
      </c>
    </row>
    <row r="9" spans="1:12" x14ac:dyDescent="0.25">
      <c r="A9" s="14">
        <f>'Kwh Reading'!A10</f>
        <v>44262</v>
      </c>
      <c r="B9" s="83">
        <f>TOTAL!E8</f>
        <v>21099.99999999968</v>
      </c>
      <c r="C9" s="1">
        <f>'Kwh Consumption'!C10</f>
        <v>480.00000000001819</v>
      </c>
      <c r="D9" s="1">
        <f>'Kwh Consumption'!D10</f>
        <v>2299.9999999999686</v>
      </c>
      <c r="E9" s="1">
        <f>'Kwh Consumption'!E10</f>
        <v>210.00000000000796</v>
      </c>
      <c r="F9" s="1">
        <f>('Kwh Consumption'!F10+'Kwh Consumption'!G10+'Kwh Consumption'!H10)</f>
        <v>809.99999999997385</v>
      </c>
      <c r="G9" s="16">
        <f>('Kwh Consumption'!I10+'Kwh Consumption'!J10)</f>
        <v>149.99999999999147</v>
      </c>
      <c r="H9" s="1">
        <f>('Kwh Consumption'!K10+'Kwh Consumption'!L10)</f>
        <v>1590.0000000000034</v>
      </c>
      <c r="I9" s="1">
        <f>('Kwh Consumption'!M10+'Kwh Consumption'!N10+'Kwh Consumption'!O10+'Kwh Consumption'!P10+'Kwh Consumption'!Q10+'Kwh Consumption'!R10)</f>
        <v>4990.0000000000091</v>
      </c>
      <c r="J9" s="1">
        <f>('Kwh Consumption'!S10+'Kwh Consumption'!T10)</f>
        <v>4677.9600000008941</v>
      </c>
      <c r="K9" s="1">
        <f>'Kwh Consumption'!U10</f>
        <v>219.99999999999886</v>
      </c>
      <c r="L9" s="32">
        <f t="shared" si="0"/>
        <v>5672.039999998814</v>
      </c>
    </row>
    <row r="10" spans="1:12" x14ac:dyDescent="0.25">
      <c r="A10" s="14">
        <f>'Kwh Reading'!A11</f>
        <v>44263</v>
      </c>
      <c r="B10" s="83">
        <f>TOTAL!E9</f>
        <v>21140.000000000095</v>
      </c>
      <c r="C10" s="1">
        <f>'Kwh Consumption'!C11</f>
        <v>489.99999999995225</v>
      </c>
      <c r="D10" s="1">
        <f>'Kwh Consumption'!D11</f>
        <v>2299.9999999999686</v>
      </c>
      <c r="E10" s="1">
        <f>'Kwh Consumption'!E11</f>
        <v>250</v>
      </c>
      <c r="F10" s="1">
        <f>('Kwh Consumption'!F11+'Kwh Consumption'!G11+'Kwh Consumption'!H11)</f>
        <v>630.0000000000523</v>
      </c>
      <c r="G10" s="16">
        <f>('Kwh Consumption'!I11+'Kwh Consumption'!J11)</f>
        <v>180.00000000000682</v>
      </c>
      <c r="H10" s="1">
        <f>('Kwh Consumption'!K11+'Kwh Consumption'!L11)</f>
        <v>1459.9999999999795</v>
      </c>
      <c r="I10" s="1">
        <f>('Kwh Consumption'!M11+'Kwh Consumption'!N11+'Kwh Consumption'!O11+'Kwh Consumption'!P11+'Kwh Consumption'!Q11+'Kwh Consumption'!R11)</f>
        <v>4960.0000000000928</v>
      </c>
      <c r="J10" s="1">
        <f>('Kwh Consumption'!S11+'Kwh Consumption'!T11)</f>
        <v>5030.8199999993667</v>
      </c>
      <c r="K10" s="1">
        <f>'Kwh Consumption'!U11</f>
        <v>250</v>
      </c>
      <c r="L10" s="32">
        <f t="shared" si="0"/>
        <v>5589.180000000677</v>
      </c>
    </row>
    <row r="11" spans="1:12" x14ac:dyDescent="0.25">
      <c r="A11" s="14">
        <f>'Kwh Reading'!A12</f>
        <v>44264</v>
      </c>
      <c r="B11" s="83">
        <f>TOTAL!E10</f>
        <v>21810.000000000859</v>
      </c>
      <c r="C11" s="1">
        <f>'Kwh Consumption'!C12</f>
        <v>689.99999999999773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609.99999999992838</v>
      </c>
      <c r="G11" s="16">
        <f>('Kwh Consumption'!I12+'Kwh Consumption'!J12)</f>
        <v>49.999999999997158</v>
      </c>
      <c r="H11" s="1">
        <f>('Kwh Consumption'!K12+'Kwh Consumption'!L12)</f>
        <v>1400.0000000000341</v>
      </c>
      <c r="I11" s="1">
        <f>('Kwh Consumption'!M12+'Kwh Consumption'!N12+'Kwh Consumption'!O12+'Kwh Consumption'!P12+'Kwh Consumption'!Q12+'Kwh Consumption'!R12)</f>
        <v>5039.9999999999636</v>
      </c>
      <c r="J11" s="1">
        <f>('Kwh Consumption'!S12+'Kwh Consumption'!T12)</f>
        <v>5076.2200000006706</v>
      </c>
      <c r="K11" s="1">
        <f>'Kwh Consumption'!U12</f>
        <v>219.99999999999886</v>
      </c>
      <c r="L11" s="32">
        <f t="shared" si="0"/>
        <v>6103.7800000000943</v>
      </c>
    </row>
    <row r="12" spans="1:12" x14ac:dyDescent="0.25">
      <c r="A12" s="14">
        <f>'Kwh Reading'!A13</f>
        <v>44265</v>
      </c>
      <c r="B12" s="83">
        <f>TOTAL!E11</f>
        <v>0</v>
      </c>
      <c r="C12" s="1">
        <f>'Kwh Consumption'!C13</f>
        <v>-368840</v>
      </c>
      <c r="D12" s="1">
        <f>'Kwh Consumption'!D13</f>
        <v>-2105300</v>
      </c>
      <c r="E12" s="1">
        <f>'Kwh Consumption'!E13</f>
        <v>-204350</v>
      </c>
      <c r="F12" s="1">
        <f>('Kwh Consumption'!F13+'Kwh Consumption'!G13+'Kwh Consumption'!H13)</f>
        <v>-812360</v>
      </c>
      <c r="G12" s="16">
        <f>('Kwh Consumption'!I13+'Kwh Consumption'!J13)</f>
        <v>-225190</v>
      </c>
      <c r="H12" s="1">
        <f>('Kwh Consumption'!K13+'Kwh Consumption'!L13)</f>
        <v>-1033460</v>
      </c>
      <c r="I12" s="1">
        <f>('Kwh Consumption'!M13+'Kwh Consumption'!N13+'Kwh Consumption'!O13+'Kwh Consumption'!P13+'Kwh Consumption'!Q13+'Kwh Consumption'!R13)</f>
        <v>-2883580</v>
      </c>
      <c r="J12" s="1">
        <f>('Kwh Consumption'!S13+'Kwh Consumption'!T13)</f>
        <v>-15045736.140000001</v>
      </c>
      <c r="K12" s="1">
        <f>'Kwh Consumption'!U13</f>
        <v>-123660</v>
      </c>
      <c r="L12" s="32">
        <f t="shared" si="0"/>
        <v>22802476.140000001</v>
      </c>
    </row>
    <row r="13" spans="1:12" x14ac:dyDescent="0.25">
      <c r="A13" s="14">
        <f>'Kwh Reading'!A14</f>
        <v>44266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44267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44268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44269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44270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44271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44272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44273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44274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44275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44276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44277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44278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44279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44280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44281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200390.00000000052</v>
      </c>
      <c r="C34" s="75">
        <f>SUM(C3:C33)</f>
        <v>-364120</v>
      </c>
      <c r="D34" s="75">
        <f t="shared" ref="D34:L34" si="1">SUM(D3:D33)</f>
        <v>-2084000</v>
      </c>
      <c r="E34" s="75">
        <f t="shared" si="1"/>
        <v>-202200</v>
      </c>
      <c r="F34" s="75">
        <f t="shared" si="1"/>
        <v>-804710.00000000012</v>
      </c>
      <c r="G34" s="75">
        <f t="shared" si="1"/>
        <v>-223451</v>
      </c>
      <c r="H34" s="75">
        <f t="shared" si="1"/>
        <v>-1019749.9999999999</v>
      </c>
      <c r="I34" s="75">
        <f t="shared" si="1"/>
        <v>-2837040</v>
      </c>
      <c r="J34" s="75">
        <f t="shared" si="1"/>
        <v>-14999702.220000001</v>
      </c>
      <c r="K34" s="75">
        <f t="shared" si="1"/>
        <v>-121340</v>
      </c>
      <c r="L34" s="75">
        <f t="shared" si="1"/>
        <v>22856703.220000003</v>
      </c>
      <c r="M34" s="84">
        <f>C34+D34+E34+F34+G34+H34+I34+J34+K34+L34</f>
        <v>200390.00000000373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</v>
      </c>
      <c r="E36" s="75">
        <f>E34*B36</f>
        <v>-28308.000000000004</v>
      </c>
      <c r="F36" s="75">
        <f>F34*B36</f>
        <v>-112659.40000000002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-2099958.3108000001</v>
      </c>
      <c r="K36" s="75">
        <f>K34*B36</f>
        <v>-16987.600000000002</v>
      </c>
      <c r="L36" s="75">
        <f>L34*B36</f>
        <v>3199938.4508000007</v>
      </c>
      <c r="M36" s="84">
        <f>C36+D36+E36+F36+G36+H36+I36+J36+K36+L36</f>
        <v>28054.600000000093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3089.7999999999597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808.08140000005744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3249.4000000000369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952.3023999999715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3130.4000000000501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854.87640000008594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3207.3999999999478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872.64800000000832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3175.2000000000094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837.06980000001886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2953.9999999999554</v>
      </c>
      <c r="D9" s="1">
        <f>'Kwh Consumption'!C10*' Kwh area wise $ '!B9</f>
        <v>67.200000000002547</v>
      </c>
      <c r="E9" s="1">
        <f>'Kwh Consumption'!D10*' Kwh area wise $ '!B9</f>
        <v>321.99999999999562</v>
      </c>
      <c r="F9" s="1">
        <f>'Kwh Consumption'!E10*' Kwh area wise $ '!B9</f>
        <v>29.400000000001118</v>
      </c>
      <c r="G9" s="1">
        <f>('Kwh Consumption'!F10+'Kwh Consumption'!G10+'Kwh Consumption'!H10)*' Kwh area wise $ '!B9</f>
        <v>113.39999999999635</v>
      </c>
      <c r="H9" s="16">
        <f>('Kwh Consumption'!I10+'Kwh Consumption'!J10)*' Kwh area wise $ '!B9</f>
        <v>20.99999999999881</v>
      </c>
      <c r="I9" s="1">
        <f>('Kwh Consumption'!K10+'Kwh Consumption'!L10)*' Kwh area wise $ '!B9</f>
        <v>222.60000000000051</v>
      </c>
      <c r="J9" s="1">
        <f>('Kwh Consumption'!M10+'Kwh Consumption'!N10+'Kwh Consumption'!O10+'Kwh Consumption'!P10+'Kwh Consumption'!Q10+'Kwh Consumption'!R10)*' Kwh area wise $ '!B9</f>
        <v>698.60000000000139</v>
      </c>
      <c r="K9" s="1">
        <f>('Kwh Consumption'!S10+'Kwh Consumption'!T10)*' Kwh area wise $ '!B9</f>
        <v>654.91440000012528</v>
      </c>
      <c r="L9" s="1">
        <f>'Kwh Consumption'!U10*' Kwh area wise $ '!B9</f>
        <v>30.799999999999844</v>
      </c>
      <c r="M9" s="1">
        <f>'Kwh Consumption'!V10*' Kwh area wise $ '!B9</f>
        <v>794.0855999998339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2959.6000000000136</v>
      </c>
      <c r="D10" s="1">
        <f>'Kwh Consumption'!C11*' Kwh area wise $ '!B10</f>
        <v>68.599999999993315</v>
      </c>
      <c r="E10" s="1">
        <f>'Kwh Consumption'!D11*' Kwh area wise $ '!B10</f>
        <v>321.99999999999562</v>
      </c>
      <c r="F10" s="1">
        <f>'Kwh Consumption'!E11*' Kwh area wise $ '!B10</f>
        <v>35</v>
      </c>
      <c r="G10" s="1">
        <f>('Kwh Consumption'!F11+'Kwh Consumption'!G11+'Kwh Consumption'!H11)*' Kwh area wise $ '!B10</f>
        <v>88.200000000007336</v>
      </c>
      <c r="H10" s="16">
        <f>('Kwh Consumption'!I11+'Kwh Consumption'!J11)*' Kwh area wise $ '!B10</f>
        <v>25.200000000000959</v>
      </c>
      <c r="I10" s="1">
        <f>('Kwh Consumption'!K11+'Kwh Consumption'!L11)*' Kwh area wise $ '!B10</f>
        <v>204.39999999999716</v>
      </c>
      <c r="J10" s="1">
        <f>('Kwh Consumption'!M11+'Kwh Consumption'!N11+'Kwh Consumption'!O11+'Kwh Consumption'!P11+'Kwh Consumption'!Q11+'Kwh Consumption'!R11)*' Kwh area wise $ '!B10</f>
        <v>694.40000000001305</v>
      </c>
      <c r="K10" s="1">
        <f>('Kwh Consumption'!S11+'Kwh Consumption'!T11)*' Kwh area wise $ '!B10</f>
        <v>704.31479999991143</v>
      </c>
      <c r="L10" s="1">
        <f>'Kwh Consumption'!U11*' Kwh area wise $ '!B10</f>
        <v>35</v>
      </c>
      <c r="M10" s="1">
        <f>'Kwh Consumption'!V11*' Kwh area wise $ '!B10</f>
        <v>782.48520000009489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3053.4000000001206</v>
      </c>
      <c r="D11" s="1">
        <f>'Kwh Consumption'!C12*' Kwh area wise $ '!B11</f>
        <v>96.599999999999696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85.399999999989987</v>
      </c>
      <c r="H11" s="16">
        <f>('Kwh Consumption'!I12+'Kwh Consumption'!J12)*' Kwh area wise $ '!B11</f>
        <v>6.999999999999603</v>
      </c>
      <c r="I11" s="1">
        <f>('Kwh Consumption'!K12+'Kwh Consumption'!L12)*' Kwh area wise $ '!B11</f>
        <v>196.0000000000048</v>
      </c>
      <c r="J11" s="1">
        <f>('Kwh Consumption'!M12+'Kwh Consumption'!N12+'Kwh Consumption'!O12+'Kwh Consumption'!P12+'Kwh Consumption'!Q12+'Kwh Consumption'!R12)*' Kwh area wise $ '!B11</f>
        <v>705.59999999999502</v>
      </c>
      <c r="K11" s="1">
        <f>('Kwh Consumption'!S12+'Kwh Consumption'!T12)*' Kwh area wise $ '!B11</f>
        <v>710.67080000009389</v>
      </c>
      <c r="L11" s="1">
        <f>'Kwh Consumption'!U12*' Kwh area wise $ '!B11</f>
        <v>30.799999999999844</v>
      </c>
      <c r="M11" s="1">
        <f>'Kwh Consumption'!V12*' Kwh area wise $ '!B11</f>
        <v>854.52920000001291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-51637.600000000006</v>
      </c>
      <c r="E12" s="1">
        <f>'Kwh Consumption'!D13*' Kwh area wise $ '!B12</f>
        <v>-294742</v>
      </c>
      <c r="F12" s="1">
        <f>'Kwh Consumption'!E13*' Kwh area wise $ '!B12</f>
        <v>-28609.000000000004</v>
      </c>
      <c r="G12" s="1">
        <f>('Kwh Consumption'!F13+'Kwh Consumption'!G13+'Kwh Consumption'!H13)*' Kwh area wise $ '!B12</f>
        <v>-113730.40000000001</v>
      </c>
      <c r="H12" s="16">
        <f>('Kwh Consumption'!I13+'Kwh Consumption'!J13)*' Kwh area wise $ '!B12</f>
        <v>-31526.600000000002</v>
      </c>
      <c r="I12" s="1">
        <f>('Kwh Consumption'!K13+'Kwh Consumption'!L13)*' Kwh area wise $ '!B12</f>
        <v>-144684.40000000002</v>
      </c>
      <c r="J12" s="1">
        <f>('Kwh Consumption'!M13+'Kwh Consumption'!N13+'Kwh Consumption'!O13+'Kwh Consumption'!P13+'Kwh Consumption'!Q13+'Kwh Consumption'!R13)*' Kwh area wise $ '!B12</f>
        <v>-403701.2</v>
      </c>
      <c r="K12" s="1">
        <f>('Kwh Consumption'!S13+'Kwh Consumption'!T13)*' Kwh area wise $ '!B12</f>
        <v>-2106403.0596000003</v>
      </c>
      <c r="L12" s="1">
        <f>'Kwh Consumption'!U13*' Kwh area wise $ '!B12</f>
        <v>-17312.400000000001</v>
      </c>
      <c r="M12" s="1">
        <f>'Kwh Consumption'!V13*' Kwh area wise $ '!B12</f>
        <v>3192346.6596000004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28054.600000000097</v>
      </c>
      <c r="D34" s="75">
        <f t="shared" si="0"/>
        <v>-50976.80000000001</v>
      </c>
      <c r="E34" s="75">
        <f t="shared" si="0"/>
        <v>-291760</v>
      </c>
      <c r="F34" s="75">
        <f t="shared" si="0"/>
        <v>-28308.000000000004</v>
      </c>
      <c r="G34" s="75">
        <f t="shared" si="0"/>
        <v>-112659.40000000002</v>
      </c>
      <c r="H34" s="75">
        <f t="shared" si="0"/>
        <v>-31283.140000000003</v>
      </c>
      <c r="I34" s="75">
        <f t="shared" si="0"/>
        <v>-142765</v>
      </c>
      <c r="J34" s="75">
        <f t="shared" si="0"/>
        <v>-397185.60000000003</v>
      </c>
      <c r="K34" s="75">
        <f t="shared" si="0"/>
        <v>-2099958.3108000001</v>
      </c>
      <c r="L34" s="75">
        <f t="shared" si="0"/>
        <v>-16987.600000000002</v>
      </c>
      <c r="M34" s="75">
        <f>SUM(M3:M33)</f>
        <v>3199938.4508000002</v>
      </c>
      <c r="N34" s="84">
        <f>D34+E34+F34+G34+H34+I34+J34+K34+L34+M34</f>
        <v>28054.599999999627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2" sqref="R1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>
        <v>147207</v>
      </c>
      <c r="C10" s="56">
        <v>104194</v>
      </c>
      <c r="D10" s="55">
        <v>192398</v>
      </c>
      <c r="E10" s="55">
        <v>241004</v>
      </c>
      <c r="F10" s="55">
        <v>66854</v>
      </c>
      <c r="G10" s="55">
        <v>109548</v>
      </c>
      <c r="H10" s="33">
        <v>47013</v>
      </c>
      <c r="I10" s="55">
        <v>58483</v>
      </c>
      <c r="J10" s="55">
        <v>18739</v>
      </c>
      <c r="K10" s="55">
        <v>1024</v>
      </c>
      <c r="L10" s="55">
        <v>16481</v>
      </c>
      <c r="M10" s="55">
        <v>22532</v>
      </c>
      <c r="N10" s="55">
        <v>6778</v>
      </c>
      <c r="O10" s="55">
        <v>1572</v>
      </c>
      <c r="P10" s="55">
        <v>26063</v>
      </c>
      <c r="Q10" s="33">
        <v>182</v>
      </c>
      <c r="R10" s="55">
        <v>5693</v>
      </c>
    </row>
    <row r="11" spans="1:18" x14ac:dyDescent="0.25">
      <c r="A11" s="54">
        <v>44264</v>
      </c>
      <c r="B11" s="33">
        <v>147328</v>
      </c>
      <c r="C11" s="33">
        <v>104364</v>
      </c>
      <c r="D11" s="55">
        <v>192523</v>
      </c>
      <c r="E11" s="55">
        <v>241033</v>
      </c>
      <c r="F11" s="55">
        <v>66854</v>
      </c>
      <c r="G11" s="55">
        <v>109568</v>
      </c>
      <c r="H11" s="33">
        <v>47054</v>
      </c>
      <c r="I11" s="55">
        <v>58500</v>
      </c>
      <c r="J11" s="55">
        <v>18751</v>
      </c>
      <c r="K11" s="55">
        <v>1024</v>
      </c>
      <c r="L11" s="55">
        <v>16487</v>
      </c>
      <c r="M11" s="55">
        <v>22547</v>
      </c>
      <c r="N11" s="55">
        <v>6779</v>
      </c>
      <c r="O11" s="55">
        <v>1572</v>
      </c>
      <c r="P11" s="55">
        <v>26063</v>
      </c>
      <c r="Q11" s="33">
        <v>190</v>
      </c>
      <c r="R11" s="55">
        <v>5699</v>
      </c>
    </row>
    <row r="12" spans="1:18" x14ac:dyDescent="0.25">
      <c r="A12" s="54">
        <v>44265</v>
      </c>
      <c r="B12" s="33">
        <v>147500</v>
      </c>
      <c r="C12" s="56">
        <v>104517</v>
      </c>
      <c r="D12" s="55">
        <v>192684</v>
      </c>
      <c r="E12" s="55">
        <v>241118</v>
      </c>
      <c r="F12" s="55">
        <v>66855</v>
      </c>
      <c r="G12" s="55">
        <v>109587</v>
      </c>
      <c r="H12" s="33">
        <v>47094</v>
      </c>
      <c r="I12" s="55">
        <v>58513</v>
      </c>
      <c r="J12" s="55">
        <v>18763</v>
      </c>
      <c r="K12" s="55">
        <v>1024</v>
      </c>
      <c r="L12" s="55">
        <v>16493</v>
      </c>
      <c r="M12" s="55">
        <v>22561</v>
      </c>
      <c r="N12" s="55">
        <v>6786</v>
      </c>
      <c r="O12" s="55">
        <v>1572</v>
      </c>
      <c r="P12" s="55">
        <v>26063</v>
      </c>
      <c r="Q12" s="33">
        <v>193</v>
      </c>
      <c r="R12" s="55">
        <v>5705</v>
      </c>
    </row>
    <row r="13" spans="1:18" x14ac:dyDescent="0.25">
      <c r="A13" s="54">
        <v>44266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18" x14ac:dyDescent="0.25">
      <c r="A14" s="54">
        <v>44267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44268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44269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44270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44271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44272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44273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44274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44275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44276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44277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44278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44279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44280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44281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44282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9" sqref="B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329</v>
      </c>
      <c r="C10" s="66">
        <f>('Water Reading'!B10-'Water Reading'!B9)+('Water Reading'!C10-'Water Reading'!C9)</f>
        <v>355</v>
      </c>
      <c r="D10" s="67">
        <f t="shared" si="2"/>
        <v>1.0790273556231003</v>
      </c>
      <c r="E10" s="88">
        <f>'Water Reading'!H10-'Water Reading'!H9</f>
        <v>50</v>
      </c>
      <c r="F10" s="89">
        <f t="shared" si="3"/>
        <v>0.14084507042253522</v>
      </c>
      <c r="G10" s="93">
        <f>('Water Reading'!D10-'Water Reading'!D9)-('Water Reading'!R10-'Water Reading'!R9)-('Water Reading'!Q10-'Water Reading'!Q9)</f>
        <v>149</v>
      </c>
      <c r="H10" s="89">
        <f t="shared" si="4"/>
        <v>0.41971830985915493</v>
      </c>
      <c r="I10" s="90">
        <f>'Water Reading'!P10-'Water Reading'!P9</f>
        <v>22</v>
      </c>
      <c r="J10" s="68">
        <f t="shared" si="5"/>
        <v>6.1971830985915494E-2</v>
      </c>
      <c r="K10" s="91">
        <f>('Water Reading'!I10-'Water Reading'!I9)</f>
        <v>43</v>
      </c>
      <c r="L10" s="68">
        <f t="shared" si="6"/>
        <v>0.12112676056338029</v>
      </c>
      <c r="M10" s="90">
        <f>'Water Reading'!R10-'Water Reading'!R9</f>
        <v>7</v>
      </c>
      <c r="N10" s="92">
        <f t="shared" si="7"/>
        <v>1.9718309859154931E-2</v>
      </c>
      <c r="O10" s="90">
        <f>'Water Reading'!Q10-'Water Reading'!Q9</f>
        <v>1</v>
      </c>
      <c r="P10" s="99">
        <f t="shared" si="8"/>
        <v>2.8169014084507044E-3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64</v>
      </c>
      <c r="T10" s="100">
        <f t="shared" si="10"/>
        <v>0.18028169014084508</v>
      </c>
      <c r="U10" s="90">
        <f>'Water Reading'!G10-'Water Reading'!G9</f>
        <v>19</v>
      </c>
      <c r="V10" s="100">
        <f t="shared" si="11"/>
        <v>5.3521126760563378E-2</v>
      </c>
      <c r="W10" s="90">
        <f>'Water Reading'!J10-'Water Reading'!J9</f>
        <v>12</v>
      </c>
      <c r="X10" s="100">
        <f t="shared" si="12"/>
        <v>3.3802816901408447E-2</v>
      </c>
      <c r="Y10" s="66">
        <f t="shared" si="0"/>
        <v>367</v>
      </c>
      <c r="Z10" s="67">
        <f t="shared" si="1"/>
        <v>1.115501519756839</v>
      </c>
    </row>
    <row r="11" spans="1:26" x14ac:dyDescent="0.25">
      <c r="A11" s="8">
        <f>'Water Reading'!A10</f>
        <v>44263</v>
      </c>
      <c r="B11" s="65">
        <f>TOTAL!I9</f>
        <v>242.40000000000146</v>
      </c>
      <c r="C11" s="66">
        <f>('Water Reading'!B11-'Water Reading'!B10)+('Water Reading'!C11-'Water Reading'!C10)</f>
        <v>291</v>
      </c>
      <c r="D11" s="67">
        <f t="shared" si="2"/>
        <v>1.2004950495049433</v>
      </c>
      <c r="E11" s="88">
        <f>'Water Reading'!H11-'Water Reading'!H10</f>
        <v>41</v>
      </c>
      <c r="F11" s="89">
        <f t="shared" si="3"/>
        <v>0.14089347079037801</v>
      </c>
      <c r="G11" s="93">
        <f>('Water Reading'!D11-'Water Reading'!D10)-('Water Reading'!R11-'Water Reading'!R10)-('Water Reading'!Q11-'Water Reading'!Q10)</f>
        <v>111</v>
      </c>
      <c r="H11" s="89">
        <f t="shared" si="4"/>
        <v>0.38144329896907214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</f>
        <v>17</v>
      </c>
      <c r="L11" s="68">
        <f t="shared" si="6"/>
        <v>5.8419243986254296E-2</v>
      </c>
      <c r="M11" s="90">
        <f>'Water Reading'!R11-'Water Reading'!R10</f>
        <v>6</v>
      </c>
      <c r="N11" s="92">
        <f t="shared" si="7"/>
        <v>2.0618556701030927E-2</v>
      </c>
      <c r="O11" s="98">
        <f>'Water Reading'!Q11-'Water Reading'!Q10</f>
        <v>8</v>
      </c>
      <c r="P11" s="99">
        <f t="shared" si="8"/>
        <v>2.7491408934707903E-2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29</v>
      </c>
      <c r="T11" s="100">
        <f t="shared" si="10"/>
        <v>9.9656357388316158E-2</v>
      </c>
      <c r="U11" s="90">
        <f>'Water Reading'!G11-'Water Reading'!G10</f>
        <v>20</v>
      </c>
      <c r="V11" s="100">
        <f t="shared" si="11"/>
        <v>6.8728522336769765E-2</v>
      </c>
      <c r="W11" s="90">
        <f>'Water Reading'!J11-'Water Reading'!J10</f>
        <v>12</v>
      </c>
      <c r="X11" s="100">
        <f t="shared" si="12"/>
        <v>4.1237113402061855E-2</v>
      </c>
      <c r="Y11" s="66">
        <f t="shared" si="0"/>
        <v>244</v>
      </c>
      <c r="Z11" s="67">
        <f t="shared" si="1"/>
        <v>1.0066006600660005</v>
      </c>
    </row>
    <row r="12" spans="1:26" x14ac:dyDescent="0.25">
      <c r="A12" s="8">
        <f>'Water Reading'!A11</f>
        <v>44264</v>
      </c>
      <c r="B12" s="65">
        <f>TOTAL!I10</f>
        <v>219.59999999999854</v>
      </c>
      <c r="C12" s="66">
        <f>('Water Reading'!B12-'Water Reading'!B11)+('Water Reading'!C12-'Water Reading'!C11)</f>
        <v>325</v>
      </c>
      <c r="D12" s="67">
        <f t="shared" si="2"/>
        <v>1.4799635701275144</v>
      </c>
      <c r="E12" s="88">
        <f>'Water Reading'!H12-'Water Reading'!H11</f>
        <v>40</v>
      </c>
      <c r="F12" s="89">
        <f t="shared" si="3"/>
        <v>0.12307692307692308</v>
      </c>
      <c r="G12" s="93">
        <f>('Water Reading'!D12-'Water Reading'!D11)-('Water Reading'!R12-'Water Reading'!R11)-('Water Reading'!Q12-'Water Reading'!Q11)</f>
        <v>152</v>
      </c>
      <c r="H12" s="89">
        <f t="shared" si="4"/>
        <v>0.46769230769230768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13</v>
      </c>
      <c r="L12" s="68">
        <f t="shared" si="6"/>
        <v>0.04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3</v>
      </c>
      <c r="P12" s="99">
        <f t="shared" si="8"/>
        <v>9.2307692307692316E-3</v>
      </c>
      <c r="Q12" s="91">
        <f>'Water Reading'!F12-'Water Reading'!F11</f>
        <v>1</v>
      </c>
      <c r="R12" s="100">
        <f t="shared" si="9"/>
        <v>3.0769230769230769E-3</v>
      </c>
      <c r="S12" s="90">
        <f>'Water Reading'!E12-'Water Reading'!E11</f>
        <v>85</v>
      </c>
      <c r="T12" s="100">
        <f t="shared" si="10"/>
        <v>0.26153846153846155</v>
      </c>
      <c r="U12" s="90">
        <f>'Water Reading'!G12-'Water Reading'!G11</f>
        <v>19</v>
      </c>
      <c r="V12" s="100">
        <f t="shared" si="11"/>
        <v>5.8461538461538461E-2</v>
      </c>
      <c r="W12" s="90">
        <f>'Water Reading'!J12-'Water Reading'!J11</f>
        <v>12</v>
      </c>
      <c r="X12" s="100">
        <f t="shared" si="12"/>
        <v>3.6923076923076927E-2</v>
      </c>
      <c r="Y12" s="66">
        <f t="shared" si="0"/>
        <v>331</v>
      </c>
      <c r="Z12" s="67">
        <f t="shared" si="1"/>
        <v>1.5072859744990992</v>
      </c>
    </row>
    <row r="13" spans="1:26" x14ac:dyDescent="0.25">
      <c r="A13" s="8">
        <f>'Water Reading'!A12</f>
        <v>44265</v>
      </c>
      <c r="B13" s="65">
        <f>TOTAL!I11</f>
        <v>0</v>
      </c>
      <c r="C13" s="66">
        <f>('Water Reading'!B13-'Water Reading'!B12)+('Water Reading'!C13-'Water Reading'!C12)</f>
        <v>-252017</v>
      </c>
      <c r="D13" s="67" t="e">
        <f t="shared" si="2"/>
        <v>#DIV/0!</v>
      </c>
      <c r="E13" s="87">
        <f>'Water Reading'!H13-'Water Reading'!H12</f>
        <v>-47094</v>
      </c>
      <c r="F13" s="89">
        <f t="shared" si="3"/>
        <v>0.18686834618299558</v>
      </c>
      <c r="G13" s="93">
        <f>('Water Reading'!D13-'Water Reading'!D12)-('Water Reading'!R13-'Water Reading'!R12)-('Water Reading'!Q13-'Water Reading'!Q12)</f>
        <v>-186786</v>
      </c>
      <c r="H13" s="89">
        <f t="shared" si="4"/>
        <v>0.74116428653622568</v>
      </c>
      <c r="I13" s="90">
        <f>'Water Reading'!P13-'Water Reading'!P12</f>
        <v>-26063</v>
      </c>
      <c r="J13" s="68">
        <f t="shared" si="5"/>
        <v>0.1034176265886825</v>
      </c>
      <c r="K13" s="91">
        <f>('Water Reading'!I13-'Water Reading'!I12)</f>
        <v>-58513</v>
      </c>
      <c r="L13" s="68">
        <f t="shared" si="6"/>
        <v>0.23217878159013083</v>
      </c>
      <c r="M13" s="90">
        <f>'Water Reading'!R13-'Water Reading'!R12</f>
        <v>-5705</v>
      </c>
      <c r="N13" s="92">
        <f t="shared" si="7"/>
        <v>2.2637361765277739E-2</v>
      </c>
      <c r="O13" s="90">
        <f>'Water Reading'!Q13-'Water Reading'!Q12</f>
        <v>-193</v>
      </c>
      <c r="P13" s="99">
        <f t="shared" si="8"/>
        <v>7.6582135332140292E-4</v>
      </c>
      <c r="Q13" s="91">
        <f>'Water Reading'!F13-'Water Reading'!F12</f>
        <v>-66855</v>
      </c>
      <c r="R13" s="100">
        <f t="shared" si="9"/>
        <v>0.26527972319327664</v>
      </c>
      <c r="S13" s="94">
        <f>'Water Reading'!E13-'Water Reading'!E12</f>
        <v>-241118</v>
      </c>
      <c r="T13" s="100">
        <f t="shared" si="10"/>
        <v>0.95675291746191726</v>
      </c>
      <c r="U13" s="90">
        <f>'Water Reading'!G13-'Water Reading'!G12</f>
        <v>-109587</v>
      </c>
      <c r="V13" s="100">
        <f t="shared" si="11"/>
        <v>0.43483971319395121</v>
      </c>
      <c r="W13" s="90">
        <f>'Water Reading'!J13-'Water Reading'!J12</f>
        <v>-18763</v>
      </c>
      <c r="X13" s="100">
        <f t="shared" si="12"/>
        <v>7.4451326696214931E-2</v>
      </c>
      <c r="Y13" s="66">
        <f t="shared" si="0"/>
        <v>-760677</v>
      </c>
      <c r="Z13" s="67" t="e">
        <f t="shared" si="1"/>
        <v>#DIV/0!</v>
      </c>
    </row>
    <row r="14" spans="1:26" x14ac:dyDescent="0.25">
      <c r="A14" s="8">
        <f>'Water Reading'!A13</f>
        <v>44266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44267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44268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44269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44270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44271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44272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44273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44274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44275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44276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44277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44278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44279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44280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44281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2424.6999999999971</v>
      </c>
      <c r="C35" s="75">
        <f>SUM(C4:C34)</f>
        <v>-248856</v>
      </c>
      <c r="D35" s="96">
        <f>C35/B35</f>
        <v>-102.63372788386205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-58267</v>
      </c>
      <c r="L35" s="95">
        <f>K35/C35</f>
        <v>0.23413942199504933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-757836</v>
      </c>
      <c r="Z35" s="95">
        <f t="shared" si="1"/>
        <v>-312.54835649771144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2021-03-10T06:27:41Z</dcterms:modified>
  <cp:category/>
  <cp:contentStatus/>
</cp:coreProperties>
</file>