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316" documentId="11_00C1ED7558031DD21EA57FA15018ADAF4A1ED64B" xr6:coauthVersionLast="47" xr6:coauthVersionMax="47" xr10:uidLastSave="{FD507534-C6C3-4FB2-B54B-1C9DA6034314}"/>
  <bookViews>
    <workbookView xWindow="0" yWindow="0" windowWidth="28800" windowHeight="12435" firstSheet="1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/>
  <c r="K17" i="3"/>
  <c r="I17" i="3"/>
  <c r="G17" i="3"/>
  <c r="E17" i="3"/>
  <c r="J17" i="2"/>
  <c r="I17" i="2"/>
  <c r="H17" i="2"/>
  <c r="F17" i="2"/>
  <c r="E17" i="2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<sst xmlns="http://schemas.openxmlformats.org/spreadsheetml/2006/main" count="101" uniqueCount="38">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</sst>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opLeftCell="A8" workbookViewId="0">
      <selection activeCell="N19" sqref="N19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30.010000000000218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9715</v>
      </c>
      <c r="F15">
        <v>0.11799999999999999</v>
      </c>
      <c r="G15" s="4">
        <f>'02 - 2023'!D21-'02 - 2023'!D20+'02 - 2023'!E21-'02 - 2023'!E20</f>
        <v>23.210000000000946</v>
      </c>
      <c r="H15">
        <v>0.99</v>
      </c>
      <c r="I15" s="4">
        <f>'02 - 2023'!J21-'02 - 2023'!J20</f>
        <v>13404</v>
      </c>
      <c r="J15">
        <v>8.1000000000000003E-2</v>
      </c>
      <c r="K15" s="16">
        <f>'02 - 2023'!H21-'02 - 2023'!H20</f>
        <v>0</v>
      </c>
      <c r="L15" s="4">
        <f>'02 - 2023'!I21-'02 - 2023'!I20</f>
        <v>114</v>
      </c>
      <c r="M15" s="1">
        <v>4.393629424766913</v>
      </c>
      <c r="N15" s="11">
        <v>93</v>
      </c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9373</v>
      </c>
      <c r="F16">
        <v>0.11799999999999999</v>
      </c>
      <c r="G16" s="4">
        <f>'02 - 2023'!D22-'02 - 2023'!D21+'02 - 2023'!E22-'02 - 2023'!E21</f>
        <v>24.5</v>
      </c>
      <c r="H16">
        <v>0.99</v>
      </c>
      <c r="I16" s="4">
        <f>'02 - 2023'!J22-'02 - 2023'!J21</f>
        <v>14504</v>
      </c>
      <c r="J16">
        <v>8.1000000000000003E-2</v>
      </c>
      <c r="K16" s="16">
        <f>'02 - 2023'!H22-'02 - 2023'!H21</f>
        <v>0</v>
      </c>
      <c r="L16" s="4">
        <f>'02 - 2023'!I22-'02 - 2023'!I21</f>
        <v>107</v>
      </c>
      <c r="M16" s="1">
        <v>4.393629424766913</v>
      </c>
      <c r="N16" s="11">
        <v>91</v>
      </c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9402</v>
      </c>
      <c r="F17">
        <v>0.11799999999999999</v>
      </c>
      <c r="G17" s="4">
        <f>'02 - 2023'!D23-'02 - 2023'!D22+'02 - 2023'!E23-'02 - 2023'!E22</f>
        <v>26.399999999999636</v>
      </c>
      <c r="H17">
        <v>0.99</v>
      </c>
      <c r="I17" s="4">
        <f>'02 - 2023'!J23-'02 - 2023'!J22</f>
        <v>14894</v>
      </c>
      <c r="J17">
        <v>8.1000000000000003E-2</v>
      </c>
      <c r="K17" s="16">
        <f>'02 - 2023'!H23-'02 - 2023'!H22</f>
        <v>0</v>
      </c>
      <c r="L17" s="4">
        <f>'02 - 2023'!I23-'02 - 2023'!I22</f>
        <v>112</v>
      </c>
      <c r="M17" s="1">
        <v>4.393629424766913</v>
      </c>
      <c r="N17" s="11">
        <v>99</v>
      </c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9853</v>
      </c>
      <c r="F18">
        <v>0.11799999999999999</v>
      </c>
      <c r="G18" s="4">
        <f>'02 - 2023'!D24-'02 - 2023'!D23+'02 - 2023'!E24-'02 - 2023'!E23</f>
        <v>26.760000000000218</v>
      </c>
      <c r="H18">
        <v>0.99</v>
      </c>
      <c r="I18" s="4">
        <f>'02 - 2023'!J24-'02 - 2023'!J23</f>
        <v>15833</v>
      </c>
      <c r="J18">
        <v>8.1000000000000003E-2</v>
      </c>
      <c r="K18" s="16">
        <f>'02 - 2023'!H24-'02 - 2023'!H23</f>
        <v>0</v>
      </c>
      <c r="L18" s="4">
        <f>'02 - 2023'!I24-'02 - 2023'!I23</f>
        <v>119</v>
      </c>
      <c r="M18" s="1">
        <v>4.393629424766913</v>
      </c>
      <c r="N18" s="11">
        <v>95</v>
      </c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v>0</v>
      </c>
      <c r="F19">
        <v>0.11799999999999999</v>
      </c>
      <c r="G19" s="4">
        <v>0</v>
      </c>
      <c r="H19">
        <v>0.99</v>
      </c>
      <c r="I19" s="4">
        <v>0</v>
      </c>
      <c r="J19">
        <v>8.1000000000000003E-2</v>
      </c>
      <c r="K19" s="16">
        <v>0</v>
      </c>
      <c r="L19" s="4">
        <v>0</v>
      </c>
      <c r="M19" s="1">
        <v>4.393629424766913</v>
      </c>
      <c r="N19" s="11"/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0</v>
      </c>
      <c r="F20">
        <v>0.11799999999999999</v>
      </c>
      <c r="G20" s="4">
        <f>'02 - 2023'!D26-'02 - 2023'!D25+'02 - 2023'!E26-'02 - 2023'!E25</f>
        <v>0</v>
      </c>
      <c r="H20">
        <v>0.99</v>
      </c>
      <c r="I20" s="4">
        <f>'02 - 2023'!J26-'02 - 2023'!J25</f>
        <v>0</v>
      </c>
      <c r="J20">
        <v>8.1000000000000003E-2</v>
      </c>
      <c r="K20" s="16">
        <f>'02 - 2023'!H26-'02 - 2023'!H25</f>
        <v>0</v>
      </c>
      <c r="L20" s="4">
        <f>'02 - 2023'!I26-'02 - 2023'!I25</f>
        <v>0</v>
      </c>
      <c r="M20" s="1">
        <v>4.393629424766913</v>
      </c>
      <c r="N20" s="11"/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0</v>
      </c>
      <c r="F21">
        <v>0.11799999999999999</v>
      </c>
      <c r="G21" s="4">
        <f>'02 - 2023'!D27-'02 - 2023'!D26+'02 - 2023'!E27-'02 - 2023'!E26</f>
        <v>0</v>
      </c>
      <c r="H21">
        <v>0.99</v>
      </c>
      <c r="I21" s="4">
        <f>'02 - 2023'!J27-'02 - 2023'!J26</f>
        <v>0</v>
      </c>
      <c r="J21">
        <v>8.1000000000000003E-2</v>
      </c>
      <c r="K21" s="16">
        <f>'02 - 2023'!H27-'02 - 2023'!H26</f>
        <v>0</v>
      </c>
      <c r="L21" s="4">
        <f>'02 - 2023'!I27-'02 - 2023'!I26</f>
        <v>0</v>
      </c>
      <c r="M21" s="1">
        <v>4.393629424766913</v>
      </c>
      <c r="N21" s="26"/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'02 - 2023'!B28-'02 - 2023'!B27+'02 - 2023'!C28-'02 - 2023'!C27</f>
        <v>0</v>
      </c>
      <c r="F22">
        <v>0.11799999999999999</v>
      </c>
      <c r="G22" s="4">
        <f>'02 - 2023'!D28-'02 - 2023'!D27+'02 - 2023'!E28-'02 - 2023'!E27</f>
        <v>0</v>
      </c>
      <c r="H22">
        <v>0.99</v>
      </c>
      <c r="I22" s="4">
        <f>'02 - 2023'!J28-'02 - 2023'!J27</f>
        <v>0</v>
      </c>
      <c r="J22">
        <v>8.1000000000000003E-2</v>
      </c>
      <c r="K22" s="16">
        <f>'02 - 2023'!H28-'02 - 2023'!H27</f>
        <v>0</v>
      </c>
      <c r="L22" s="4">
        <f>'02 - 2023'!I28-'02 - 2023'!I27</f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topLeftCell="A7" workbookViewId="0">
      <selection activeCell="L19" sqref="L19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4105</v>
      </c>
      <c r="F15" s="4">
        <f>'02 - 2023'!C21-'02 - 2023'!C20</f>
        <v>5610</v>
      </c>
      <c r="G15">
        <v>0.11799999999999999</v>
      </c>
      <c r="H15" s="4">
        <f>'02 - 2023'!E21-'02 - 2023'!E20</f>
        <v>23.290000000000873</v>
      </c>
      <c r="I15" s="4">
        <f>'02 - 2023'!F21-'02 - 2023'!F20</f>
        <v>7.6700000000000728</v>
      </c>
      <c r="J15" s="4">
        <f>'02 - 2023'!G21-'02 - 2023'!G20</f>
        <v>37.069999999999709</v>
      </c>
      <c r="K15">
        <v>0.74</v>
      </c>
      <c r="L15" s="11">
        <v>93</v>
      </c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3891</v>
      </c>
      <c r="F16" s="4">
        <f>'02 - 2023'!C22-'02 - 2023'!C21</f>
        <v>5482</v>
      </c>
      <c r="G16">
        <v>0.11799999999999999</v>
      </c>
      <c r="H16" s="4">
        <f>'02 - 2023'!E22-'02 - 2023'!E21</f>
        <v>24.549999999999272</v>
      </c>
      <c r="I16" s="4">
        <f>'02 - 2023'!F22-'02 - 2023'!F21</f>
        <v>8</v>
      </c>
      <c r="J16" s="4">
        <f>'02 - 2023'!G22-'02 - 2023'!G21</f>
        <v>33.849999999998545</v>
      </c>
      <c r="K16">
        <v>0.74</v>
      </c>
      <c r="L16" s="11">
        <v>91</v>
      </c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3843</v>
      </c>
      <c r="F17" s="4">
        <f>'02 - 2023'!C23-'02 - 2023'!C22</f>
        <v>5559</v>
      </c>
      <c r="G17">
        <v>0.11799999999999999</v>
      </c>
      <c r="H17" s="4">
        <f>'02 - 2023'!E23-'02 - 2023'!E22</f>
        <v>26.469999999999345</v>
      </c>
      <c r="I17" s="4">
        <f>'02 - 2023'!F23-'02 - 2023'!F22</f>
        <v>7.339999999999236</v>
      </c>
      <c r="J17" s="4">
        <f>'02 - 2023'!G23-'02 - 2023'!G22</f>
        <v>32.150000000001455</v>
      </c>
      <c r="K17">
        <v>0.74</v>
      </c>
      <c r="L17" s="11">
        <v>99</v>
      </c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4096</v>
      </c>
      <c r="F18" s="4">
        <f>'02 - 2023'!C24-'02 - 2023'!C23</f>
        <v>5757</v>
      </c>
      <c r="G18">
        <v>0.11799999999999999</v>
      </c>
      <c r="H18" s="4">
        <f>'02 - 2023'!E24-'02 - 2023'!E23</f>
        <v>26.270000000000437</v>
      </c>
      <c r="I18" s="4">
        <f>'02 - 2023'!F24-'02 - 2023'!F23</f>
        <v>7.8900000000003274</v>
      </c>
      <c r="J18" s="4">
        <f>'02 - 2023'!G24-'02 - 2023'!G23</f>
        <v>40.150000000001455</v>
      </c>
      <c r="K18">
        <v>0.74</v>
      </c>
      <c r="L18" s="11">
        <v>95</v>
      </c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v>0</v>
      </c>
      <c r="F19" s="4">
        <v>0</v>
      </c>
      <c r="G19">
        <v>0.11799999999999999</v>
      </c>
      <c r="H19" s="4">
        <v>0</v>
      </c>
      <c r="I19" s="4">
        <v>0</v>
      </c>
      <c r="J19" s="4">
        <v>0</v>
      </c>
      <c r="K19">
        <v>0.74</v>
      </c>
      <c r="L19" s="11"/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0</v>
      </c>
      <c r="F20" s="4">
        <f>'02 - 2023'!C26-'02 - 2023'!C25</f>
        <v>0</v>
      </c>
      <c r="G20">
        <v>0.11799999999999999</v>
      </c>
      <c r="H20" s="4">
        <f>'02 - 2023'!E26-'02 - 2023'!E25</f>
        <v>0</v>
      </c>
      <c r="I20" s="4">
        <f>'02 - 2023'!F26-'02 - 2023'!F25</f>
        <v>0</v>
      </c>
      <c r="J20" s="4">
        <f>'02 - 2023'!G26-'02 - 2023'!G25</f>
        <v>0</v>
      </c>
      <c r="K20">
        <v>0.74</v>
      </c>
      <c r="L20" s="11"/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0</v>
      </c>
      <c r="F21" s="4">
        <f>'02 - 2023'!C27-'02 - 2023'!C26</f>
        <v>0</v>
      </c>
      <c r="G21">
        <v>0.11799999999999999</v>
      </c>
      <c r="H21" s="4">
        <f>'02 - 2023'!E27-'02 - 2023'!E26</f>
        <v>0</v>
      </c>
      <c r="I21" s="4">
        <f>'02 - 2023'!F27-'02 - 2023'!F26</f>
        <v>0</v>
      </c>
      <c r="J21" s="4">
        <f>'02 - 2023'!G27-'02 - 2023'!G26</f>
        <v>0</v>
      </c>
      <c r="K21">
        <v>0.74</v>
      </c>
      <c r="L21" s="26"/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f>'02 - 2023'!B28-'02 - 2023'!B27</f>
        <v>0</v>
      </c>
      <c r="F22" s="4">
        <f>'02 - 2023'!C28-'02 - 2023'!C27</f>
        <v>0</v>
      </c>
      <c r="G22">
        <v>0.11799999999999999</v>
      </c>
      <c r="H22" s="4">
        <f>'02 - 2023'!E28-'02 - 2023'!E27</f>
        <v>0</v>
      </c>
      <c r="I22" s="4">
        <f>'02 - 2023'!F28-'02 - 2023'!F27</f>
        <v>0</v>
      </c>
      <c r="J22" s="4">
        <f>'02 - 2023'!G28-'02 - 2023'!G27</f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abSelected="1" topLeftCell="A23" zoomScaleNormal="100" workbookViewId="0">
      <selection activeCell="K24" sqref="K24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>
        <v>4100</v>
      </c>
      <c r="L16" s="65"/>
      <c r="M16" s="22"/>
    </row>
    <row r="17" spans="1:19" s="23" customFormat="1" ht="12.95" customHeight="1">
      <c r="A17" s="54">
        <f t="shared" si="0"/>
        <v>44967</v>
      </c>
      <c r="B17" s="61">
        <v>1146339</v>
      </c>
      <c r="C17" s="61">
        <v>388556</v>
      </c>
      <c r="D17" s="62">
        <v>0.72</v>
      </c>
      <c r="E17" s="61">
        <v>8203.7199999999993</v>
      </c>
      <c r="F17" s="67">
        <v>4542.6400000000003</v>
      </c>
      <c r="G17" s="61">
        <v>50540.44</v>
      </c>
      <c r="H17" s="60">
        <v>14528</v>
      </c>
      <c r="I17" s="61">
        <v>187366</v>
      </c>
      <c r="J17" s="61">
        <v>62835390</v>
      </c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>
        <v>1150813</v>
      </c>
      <c r="C18" s="60">
        <v>394242</v>
      </c>
      <c r="D18" s="62">
        <v>0.62</v>
      </c>
      <c r="E18" s="61">
        <v>8231.5499999999993</v>
      </c>
      <c r="F18" s="61">
        <v>4550.58</v>
      </c>
      <c r="G18" s="61">
        <v>50579.97</v>
      </c>
      <c r="H18" s="60">
        <v>14528</v>
      </c>
      <c r="I18" s="60">
        <v>187484</v>
      </c>
      <c r="J18" s="60">
        <v>62845664</v>
      </c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>
        <v>1154984</v>
      </c>
      <c r="C19" s="60">
        <v>399720</v>
      </c>
      <c r="D19" s="62">
        <v>0.54</v>
      </c>
      <c r="E19" s="61">
        <v>8258</v>
      </c>
      <c r="F19" s="61">
        <v>4557.28</v>
      </c>
      <c r="G19" s="61">
        <v>50619.38</v>
      </c>
      <c r="H19" s="60">
        <v>14528</v>
      </c>
      <c r="I19" s="60">
        <v>187599</v>
      </c>
      <c r="J19" s="60">
        <v>62856664</v>
      </c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>
        <v>1158981</v>
      </c>
      <c r="C20" s="68">
        <v>405296</v>
      </c>
      <c r="D20" s="62">
        <v>0.48</v>
      </c>
      <c r="E20" s="60">
        <v>8288.07</v>
      </c>
      <c r="F20" s="60">
        <v>4564.43</v>
      </c>
      <c r="G20" s="69">
        <v>50653.96</v>
      </c>
      <c r="H20" s="60">
        <v>14528</v>
      </c>
      <c r="I20" s="68">
        <v>187703</v>
      </c>
      <c r="J20" s="68">
        <v>62868972</v>
      </c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>
        <v>1163086</v>
      </c>
      <c r="C21" s="68">
        <v>410906</v>
      </c>
      <c r="D21" s="62">
        <v>0.4</v>
      </c>
      <c r="E21" s="69">
        <v>8311.36</v>
      </c>
      <c r="F21" s="61">
        <v>4572.1000000000004</v>
      </c>
      <c r="G21" s="69">
        <v>50691.03</v>
      </c>
      <c r="H21" s="60">
        <v>14528</v>
      </c>
      <c r="I21" s="68">
        <v>187817</v>
      </c>
      <c r="J21" s="68">
        <v>62882376</v>
      </c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>
        <v>1166977</v>
      </c>
      <c r="C22" s="68">
        <v>416388</v>
      </c>
      <c r="D22" s="62">
        <v>0.35</v>
      </c>
      <c r="E22" s="69">
        <v>8335.91</v>
      </c>
      <c r="F22" s="61">
        <v>4580.1000000000004</v>
      </c>
      <c r="G22" s="69">
        <v>50724.88</v>
      </c>
      <c r="H22" s="60">
        <v>14528</v>
      </c>
      <c r="I22" s="68">
        <v>187924</v>
      </c>
      <c r="J22" s="68">
        <v>62896880</v>
      </c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>
        <v>1170820</v>
      </c>
      <c r="C23" s="68">
        <v>421947</v>
      </c>
      <c r="D23" s="62">
        <v>0.28000000000000003</v>
      </c>
      <c r="E23" s="69">
        <v>8362.3799999999992</v>
      </c>
      <c r="F23" s="61">
        <v>4587.4399999999996</v>
      </c>
      <c r="G23" s="69">
        <v>50757.03</v>
      </c>
      <c r="H23" s="60">
        <v>14528</v>
      </c>
      <c r="I23" s="68">
        <v>188036</v>
      </c>
      <c r="J23" s="68">
        <v>62911774</v>
      </c>
      <c r="K23" s="63">
        <v>4000</v>
      </c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>
        <v>1174916</v>
      </c>
      <c r="C24" s="68">
        <v>427704</v>
      </c>
      <c r="D24" s="62">
        <v>0.77</v>
      </c>
      <c r="E24" s="69">
        <v>8388.65</v>
      </c>
      <c r="F24" s="61">
        <v>4595.33</v>
      </c>
      <c r="G24" s="69">
        <v>50797.18</v>
      </c>
      <c r="H24" s="60">
        <v>14528</v>
      </c>
      <c r="I24" s="68">
        <v>188155</v>
      </c>
      <c r="J24" s="68">
        <v>62927607</v>
      </c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/>
      <c r="C25" s="69"/>
      <c r="D25" s="62"/>
      <c r="E25" s="69"/>
      <c r="F25" s="61"/>
      <c r="G25" s="69"/>
      <c r="H25" s="60"/>
      <c r="I25" s="68"/>
      <c r="J25" s="68"/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/>
      <c r="C26" s="69"/>
      <c r="D26" s="73"/>
      <c r="E26" s="69"/>
      <c r="F26" s="61"/>
      <c r="G26" s="69"/>
      <c r="H26" s="60"/>
      <c r="I26" s="68"/>
      <c r="J26" s="68"/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/>
      <c r="C27" s="68"/>
      <c r="D27" s="62"/>
      <c r="E27" s="69"/>
      <c r="F27" s="61"/>
      <c r="G27" s="69"/>
      <c r="H27" s="60"/>
      <c r="I27" s="68"/>
      <c r="J27" s="68"/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12050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64D059-F91F-4AE4-8F04-E7F81AAD4BB1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95166392-C5BA-4D28-B8E8-50F131BF5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2023-02-17T07:19:02Z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