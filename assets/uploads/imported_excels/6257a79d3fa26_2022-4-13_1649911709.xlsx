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7310" tabRatio="762" activeTab="1"/>
  </bookViews>
  <sheets>
    <sheet name="TOTAL" sheetId="11" r:id="rId1"/>
    <sheet name="FS Jimbaran September 2021" sheetId="14" r:id="rId2"/>
    <sheet name="RNs &amp; Covers September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9" i="14" l="1"/>
  <c r="Y50" i="14"/>
  <c r="Y52" i="14"/>
  <c r="Y53" i="14" s="1"/>
  <c r="Y51" i="14"/>
  <c r="Z49" i="14"/>
  <c r="Q46" i="14" l="1"/>
  <c r="R46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V51" i="14" l="1"/>
  <c r="V52" i="14" s="1"/>
  <c r="V53" i="14" s="1"/>
  <c r="V50" i="14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Y47" i="14" s="1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S46" i="14" s="1"/>
  <c r="Z46" i="14"/>
  <c r="Z47" i="14" s="1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<sst xmlns="http://schemas.openxmlformats.org/spreadsheetml/2006/main" count="111" uniqueCount="64">
  <si>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</si>
  <si>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</si>
  <si>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</si>
  <si>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</si>
  <si>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</si>
  <si>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</si>
  <si>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</si>
  <si>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</si>
  <si>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</si>
  <si>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</si>
  <si>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</si>
  <si>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</si>
  <si>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</si>
  <si>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</si>
  <si>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</si>
  <si>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</si>
  <si>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</si>
  <si>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</si>
  <si>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</si>
  <si>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</si>
  <si>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</si>
  <si>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</si>
  <si>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</si>
  <si>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</si>
  <si>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</si>
  <si>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</si>
  <si>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</si>
  <si>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</si>
  <si>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</si>
  <si>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</si>
  <si>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</si>
  <si>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</si>
  <si>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</si>
  <si>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</si>
  <si>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</si>
  <si>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</si>
  <si>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</si>
  <si>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</si>
  <si>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</si>
  <si>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</si>
  <si>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</si>
  <si>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</si>
  <si>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</si>
  <si>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</si>
  <si>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</si>
  <si>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</si>
  <si>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</si>
  <si>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</si>
  <si>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</si>
  <si>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</si>
  <si>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</si>
  <si>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</si>
  <si>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</si>
  <si>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>SEPTEMBER 2021</t>
  </si>
  <si>
    <t xml:space="preserve">Total Fuel Oil  (Liter) </t>
  </si>
  <si>
    <t>variance</t>
  </si>
  <si>
    <t>per RNs</t>
  </si>
  <si>
    <t>RNs</t>
  </si>
  <si>
    <t>Fcovers impact 60%</t>
  </si>
  <si>
    <t>Rooms only 40%</t>
  </si>
  <si>
    <t xml:space="preserve">Variable </t>
  </si>
  <si>
    <t>m3</t>
  </si>
  <si>
    <t>FIX</t>
  </si>
  <si>
    <t>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</si>
</sst>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87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5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8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2" applyNumberFormat="1" applyFont="1" applyBorder="1"/>
    <xf numFmtId="164" fontId="0" fillId="0" borderId="0" xfId="2" applyNumberFormat="1" applyFont="1" applyBorder="1" applyAlignment="1">
      <alignment horizontal="right"/>
    </xf>
    <xf numFmtId="164" fontId="0" fillId="0" borderId="0" xfId="2" applyFont="1" applyBorder="1"/>
    <xf numFmtId="166" fontId="17" fillId="0" borderId="0" xfId="0" applyNumberFormat="1" applyFont="1"/>
    <xf numFmtId="165" fontId="0" fillId="0" borderId="3" xfId="0" applyNumberFormat="1" applyBorder="1"/>
    <xf numFmtId="164" fontId="0" fillId="0" borderId="36" xfId="0" applyNumberFormat="1" applyBorder="1"/>
    <xf numFmtId="43" fontId="0" fillId="0" borderId="36" xfId="0" applyNumberFormat="1" applyBorder="1"/>
    <xf numFmtId="164" fontId="0" fillId="0" borderId="4" xfId="0" applyNumberFormat="1" applyBorder="1"/>
    <xf numFmtId="165" fontId="0" fillId="0" borderId="50" xfId="0" applyNumberFormat="1" applyBorder="1"/>
    <xf numFmtId="165" fontId="0" fillId="0" borderId="5" xfId="2" applyNumberFormat="1" applyFont="1" applyBorder="1"/>
    <xf numFmtId="0" fontId="17" fillId="12" borderId="50" xfId="0" applyFont="1" applyFill="1" applyBorder="1" applyAlignment="1">
      <alignment horizontal="center"/>
    </xf>
    <xf numFmtId="9" fontId="17" fillId="12" borderId="0" xfId="0" applyNumberFormat="1" applyFont="1" applyFill="1" applyBorder="1" applyAlignment="1">
      <alignment horizontal="right"/>
    </xf>
    <xf numFmtId="43" fontId="17" fillId="12" borderId="0" xfId="0" applyNumberFormat="1" applyFont="1" applyFill="1" applyBorder="1"/>
    <xf numFmtId="0" fontId="17" fillId="12" borderId="5" xfId="0" applyFont="1" applyFill="1" applyBorder="1"/>
    <xf numFmtId="0" fontId="17" fillId="0" borderId="0" xfId="0" applyFont="1" applyBorder="1" applyAlignment="1">
      <alignment horizontal="right"/>
    </xf>
    <xf numFmtId="43" fontId="17" fillId="0" borderId="0" xfId="0" applyNumberFormat="1" applyFont="1" applyBorder="1"/>
    <xf numFmtId="0" fontId="17" fillId="0" borderId="5" xfId="0" applyFont="1" applyBorder="1"/>
    <xf numFmtId="0" fontId="17" fillId="12" borderId="0" xfId="0" applyFont="1" applyFill="1" applyBorder="1"/>
    <xf numFmtId="166" fontId="17" fillId="12" borderId="5" xfId="0" applyNumberFormat="1" applyFont="1" applyFill="1" applyBorder="1"/>
    <xf numFmtId="0" fontId="17" fillId="12" borderId="23" xfId="0" applyFont="1" applyFill="1" applyBorder="1"/>
    <xf numFmtId="43" fontId="17" fillId="12" borderId="23" xfId="0" applyNumberFormat="1" applyFont="1" applyFill="1" applyBorder="1"/>
    <xf numFmtId="166" fontId="17" fillId="12" borderId="7" xfId="0" applyNumberFormat="1" applyFont="1" applyFill="1" applyBorder="1"/>
    <xf numFmtId="166" fontId="17" fillId="0" borderId="0" xfId="0" applyNumberFormat="1" applyFont="1" applyBorder="1"/>
    <xf numFmtId="0" fontId="17" fillId="0" borderId="0" xfId="0" applyFont="1" applyBorder="1"/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7" fillId="12" borderId="50" xfId="0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I34" sqref="I34"/>
    </sheetView>
  </sheetViews>
  <sheetFormatPr defaultColWidth="11.54296875" defaultRowHeight="14.5" x14ac:dyDescent="0.35"/>
  <cols>
    <col min="1" max="1" width="18.453125" style="166" customWidth="1"/>
    <col min="2" max="2" width="11.54296875" style="167"/>
    <col min="3" max="3" width="11.54296875" style="168"/>
    <col min="4" max="4" width="13.453125" style="167" customWidth="1"/>
    <col min="5" max="5" width="12.54296875" style="165" customWidth="1"/>
    <col min="6" max="6" width="12.54296875" style="169" customWidth="1"/>
    <col min="7" max="7" width="11.54296875" style="165"/>
    <col min="8" max="8" width="11.54296875" style="169"/>
    <col min="9" max="9" width="11.54296875" style="170"/>
    <col min="10" max="10" width="11.54296875" style="171"/>
    <col min="11" max="11" width="11.54296875" style="165"/>
    <col min="12" max="12" width="11.54296875" style="171"/>
    <col min="13" max="26" width="11.54296875" style="165"/>
  </cols>
  <sheetData>
    <row r="1" spans="1:15" s="159" customFormat="1" ht="43.5" x14ac:dyDescent="0.35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54</v>
      </c>
      <c r="J1" s="157" t="s">
        <v>50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x14ac:dyDescent="0.35">
      <c r="A2" s="160" t="s">
        <v>49</v>
      </c>
      <c r="B2" s="161">
        <v>1</v>
      </c>
      <c r="C2" s="162">
        <v>9</v>
      </c>
      <c r="D2" s="161">
        <v>2021</v>
      </c>
      <c r="E2" s="163">
        <f>'FS Jimbaran September 2021'!P12</f>
        <v>13499.999999999758</v>
      </c>
      <c r="F2" s="172">
        <f>'FS Jimbaran September 2021'!O12/'FS Jimbaran September 2021'!P12</f>
        <v>1126.314844444446</v>
      </c>
      <c r="G2" s="163">
        <f>'FS Jimbaran September 2021'!AG12</f>
        <v>0</v>
      </c>
      <c r="H2" s="172" t="e">
        <f>'FS Jimbaran September 2021'!AH12/'FS Jimbaran September 2021'!AG12</f>
        <v>#DIV/0!</v>
      </c>
      <c r="I2" s="163">
        <f>'FS Jimbaran September 2021'!AJ12</f>
        <v>366.06999999999971</v>
      </c>
      <c r="J2" s="164">
        <f>'FS Jimbaran September 2021'!AK12/'FS Jimbaran September 2021'!AJ12</f>
        <v>9900</v>
      </c>
      <c r="K2" s="163">
        <f>'FS Jimbaran September 2021'!V12</f>
        <v>793.88</v>
      </c>
      <c r="L2" s="172">
        <f>'FS Jimbaran September 2021'!AA12/'FS Jimbaran September 2021'!V12</f>
        <v>6199.3455156950677</v>
      </c>
      <c r="M2" s="163">
        <f>+'RNs &amp; Covers September 2021'!B6</f>
        <v>3</v>
      </c>
      <c r="N2" s="174">
        <f>+'RNs &amp; Covers September 2021'!C6</f>
        <v>48</v>
      </c>
    </row>
    <row r="3" spans="1:15" x14ac:dyDescent="0.35">
      <c r="A3" s="160" t="s">
        <v>49</v>
      </c>
      <c r="B3" s="161">
        <f>B2+1</f>
        <v>2</v>
      </c>
      <c r="C3" s="162">
        <v>9</v>
      </c>
      <c r="D3" s="161">
        <v>2021</v>
      </c>
      <c r="E3" s="174">
        <f>'FS Jimbaran September 2021'!P13</f>
        <v>13260.000000000304</v>
      </c>
      <c r="F3" s="172">
        <f>'FS Jimbaran September 2021'!O13/'FS Jimbaran September 2021'!P13</f>
        <v>1125.6100904977327</v>
      </c>
      <c r="G3" s="174">
        <f>'FS Jimbaran September 2021'!AG13</f>
        <v>12</v>
      </c>
      <c r="H3" s="172">
        <f>'FS Jimbaran September 2021'!AH13/'FS Jimbaran September 2021'!AG13</f>
        <v>11458.333333333334</v>
      </c>
      <c r="I3" s="174">
        <f>'FS Jimbaran September 2021'!AJ13</f>
        <v>254.29000000000087</v>
      </c>
      <c r="J3" s="164">
        <f>'FS Jimbaran September 2021'!AK13/'FS Jimbaran September 2021'!AJ13</f>
        <v>9900</v>
      </c>
      <c r="K3" s="174">
        <f>'FS Jimbaran September 2021'!V13</f>
        <v>946.96</v>
      </c>
      <c r="L3" s="172">
        <f>'FS Jimbaran September 2021'!AA13/'FS Jimbaran September 2021'!V13</f>
        <v>5883.4465789473688</v>
      </c>
      <c r="M3" s="174">
        <f>+'RNs &amp; Covers September 2021'!B7</f>
        <v>5</v>
      </c>
      <c r="N3" s="174">
        <f>+'RNs &amp; Covers September 2021'!C7</f>
        <v>43</v>
      </c>
    </row>
    <row r="4" spans="1:15" x14ac:dyDescent="0.35">
      <c r="A4" s="160" t="s">
        <v>49</v>
      </c>
      <c r="B4" s="161">
        <f t="shared" ref="B4:B31" si="0">B3+1</f>
        <v>3</v>
      </c>
      <c r="C4" s="162">
        <v>9</v>
      </c>
      <c r="D4" s="161">
        <v>2021</v>
      </c>
      <c r="E4" s="174">
        <f>'FS Jimbaran September 2021'!P14</f>
        <v>13679.999999999807</v>
      </c>
      <c r="F4" s="172">
        <f>'FS Jimbaran September 2021'!O14/'FS Jimbaran September 2021'!P14</f>
        <v>1135.7236842105283</v>
      </c>
      <c r="G4" s="174">
        <f>'FS Jimbaran September 2021'!AG14</f>
        <v>36</v>
      </c>
      <c r="H4" s="172">
        <f>'FS Jimbaran September 2021'!AH14/'FS Jimbaran September 2021'!AG14</f>
        <v>11458.333333333334</v>
      </c>
      <c r="I4" s="174">
        <f>'FS Jimbaran September 2021'!AJ14</f>
        <v>341.29999999999563</v>
      </c>
      <c r="J4" s="164">
        <f>'FS Jimbaran September 2021'!AK14/'FS Jimbaran September 2021'!AJ14</f>
        <v>9900</v>
      </c>
      <c r="K4" s="174">
        <f>'FS Jimbaran September 2021'!V14</f>
        <v>952.30000000000007</v>
      </c>
      <c r="L4" s="172">
        <f>'FS Jimbaran September 2021'!AA14/'FS Jimbaran September 2021'!V14</f>
        <v>5822.950429906542</v>
      </c>
      <c r="M4" s="174">
        <f>+'RNs &amp; Covers September 2021'!B8</f>
        <v>6</v>
      </c>
      <c r="N4" s="174">
        <f>+'RNs &amp; Covers September 2021'!C8</f>
        <v>84</v>
      </c>
    </row>
    <row r="5" spans="1:15" x14ac:dyDescent="0.35">
      <c r="A5" s="160" t="s">
        <v>49</v>
      </c>
      <c r="B5" s="161">
        <f t="shared" si="0"/>
        <v>4</v>
      </c>
      <c r="C5" s="162">
        <v>9</v>
      </c>
      <c r="D5" s="161">
        <v>2021</v>
      </c>
      <c r="E5" s="174">
        <f>'FS Jimbaran September 2021'!P15</f>
        <v>13820.000000000051</v>
      </c>
      <c r="F5" s="172">
        <f>'FS Jimbaran September 2021'!O15/'FS Jimbaran September 2021'!P15</f>
        <v>1123.4690448625188</v>
      </c>
      <c r="G5" s="174">
        <f>'FS Jimbaran September 2021'!AG15</f>
        <v>0</v>
      </c>
      <c r="H5" s="172" t="e">
        <f>'FS Jimbaran September 2021'!AH15/'FS Jimbaran September 2021'!AG15</f>
        <v>#DIV/0!</v>
      </c>
      <c r="I5" s="174">
        <f>'FS Jimbaran September 2021'!AJ15</f>
        <v>364.98000000003958</v>
      </c>
      <c r="J5" s="164">
        <f>'FS Jimbaran September 2021'!AK15/'FS Jimbaran September 2021'!AJ15</f>
        <v>9900</v>
      </c>
      <c r="K5" s="174">
        <f>'FS Jimbaran September 2021'!V15</f>
        <v>841.05</v>
      </c>
      <c r="L5" s="172">
        <f>'FS Jimbaran September 2021'!AA15/'FS Jimbaran September 2021'!V15</f>
        <v>6118.7951111111115</v>
      </c>
      <c r="M5" s="174">
        <f>+'RNs &amp; Covers September 2021'!B9</f>
        <v>5</v>
      </c>
      <c r="N5" s="174">
        <f>+'RNs &amp; Covers September 2021'!C9</f>
        <v>67</v>
      </c>
    </row>
    <row r="6" spans="1:15" x14ac:dyDescent="0.35">
      <c r="A6" s="160" t="s">
        <v>49</v>
      </c>
      <c r="B6" s="161">
        <f t="shared" si="0"/>
        <v>5</v>
      </c>
      <c r="C6" s="162">
        <v>9</v>
      </c>
      <c r="D6" s="161">
        <v>2021</v>
      </c>
      <c r="E6" s="174">
        <f>'FS Jimbaran September 2021'!P16</f>
        <v>13659.999999999798</v>
      </c>
      <c r="F6" s="172">
        <f>'FS Jimbaran September 2021'!O16/'FS Jimbaran September 2021'!P16</f>
        <v>1132.0787262079064</v>
      </c>
      <c r="G6" s="174">
        <f>'FS Jimbaran September 2021'!AG16</f>
        <v>12</v>
      </c>
      <c r="H6" s="172">
        <f>'FS Jimbaran September 2021'!AH16/'FS Jimbaran September 2021'!AG16</f>
        <v>11458.333333333334</v>
      </c>
      <c r="I6" s="174">
        <f>'FS Jimbaran September 2021'!AJ16</f>
        <v>287.83000000000175</v>
      </c>
      <c r="J6" s="164">
        <f>'FS Jimbaran September 2021'!AK16/'FS Jimbaran September 2021'!AJ16</f>
        <v>9900</v>
      </c>
      <c r="K6" s="174">
        <f>'FS Jimbaran September 2021'!V16</f>
        <v>794.77</v>
      </c>
      <c r="L6" s="172">
        <f>'FS Jimbaran September 2021'!AA16/'FS Jimbaran September 2021'!V16</f>
        <v>6197.1572004479285</v>
      </c>
      <c r="M6" s="174">
        <f>+'RNs &amp; Covers September 2021'!B10</f>
        <v>5</v>
      </c>
      <c r="N6" s="174">
        <f>+'RNs &amp; Covers September 2021'!C10</f>
        <v>84</v>
      </c>
    </row>
    <row r="7" spans="1:15" x14ac:dyDescent="0.35">
      <c r="A7" s="160" t="s">
        <v>49</v>
      </c>
      <c r="B7" s="161">
        <f t="shared" si="0"/>
        <v>6</v>
      </c>
      <c r="C7" s="162">
        <v>9</v>
      </c>
      <c r="D7" s="161">
        <v>2021</v>
      </c>
      <c r="E7" s="174">
        <f>'FS Jimbaran September 2021'!P17</f>
        <v>13600.000000000207</v>
      </c>
      <c r="F7" s="172">
        <f>'FS Jimbaran September 2021'!O17/'FS Jimbaran September 2021'!P17</f>
        <v>1123.3643382352957</v>
      </c>
      <c r="G7" s="174">
        <f>'FS Jimbaran September 2021'!AG17</f>
        <v>50</v>
      </c>
      <c r="H7" s="172">
        <f>'FS Jimbaran September 2021'!AH17/'FS Jimbaran September 2021'!AG17</f>
        <v>14180</v>
      </c>
      <c r="I7" s="174">
        <f>'FS Jimbaran September 2021'!AJ17</f>
        <v>321.56999999999971</v>
      </c>
      <c r="J7" s="164">
        <f>'FS Jimbaran September 2021'!AK17/'FS Jimbaran September 2021'!AJ17</f>
        <v>9900</v>
      </c>
      <c r="K7" s="174">
        <f>'FS Jimbaran September 2021'!V17</f>
        <v>916.7</v>
      </c>
      <c r="L7" s="172">
        <f>'FS Jimbaran September 2021'!AA17/'FS Jimbaran September 2021'!V17</f>
        <v>5924.1997281553404</v>
      </c>
      <c r="M7" s="174">
        <f>+'RNs &amp; Covers September 2021'!B11</f>
        <v>4</v>
      </c>
      <c r="N7" s="174">
        <f>+'RNs &amp; Covers September 2021'!C11</f>
        <v>65</v>
      </c>
    </row>
    <row r="8" spans="1:15" x14ac:dyDescent="0.35">
      <c r="A8" s="160" t="s">
        <v>49</v>
      </c>
      <c r="B8" s="161">
        <f t="shared" si="0"/>
        <v>7</v>
      </c>
      <c r="C8" s="162">
        <v>9</v>
      </c>
      <c r="D8" s="161">
        <v>2021</v>
      </c>
      <c r="E8" s="174">
        <f>'FS Jimbaran September 2021'!P18</f>
        <v>13899.999999999822</v>
      </c>
      <c r="F8" s="172">
        <f>'FS Jimbaran September 2021'!O18/'FS Jimbaran September 2021'!P18</f>
        <v>1124.4546906474811</v>
      </c>
      <c r="G8" s="174">
        <f>'FS Jimbaran September 2021'!AG18</f>
        <v>0</v>
      </c>
      <c r="H8" s="172" t="e">
        <f>'FS Jimbaran September 2021'!AH18/'FS Jimbaran September 2021'!AG18</f>
        <v>#DIV/0!</v>
      </c>
      <c r="I8" s="174">
        <f>'FS Jimbaran September 2021'!AJ18</f>
        <v>287.50999999999476</v>
      </c>
      <c r="J8" s="164">
        <f>'FS Jimbaran September 2021'!AK18/'FS Jimbaran September 2021'!AJ18</f>
        <v>9900</v>
      </c>
      <c r="K8" s="174">
        <f>'FS Jimbaran September 2021'!V18</f>
        <v>824.14</v>
      </c>
      <c r="L8" s="172">
        <f>'FS Jimbaran September 2021'!AA18/'FS Jimbaran September 2021'!V18</f>
        <v>6142.4164578833697</v>
      </c>
      <c r="M8" s="174">
        <f>+'RNs &amp; Covers September 2021'!B12</f>
        <v>4</v>
      </c>
      <c r="N8" s="174">
        <f>+'RNs &amp; Covers September 2021'!C12</f>
        <v>56</v>
      </c>
    </row>
    <row r="9" spans="1:15" x14ac:dyDescent="0.35">
      <c r="A9" s="160" t="s">
        <v>49</v>
      </c>
      <c r="B9" s="161">
        <f t="shared" si="0"/>
        <v>8</v>
      </c>
      <c r="C9" s="162">
        <v>9</v>
      </c>
      <c r="D9" s="161">
        <v>2021</v>
      </c>
      <c r="E9" s="174">
        <f>'FS Jimbaran September 2021'!P19</f>
        <v>13940.000000000382</v>
      </c>
      <c r="F9" s="172">
        <f>'FS Jimbaran September 2021'!O19/'FS Jimbaran September 2021'!P19</f>
        <v>1126.429325681491</v>
      </c>
      <c r="G9" s="174">
        <f>'FS Jimbaran September 2021'!AG19</f>
        <v>0</v>
      </c>
      <c r="H9" s="172" t="e">
        <f>'FS Jimbaran September 2021'!AH19/'FS Jimbaran September 2021'!AG19</f>
        <v>#DIV/0!</v>
      </c>
      <c r="I9" s="174">
        <f>'FS Jimbaran September 2021'!AJ19</f>
        <v>359.20999999999913</v>
      </c>
      <c r="J9" s="164">
        <f>'FS Jimbaran September 2021'!AK19/'FS Jimbaran September 2021'!AJ19</f>
        <v>9900</v>
      </c>
      <c r="K9" s="174">
        <f>'FS Jimbaran September 2021'!V19</f>
        <v>940.73</v>
      </c>
      <c r="L9" s="172">
        <f>'FS Jimbaran September 2021'!AA19/'FS Jimbaran September 2021'!V19</f>
        <v>5907.2811920529803</v>
      </c>
      <c r="M9" s="174">
        <f>+'RNs &amp; Covers September 2021'!B13</f>
        <v>3</v>
      </c>
      <c r="N9" s="174">
        <f>+'RNs &amp; Covers September 2021'!C13</f>
        <v>58</v>
      </c>
      <c r="O9" s="165" t="s">
        <v>46</v>
      </c>
    </row>
    <row r="10" spans="1:15" x14ac:dyDescent="0.35">
      <c r="A10" s="160" t="s">
        <v>49</v>
      </c>
      <c r="B10" s="161">
        <f t="shared" si="0"/>
        <v>9</v>
      </c>
      <c r="C10" s="162">
        <v>9</v>
      </c>
      <c r="D10" s="161">
        <v>2021</v>
      </c>
      <c r="E10" s="174">
        <f>'FS Jimbaran September 2021'!P20</f>
        <v>13719.999999999913</v>
      </c>
      <c r="F10" s="172">
        <f>'FS Jimbaran September 2021'!O20/'FS Jimbaran September 2021'!P20</f>
        <v>1123.3532361516018</v>
      </c>
      <c r="G10" s="174">
        <f>'FS Jimbaran September 2021'!AG20</f>
        <v>0</v>
      </c>
      <c r="H10" s="172" t="e">
        <f>'FS Jimbaran September 2021'!AH20/'FS Jimbaran September 2021'!AG20</f>
        <v>#DIV/0!</v>
      </c>
      <c r="I10" s="174">
        <f>'FS Jimbaran September 2021'!AJ20</f>
        <v>255.20000000000437</v>
      </c>
      <c r="J10" s="164">
        <f>'FS Jimbaran September 2021'!AK20/'FS Jimbaran September 2021'!AJ20</f>
        <v>9900</v>
      </c>
      <c r="K10" s="174">
        <f>'FS Jimbaran September 2021'!V20</f>
        <v>914.92</v>
      </c>
      <c r="L10" s="172">
        <f>'FS Jimbaran September 2021'!AA20/'FS Jimbaran September 2021'!V20</f>
        <v>5954.1692607003897</v>
      </c>
      <c r="M10" s="174">
        <f>+'RNs &amp; Covers September 2021'!B14</f>
        <v>2</v>
      </c>
      <c r="N10" s="174">
        <f>+'RNs &amp; Covers September 2021'!C14</f>
        <v>61</v>
      </c>
    </row>
    <row r="11" spans="1:15" x14ac:dyDescent="0.35">
      <c r="A11" s="160" t="s">
        <v>49</v>
      </c>
      <c r="B11" s="161">
        <f t="shared" si="0"/>
        <v>10</v>
      </c>
      <c r="C11" s="162">
        <v>9</v>
      </c>
      <c r="D11" s="161">
        <v>2021</v>
      </c>
      <c r="E11" s="174">
        <f>'FS Jimbaran September 2021'!P21</f>
        <v>13979.999999999876</v>
      </c>
      <c r="F11" s="172">
        <f>'FS Jimbaran September 2021'!O21/'FS Jimbaran September 2021'!P21</f>
        <v>1125.4290557939917</v>
      </c>
      <c r="G11" s="174">
        <f>'FS Jimbaran September 2021'!AG21</f>
        <v>0</v>
      </c>
      <c r="H11" s="172" t="e">
        <f>'FS Jimbaran September 2021'!AH21/'FS Jimbaran September 2021'!AG21</f>
        <v>#DIV/0!</v>
      </c>
      <c r="I11" s="174">
        <f>'FS Jimbaran September 2021'!AJ21</f>
        <v>318.40999999999622</v>
      </c>
      <c r="J11" s="164">
        <f>'FS Jimbaran September 2021'!AK21/'FS Jimbaran September 2021'!AJ21</f>
        <v>9900</v>
      </c>
      <c r="K11" s="174">
        <f>'FS Jimbaran September 2021'!V21</f>
        <v>824.1400000000001</v>
      </c>
      <c r="L11" s="172">
        <f>'FS Jimbaran September 2021'!AA21/'FS Jimbaran September 2021'!V21</f>
        <v>6157.2386177105836</v>
      </c>
      <c r="M11" s="174">
        <f>+'RNs &amp; Covers September 2021'!B15</f>
        <v>2</v>
      </c>
      <c r="N11" s="174">
        <f>+'RNs &amp; Covers September 2021'!C15</f>
        <v>88</v>
      </c>
    </row>
    <row r="12" spans="1:15" x14ac:dyDescent="0.35">
      <c r="A12" s="160" t="s">
        <v>49</v>
      </c>
      <c r="B12" s="161">
        <f t="shared" si="0"/>
        <v>11</v>
      </c>
      <c r="C12" s="162">
        <v>9</v>
      </c>
      <c r="D12" s="161">
        <v>2021</v>
      </c>
      <c r="E12" s="174">
        <f>'FS Jimbaran September 2021'!P22</f>
        <v>13360.000000000156</v>
      </c>
      <c r="F12" s="172">
        <f>'FS Jimbaran September 2021'!O22/'FS Jimbaran September 2021'!P22</f>
        <v>1121.8365718562864</v>
      </c>
      <c r="G12" s="174">
        <f>'FS Jimbaran September 2021'!AG22</f>
        <v>0</v>
      </c>
      <c r="H12" s="172" t="e">
        <f>'FS Jimbaran September 2021'!AH22/'FS Jimbaran September 2021'!AG22</f>
        <v>#DIV/0!</v>
      </c>
      <c r="I12" s="174">
        <f>'FS Jimbaran September 2021'!AJ22</f>
        <v>118.94000000000233</v>
      </c>
      <c r="J12" s="164">
        <f>'FS Jimbaran September 2021'!AK22/'FS Jimbaran September 2021'!AJ22</f>
        <v>9900</v>
      </c>
      <c r="K12" s="174">
        <f>'FS Jimbaran September 2021'!V22</f>
        <v>713.78</v>
      </c>
      <c r="L12" s="172">
        <f>'FS Jimbaran September 2021'!AA22/'FS Jimbaran September 2021'!V22</f>
        <v>6435.75476309227</v>
      </c>
      <c r="M12" s="174">
        <f>+'RNs &amp; Covers September 2021'!B16</f>
        <v>1</v>
      </c>
      <c r="N12" s="174">
        <f>+'RNs &amp; Covers September 2021'!C16</f>
        <v>55</v>
      </c>
    </row>
    <row r="13" spans="1:15" x14ac:dyDescent="0.35">
      <c r="A13" s="160" t="s">
        <v>49</v>
      </c>
      <c r="B13" s="161">
        <f t="shared" si="0"/>
        <v>12</v>
      </c>
      <c r="C13" s="162">
        <v>9</v>
      </c>
      <c r="D13" s="161">
        <v>2021</v>
      </c>
      <c r="E13" s="174">
        <f>'FS Jimbaran September 2021'!P23</f>
        <v>12799.999999999683</v>
      </c>
      <c r="F13" s="172">
        <f>'FS Jimbaran September 2021'!O23/'FS Jimbaran September 2021'!P23</f>
        <v>1123.1739375000038</v>
      </c>
      <c r="G13" s="174">
        <f>'FS Jimbaran September 2021'!AG23</f>
        <v>12</v>
      </c>
      <c r="H13" s="172">
        <f>'FS Jimbaran September 2021'!AH23/'FS Jimbaran September 2021'!AG23</f>
        <v>11458.333333333334</v>
      </c>
      <c r="I13" s="174">
        <f>'FS Jimbaran September 2021'!AJ23</f>
        <v>119.33000000000175</v>
      </c>
      <c r="J13" s="164">
        <f>'FS Jimbaran September 2021'!AK23/'FS Jimbaran September 2021'!AJ23</f>
        <v>9900</v>
      </c>
      <c r="K13" s="174">
        <f>'FS Jimbaran September 2021'!V23</f>
        <v>765.4</v>
      </c>
      <c r="L13" s="172">
        <f>'FS Jimbaran September 2021'!AA23/'FS Jimbaran September 2021'!V23</f>
        <v>6288.0183255813954</v>
      </c>
      <c r="M13" s="174">
        <f>+'RNs &amp; Covers September 2021'!B17</f>
        <v>2</v>
      </c>
      <c r="N13" s="174">
        <f>+'RNs &amp; Covers September 2021'!C17</f>
        <v>63</v>
      </c>
    </row>
    <row r="14" spans="1:15" x14ac:dyDescent="0.35">
      <c r="A14" s="160" t="s">
        <v>49</v>
      </c>
      <c r="B14" s="161">
        <f t="shared" si="0"/>
        <v>13</v>
      </c>
      <c r="C14" s="162">
        <v>9</v>
      </c>
      <c r="D14" s="161">
        <v>2021</v>
      </c>
      <c r="E14" s="174">
        <f>'FS Jimbaran September 2021'!P24</f>
        <v>13100.000000000307</v>
      </c>
      <c r="F14" s="172">
        <f>'FS Jimbaran September 2021'!O24/'FS Jimbaran September 2021'!P24</f>
        <v>1122.7538931297686</v>
      </c>
      <c r="G14" s="174">
        <f>'FS Jimbaran September 2021'!AG24</f>
        <v>12</v>
      </c>
      <c r="H14" s="172">
        <f>'FS Jimbaran September 2021'!AH24/'FS Jimbaran September 2021'!AG24</f>
        <v>11458.333333333334</v>
      </c>
      <c r="I14" s="174">
        <f>'FS Jimbaran September 2021'!AJ24</f>
        <v>387.80999999999767</v>
      </c>
      <c r="J14" s="164">
        <f>'FS Jimbaran September 2021'!AK24/'FS Jimbaran September 2021'!AJ24</f>
        <v>9900</v>
      </c>
      <c r="K14" s="174">
        <f>'FS Jimbaran September 2021'!V24</f>
        <v>656.82</v>
      </c>
      <c r="L14" s="172">
        <f>'FS Jimbaran September 2021'!AA24/'FS Jimbaran September 2021'!V24</f>
        <v>6700.1152845528459</v>
      </c>
      <c r="M14" s="174">
        <f>+'RNs &amp; Covers September 2021'!B18</f>
        <v>1</v>
      </c>
      <c r="N14" s="174">
        <f>+'RNs &amp; Covers September 2021'!C18</f>
        <v>24</v>
      </c>
    </row>
    <row r="15" spans="1:15" x14ac:dyDescent="0.35">
      <c r="A15" s="160" t="s">
        <v>49</v>
      </c>
      <c r="B15" s="161">
        <f t="shared" si="0"/>
        <v>14</v>
      </c>
      <c r="C15" s="162">
        <v>9</v>
      </c>
      <c r="D15" s="161">
        <v>2021</v>
      </c>
      <c r="E15" s="174">
        <f>'FS Jimbaran September 2021'!P25</f>
        <v>13279.99999999966</v>
      </c>
      <c r="F15" s="172">
        <f>'FS Jimbaran September 2021'!O25/'FS Jimbaran September 2021'!P25</f>
        <v>1122.3549849397612</v>
      </c>
      <c r="G15" s="174">
        <f>'FS Jimbaran September 2021'!AG25</f>
        <v>0</v>
      </c>
      <c r="H15" s="172" t="e">
        <f>'FS Jimbaran September 2021'!AH25/'FS Jimbaran September 2021'!AG25</f>
        <v>#DIV/0!</v>
      </c>
      <c r="I15" s="174">
        <f>'FS Jimbaran September 2021'!AJ25</f>
        <v>299.70999999999913</v>
      </c>
      <c r="J15" s="164">
        <f>'FS Jimbaran September 2021'!AK25/'FS Jimbaran September 2021'!AJ25</f>
        <v>9900</v>
      </c>
      <c r="K15" s="174">
        <f>'FS Jimbaran September 2021'!V25</f>
        <v>635.46</v>
      </c>
      <c r="L15" s="172">
        <f>'FS Jimbaran September 2021'!AA25/'FS Jimbaran September 2021'!V25</f>
        <v>6744.1878431372552</v>
      </c>
      <c r="M15" s="174">
        <f>+'RNs &amp; Covers September 2021'!B19</f>
        <v>13</v>
      </c>
      <c r="N15" s="174">
        <f>+'RNs &amp; Covers September 2021'!C19</f>
        <v>50</v>
      </c>
    </row>
    <row r="16" spans="1:15" x14ac:dyDescent="0.35">
      <c r="A16" s="160" t="s">
        <v>49</v>
      </c>
      <c r="B16" s="161">
        <f t="shared" si="0"/>
        <v>15</v>
      </c>
      <c r="C16" s="162">
        <v>9</v>
      </c>
      <c r="D16" s="161">
        <v>2021</v>
      </c>
      <c r="E16" s="174">
        <f>'FS Jimbaran September 2021'!P26</f>
        <v>13740.000000000293</v>
      </c>
      <c r="F16" s="172">
        <f>'FS Jimbaran September 2021'!O26/'FS Jimbaran September 2021'!P26</f>
        <v>1124.733449781656</v>
      </c>
      <c r="G16" s="174">
        <f>'FS Jimbaran September 2021'!AG26</f>
        <v>412</v>
      </c>
      <c r="H16" s="172">
        <f>'FS Jimbaran September 2021'!AH26/'FS Jimbaran September 2021'!AG26</f>
        <v>14100.728155339806</v>
      </c>
      <c r="I16" s="174">
        <f>'FS Jimbaran September 2021'!AJ26</f>
        <v>184.90000000000146</v>
      </c>
      <c r="J16" s="164">
        <f>'FS Jimbaran September 2021'!AK26/'FS Jimbaran September 2021'!AJ26</f>
        <v>9900</v>
      </c>
      <c r="K16" s="174">
        <f>'FS Jimbaran September 2021'!V26</f>
        <v>758.28</v>
      </c>
      <c r="L16" s="172">
        <f>'FS Jimbaran September 2021'!AA26/'FS Jimbaran September 2021'!V26</f>
        <v>6581.0619248826306</v>
      </c>
      <c r="M16" s="174">
        <f>+'RNs &amp; Covers September 2021'!B20</f>
        <v>7</v>
      </c>
      <c r="N16" s="174">
        <f>+'RNs &amp; Covers September 2021'!C20</f>
        <v>52</v>
      </c>
    </row>
    <row r="17" spans="1:14" x14ac:dyDescent="0.35">
      <c r="A17" s="160" t="s">
        <v>49</v>
      </c>
      <c r="B17" s="161">
        <f t="shared" si="0"/>
        <v>16</v>
      </c>
      <c r="C17" s="162">
        <v>9</v>
      </c>
      <c r="D17" s="161">
        <v>2021</v>
      </c>
      <c r="E17" s="174">
        <f>'FS Jimbaran September 2021'!P27</f>
        <v>13460.000000000036</v>
      </c>
      <c r="F17" s="172">
        <f>'FS Jimbaran September 2021'!O27/'FS Jimbaran September 2021'!P27</f>
        <v>1122.736270430908</v>
      </c>
      <c r="G17" s="174">
        <f>'FS Jimbaran September 2021'!AG27</f>
        <v>0</v>
      </c>
      <c r="H17" s="172" t="e">
        <f>'FS Jimbaran September 2021'!AH27/'FS Jimbaran September 2021'!AG27</f>
        <v>#DIV/0!</v>
      </c>
      <c r="I17" s="174">
        <f>'FS Jimbaran September 2021'!AJ27</f>
        <v>173.80000000000291</v>
      </c>
      <c r="J17" s="164">
        <f>'FS Jimbaran September 2021'!AK27/'FS Jimbaran September 2021'!AJ27</f>
        <v>9900</v>
      </c>
      <c r="K17" s="174">
        <f>'FS Jimbaran September 2021'!V27</f>
        <v>817.91</v>
      </c>
      <c r="L17" s="172">
        <f>'FS Jimbaran September 2021'!AA27/'FS Jimbaran September 2021'!V27</f>
        <v>6156.8676605005448</v>
      </c>
      <c r="M17" s="174">
        <f>+'RNs &amp; Covers September 2021'!B21</f>
        <v>4</v>
      </c>
      <c r="N17" s="174">
        <f>+'RNs &amp; Covers September 2021'!C21</f>
        <v>36</v>
      </c>
    </row>
    <row r="18" spans="1:14" x14ac:dyDescent="0.35">
      <c r="A18" s="160" t="s">
        <v>49</v>
      </c>
      <c r="B18" s="161">
        <f t="shared" si="0"/>
        <v>17</v>
      </c>
      <c r="C18" s="162">
        <v>9</v>
      </c>
      <c r="D18" s="161">
        <v>2021</v>
      </c>
      <c r="E18" s="174">
        <f>'FS Jimbaran September 2021'!P28</f>
        <v>13639.999999999858</v>
      </c>
      <c r="F18" s="172">
        <f>'FS Jimbaran September 2021'!O28/'FS Jimbaran September 2021'!P28</f>
        <v>1122.3481231671547</v>
      </c>
      <c r="G18" s="174">
        <f>'FS Jimbaran September 2021'!AG28</f>
        <v>0</v>
      </c>
      <c r="H18" s="172" t="e">
        <f>'FS Jimbaran September 2021'!AH28/'FS Jimbaran September 2021'!AG28</f>
        <v>#DIV/0!</v>
      </c>
      <c r="I18" s="174">
        <f>'FS Jimbaran September 2021'!AJ28</f>
        <v>174.61000000000058</v>
      </c>
      <c r="J18" s="164">
        <f>'FS Jimbaran September 2021'!AK28/'FS Jimbaran September 2021'!AJ28</f>
        <v>9900</v>
      </c>
      <c r="K18" s="174">
        <f>'FS Jimbaran September 2021'!V28</f>
        <v>868.64</v>
      </c>
      <c r="L18" s="172">
        <f>'FS Jimbaran September 2021'!AA28/'FS Jimbaran September 2021'!V28</f>
        <v>6031.1591393442632</v>
      </c>
      <c r="M18" s="174">
        <f>+'RNs &amp; Covers September 2021'!B22</f>
        <v>5</v>
      </c>
      <c r="N18" s="174">
        <f>+'RNs &amp; Covers September 2021'!C22</f>
        <v>50</v>
      </c>
    </row>
    <row r="19" spans="1:14" x14ac:dyDescent="0.35">
      <c r="A19" s="160" t="s">
        <v>49</v>
      </c>
      <c r="B19" s="161">
        <f t="shared" si="0"/>
        <v>18</v>
      </c>
      <c r="C19" s="162">
        <v>9</v>
      </c>
      <c r="D19" s="161">
        <v>2021</v>
      </c>
      <c r="E19" s="174">
        <f>'FS Jimbaran September 2021'!P29</f>
        <v>14120.000000000076</v>
      </c>
      <c r="F19" s="172">
        <f>'FS Jimbaran September 2021'!O29/'FS Jimbaran September 2021'!P29</f>
        <v>1121.6059631728035</v>
      </c>
      <c r="G19" s="174">
        <f>'FS Jimbaran September 2021'!AG29</f>
        <v>412</v>
      </c>
      <c r="H19" s="172">
        <f>'FS Jimbaran September 2021'!AH29/'FS Jimbaran September 2021'!AG29</f>
        <v>14100.728155339806</v>
      </c>
      <c r="I19" s="174">
        <f>'FS Jimbaran September 2021'!AJ29</f>
        <v>180.3999999999869</v>
      </c>
      <c r="J19" s="164">
        <f>'FS Jimbaran September 2021'!AK29/'FS Jimbaran September 2021'!AJ29</f>
        <v>9900</v>
      </c>
      <c r="K19" s="174">
        <f>'FS Jimbaran September 2021'!V29</f>
        <v>782.31</v>
      </c>
      <c r="L19" s="172">
        <f>'FS Jimbaran September 2021'!AA29/'FS Jimbaran September 2021'!V29</f>
        <v>6212.632013651878</v>
      </c>
      <c r="M19" s="174">
        <f>+'RNs &amp; Covers September 2021'!B23</f>
        <v>6</v>
      </c>
      <c r="N19" s="174">
        <f>+'RNs &amp; Covers September 2021'!C23</f>
        <v>102</v>
      </c>
    </row>
    <row r="20" spans="1:14" x14ac:dyDescent="0.35">
      <c r="A20" s="160" t="s">
        <v>49</v>
      </c>
      <c r="B20" s="161">
        <f t="shared" si="0"/>
        <v>19</v>
      </c>
      <c r="C20" s="162">
        <v>9</v>
      </c>
      <c r="D20" s="161">
        <v>2021</v>
      </c>
      <c r="E20" s="174">
        <f>'FS Jimbaran September 2021'!P30</f>
        <v>13799.999999999982</v>
      </c>
      <c r="F20" s="172">
        <f>'FS Jimbaran September 2021'!O30/'FS Jimbaran September 2021'!P30</f>
        <v>1125.0972608695683</v>
      </c>
      <c r="G20" s="174">
        <f>'FS Jimbaran September 2021'!AG30</f>
        <v>12</v>
      </c>
      <c r="H20" s="172">
        <f>'FS Jimbaran September 2021'!AH30/'FS Jimbaran September 2021'!AG30</f>
        <v>11458.333333333334</v>
      </c>
      <c r="I20" s="174">
        <f>'FS Jimbaran September 2021'!AJ30</f>
        <v>137.34999999999854</v>
      </c>
      <c r="J20" s="164">
        <f>'FS Jimbaran September 2021'!AK30/'FS Jimbaran September 2021'!AJ30</f>
        <v>9900</v>
      </c>
      <c r="K20" s="174">
        <f>'FS Jimbaran September 2021'!V30</f>
        <v>517.98</v>
      </c>
      <c r="L20" s="172">
        <f>'FS Jimbaran September 2021'!AA30/'FS Jimbaran September 2021'!V30</f>
        <v>7287.3901030927836</v>
      </c>
      <c r="M20" s="174">
        <f>+'RNs &amp; Covers September 2021'!B24</f>
        <v>3</v>
      </c>
      <c r="N20" s="174">
        <f>+'RNs &amp; Covers September 2021'!C24</f>
        <v>91</v>
      </c>
    </row>
    <row r="21" spans="1:14" x14ac:dyDescent="0.35">
      <c r="A21" s="160" t="s">
        <v>49</v>
      </c>
      <c r="B21" s="161">
        <f t="shared" si="0"/>
        <v>20</v>
      </c>
      <c r="C21" s="162">
        <v>9</v>
      </c>
      <c r="D21" s="161">
        <v>2021</v>
      </c>
      <c r="E21" s="174">
        <f>'FS Jimbaran September 2021'!P31</f>
        <v>13359.999999999744</v>
      </c>
      <c r="F21" s="172">
        <f>'FS Jimbaran September 2021'!O31/'FS Jimbaran September 2021'!P31</f>
        <v>1125.712994011978</v>
      </c>
      <c r="G21" s="174">
        <f>'FS Jimbaran September 2021'!AG31</f>
        <v>12</v>
      </c>
      <c r="H21" s="172">
        <f>'FS Jimbaran September 2021'!AH31/'FS Jimbaran September 2021'!AG31</f>
        <v>11458.333333333334</v>
      </c>
      <c r="I21" s="174">
        <f>'FS Jimbaran September 2021'!AJ31</f>
        <v>197.77999999999884</v>
      </c>
      <c r="J21" s="164">
        <f>'FS Jimbaran September 2021'!AK31/'FS Jimbaran September 2021'!AJ31</f>
        <v>9900</v>
      </c>
      <c r="K21" s="174">
        <f>'FS Jimbaran September 2021'!V31</f>
        <v>1091.1400000000001</v>
      </c>
      <c r="L21" s="172">
        <f>'FS Jimbaran September 2021'!AA31/'FS Jimbaran September 2021'!V31</f>
        <v>5678.1661011419255</v>
      </c>
      <c r="M21" s="174">
        <f>+'RNs &amp; Covers September 2021'!B25</f>
        <v>8</v>
      </c>
      <c r="N21" s="174">
        <f>+'RNs &amp; Covers September 2021'!C25</f>
        <v>42</v>
      </c>
    </row>
    <row r="22" spans="1:14" x14ac:dyDescent="0.35">
      <c r="A22" s="160" t="s">
        <v>49</v>
      </c>
      <c r="B22" s="161">
        <f t="shared" si="0"/>
        <v>21</v>
      </c>
      <c r="C22" s="162">
        <v>9</v>
      </c>
      <c r="D22" s="161">
        <v>2021</v>
      </c>
      <c r="E22" s="174">
        <f>'FS Jimbaran September 2021'!P32</f>
        <v>13720.000000000198</v>
      </c>
      <c r="F22" s="172">
        <f>'FS Jimbaran September 2021'!O32/'FS Jimbaran September 2021'!P32</f>
        <v>1123.353236151602</v>
      </c>
      <c r="G22" s="174">
        <f>'FS Jimbaran September 2021'!AG32</f>
        <v>0</v>
      </c>
      <c r="H22" s="172" t="e">
        <f>'FS Jimbaran September 2021'!AH32/'FS Jimbaran September 2021'!AG32</f>
        <v>#DIV/0!</v>
      </c>
      <c r="I22" s="174">
        <f>'FS Jimbaran September 2021'!AJ32</f>
        <v>153.16999999999825</v>
      </c>
      <c r="J22" s="164">
        <f>'FS Jimbaran September 2021'!AK32/'FS Jimbaran September 2021'!AJ32</f>
        <v>9900</v>
      </c>
      <c r="K22" s="174">
        <f>'FS Jimbaran September 2021'!V32</f>
        <v>792.99</v>
      </c>
      <c r="L22" s="172">
        <f>'FS Jimbaran September 2021'!AA32/'FS Jimbaran September 2021'!V32</f>
        <v>6216.9431425364764</v>
      </c>
      <c r="M22" s="174">
        <f>+'RNs &amp; Covers September 2021'!B26</f>
        <v>9</v>
      </c>
      <c r="N22" s="174">
        <f>+'RNs &amp; Covers September 2021'!C26</f>
        <v>70</v>
      </c>
    </row>
    <row r="23" spans="1:14" x14ac:dyDescent="0.35">
      <c r="A23" s="160" t="s">
        <v>49</v>
      </c>
      <c r="B23" s="161">
        <f t="shared" si="0"/>
        <v>22</v>
      </c>
      <c r="C23" s="162">
        <v>9</v>
      </c>
      <c r="D23" s="161">
        <v>2021</v>
      </c>
      <c r="E23" s="174">
        <f>'FS Jimbaran September 2021'!P33</f>
        <v>14119.999999999876</v>
      </c>
      <c r="F23" s="172">
        <f>'FS Jimbaran September 2021'!O33/'FS Jimbaran September 2021'!P33</f>
        <v>1123.073073654389</v>
      </c>
      <c r="G23" s="174">
        <f>'FS Jimbaran September 2021'!AG33</f>
        <v>0</v>
      </c>
      <c r="H23" s="172" t="e">
        <f>'FS Jimbaran September 2021'!AH33/'FS Jimbaran September 2021'!AG33</f>
        <v>#DIV/0!</v>
      </c>
      <c r="I23" s="174">
        <f>'FS Jimbaran September 2021'!AJ33</f>
        <v>363.49000000000524</v>
      </c>
      <c r="J23" s="164">
        <f>'FS Jimbaran September 2021'!AK33/'FS Jimbaran September 2021'!AJ33</f>
        <v>9900</v>
      </c>
      <c r="K23" s="174">
        <f>'FS Jimbaran September 2021'!V33</f>
        <v>843.72</v>
      </c>
      <c r="L23" s="172">
        <f>'FS Jimbaran September 2021'!AA33/'FS Jimbaran September 2021'!V33</f>
        <v>4245.18</v>
      </c>
      <c r="M23" s="174">
        <f>+'RNs &amp; Covers September 2021'!B27</f>
        <v>5</v>
      </c>
      <c r="N23" s="174">
        <f>+'RNs &amp; Covers September 2021'!C27</f>
        <v>93</v>
      </c>
    </row>
    <row r="24" spans="1:14" x14ac:dyDescent="0.35">
      <c r="A24" s="160" t="s">
        <v>49</v>
      </c>
      <c r="B24" s="161">
        <f t="shared" si="0"/>
        <v>23</v>
      </c>
      <c r="C24" s="162">
        <v>9</v>
      </c>
      <c r="D24" s="161">
        <v>2021</v>
      </c>
      <c r="E24" s="174">
        <f>'FS Jimbaran September 2021'!P34</f>
        <v>14060.000000000146</v>
      </c>
      <c r="F24" s="172">
        <f>'FS Jimbaran September 2021'!O34/'FS Jimbaran September 2021'!P34</f>
        <v>1124.1822759601698</v>
      </c>
      <c r="G24" s="174">
        <f>'FS Jimbaran September 2021'!AG34</f>
        <v>400</v>
      </c>
      <c r="H24" s="172">
        <f>'FS Jimbaran September 2021'!AH34/'FS Jimbaran September 2021'!AG34</f>
        <v>14180</v>
      </c>
      <c r="I24" s="174">
        <f>'FS Jimbaran September 2021'!AJ34</f>
        <v>94.049999999995634</v>
      </c>
      <c r="J24" s="164">
        <f>'FS Jimbaran September 2021'!AK34/'FS Jimbaran September 2021'!AJ34</f>
        <v>9900</v>
      </c>
      <c r="K24" s="174">
        <f>'FS Jimbaran September 2021'!V34</f>
        <v>1003.9200000000001</v>
      </c>
      <c r="L24" s="172">
        <f>'FS Jimbaran September 2021'!AA34/'FS Jimbaran September 2021'!V34</f>
        <v>5814.8309574468085</v>
      </c>
      <c r="M24" s="174">
        <f>+'RNs &amp; Covers September 2021'!B28</f>
        <v>3</v>
      </c>
      <c r="N24" s="174">
        <f>+'RNs &amp; Covers September 2021'!C28</f>
        <v>60</v>
      </c>
    </row>
    <row r="25" spans="1:14" x14ac:dyDescent="0.35">
      <c r="A25" s="160" t="s">
        <v>49</v>
      </c>
      <c r="B25" s="161">
        <f t="shared" si="0"/>
        <v>24</v>
      </c>
      <c r="C25" s="162">
        <v>9</v>
      </c>
      <c r="D25" s="161">
        <v>2021</v>
      </c>
      <c r="E25" s="174">
        <f>'FS Jimbaran September 2021'!P35</f>
        <v>13939.999999999942</v>
      </c>
      <c r="F25" s="172">
        <f>'FS Jimbaran September 2021'!O35/'FS Jimbaran September 2021'!P35</f>
        <v>1120.4851076040186</v>
      </c>
      <c r="G25" s="174">
        <f>'FS Jimbaran September 2021'!AG35</f>
        <v>0</v>
      </c>
      <c r="H25" s="172" t="e">
        <f>'FS Jimbaran September 2021'!AH35/'FS Jimbaran September 2021'!AG35</f>
        <v>#DIV/0!</v>
      </c>
      <c r="I25" s="174">
        <f>'FS Jimbaran September 2021'!AJ35</f>
        <v>368.2300000000032</v>
      </c>
      <c r="J25" s="164">
        <f>'FS Jimbaran September 2021'!AK35/'FS Jimbaran September 2021'!AJ35</f>
        <v>9900</v>
      </c>
      <c r="K25" s="174">
        <f>'FS Jimbaran September 2021'!V35</f>
        <v>1046.6399999999999</v>
      </c>
      <c r="L25" s="172">
        <f>'FS Jimbaran September 2021'!AA35/'FS Jimbaran September 2021'!V35</f>
        <v>6287.6383333333342</v>
      </c>
      <c r="M25" s="174">
        <f>+'RNs &amp; Covers September 2021'!B29</f>
        <v>6</v>
      </c>
      <c r="N25" s="174">
        <f>+'RNs &amp; Covers September 2021'!C29</f>
        <v>131</v>
      </c>
    </row>
    <row r="26" spans="1:14" x14ac:dyDescent="0.35">
      <c r="A26" s="160" t="s">
        <v>49</v>
      </c>
      <c r="B26" s="161">
        <f>B25+1</f>
        <v>25</v>
      </c>
      <c r="C26" s="162">
        <v>9</v>
      </c>
      <c r="D26" s="161">
        <v>2021</v>
      </c>
      <c r="E26" s="174">
        <f>'FS Jimbaran September 2021'!P36</f>
        <v>13479.999999999918</v>
      </c>
      <c r="F26" s="172">
        <f>'FS Jimbaran September 2021'!O36/'FS Jimbaran September 2021'!P36</f>
        <v>1121.8388724035601</v>
      </c>
      <c r="G26" s="174">
        <f>'FS Jimbaran September 2021'!AG36</f>
        <v>0</v>
      </c>
      <c r="H26" s="172" t="e">
        <f>'FS Jimbaran September 2021'!AH36/'FS Jimbaran September 2021'!AG36</f>
        <v>#DIV/0!</v>
      </c>
      <c r="I26" s="174">
        <f>'FS Jimbaran September 2021'!AJ36</f>
        <v>172.61000000002241</v>
      </c>
      <c r="J26" s="164">
        <f>'FS Jimbaran September 2021'!AK36/'FS Jimbaran September 2021'!AJ36</f>
        <v>9900</v>
      </c>
      <c r="K26" s="174">
        <f>'FS Jimbaran September 2021'!V36</f>
        <v>944.29</v>
      </c>
      <c r="L26" s="172">
        <f>'FS Jimbaran September 2021'!AA36/'FS Jimbaran September 2021'!V36</f>
        <v>5254.204467483507</v>
      </c>
      <c r="M26" s="174">
        <f>+'RNs &amp; Covers September 2021'!B30</f>
        <v>8</v>
      </c>
      <c r="N26" s="174">
        <f>+'RNs &amp; Covers September 2021'!C30</f>
        <v>128</v>
      </c>
    </row>
    <row r="27" spans="1:14" x14ac:dyDescent="0.35">
      <c r="A27" s="160" t="s">
        <v>49</v>
      </c>
      <c r="B27" s="161">
        <f t="shared" si="0"/>
        <v>26</v>
      </c>
      <c r="C27" s="162">
        <v>9</v>
      </c>
      <c r="D27" s="161">
        <v>2021</v>
      </c>
      <c r="E27" s="174">
        <f>'FS Jimbaran September 2021'!P37</f>
        <v>13720.000000000155</v>
      </c>
      <c r="F27" s="172">
        <f>'FS Jimbaran September 2021'!O37/'FS Jimbaran September 2021'!P37</f>
        <v>1127.8828862973776</v>
      </c>
      <c r="G27" s="174">
        <f>'FS Jimbaran September 2021'!AG37</f>
        <v>0</v>
      </c>
      <c r="H27" s="172" t="e">
        <f>'FS Jimbaran September 2021'!AH37/'FS Jimbaran September 2021'!AG37</f>
        <v>#DIV/0!</v>
      </c>
      <c r="I27" s="174">
        <f>'FS Jimbaran September 2021'!AJ37</f>
        <v>161.66999999999825</v>
      </c>
      <c r="J27" s="164">
        <f>'FS Jimbaran September 2021'!AK37/'FS Jimbaran September 2021'!AJ37</f>
        <v>9900</v>
      </c>
      <c r="K27" s="174">
        <f>'FS Jimbaran September 2021'!V37</f>
        <v>994.13</v>
      </c>
      <c r="L27" s="172">
        <f>'FS Jimbaran September 2021'!AA37/'FS Jimbaran September 2021'!V37</f>
        <v>5818.0009131602519</v>
      </c>
      <c r="M27" s="174">
        <f>+'RNs &amp; Covers September 2021'!B31</f>
        <v>5</v>
      </c>
      <c r="N27" s="174">
        <f>+'RNs &amp; Covers September 2021'!C31</f>
        <v>117</v>
      </c>
    </row>
    <row r="28" spans="1:14" x14ac:dyDescent="0.35">
      <c r="A28" s="160" t="s">
        <v>49</v>
      </c>
      <c r="B28" s="161">
        <f t="shared" si="0"/>
        <v>27</v>
      </c>
      <c r="C28" s="162">
        <v>9</v>
      </c>
      <c r="D28" s="161">
        <v>2021</v>
      </c>
      <c r="E28" s="174">
        <f>'FS Jimbaran September 2021'!P38</f>
        <v>13539.999999999709</v>
      </c>
      <c r="F28" s="172">
        <f>'FS Jimbaran September 2021'!O38/'FS Jimbaran September 2021'!P38</f>
        <v>1123.7524519940905</v>
      </c>
      <c r="G28" s="174">
        <f>'FS Jimbaran September 2021'!AG38</f>
        <v>0</v>
      </c>
      <c r="H28" s="172" t="e">
        <f>'FS Jimbaran September 2021'!AH38/'FS Jimbaran September 2021'!AG38</f>
        <v>#DIV/0!</v>
      </c>
      <c r="I28" s="174">
        <f>'FS Jimbaran September 2021'!AJ38</f>
        <v>248.05000000000291</v>
      </c>
      <c r="J28" s="164">
        <f>'FS Jimbaran September 2021'!AK38/'FS Jimbaran September 2021'!AJ38</f>
        <v>9900</v>
      </c>
      <c r="K28" s="174">
        <f>'FS Jimbaran September 2021'!V38</f>
        <v>990.56999999999994</v>
      </c>
      <c r="L28" s="172">
        <f>'FS Jimbaran September 2021'!AA38/'FS Jimbaran September 2021'!V38</f>
        <v>5823.6534591194977</v>
      </c>
      <c r="M28" s="174">
        <f>+'RNs &amp; Covers September 2021'!B32</f>
        <v>6</v>
      </c>
      <c r="N28" s="174">
        <f>+'RNs &amp; Covers September 2021'!C32</f>
        <v>88</v>
      </c>
    </row>
    <row r="29" spans="1:14" x14ac:dyDescent="0.35">
      <c r="A29" s="160" t="s">
        <v>49</v>
      </c>
      <c r="B29" s="161">
        <f t="shared" si="0"/>
        <v>28</v>
      </c>
      <c r="C29" s="162">
        <v>9</v>
      </c>
      <c r="D29" s="161">
        <v>2021</v>
      </c>
      <c r="E29" s="174">
        <f>'FS Jimbaran September 2021'!P39</f>
        <v>13340.0000000004</v>
      </c>
      <c r="F29" s="172">
        <f>'FS Jimbaran September 2021'!O39/'FS Jimbaran September 2021'!P39</f>
        <v>1127.400719640179</v>
      </c>
      <c r="G29" s="174">
        <f>'FS Jimbaran September 2021'!AG39</f>
        <v>12</v>
      </c>
      <c r="H29" s="172">
        <f>'FS Jimbaran September 2021'!AH39/'FS Jimbaran September 2021'!AG39</f>
        <v>11458.333333333334</v>
      </c>
      <c r="I29" s="174">
        <f>'FS Jimbaran September 2021'!AJ39</f>
        <v>198.65000000000146</v>
      </c>
      <c r="J29" s="164">
        <f>'FS Jimbaran September 2021'!AK39/'FS Jimbaran September 2021'!AJ39</f>
        <v>9900</v>
      </c>
      <c r="K29" s="174">
        <f>'FS Jimbaran September 2021'!V39</f>
        <v>1003.0300000000001</v>
      </c>
      <c r="L29" s="172">
        <f>'FS Jimbaran September 2021'!AA39/'FS Jimbaran September 2021'!V39</f>
        <v>5828.4023602484476</v>
      </c>
      <c r="M29" s="174">
        <f>+'RNs &amp; Covers September 2021'!B33</f>
        <v>7</v>
      </c>
      <c r="N29" s="174">
        <f>+'RNs &amp; Covers September 2021'!C33</f>
        <v>99</v>
      </c>
    </row>
    <row r="30" spans="1:14" x14ac:dyDescent="0.35">
      <c r="A30" s="160" t="s">
        <v>49</v>
      </c>
      <c r="B30" s="161">
        <f t="shared" si="0"/>
        <v>29</v>
      </c>
      <c r="C30" s="162">
        <v>9</v>
      </c>
      <c r="D30" s="161">
        <v>2021</v>
      </c>
      <c r="E30" s="174">
        <f>'FS Jimbaran September 2021'!P40</f>
        <v>13540.000000000064</v>
      </c>
      <c r="F30" s="172">
        <f>'FS Jimbaran September 2021'!O40/'FS Jimbaran September 2021'!P40</f>
        <v>1126.8123633678001</v>
      </c>
      <c r="G30" s="174">
        <f>'FS Jimbaran September 2021'!AG40</f>
        <v>24</v>
      </c>
      <c r="H30" s="172">
        <f>'FS Jimbaran September 2021'!AH40/'FS Jimbaran September 2021'!AG40</f>
        <v>11458.333333333334</v>
      </c>
      <c r="I30" s="174">
        <f>'FS Jimbaran September 2021'!AJ40</f>
        <v>275.94999999999709</v>
      </c>
      <c r="J30" s="164">
        <f>'FS Jimbaran September 2021'!AK40/'FS Jimbaran September 2021'!AJ40</f>
        <v>9900</v>
      </c>
      <c r="K30" s="174">
        <f>'FS Jimbaran September 2021'!V40</f>
        <v>985.23</v>
      </c>
      <c r="L30" s="172">
        <f>'FS Jimbaran September 2021'!AA40/'FS Jimbaran September 2021'!V40</f>
        <v>5869.4048599819334</v>
      </c>
      <c r="M30" s="174">
        <f>+'RNs &amp; Covers September 2021'!B34</f>
        <v>9</v>
      </c>
      <c r="N30" s="174">
        <f>+'RNs &amp; Covers September 2021'!C34</f>
        <v>52</v>
      </c>
    </row>
    <row r="31" spans="1:14" x14ac:dyDescent="0.35">
      <c r="A31" s="160" t="s">
        <v>49</v>
      </c>
      <c r="B31" s="161">
        <f t="shared" si="0"/>
        <v>30</v>
      </c>
      <c r="C31" s="162">
        <v>9</v>
      </c>
      <c r="D31" s="161">
        <v>2021</v>
      </c>
      <c r="E31" s="174">
        <f>'FS Jimbaran September 2021'!P41</f>
        <v>13619.999999999876</v>
      </c>
      <c r="F31" s="172">
        <f>'FS Jimbaran September 2021'!O41/'FS Jimbaran September 2021'!P41</f>
        <v>1123.2357268722474</v>
      </c>
      <c r="G31" s="174">
        <f>'FS Jimbaran September 2021'!AG41</f>
        <v>0</v>
      </c>
      <c r="H31" s="172" t="e">
        <f>'FS Jimbaran September 2021'!AH41/'FS Jimbaran September 2021'!AG41</f>
        <v>#DIV/0!</v>
      </c>
      <c r="I31" s="174">
        <f>'FS Jimbaran September 2021'!AJ41</f>
        <v>253.98999999999796</v>
      </c>
      <c r="J31" s="164">
        <f>'FS Jimbaran September 2021'!AK41/'FS Jimbaran September 2021'!AJ41</f>
        <v>9900</v>
      </c>
      <c r="K31" s="174">
        <f>'FS Jimbaran September 2021'!V41</f>
        <v>951.41000000000008</v>
      </c>
      <c r="L31" s="172">
        <f>'FS Jimbaran September 2021'!AA41/'FS Jimbaran September 2021'!V41</f>
        <v>5503.4413283442473</v>
      </c>
      <c r="M31" s="174">
        <f>+'RNs &amp; Covers September 2021'!B35</f>
        <v>11</v>
      </c>
      <c r="N31" s="174">
        <f>+'RNs &amp; Covers September 2021'!C35</f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tabSelected="1" zoomScale="62" zoomScaleNormal="62" workbookViewId="0">
      <pane xSplit="4" ySplit="10" topLeftCell="Z11" activePane="bottomRight" state="frozen"/>
      <selection pane="topRight" activeCell="E1" sqref="E1"/>
      <selection pane="bottomLeft" activeCell="A11" sqref="A11"/>
      <selection pane="bottomRight" activeCell="AJ12" sqref="AJ12:AK41"/>
    </sheetView>
  </sheetViews>
  <sheetFormatPr defaultRowHeight="15.5" x14ac:dyDescent="0.35"/>
  <cols>
    <col min="1" max="1" width="3.7265625" style="15" customWidth="1"/>
    <col min="2" max="2" width="8.7265625" style="15" customWidth="1"/>
    <col min="3" max="3" width="8.7265625" style="4" customWidth="1"/>
    <col min="4" max="4" width="9.1796875" customWidth="1"/>
    <col min="5" max="5" width="14.7265625" style="4" customWidth="1"/>
    <col min="6" max="6" width="17.7265625" style="4" customWidth="1"/>
    <col min="7" max="7" width="14.81640625" customWidth="1"/>
    <col min="8" max="8" width="17.1796875" style="4" customWidth="1"/>
    <col min="9" max="9" width="17" customWidth="1"/>
    <col min="10" max="10" width="14" customWidth="1"/>
    <col min="11" max="11" width="17.453125" customWidth="1"/>
    <col min="12" max="12" width="14.1796875" style="4" customWidth="1"/>
    <col min="13" max="13" width="18.26953125" style="64" bestFit="1" customWidth="1"/>
    <col min="14" max="14" width="20.453125" style="68" customWidth="1"/>
    <col min="15" max="15" width="18.81640625" customWidth="1"/>
    <col min="16" max="16" width="15.1796875" style="68" customWidth="1"/>
    <col min="17" max="17" width="19.7265625" customWidth="1"/>
    <col min="18" max="18" width="18.1796875" style="89" customWidth="1"/>
    <col min="19" max="19" width="24.26953125" customWidth="1"/>
    <col min="20" max="20" width="21.1796875" bestFit="1" customWidth="1"/>
    <col min="21" max="21" width="18.81640625" customWidth="1"/>
    <col min="22" max="22" width="19.7265625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7.81640625" bestFit="1" customWidth="1"/>
    <col min="28" max="28" width="9.81640625" customWidth="1"/>
    <col min="29" max="29" width="15.81640625" bestFit="1" customWidth="1"/>
    <col min="30" max="30" width="12.81640625" style="4" bestFit="1" customWidth="1"/>
    <col min="31" max="31" width="14.81640625" customWidth="1"/>
    <col min="32" max="32" width="12.26953125" bestFit="1" customWidth="1"/>
    <col min="33" max="33" width="10" bestFit="1" customWidth="1"/>
    <col min="34" max="34" width="19" style="4" customWidth="1"/>
    <col min="35" max="35" width="10.54296875" customWidth="1"/>
    <col min="36" max="36" width="13.26953125" style="89" bestFit="1" customWidth="1"/>
    <col min="37" max="37" width="20.7265625" bestFit="1" customWidth="1"/>
    <col min="38" max="38" width="9.453125" style="41" bestFit="1" customWidth="1"/>
    <col min="39" max="39" width="2.26953125" style="15" customWidth="1"/>
  </cols>
  <sheetData>
    <row r="5" spans="1:39" x14ac:dyDescent="0.35">
      <c r="N5" s="175"/>
      <c r="X5" s="176"/>
    </row>
    <row r="6" spans="1:39" s="27" customFormat="1" ht="19" thickBot="1" x14ac:dyDescent="0.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" thickBot="1" x14ac:dyDescent="0.4">
      <c r="A7" s="32"/>
      <c r="B7" s="248" t="s">
        <v>53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50"/>
      <c r="AM7" s="32"/>
    </row>
    <row r="8" spans="1:39" s="8" customFormat="1" ht="15.75" customHeight="1" thickBot="1" x14ac:dyDescent="0.4">
      <c r="A8" s="28"/>
      <c r="B8" s="251" t="s">
        <v>1</v>
      </c>
      <c r="C8" s="254" t="s">
        <v>2</v>
      </c>
      <c r="D8" s="257" t="s">
        <v>3</v>
      </c>
      <c r="E8" s="260" t="s">
        <v>34</v>
      </c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1"/>
      <c r="V8" s="262" t="s">
        <v>19</v>
      </c>
      <c r="W8" s="263"/>
      <c r="X8" s="263"/>
      <c r="Y8" s="263"/>
      <c r="Z8" s="263"/>
      <c r="AA8" s="263"/>
      <c r="AB8" s="264"/>
      <c r="AC8" s="265" t="s">
        <v>24</v>
      </c>
      <c r="AD8" s="265"/>
      <c r="AE8" s="265"/>
      <c r="AF8" s="265"/>
      <c r="AG8" s="265"/>
      <c r="AH8" s="265"/>
      <c r="AI8" s="265"/>
      <c r="AJ8" s="265"/>
      <c r="AK8" s="265"/>
      <c r="AL8" s="266"/>
      <c r="AM8" s="30"/>
    </row>
    <row r="9" spans="1:39" ht="15" customHeight="1" thickBot="1" x14ac:dyDescent="0.4">
      <c r="A9" s="31"/>
      <c r="B9" s="252"/>
      <c r="C9" s="255"/>
      <c r="D9" s="258"/>
      <c r="E9" s="267" t="s">
        <v>33</v>
      </c>
      <c r="F9" s="268"/>
      <c r="G9" s="268"/>
      <c r="H9" s="268"/>
      <c r="I9" s="269"/>
      <c r="J9" s="270" t="s">
        <v>5</v>
      </c>
      <c r="K9" s="270"/>
      <c r="L9" s="270"/>
      <c r="M9" s="270"/>
      <c r="N9" s="271"/>
      <c r="O9" s="257" t="s">
        <v>12</v>
      </c>
      <c r="P9" s="272" t="s">
        <v>32</v>
      </c>
      <c r="Q9" s="274" t="s">
        <v>51</v>
      </c>
      <c r="R9" s="279" t="s">
        <v>21</v>
      </c>
      <c r="S9" s="281" t="s">
        <v>13</v>
      </c>
      <c r="T9" s="242" t="s">
        <v>18</v>
      </c>
      <c r="U9" s="243"/>
      <c r="V9" s="53"/>
      <c r="W9" s="53" t="s">
        <v>4</v>
      </c>
      <c r="X9" s="53"/>
      <c r="Y9" s="54"/>
      <c r="Z9" s="179"/>
      <c r="AA9" s="244" t="s">
        <v>27</v>
      </c>
      <c r="AB9" s="245"/>
      <c r="AC9" s="265" t="s">
        <v>22</v>
      </c>
      <c r="AD9" s="265"/>
      <c r="AE9" s="265"/>
      <c r="AF9" s="265"/>
      <c r="AG9" s="265"/>
      <c r="AH9" s="265"/>
      <c r="AI9" s="266"/>
      <c r="AJ9" s="276" t="s">
        <v>20</v>
      </c>
      <c r="AK9" s="277"/>
      <c r="AL9" s="278"/>
      <c r="AM9" s="31"/>
    </row>
    <row r="10" spans="1:39" ht="61.5" customHeight="1" thickBot="1" x14ac:dyDescent="0.4">
      <c r="A10" s="29"/>
      <c r="B10" s="253"/>
      <c r="C10" s="256"/>
      <c r="D10" s="259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59"/>
      <c r="P10" s="273"/>
      <c r="Q10" s="275"/>
      <c r="R10" s="280"/>
      <c r="S10" s="282"/>
      <c r="T10" s="180" t="s">
        <v>16</v>
      </c>
      <c r="U10" s="24" t="s">
        <v>17</v>
      </c>
      <c r="V10" s="181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35">
      <c r="A11" s="29"/>
      <c r="B11" s="57"/>
      <c r="C11" s="101"/>
      <c r="D11" s="182"/>
      <c r="E11" s="183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4"/>
      <c r="R11" s="113"/>
      <c r="S11" s="185"/>
      <c r="T11" s="185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35">
      <c r="A12" s="35"/>
      <c r="B12" s="58">
        <v>1</v>
      </c>
      <c r="C12" s="149">
        <v>3</v>
      </c>
      <c r="D12" s="151">
        <v>48</v>
      </c>
      <c r="E12" s="106">
        <v>9779.9999999997453</v>
      </c>
      <c r="F12" s="3">
        <v>10129928.399999736</v>
      </c>
      <c r="G12" s="37">
        <v>2000</v>
      </c>
      <c r="H12" s="3">
        <v>3107340</v>
      </c>
      <c r="I12" s="103">
        <f>F12+H12</f>
        <v>13237268.399999736</v>
      </c>
      <c r="J12" s="106">
        <v>1360.0000000000136</v>
      </c>
      <c r="K12" s="3">
        <v>1408660.800000014</v>
      </c>
      <c r="L12" s="186">
        <v>359.99999999999943</v>
      </c>
      <c r="M12" s="187">
        <v>559321.19999999914</v>
      </c>
      <c r="N12" s="94">
        <f>+K12+M12</f>
        <v>1967982.000000013</v>
      </c>
      <c r="O12" s="108">
        <f>N12+I12</f>
        <v>15205250.399999749</v>
      </c>
      <c r="P12" s="111">
        <f>L12+J12+G12+E12</f>
        <v>13499.999999999758</v>
      </c>
      <c r="Q12" s="135"/>
      <c r="R12" s="201"/>
      <c r="S12" s="215"/>
      <c r="T12" s="212"/>
      <c r="U12" s="210">
        <v>0</v>
      </c>
      <c r="V12" s="188">
        <f>Y12+W12</f>
        <v>793.88</v>
      </c>
      <c r="W12" s="3">
        <v>113.03</v>
      </c>
      <c r="X12" s="3">
        <v>2031205.615</v>
      </c>
      <c r="Y12" s="33">
        <v>680.85</v>
      </c>
      <c r="Z12" s="33">
        <v>2890330.8030000003</v>
      </c>
      <c r="AA12" s="33">
        <f t="shared" ref="AA12:AA39" si="0">Z12+X12</f>
        <v>4921536.4180000005</v>
      </c>
      <c r="AB12" s="128">
        <f t="shared" ref="AB12:AB41" si="1">AA12/$AL$47</f>
        <v>379.27730294718981</v>
      </c>
      <c r="AC12" s="134">
        <v>0</v>
      </c>
      <c r="AD12" s="3">
        <v>0</v>
      </c>
      <c r="AE12" s="3">
        <v>0</v>
      </c>
      <c r="AF12" s="3">
        <v>0</v>
      </c>
      <c r="AG12" s="3">
        <f t="shared" ref="AG12:AG31" si="2">+AE12+AF12</f>
        <v>0</v>
      </c>
      <c r="AH12" s="3">
        <v>0</v>
      </c>
      <c r="AI12" s="43">
        <f t="shared" ref="AI12:AI41" si="3">AH12/$AL$47</f>
        <v>0</v>
      </c>
      <c r="AJ12" s="142">
        <v>366.06999999999971</v>
      </c>
      <c r="AK12" s="3">
        <v>3624092.9999999972</v>
      </c>
      <c r="AL12" s="39">
        <f t="shared" ref="AL12:AL41" si="4">AK12/$AL$47</f>
        <v>279.29006349370241</v>
      </c>
      <c r="AM12" s="7"/>
    </row>
    <row r="13" spans="1:39" x14ac:dyDescent="0.35">
      <c r="A13" s="35"/>
      <c r="B13" s="58">
        <v>2</v>
      </c>
      <c r="C13" s="149">
        <v>5</v>
      </c>
      <c r="D13" s="151">
        <v>43</v>
      </c>
      <c r="E13" s="106">
        <v>9600.0000000003638</v>
      </c>
      <c r="F13" s="3">
        <v>9943488.0000003763</v>
      </c>
      <c r="G13" s="37">
        <v>1959.9999999999227</v>
      </c>
      <c r="H13" s="3">
        <v>3045193.19999988</v>
      </c>
      <c r="I13" s="103">
        <f t="shared" ref="I13:I41" si="5">F13+H13</f>
        <v>12988681.200000256</v>
      </c>
      <c r="J13" s="106">
        <v>1360.0000000000136</v>
      </c>
      <c r="K13" s="3">
        <v>1408660.800000014</v>
      </c>
      <c r="L13" s="186">
        <v>340.00000000000341</v>
      </c>
      <c r="M13" s="187">
        <v>528247.80000000529</v>
      </c>
      <c r="N13" s="94">
        <f t="shared" ref="N13:N41" si="6">+K13+M13</f>
        <v>1936908.6000000192</v>
      </c>
      <c r="O13" s="108">
        <f t="shared" ref="O13:O39" si="7">N13+I13</f>
        <v>14925589.800000276</v>
      </c>
      <c r="P13" s="111">
        <f t="shared" ref="P13:P39" si="8">L13+J13+G13+E13</f>
        <v>13260.000000000304</v>
      </c>
      <c r="Q13" s="191"/>
      <c r="R13" s="202"/>
      <c r="S13" s="215"/>
      <c r="T13" s="212"/>
      <c r="U13" s="210">
        <v>0</v>
      </c>
      <c r="V13" s="188">
        <f t="shared" ref="V13:V41" si="9">Y13+W13</f>
        <v>946.96</v>
      </c>
      <c r="W13" s="3">
        <v>113.03</v>
      </c>
      <c r="X13" s="3">
        <v>2031205.615</v>
      </c>
      <c r="Y13" s="33">
        <v>833.93000000000006</v>
      </c>
      <c r="Z13" s="33">
        <v>3540182.9574000007</v>
      </c>
      <c r="AA13" s="33">
        <f t="shared" si="0"/>
        <v>5571388.5724000009</v>
      </c>
      <c r="AB13" s="128">
        <f t="shared" si="1"/>
        <v>429.35804024170614</v>
      </c>
      <c r="AC13" s="134">
        <v>0</v>
      </c>
      <c r="AD13" s="3">
        <v>0</v>
      </c>
      <c r="AE13" s="3">
        <v>0</v>
      </c>
      <c r="AF13" s="3">
        <v>12</v>
      </c>
      <c r="AG13" s="3">
        <f t="shared" si="2"/>
        <v>12</v>
      </c>
      <c r="AH13" s="3">
        <v>137500</v>
      </c>
      <c r="AI13" s="43">
        <f t="shared" si="3"/>
        <v>10.596412324513778</v>
      </c>
      <c r="AJ13" s="142">
        <v>254.29000000000087</v>
      </c>
      <c r="AK13" s="3">
        <v>2517471.0000000088</v>
      </c>
      <c r="AL13" s="39">
        <f t="shared" si="4"/>
        <v>194.00844168004451</v>
      </c>
      <c r="AM13" s="7"/>
    </row>
    <row r="14" spans="1:39" x14ac:dyDescent="0.35">
      <c r="A14" s="35"/>
      <c r="B14" s="58">
        <v>3</v>
      </c>
      <c r="C14" s="149">
        <v>6</v>
      </c>
      <c r="D14" s="151">
        <v>84</v>
      </c>
      <c r="E14" s="106">
        <v>9679.9999999998363</v>
      </c>
      <c r="F14" s="3">
        <v>10026350.399999831</v>
      </c>
      <c r="G14" s="37">
        <v>2240.0000000000091</v>
      </c>
      <c r="H14" s="3">
        <v>3480220.8000000142</v>
      </c>
      <c r="I14" s="103">
        <f t="shared" si="5"/>
        <v>13506571.199999845</v>
      </c>
      <c r="J14" s="106">
        <v>1359.9999999999568</v>
      </c>
      <c r="K14" s="3">
        <v>1408660.7999999551</v>
      </c>
      <c r="L14" s="186">
        <v>400.00000000000568</v>
      </c>
      <c r="M14" s="187">
        <v>621468.00000000885</v>
      </c>
      <c r="N14" s="94">
        <f t="shared" si="6"/>
        <v>2030128.799999964</v>
      </c>
      <c r="O14" s="108">
        <f t="shared" si="7"/>
        <v>15536699.999999808</v>
      </c>
      <c r="P14" s="111">
        <f t="shared" si="8"/>
        <v>13679.999999999807</v>
      </c>
      <c r="Q14" s="191"/>
      <c r="R14" s="202"/>
      <c r="S14" s="215"/>
      <c r="T14" s="212"/>
      <c r="U14" s="210">
        <v>0</v>
      </c>
      <c r="V14" s="188">
        <f t="shared" si="9"/>
        <v>952.30000000000007</v>
      </c>
      <c r="W14" s="3">
        <v>109.47</v>
      </c>
      <c r="X14" s="3">
        <v>1967230.635</v>
      </c>
      <c r="Y14" s="33">
        <v>842.83</v>
      </c>
      <c r="Z14" s="33">
        <v>3577965.0594000006</v>
      </c>
      <c r="AA14" s="33">
        <f t="shared" si="0"/>
        <v>5545195.6944000004</v>
      </c>
      <c r="AB14" s="128">
        <f t="shared" si="1"/>
        <v>427.33949089440659</v>
      </c>
      <c r="AC14" s="134">
        <v>0</v>
      </c>
      <c r="AD14" s="3">
        <v>0</v>
      </c>
      <c r="AE14" s="3">
        <v>0</v>
      </c>
      <c r="AF14" s="3">
        <v>36</v>
      </c>
      <c r="AG14" s="3">
        <f t="shared" si="2"/>
        <v>36</v>
      </c>
      <c r="AH14" s="3">
        <v>412500</v>
      </c>
      <c r="AI14" s="43">
        <f t="shared" si="3"/>
        <v>31.789236973541335</v>
      </c>
      <c r="AJ14" s="142">
        <v>341.29999999999563</v>
      </c>
      <c r="AK14" s="3">
        <v>3378869.9999999567</v>
      </c>
      <c r="AL14" s="39">
        <f t="shared" si="4"/>
        <v>260.39199789766843</v>
      </c>
      <c r="AM14" s="7"/>
    </row>
    <row r="15" spans="1:39" x14ac:dyDescent="0.35">
      <c r="A15" s="35"/>
      <c r="B15" s="58">
        <v>4</v>
      </c>
      <c r="C15" s="149">
        <v>5</v>
      </c>
      <c r="D15" s="151">
        <v>67</v>
      </c>
      <c r="E15" s="106">
        <v>10000</v>
      </c>
      <c r="F15" s="3">
        <v>10357800</v>
      </c>
      <c r="G15" s="37">
        <v>1960.0000000000364</v>
      </c>
      <c r="H15" s="3">
        <v>3045193.2000000565</v>
      </c>
      <c r="I15" s="103">
        <f t="shared" si="5"/>
        <v>13402993.200000057</v>
      </c>
      <c r="J15" s="106">
        <v>1480.0000000000182</v>
      </c>
      <c r="K15" s="3">
        <v>1532954.4000000188</v>
      </c>
      <c r="L15" s="186">
        <v>379.99999999999545</v>
      </c>
      <c r="M15" s="187">
        <v>590394.59999999299</v>
      </c>
      <c r="N15" s="94">
        <f t="shared" si="6"/>
        <v>2123349.0000000116</v>
      </c>
      <c r="O15" s="108">
        <f t="shared" si="7"/>
        <v>15526342.200000068</v>
      </c>
      <c r="P15" s="111">
        <f t="shared" si="8"/>
        <v>13820.000000000051</v>
      </c>
      <c r="Q15" s="191"/>
      <c r="R15" s="202"/>
      <c r="S15" s="215"/>
      <c r="T15" s="212"/>
      <c r="U15" s="210">
        <v>0</v>
      </c>
      <c r="V15" s="188">
        <f t="shared" si="9"/>
        <v>841.05</v>
      </c>
      <c r="W15" s="3">
        <v>114.81</v>
      </c>
      <c r="X15" s="3">
        <v>2063193.105</v>
      </c>
      <c r="Y15" s="33">
        <v>726.24</v>
      </c>
      <c r="Z15" s="33">
        <v>3083019.5232000002</v>
      </c>
      <c r="AA15" s="33">
        <f t="shared" si="0"/>
        <v>5146212.6282000002</v>
      </c>
      <c r="AB15" s="128">
        <f t="shared" si="1"/>
        <v>396.59193394928673</v>
      </c>
      <c r="AC15" s="134">
        <v>0</v>
      </c>
      <c r="AD15" s="3">
        <v>0</v>
      </c>
      <c r="AE15" s="3">
        <v>0</v>
      </c>
      <c r="AF15" s="3">
        <v>0</v>
      </c>
      <c r="AG15" s="3">
        <f t="shared" si="2"/>
        <v>0</v>
      </c>
      <c r="AH15" s="3">
        <v>0</v>
      </c>
      <c r="AI15" s="43">
        <f t="shared" si="3"/>
        <v>0</v>
      </c>
      <c r="AJ15" s="142">
        <v>364.98000000003958</v>
      </c>
      <c r="AK15" s="3">
        <v>3613302.0000003921</v>
      </c>
      <c r="AL15" s="39">
        <f t="shared" si="4"/>
        <v>278.458457054505</v>
      </c>
      <c r="AM15" s="7"/>
    </row>
    <row r="16" spans="1:39" x14ac:dyDescent="0.35">
      <c r="A16" s="35"/>
      <c r="B16" s="58">
        <v>5</v>
      </c>
      <c r="C16" s="149">
        <v>5</v>
      </c>
      <c r="D16" s="151">
        <v>84</v>
      </c>
      <c r="E16" s="106">
        <v>9679.9999999998363</v>
      </c>
      <c r="F16" s="3">
        <v>10026350.399999831</v>
      </c>
      <c r="G16" s="37">
        <v>2159.9999999999682</v>
      </c>
      <c r="H16" s="3">
        <v>3355927.1999999508</v>
      </c>
      <c r="I16" s="103">
        <f t="shared" si="5"/>
        <v>13382277.599999782</v>
      </c>
      <c r="J16" s="106">
        <v>1439.9999999999977</v>
      </c>
      <c r="K16" s="3">
        <v>1491523.1999999976</v>
      </c>
      <c r="L16" s="186">
        <v>379.99999999999545</v>
      </c>
      <c r="M16" s="187">
        <v>590394.59999999299</v>
      </c>
      <c r="N16" s="94">
        <f t="shared" si="6"/>
        <v>2081917.7999999905</v>
      </c>
      <c r="O16" s="108">
        <f t="shared" si="7"/>
        <v>15464195.399999771</v>
      </c>
      <c r="P16" s="111">
        <f t="shared" si="8"/>
        <v>13659.999999999798</v>
      </c>
      <c r="Q16" s="191"/>
      <c r="R16" s="202"/>
      <c r="S16" s="215"/>
      <c r="T16" s="212"/>
      <c r="U16" s="210">
        <v>0</v>
      </c>
      <c r="V16" s="188">
        <f t="shared" si="9"/>
        <v>794.77</v>
      </c>
      <c r="W16" s="3">
        <v>113.03</v>
      </c>
      <c r="X16" s="3">
        <v>2031205.615</v>
      </c>
      <c r="Y16" s="33">
        <v>681.74</v>
      </c>
      <c r="Z16" s="33">
        <v>2894109.0132000004</v>
      </c>
      <c r="AA16" s="33">
        <f t="shared" si="0"/>
        <v>4925314.6282000002</v>
      </c>
      <c r="AB16" s="128">
        <f t="shared" si="1"/>
        <v>379.56847002448347</v>
      </c>
      <c r="AC16" s="134">
        <v>0</v>
      </c>
      <c r="AD16" s="3">
        <v>0</v>
      </c>
      <c r="AE16" s="3">
        <v>0</v>
      </c>
      <c r="AF16" s="3">
        <v>12</v>
      </c>
      <c r="AG16" s="3">
        <f t="shared" si="2"/>
        <v>12</v>
      </c>
      <c r="AH16" s="3">
        <v>137500</v>
      </c>
      <c r="AI16" s="43">
        <f t="shared" si="3"/>
        <v>10.596412324513778</v>
      </c>
      <c r="AJ16" s="142">
        <v>287.83000000000175</v>
      </c>
      <c r="AK16" s="3">
        <v>2849517.0000000172</v>
      </c>
      <c r="AL16" s="39">
        <f t="shared" si="4"/>
        <v>219.597505874267</v>
      </c>
      <c r="AM16" s="7"/>
    </row>
    <row r="17" spans="1:39" x14ac:dyDescent="0.35">
      <c r="A17" s="35"/>
      <c r="B17" s="58">
        <v>6</v>
      </c>
      <c r="C17" s="149">
        <v>4</v>
      </c>
      <c r="D17" s="151">
        <v>65</v>
      </c>
      <c r="E17" s="106">
        <v>9880.0000000001091</v>
      </c>
      <c r="F17" s="3">
        <v>10233506.400000112</v>
      </c>
      <c r="G17" s="37">
        <v>1920.0000000000728</v>
      </c>
      <c r="H17" s="3">
        <v>2983046.4000001131</v>
      </c>
      <c r="I17" s="103">
        <f t="shared" si="5"/>
        <v>13216552.800000224</v>
      </c>
      <c r="J17" s="106">
        <v>1420.0000000000159</v>
      </c>
      <c r="K17" s="3">
        <v>1470807.6000000164</v>
      </c>
      <c r="L17" s="186">
        <v>380.00000000000966</v>
      </c>
      <c r="M17" s="187">
        <v>590394.60000001499</v>
      </c>
      <c r="N17" s="94">
        <f t="shared" si="6"/>
        <v>2061202.2000000314</v>
      </c>
      <c r="O17" s="108">
        <f t="shared" si="7"/>
        <v>15277755.000000255</v>
      </c>
      <c r="P17" s="111">
        <f t="shared" si="8"/>
        <v>13600.000000000207</v>
      </c>
      <c r="Q17" s="191"/>
      <c r="R17" s="202"/>
      <c r="S17" s="215"/>
      <c r="T17" s="212"/>
      <c r="U17" s="210">
        <v>0</v>
      </c>
      <c r="V17" s="188">
        <f t="shared" si="9"/>
        <v>916.7</v>
      </c>
      <c r="W17" s="3">
        <v>112.14</v>
      </c>
      <c r="X17" s="3">
        <v>2015211.87</v>
      </c>
      <c r="Y17" s="33">
        <v>804.56000000000006</v>
      </c>
      <c r="Z17" s="33">
        <v>3415502.0208000005</v>
      </c>
      <c r="AA17" s="33">
        <f t="shared" si="0"/>
        <v>5430713.8908000011</v>
      </c>
      <c r="AB17" s="128">
        <f t="shared" si="1"/>
        <v>418.51697166095494</v>
      </c>
      <c r="AC17" s="134">
        <v>0</v>
      </c>
      <c r="AD17" s="3">
        <v>0</v>
      </c>
      <c r="AE17" s="3">
        <v>50</v>
      </c>
      <c r="AF17" s="3">
        <v>0</v>
      </c>
      <c r="AG17" s="3">
        <f t="shared" si="2"/>
        <v>50</v>
      </c>
      <c r="AH17" s="3">
        <v>709000</v>
      </c>
      <c r="AI17" s="43">
        <f t="shared" si="3"/>
        <v>54.638955186038324</v>
      </c>
      <c r="AJ17" s="142">
        <v>321.56999999999971</v>
      </c>
      <c r="AK17" s="3">
        <v>3183542.9999999972</v>
      </c>
      <c r="AL17" s="39">
        <f t="shared" si="4"/>
        <v>245.33915840596029</v>
      </c>
      <c r="AM17" s="7"/>
    </row>
    <row r="18" spans="1:39" x14ac:dyDescent="0.35">
      <c r="A18" s="35"/>
      <c r="B18" s="58">
        <v>7</v>
      </c>
      <c r="C18" s="149">
        <v>4</v>
      </c>
      <c r="D18" s="151">
        <v>56</v>
      </c>
      <c r="E18" s="106">
        <v>10119.999999999891</v>
      </c>
      <c r="F18" s="3">
        <v>10482093.599999886</v>
      </c>
      <c r="G18" s="37">
        <v>2039.9999999999636</v>
      </c>
      <c r="H18" s="3">
        <v>3169486.7999999435</v>
      </c>
      <c r="I18" s="103">
        <f t="shared" si="5"/>
        <v>13651580.399999829</v>
      </c>
      <c r="J18" s="106">
        <v>1399.9999999999773</v>
      </c>
      <c r="K18" s="3">
        <v>1450091.9999999765</v>
      </c>
      <c r="L18" s="186">
        <v>339.9999999999892</v>
      </c>
      <c r="M18" s="187">
        <v>528247.79999998328</v>
      </c>
      <c r="N18" s="94">
        <f t="shared" si="6"/>
        <v>1978339.7999999598</v>
      </c>
      <c r="O18" s="108">
        <f t="shared" si="7"/>
        <v>15629920.199999789</v>
      </c>
      <c r="P18" s="111">
        <f t="shared" si="8"/>
        <v>13899.999999999822</v>
      </c>
      <c r="Q18" s="191"/>
      <c r="R18" s="202"/>
      <c r="S18" s="215"/>
      <c r="T18" s="212"/>
      <c r="U18" s="210">
        <v>0</v>
      </c>
      <c r="V18" s="188">
        <f t="shared" si="9"/>
        <v>824.14</v>
      </c>
      <c r="W18" s="3">
        <v>113.92</v>
      </c>
      <c r="X18" s="3">
        <v>2047199.36</v>
      </c>
      <c r="Y18" s="33">
        <v>710.22</v>
      </c>
      <c r="Z18" s="33">
        <v>3015011.7396000004</v>
      </c>
      <c r="AA18" s="33">
        <f t="shared" si="0"/>
        <v>5062211.0996000003</v>
      </c>
      <c r="AB18" s="128">
        <f t="shared" si="1"/>
        <v>390.11837152794101</v>
      </c>
      <c r="AC18" s="134">
        <v>0</v>
      </c>
      <c r="AD18" s="3">
        <v>0</v>
      </c>
      <c r="AE18" s="3">
        <v>0</v>
      </c>
      <c r="AF18" s="3">
        <v>0</v>
      </c>
      <c r="AG18" s="3">
        <f t="shared" si="2"/>
        <v>0</v>
      </c>
      <c r="AH18" s="3">
        <v>0</v>
      </c>
      <c r="AI18" s="43">
        <f t="shared" si="3"/>
        <v>0</v>
      </c>
      <c r="AJ18" s="142">
        <v>287.50999999999476</v>
      </c>
      <c r="AK18" s="3">
        <v>2846348.9999999483</v>
      </c>
      <c r="AL18" s="39">
        <f t="shared" si="4"/>
        <v>219.35336453430489</v>
      </c>
      <c r="AM18" s="7"/>
    </row>
    <row r="19" spans="1:39" x14ac:dyDescent="0.35">
      <c r="A19" s="35"/>
      <c r="B19" s="58">
        <v>8</v>
      </c>
      <c r="C19" s="149">
        <v>3</v>
      </c>
      <c r="D19" s="151">
        <v>58</v>
      </c>
      <c r="E19" s="106">
        <v>10160.000000000309</v>
      </c>
      <c r="F19" s="3">
        <v>10523524.800000319</v>
      </c>
      <c r="G19" s="37">
        <v>2080.0000000000409</v>
      </c>
      <c r="H19" s="3">
        <v>3231633.6000000639</v>
      </c>
      <c r="I19" s="103">
        <f t="shared" si="5"/>
        <v>13755158.400000382</v>
      </c>
      <c r="J19" s="106">
        <v>1340.0000000000318</v>
      </c>
      <c r="K19" s="3">
        <v>1387945.200000033</v>
      </c>
      <c r="L19" s="186">
        <v>359.99999999999943</v>
      </c>
      <c r="M19" s="187">
        <v>559321.19999999914</v>
      </c>
      <c r="N19" s="94">
        <f t="shared" si="6"/>
        <v>1947266.400000032</v>
      </c>
      <c r="O19" s="108">
        <f t="shared" si="7"/>
        <v>15702424.800000414</v>
      </c>
      <c r="P19" s="111">
        <f t="shared" si="8"/>
        <v>13940.000000000382</v>
      </c>
      <c r="Q19" s="191"/>
      <c r="R19" s="202"/>
      <c r="S19" s="215"/>
      <c r="T19" s="212"/>
      <c r="U19" s="210">
        <v>0</v>
      </c>
      <c r="V19" s="188">
        <f t="shared" si="9"/>
        <v>940.73</v>
      </c>
      <c r="W19" s="3">
        <v>113.92</v>
      </c>
      <c r="X19" s="3">
        <v>2047199.36</v>
      </c>
      <c r="Y19" s="33">
        <v>826.81000000000006</v>
      </c>
      <c r="Z19" s="33">
        <v>3509957.2758000004</v>
      </c>
      <c r="AA19" s="33">
        <f t="shared" si="0"/>
        <v>5557156.6358000003</v>
      </c>
      <c r="AB19" s="128">
        <f t="shared" si="1"/>
        <v>428.26125865341567</v>
      </c>
      <c r="AC19" s="134">
        <v>0</v>
      </c>
      <c r="AD19" s="3">
        <v>0</v>
      </c>
      <c r="AE19" s="3">
        <v>0</v>
      </c>
      <c r="AF19" s="3">
        <v>0</v>
      </c>
      <c r="AG19" s="3">
        <f t="shared" si="2"/>
        <v>0</v>
      </c>
      <c r="AH19" s="3">
        <v>0</v>
      </c>
      <c r="AI19" s="43">
        <f t="shared" si="3"/>
        <v>0</v>
      </c>
      <c r="AJ19" s="142">
        <v>359.20999999999913</v>
      </c>
      <c r="AK19" s="3">
        <v>3556178.9999999912</v>
      </c>
      <c r="AL19" s="39">
        <f t="shared" si="4"/>
        <v>274.05628351837811</v>
      </c>
      <c r="AM19" s="7"/>
    </row>
    <row r="20" spans="1:39" x14ac:dyDescent="0.35">
      <c r="A20" s="35"/>
      <c r="B20" s="58">
        <v>9</v>
      </c>
      <c r="C20" s="149">
        <v>2</v>
      </c>
      <c r="D20" s="151">
        <v>61</v>
      </c>
      <c r="E20" s="106">
        <v>10000</v>
      </c>
      <c r="F20" s="3">
        <v>10357800</v>
      </c>
      <c r="G20" s="37">
        <v>1959.9999999999227</v>
      </c>
      <c r="H20" s="3">
        <v>3045193.19999988</v>
      </c>
      <c r="I20" s="103">
        <f t="shared" si="5"/>
        <v>13402993.19999988</v>
      </c>
      <c r="J20" s="106">
        <v>1399.9999999999773</v>
      </c>
      <c r="K20" s="3">
        <v>1450091.9999999765</v>
      </c>
      <c r="L20" s="186">
        <v>360.00000000001364</v>
      </c>
      <c r="M20" s="187">
        <v>559321.20000002126</v>
      </c>
      <c r="N20" s="94">
        <f t="shared" si="6"/>
        <v>2009413.1999999979</v>
      </c>
      <c r="O20" s="108">
        <f t="shared" si="7"/>
        <v>15412406.399999877</v>
      </c>
      <c r="P20" s="111">
        <f t="shared" si="8"/>
        <v>13719.999999999913</v>
      </c>
      <c r="Q20" s="191"/>
      <c r="R20" s="202"/>
      <c r="S20" s="215"/>
      <c r="T20" s="212"/>
      <c r="U20" s="210">
        <v>0</v>
      </c>
      <c r="V20" s="188">
        <f t="shared" si="9"/>
        <v>914.92</v>
      </c>
      <c r="W20" s="3">
        <v>113.92</v>
      </c>
      <c r="X20" s="3">
        <v>2047199.36</v>
      </c>
      <c r="Y20" s="33">
        <v>801</v>
      </c>
      <c r="Z20" s="33">
        <v>3400389.18</v>
      </c>
      <c r="AA20" s="33">
        <f t="shared" si="0"/>
        <v>5447588.54</v>
      </c>
      <c r="AB20" s="128">
        <f t="shared" si="1"/>
        <v>419.81741341189837</v>
      </c>
      <c r="AC20" s="134">
        <v>0</v>
      </c>
      <c r="AD20" s="3">
        <v>0</v>
      </c>
      <c r="AE20" s="3">
        <v>0</v>
      </c>
      <c r="AF20" s="3">
        <v>0</v>
      </c>
      <c r="AG20" s="3">
        <f t="shared" si="2"/>
        <v>0</v>
      </c>
      <c r="AH20" s="3">
        <v>0</v>
      </c>
      <c r="AI20" s="43">
        <f t="shared" si="3"/>
        <v>0</v>
      </c>
      <c r="AJ20" s="142">
        <v>255.20000000000437</v>
      </c>
      <c r="AK20" s="3">
        <v>2526480.0000000433</v>
      </c>
      <c r="AL20" s="39">
        <f t="shared" si="4"/>
        <v>194.70271861554932</v>
      </c>
      <c r="AM20" s="7"/>
    </row>
    <row r="21" spans="1:39" x14ac:dyDescent="0.35">
      <c r="A21" s="35"/>
      <c r="B21" s="58">
        <v>10</v>
      </c>
      <c r="C21" s="149">
        <v>2</v>
      </c>
      <c r="D21" s="151">
        <v>88</v>
      </c>
      <c r="E21" s="106">
        <v>10159.999999999854</v>
      </c>
      <c r="F21" s="3">
        <v>10523524.79999985</v>
      </c>
      <c r="G21" s="37">
        <v>2000</v>
      </c>
      <c r="H21" s="3">
        <v>3107340</v>
      </c>
      <c r="I21" s="103">
        <f t="shared" si="5"/>
        <v>13630864.79999985</v>
      </c>
      <c r="J21" s="106">
        <v>1400.0000000000341</v>
      </c>
      <c r="K21" s="3">
        <v>1450092.0000000354</v>
      </c>
      <c r="L21" s="186">
        <v>419.99999999998749</v>
      </c>
      <c r="M21" s="187">
        <v>652541.39999998058</v>
      </c>
      <c r="N21" s="94">
        <f t="shared" si="6"/>
        <v>2102633.4000000162</v>
      </c>
      <c r="O21" s="108">
        <f t="shared" si="7"/>
        <v>15733498.199999865</v>
      </c>
      <c r="P21" s="111">
        <f t="shared" si="8"/>
        <v>13979.999999999876</v>
      </c>
      <c r="Q21" s="191"/>
      <c r="R21" s="202"/>
      <c r="S21" s="215"/>
      <c r="T21" s="212"/>
      <c r="U21" s="210">
        <v>0</v>
      </c>
      <c r="V21" s="188">
        <f t="shared" si="9"/>
        <v>824.1400000000001</v>
      </c>
      <c r="W21" s="3">
        <v>114.81</v>
      </c>
      <c r="X21" s="3">
        <v>2063193.105</v>
      </c>
      <c r="Y21" s="33">
        <v>709.33</v>
      </c>
      <c r="Z21" s="33">
        <v>3011233.5294000003</v>
      </c>
      <c r="AA21" s="33">
        <f t="shared" si="0"/>
        <v>5074426.6344000008</v>
      </c>
      <c r="AB21" s="128">
        <f t="shared" si="1"/>
        <v>391.05975948070648</v>
      </c>
      <c r="AC21" s="134">
        <v>0</v>
      </c>
      <c r="AD21" s="3">
        <v>0</v>
      </c>
      <c r="AE21" s="3">
        <v>0</v>
      </c>
      <c r="AF21" s="3">
        <v>0</v>
      </c>
      <c r="AG21" s="3">
        <f t="shared" si="2"/>
        <v>0</v>
      </c>
      <c r="AH21" s="3">
        <v>0</v>
      </c>
      <c r="AI21" s="43">
        <f t="shared" si="3"/>
        <v>0</v>
      </c>
      <c r="AJ21" s="142">
        <v>318.40999999999622</v>
      </c>
      <c r="AK21" s="3">
        <v>3152258.9999999627</v>
      </c>
      <c r="AL21" s="39">
        <f t="shared" si="4"/>
        <v>242.92826267388426</v>
      </c>
      <c r="AM21" s="7"/>
    </row>
    <row r="22" spans="1:39" x14ac:dyDescent="0.35">
      <c r="A22" s="35"/>
      <c r="B22" s="58">
        <v>11</v>
      </c>
      <c r="C22" s="149">
        <v>1</v>
      </c>
      <c r="D22" s="151">
        <v>55</v>
      </c>
      <c r="E22" s="106">
        <v>9800.0000000001819</v>
      </c>
      <c r="F22" s="3">
        <v>10150644.000000188</v>
      </c>
      <c r="G22" s="37">
        <v>1879.9999999999955</v>
      </c>
      <c r="H22" s="3">
        <v>2920899.5999999931</v>
      </c>
      <c r="I22" s="103">
        <f t="shared" si="5"/>
        <v>13071543.60000018</v>
      </c>
      <c r="J22" s="106">
        <v>1339.999999999975</v>
      </c>
      <c r="K22" s="3">
        <v>1387945.1999999741</v>
      </c>
      <c r="L22" s="186">
        <v>340.00000000000341</v>
      </c>
      <c r="M22" s="187">
        <v>528247.80000000529</v>
      </c>
      <c r="N22" s="94">
        <f t="shared" si="6"/>
        <v>1916192.9999999795</v>
      </c>
      <c r="O22" s="108">
        <f t="shared" si="7"/>
        <v>14987736.60000016</v>
      </c>
      <c r="P22" s="111">
        <f t="shared" si="8"/>
        <v>13360.000000000156</v>
      </c>
      <c r="Q22" s="191"/>
      <c r="R22" s="202"/>
      <c r="S22" s="215"/>
      <c r="T22" s="212"/>
      <c r="U22" s="210">
        <v>0</v>
      </c>
      <c r="V22" s="188">
        <f t="shared" si="9"/>
        <v>713.78</v>
      </c>
      <c r="W22" s="3">
        <v>113.92</v>
      </c>
      <c r="X22" s="3">
        <v>2047199.36</v>
      </c>
      <c r="Y22" s="33">
        <v>599.86</v>
      </c>
      <c r="Z22" s="33">
        <v>2546513.6748000002</v>
      </c>
      <c r="AA22" s="33">
        <f t="shared" si="0"/>
        <v>4593713.0348000005</v>
      </c>
      <c r="AB22" s="128">
        <f t="shared" si="1"/>
        <v>354.01365394352229</v>
      </c>
      <c r="AC22" s="134">
        <v>0</v>
      </c>
      <c r="AD22" s="3">
        <v>0</v>
      </c>
      <c r="AE22" s="3">
        <v>0</v>
      </c>
      <c r="AF22" s="3">
        <v>0</v>
      </c>
      <c r="AG22" s="3">
        <f t="shared" si="2"/>
        <v>0</v>
      </c>
      <c r="AH22" s="3">
        <v>0</v>
      </c>
      <c r="AI22" s="43">
        <f t="shared" si="3"/>
        <v>0</v>
      </c>
      <c r="AJ22" s="142">
        <v>118.94000000000233</v>
      </c>
      <c r="AK22" s="3">
        <v>1177506.0000000231</v>
      </c>
      <c r="AL22" s="39">
        <f t="shared" si="4"/>
        <v>90.744284295193935</v>
      </c>
      <c r="AM22" s="7"/>
    </row>
    <row r="23" spans="1:39" x14ac:dyDescent="0.35">
      <c r="A23" s="35"/>
      <c r="B23" s="58">
        <v>12</v>
      </c>
      <c r="C23" s="149">
        <v>2</v>
      </c>
      <c r="D23" s="151">
        <v>63</v>
      </c>
      <c r="E23" s="106">
        <v>9359.9999999996726</v>
      </c>
      <c r="F23" s="3">
        <v>9694900.7999996599</v>
      </c>
      <c r="G23" s="37">
        <v>1840.0000000000318</v>
      </c>
      <c r="H23" s="3">
        <v>2858752.8000000496</v>
      </c>
      <c r="I23" s="103">
        <f t="shared" si="5"/>
        <v>12553653.599999709</v>
      </c>
      <c r="J23" s="106">
        <v>1279.9999999999727</v>
      </c>
      <c r="K23" s="3">
        <v>1325798.3999999717</v>
      </c>
      <c r="L23" s="186">
        <v>320.00000000000739</v>
      </c>
      <c r="M23" s="187">
        <v>497174.40000001149</v>
      </c>
      <c r="N23" s="94">
        <f t="shared" si="6"/>
        <v>1822972.7999999833</v>
      </c>
      <c r="O23" s="108">
        <f t="shared" si="7"/>
        <v>14376626.399999693</v>
      </c>
      <c r="P23" s="111">
        <f t="shared" si="8"/>
        <v>12799.999999999683</v>
      </c>
      <c r="Q23" s="191"/>
      <c r="R23" s="202"/>
      <c r="S23" s="215"/>
      <c r="T23" s="212"/>
      <c r="U23" s="210">
        <v>0</v>
      </c>
      <c r="V23" s="188">
        <f t="shared" si="9"/>
        <v>765.4</v>
      </c>
      <c r="W23" s="3">
        <v>113.92</v>
      </c>
      <c r="X23" s="3">
        <v>2047199.36</v>
      </c>
      <c r="Y23" s="33">
        <v>651.48</v>
      </c>
      <c r="Z23" s="33">
        <v>2765649.8664000002</v>
      </c>
      <c r="AA23" s="33">
        <f t="shared" si="0"/>
        <v>4812849.2264</v>
      </c>
      <c r="AB23" s="128">
        <f t="shared" si="1"/>
        <v>370.90134442655682</v>
      </c>
      <c r="AC23" s="134">
        <v>0</v>
      </c>
      <c r="AD23" s="3">
        <v>0</v>
      </c>
      <c r="AE23" s="3">
        <v>0</v>
      </c>
      <c r="AF23" s="3">
        <v>12</v>
      </c>
      <c r="AG23" s="3">
        <f t="shared" si="2"/>
        <v>12</v>
      </c>
      <c r="AH23" s="3">
        <v>137500</v>
      </c>
      <c r="AI23" s="43">
        <f t="shared" si="3"/>
        <v>10.596412324513778</v>
      </c>
      <c r="AJ23" s="142">
        <v>119.33000000000175</v>
      </c>
      <c r="AK23" s="3">
        <v>1181367.0000000172</v>
      </c>
      <c r="AL23" s="39">
        <f t="shared" si="4"/>
        <v>91.041831553265837</v>
      </c>
      <c r="AM23" s="7"/>
    </row>
    <row r="24" spans="1:39" x14ac:dyDescent="0.35">
      <c r="A24" s="35"/>
      <c r="B24" s="58">
        <v>13</v>
      </c>
      <c r="C24" s="149">
        <v>1</v>
      </c>
      <c r="D24" s="151">
        <v>24</v>
      </c>
      <c r="E24" s="106">
        <v>9680.000000000291</v>
      </c>
      <c r="F24" s="3">
        <v>10026350.4000003</v>
      </c>
      <c r="G24" s="37">
        <v>1879.9999999999955</v>
      </c>
      <c r="H24" s="3">
        <v>2920899.5999999931</v>
      </c>
      <c r="I24" s="103">
        <f t="shared" si="5"/>
        <v>12947250.000000294</v>
      </c>
      <c r="J24" s="106">
        <v>1220.0000000000273</v>
      </c>
      <c r="K24" s="3">
        <v>1263651.6000000283</v>
      </c>
      <c r="L24" s="186">
        <v>319.99999999999318</v>
      </c>
      <c r="M24" s="187">
        <v>497174.39999998943</v>
      </c>
      <c r="N24" s="94">
        <f t="shared" si="6"/>
        <v>1760826.0000000177</v>
      </c>
      <c r="O24" s="108">
        <f t="shared" si="7"/>
        <v>14708076.000000313</v>
      </c>
      <c r="P24" s="111">
        <f t="shared" si="8"/>
        <v>13100.000000000307</v>
      </c>
      <c r="Q24" s="191"/>
      <c r="R24" s="202"/>
      <c r="S24" s="215"/>
      <c r="T24" s="212"/>
      <c r="U24" s="210">
        <v>0</v>
      </c>
      <c r="V24" s="188">
        <f>Y24+W24</f>
        <v>656.82</v>
      </c>
      <c r="W24" s="3">
        <v>117.48</v>
      </c>
      <c r="X24" s="3">
        <v>2111174.34</v>
      </c>
      <c r="Y24" s="33">
        <v>539.34</v>
      </c>
      <c r="Z24" s="33">
        <v>2289595.3812000002</v>
      </c>
      <c r="AA24" s="33">
        <f t="shared" si="0"/>
        <v>4400769.7212000005</v>
      </c>
      <c r="AB24" s="128">
        <f t="shared" si="1"/>
        <v>339.14451280778729</v>
      </c>
      <c r="AC24" s="134">
        <v>0</v>
      </c>
      <c r="AD24" s="3">
        <v>0</v>
      </c>
      <c r="AE24" s="3">
        <v>0</v>
      </c>
      <c r="AF24" s="3">
        <v>12</v>
      </c>
      <c r="AG24" s="3">
        <f t="shared" si="2"/>
        <v>12</v>
      </c>
      <c r="AH24" s="3">
        <v>137500</v>
      </c>
      <c r="AI24" s="43">
        <f t="shared" si="3"/>
        <v>10.596412324513778</v>
      </c>
      <c r="AJ24" s="142">
        <v>387.80999999999767</v>
      </c>
      <c r="AK24" s="3">
        <v>3839318.9999999767</v>
      </c>
      <c r="AL24" s="39">
        <f t="shared" si="4"/>
        <v>295.87641577701578</v>
      </c>
      <c r="AM24" s="7"/>
    </row>
    <row r="25" spans="1:39" x14ac:dyDescent="0.35">
      <c r="A25" s="35"/>
      <c r="B25" s="58">
        <v>14</v>
      </c>
      <c r="C25" s="149">
        <v>13</v>
      </c>
      <c r="D25" s="151">
        <v>50</v>
      </c>
      <c r="E25" s="106">
        <v>9879.9999999996544</v>
      </c>
      <c r="F25" s="3">
        <v>10233506.399999641</v>
      </c>
      <c r="G25" s="37">
        <v>1879.9999999999955</v>
      </c>
      <c r="H25" s="3">
        <v>2920899.5999999931</v>
      </c>
      <c r="I25" s="103">
        <f t="shared" si="5"/>
        <v>13154405.999999635</v>
      </c>
      <c r="J25" s="106">
        <v>1180.0000000000068</v>
      </c>
      <c r="K25" s="3">
        <v>1222220.4000000071</v>
      </c>
      <c r="L25" s="186">
        <v>340.00000000000341</v>
      </c>
      <c r="M25" s="187">
        <v>528247.80000000529</v>
      </c>
      <c r="N25" s="94">
        <f t="shared" si="6"/>
        <v>1750468.2000000123</v>
      </c>
      <c r="O25" s="108">
        <f t="shared" si="7"/>
        <v>14904874.199999647</v>
      </c>
      <c r="P25" s="111">
        <f t="shared" si="8"/>
        <v>13279.99999999966</v>
      </c>
      <c r="Q25" s="191"/>
      <c r="R25" s="202"/>
      <c r="S25" s="215"/>
      <c r="T25" s="212"/>
      <c r="U25" s="210">
        <v>0</v>
      </c>
      <c r="V25" s="188">
        <f t="shared" si="9"/>
        <v>635.46</v>
      </c>
      <c r="W25" s="3">
        <v>115.7</v>
      </c>
      <c r="X25" s="3">
        <v>2079186.85</v>
      </c>
      <c r="Y25" s="33">
        <v>519.76</v>
      </c>
      <c r="Z25" s="33">
        <v>2206474.7568000001</v>
      </c>
      <c r="AA25" s="33">
        <f t="shared" si="0"/>
        <v>4285661.6068000002</v>
      </c>
      <c r="AB25" s="128">
        <f t="shared" si="1"/>
        <v>330.27372704720761</v>
      </c>
      <c r="AC25" s="134">
        <v>0</v>
      </c>
      <c r="AD25" s="3">
        <v>0</v>
      </c>
      <c r="AE25" s="3">
        <v>0</v>
      </c>
      <c r="AF25" s="3">
        <v>0</v>
      </c>
      <c r="AG25" s="3">
        <f t="shared" si="2"/>
        <v>0</v>
      </c>
      <c r="AH25" s="3">
        <v>0</v>
      </c>
      <c r="AI25" s="43">
        <f t="shared" si="3"/>
        <v>0</v>
      </c>
      <c r="AJ25" s="142">
        <v>299.70999999999913</v>
      </c>
      <c r="AK25" s="3">
        <v>2967128.9999999912</v>
      </c>
      <c r="AL25" s="39">
        <f t="shared" si="4"/>
        <v>228.66125312016109</v>
      </c>
      <c r="AM25" s="7"/>
    </row>
    <row r="26" spans="1:39" x14ac:dyDescent="0.35">
      <c r="A26" s="35"/>
      <c r="B26" s="58">
        <v>15</v>
      </c>
      <c r="C26" s="149">
        <v>7</v>
      </c>
      <c r="D26" s="151">
        <v>52</v>
      </c>
      <c r="E26" s="106">
        <v>10120.000000000346</v>
      </c>
      <c r="F26" s="3">
        <v>10482093.600000357</v>
      </c>
      <c r="G26" s="37">
        <v>2039.9999999999636</v>
      </c>
      <c r="H26" s="3">
        <v>3169486.7999999435</v>
      </c>
      <c r="I26" s="103">
        <f t="shared" si="5"/>
        <v>13651580.4000003</v>
      </c>
      <c r="J26" s="106">
        <v>1259.9999999999909</v>
      </c>
      <c r="K26" s="3">
        <v>1305082.7999999905</v>
      </c>
      <c r="L26" s="186">
        <v>319.99999999999318</v>
      </c>
      <c r="M26" s="187">
        <v>497174.39999998943</v>
      </c>
      <c r="N26" s="94">
        <f t="shared" si="6"/>
        <v>1802257.1999999799</v>
      </c>
      <c r="O26" s="108">
        <f t="shared" si="7"/>
        <v>15453837.600000281</v>
      </c>
      <c r="P26" s="111">
        <f t="shared" si="8"/>
        <v>13740.000000000293</v>
      </c>
      <c r="Q26" s="191"/>
      <c r="R26" s="202"/>
      <c r="S26" s="215"/>
      <c r="T26" s="212"/>
      <c r="U26" s="210">
        <v>0</v>
      </c>
      <c r="V26" s="188">
        <f t="shared" si="9"/>
        <v>758.28</v>
      </c>
      <c r="W26" s="3">
        <v>129.05000000000001</v>
      </c>
      <c r="X26" s="3">
        <v>2319093.0250000004</v>
      </c>
      <c r="Y26" s="33">
        <v>629.23</v>
      </c>
      <c r="Z26" s="33">
        <v>2671194.6114000003</v>
      </c>
      <c r="AA26" s="33">
        <f t="shared" si="0"/>
        <v>4990287.6364000011</v>
      </c>
      <c r="AB26" s="128">
        <f t="shared" si="1"/>
        <v>384.5756030052197</v>
      </c>
      <c r="AC26" s="134">
        <v>0</v>
      </c>
      <c r="AD26" s="3">
        <v>0</v>
      </c>
      <c r="AE26" s="3">
        <v>400</v>
      </c>
      <c r="AF26" s="3">
        <v>12</v>
      </c>
      <c r="AG26" s="3">
        <f t="shared" si="2"/>
        <v>412</v>
      </c>
      <c r="AH26" s="3">
        <v>5809500</v>
      </c>
      <c r="AI26" s="43">
        <f t="shared" si="3"/>
        <v>447.70805381282037</v>
      </c>
      <c r="AJ26" s="142">
        <v>184.90000000000146</v>
      </c>
      <c r="AK26" s="3">
        <v>1830510.0000000144</v>
      </c>
      <c r="AL26" s="39">
        <f t="shared" si="4"/>
        <v>141.06791799378814</v>
      </c>
      <c r="AM26" s="7"/>
    </row>
    <row r="27" spans="1:39" x14ac:dyDescent="0.35">
      <c r="A27" s="35"/>
      <c r="B27" s="58">
        <v>16</v>
      </c>
      <c r="C27" s="149">
        <v>4</v>
      </c>
      <c r="D27" s="151">
        <v>36</v>
      </c>
      <c r="E27" s="106">
        <v>10039.999999999964</v>
      </c>
      <c r="F27" s="3">
        <v>10399231.199999962</v>
      </c>
      <c r="G27" s="37">
        <v>1960.0000000000364</v>
      </c>
      <c r="H27" s="3">
        <v>3045193.2000000565</v>
      </c>
      <c r="I27" s="103">
        <f t="shared" si="5"/>
        <v>13444424.400000019</v>
      </c>
      <c r="J27" s="106">
        <v>1160.000000000025</v>
      </c>
      <c r="K27" s="3">
        <v>1201504.8000000259</v>
      </c>
      <c r="L27" s="186">
        <v>300.00000000001137</v>
      </c>
      <c r="M27" s="187">
        <v>466101.0000000177</v>
      </c>
      <c r="N27" s="94">
        <f t="shared" si="6"/>
        <v>1667605.8000000436</v>
      </c>
      <c r="O27" s="108">
        <f t="shared" si="7"/>
        <v>15112030.200000063</v>
      </c>
      <c r="P27" s="111">
        <f t="shared" si="8"/>
        <v>13460.000000000036</v>
      </c>
      <c r="Q27" s="191"/>
      <c r="R27" s="202"/>
      <c r="S27" s="215"/>
      <c r="T27" s="212"/>
      <c r="U27" s="210">
        <v>0</v>
      </c>
      <c r="V27" s="188">
        <f t="shared" si="9"/>
        <v>817.91</v>
      </c>
      <c r="W27" s="3">
        <v>113.92</v>
      </c>
      <c r="X27" s="3">
        <v>2047199.36</v>
      </c>
      <c r="Y27" s="33">
        <v>703.99</v>
      </c>
      <c r="Z27" s="33">
        <v>2988564.2682000003</v>
      </c>
      <c r="AA27" s="33">
        <f t="shared" si="0"/>
        <v>5035763.6282000002</v>
      </c>
      <c r="AB27" s="128">
        <f t="shared" si="1"/>
        <v>388.08020198688513</v>
      </c>
      <c r="AC27" s="134">
        <v>0</v>
      </c>
      <c r="AD27" s="3">
        <v>0</v>
      </c>
      <c r="AE27" s="3">
        <v>0</v>
      </c>
      <c r="AF27" s="3">
        <v>0</v>
      </c>
      <c r="AG27" s="3">
        <f t="shared" si="2"/>
        <v>0</v>
      </c>
      <c r="AH27" s="3">
        <v>0</v>
      </c>
      <c r="AI27" s="43">
        <f t="shared" si="3"/>
        <v>0</v>
      </c>
      <c r="AJ27" s="142">
        <v>173.80000000000291</v>
      </c>
      <c r="AK27" s="3">
        <v>1720620.0000000289</v>
      </c>
      <c r="AL27" s="39">
        <f t="shared" si="4"/>
        <v>132.59926526403785</v>
      </c>
      <c r="AM27" s="7"/>
    </row>
    <row r="28" spans="1:39" x14ac:dyDescent="0.35">
      <c r="A28" s="35"/>
      <c r="B28" s="58">
        <v>17</v>
      </c>
      <c r="C28" s="149">
        <v>5</v>
      </c>
      <c r="D28" s="151">
        <v>50</v>
      </c>
      <c r="E28" s="106">
        <v>10079.999999999927</v>
      </c>
      <c r="F28" s="3">
        <v>10440662.399999924</v>
      </c>
      <c r="G28" s="37">
        <v>1919.9999999999591</v>
      </c>
      <c r="H28" s="3">
        <v>2983046.3999999366</v>
      </c>
      <c r="I28" s="103">
        <f t="shared" si="5"/>
        <v>13423708.799999861</v>
      </c>
      <c r="J28" s="106">
        <v>1279.9999999999727</v>
      </c>
      <c r="K28" s="3">
        <v>1325798.3999999717</v>
      </c>
      <c r="L28" s="186">
        <v>359.99999999999943</v>
      </c>
      <c r="M28" s="187">
        <v>559321.19999999914</v>
      </c>
      <c r="N28" s="94">
        <f t="shared" si="6"/>
        <v>1885119.5999999708</v>
      </c>
      <c r="O28" s="108">
        <f t="shared" si="7"/>
        <v>15308828.399999831</v>
      </c>
      <c r="P28" s="111">
        <f t="shared" si="8"/>
        <v>13639.999999999858</v>
      </c>
      <c r="Q28" s="191"/>
      <c r="R28" s="204"/>
      <c r="S28" s="215"/>
      <c r="T28" s="212"/>
      <c r="U28" s="210">
        <v>0</v>
      </c>
      <c r="V28" s="188">
        <f t="shared" si="9"/>
        <v>868.64</v>
      </c>
      <c r="W28" s="3">
        <v>113.03</v>
      </c>
      <c r="X28" s="3">
        <v>2031205.615</v>
      </c>
      <c r="Y28" s="33">
        <v>755.61</v>
      </c>
      <c r="Z28" s="33">
        <v>3207700.4598000003</v>
      </c>
      <c r="AA28" s="33">
        <f t="shared" si="0"/>
        <v>5238906.0748000005</v>
      </c>
      <c r="AB28" s="128">
        <f t="shared" si="1"/>
        <v>403.73533743986059</v>
      </c>
      <c r="AC28" s="134">
        <v>0</v>
      </c>
      <c r="AD28" s="3">
        <v>0</v>
      </c>
      <c r="AE28" s="3">
        <v>0</v>
      </c>
      <c r="AF28" s="3">
        <v>0</v>
      </c>
      <c r="AG28" s="3">
        <f t="shared" si="2"/>
        <v>0</v>
      </c>
      <c r="AH28" s="3">
        <v>0</v>
      </c>
      <c r="AI28" s="43">
        <f t="shared" si="3"/>
        <v>0</v>
      </c>
      <c r="AJ28" s="142">
        <v>174.61000000000058</v>
      </c>
      <c r="AK28" s="3">
        <v>1728639.0000000058</v>
      </c>
      <c r="AL28" s="39">
        <f t="shared" si="4"/>
        <v>133.21724803080173</v>
      </c>
      <c r="AM28" s="7"/>
    </row>
    <row r="29" spans="1:39" x14ac:dyDescent="0.35">
      <c r="A29" s="35"/>
      <c r="B29" s="58">
        <v>18</v>
      </c>
      <c r="C29" s="149">
        <v>6</v>
      </c>
      <c r="D29" s="151">
        <v>102</v>
      </c>
      <c r="E29" s="106">
        <v>10400.000000000091</v>
      </c>
      <c r="F29" s="3">
        <v>10772112.000000093</v>
      </c>
      <c r="G29" s="37">
        <v>2000</v>
      </c>
      <c r="H29" s="3">
        <v>3107340</v>
      </c>
      <c r="I29" s="103">
        <f t="shared" si="5"/>
        <v>13879452.000000093</v>
      </c>
      <c r="J29" s="106">
        <v>1379.9999999999955</v>
      </c>
      <c r="K29" s="3">
        <v>1429376.3999999953</v>
      </c>
      <c r="L29" s="186">
        <v>339.9999999999892</v>
      </c>
      <c r="M29" s="187">
        <v>528247.79999998328</v>
      </c>
      <c r="N29" s="94">
        <f t="shared" si="6"/>
        <v>1957624.1999999785</v>
      </c>
      <c r="O29" s="108">
        <f t="shared" si="7"/>
        <v>15837076.200000072</v>
      </c>
      <c r="P29" s="111">
        <f t="shared" si="8"/>
        <v>14120.000000000076</v>
      </c>
      <c r="Q29" s="192"/>
      <c r="R29" s="205"/>
      <c r="S29" s="215"/>
      <c r="T29" s="212"/>
      <c r="U29" s="210">
        <v>0</v>
      </c>
      <c r="V29" s="188">
        <f t="shared" si="9"/>
        <v>782.31</v>
      </c>
      <c r="W29" s="3">
        <v>112.14</v>
      </c>
      <c r="X29" s="3">
        <v>2015211.87</v>
      </c>
      <c r="Y29" s="33">
        <v>670.17</v>
      </c>
      <c r="Z29" s="33">
        <v>2844992.2806000002</v>
      </c>
      <c r="AA29" s="33">
        <f t="shared" si="0"/>
        <v>4860204.1506000003</v>
      </c>
      <c r="AB29" s="128">
        <f t="shared" si="1"/>
        <v>374.55074298960631</v>
      </c>
      <c r="AC29" s="134">
        <v>0</v>
      </c>
      <c r="AD29" s="3">
        <v>0</v>
      </c>
      <c r="AE29" s="3">
        <v>400</v>
      </c>
      <c r="AF29" s="3">
        <v>12</v>
      </c>
      <c r="AG29" s="3">
        <f t="shared" si="2"/>
        <v>412</v>
      </c>
      <c r="AH29" s="3">
        <v>5809500</v>
      </c>
      <c r="AI29" s="43">
        <f t="shared" si="3"/>
        <v>447.70805381282037</v>
      </c>
      <c r="AJ29" s="142">
        <v>180.3999999999869</v>
      </c>
      <c r="AK29" s="3">
        <v>1785959.9999998703</v>
      </c>
      <c r="AL29" s="39">
        <f t="shared" si="4"/>
        <v>137.63468040063458</v>
      </c>
      <c r="AM29" s="7"/>
    </row>
    <row r="30" spans="1:39" x14ac:dyDescent="0.35">
      <c r="A30" s="35"/>
      <c r="B30" s="58">
        <v>19</v>
      </c>
      <c r="C30" s="149">
        <v>3</v>
      </c>
      <c r="D30" s="151">
        <v>91</v>
      </c>
      <c r="E30" s="106">
        <v>10119.999999999891</v>
      </c>
      <c r="F30" s="3">
        <v>10482093.599999886</v>
      </c>
      <c r="G30" s="37">
        <v>2040.0000000000773</v>
      </c>
      <c r="H30" s="3">
        <v>3169486.8000001204</v>
      </c>
      <c r="I30" s="103">
        <f t="shared" si="5"/>
        <v>13651580.400000006</v>
      </c>
      <c r="J30" s="106">
        <v>1300.0000000000114</v>
      </c>
      <c r="K30" s="3">
        <v>1346514.0000000116</v>
      </c>
      <c r="L30" s="186">
        <v>340.00000000000341</v>
      </c>
      <c r="M30" s="187">
        <v>528247.80000000529</v>
      </c>
      <c r="N30" s="94">
        <f t="shared" si="6"/>
        <v>1874761.800000017</v>
      </c>
      <c r="O30" s="108">
        <f t="shared" si="7"/>
        <v>15526342.200000023</v>
      </c>
      <c r="P30" s="111">
        <f t="shared" si="8"/>
        <v>13799.999999999982</v>
      </c>
      <c r="Q30" s="191"/>
      <c r="R30" s="191"/>
      <c r="S30" s="215"/>
      <c r="T30" s="212"/>
      <c r="U30" s="210">
        <v>0</v>
      </c>
      <c r="V30" s="188">
        <f t="shared" si="9"/>
        <v>517.98</v>
      </c>
      <c r="W30" s="3">
        <v>114.81</v>
      </c>
      <c r="X30" s="3">
        <v>2063193.105</v>
      </c>
      <c r="Y30" s="33">
        <v>403.17</v>
      </c>
      <c r="Z30" s="33">
        <v>1711529.2206000001</v>
      </c>
      <c r="AA30" s="33">
        <f t="shared" si="0"/>
        <v>3774722.3256000001</v>
      </c>
      <c r="AB30" s="128">
        <f t="shared" si="1"/>
        <v>290.89828489167382</v>
      </c>
      <c r="AC30" s="134">
        <v>0</v>
      </c>
      <c r="AD30" s="3">
        <v>0</v>
      </c>
      <c r="AE30" s="3">
        <v>0</v>
      </c>
      <c r="AF30" s="3">
        <v>12</v>
      </c>
      <c r="AG30" s="3">
        <f t="shared" si="2"/>
        <v>12</v>
      </c>
      <c r="AH30" s="3">
        <v>137500</v>
      </c>
      <c r="AI30" s="43">
        <f t="shared" si="3"/>
        <v>10.596412324513778</v>
      </c>
      <c r="AJ30" s="142">
        <v>137.34999999999854</v>
      </c>
      <c r="AK30" s="3">
        <v>1359764.9999999856</v>
      </c>
      <c r="AL30" s="39">
        <f t="shared" si="4"/>
        <v>104.79004075958055</v>
      </c>
      <c r="AM30" s="7"/>
    </row>
    <row r="31" spans="1:39" x14ac:dyDescent="0.35">
      <c r="A31" s="35"/>
      <c r="B31" s="58">
        <v>20</v>
      </c>
      <c r="C31" s="149">
        <v>8</v>
      </c>
      <c r="D31" s="151">
        <v>42</v>
      </c>
      <c r="E31" s="106">
        <v>9799.9999999997272</v>
      </c>
      <c r="F31" s="3">
        <v>10150643.999999717</v>
      </c>
      <c r="G31" s="37">
        <v>2000</v>
      </c>
      <c r="H31" s="3">
        <v>3107340</v>
      </c>
      <c r="I31" s="103">
        <f t="shared" si="5"/>
        <v>13257983.999999717</v>
      </c>
      <c r="J31" s="106">
        <v>1240.0000000000091</v>
      </c>
      <c r="K31" s="3">
        <v>1284367.2000000095</v>
      </c>
      <c r="L31" s="186">
        <v>320.00000000000739</v>
      </c>
      <c r="M31" s="187">
        <v>497174.40000001149</v>
      </c>
      <c r="N31" s="94">
        <f t="shared" si="6"/>
        <v>1781541.600000021</v>
      </c>
      <c r="O31" s="108">
        <f t="shared" si="7"/>
        <v>15039525.599999737</v>
      </c>
      <c r="P31" s="111">
        <f t="shared" si="8"/>
        <v>13359.999999999744</v>
      </c>
      <c r="Q31" s="192"/>
      <c r="R31" s="192"/>
      <c r="S31" s="215"/>
      <c r="T31" s="212"/>
      <c r="U31" s="210">
        <v>0</v>
      </c>
      <c r="V31" s="188">
        <f t="shared" si="9"/>
        <v>1091.1400000000001</v>
      </c>
      <c r="W31" s="3">
        <v>113.92</v>
      </c>
      <c r="X31" s="3">
        <v>2047199.36</v>
      </c>
      <c r="Y31" s="33">
        <v>977.22</v>
      </c>
      <c r="Z31" s="33">
        <v>4148474.7996000005</v>
      </c>
      <c r="AA31" s="33">
        <f t="shared" si="0"/>
        <v>6195674.1596000008</v>
      </c>
      <c r="AB31" s="128">
        <f t="shared" si="1"/>
        <v>477.46849471605088</v>
      </c>
      <c r="AC31" s="134">
        <v>0</v>
      </c>
      <c r="AD31" s="3">
        <v>0</v>
      </c>
      <c r="AE31" s="3">
        <v>0</v>
      </c>
      <c r="AF31" s="3">
        <v>12</v>
      </c>
      <c r="AG31" s="3">
        <f t="shared" si="2"/>
        <v>12</v>
      </c>
      <c r="AH31" s="3">
        <v>137500</v>
      </c>
      <c r="AI31" s="43">
        <f t="shared" si="3"/>
        <v>10.596412324513778</v>
      </c>
      <c r="AJ31" s="142">
        <v>197.77999999999884</v>
      </c>
      <c r="AK31" s="3">
        <v>1958021.9999999884</v>
      </c>
      <c r="AL31" s="39">
        <f t="shared" si="4"/>
        <v>150.89460692704722</v>
      </c>
      <c r="AM31" s="7"/>
    </row>
    <row r="32" spans="1:39" x14ac:dyDescent="0.35">
      <c r="A32" s="35"/>
      <c r="B32" s="58">
        <v>21</v>
      </c>
      <c r="C32" s="149">
        <v>9</v>
      </c>
      <c r="D32" s="151">
        <v>70</v>
      </c>
      <c r="E32" s="106">
        <v>10240.000000000236</v>
      </c>
      <c r="F32" s="3">
        <v>10606387.200000245</v>
      </c>
      <c r="G32" s="37">
        <v>2000</v>
      </c>
      <c r="H32" s="3">
        <v>3107340</v>
      </c>
      <c r="I32" s="103">
        <f t="shared" si="5"/>
        <v>13713727.200000245</v>
      </c>
      <c r="J32" s="106">
        <v>1159.9999999999682</v>
      </c>
      <c r="K32" s="3">
        <v>1201504.799999967</v>
      </c>
      <c r="L32" s="186">
        <v>319.99999999999318</v>
      </c>
      <c r="M32" s="187">
        <v>497174.39999998943</v>
      </c>
      <c r="N32" s="94">
        <f>+K32+M32</f>
        <v>1698679.1999999564</v>
      </c>
      <c r="O32" s="108">
        <f t="shared" si="7"/>
        <v>15412406.400000202</v>
      </c>
      <c r="P32" s="111">
        <f t="shared" si="8"/>
        <v>13720.000000000198</v>
      </c>
      <c r="Q32" s="191"/>
      <c r="R32" s="203"/>
      <c r="S32" s="215"/>
      <c r="T32" s="212"/>
      <c r="U32" s="210">
        <v>0</v>
      </c>
      <c r="V32" s="188">
        <f t="shared" si="9"/>
        <v>792.99</v>
      </c>
      <c r="W32" s="3">
        <v>113.92</v>
      </c>
      <c r="X32" s="3">
        <v>2047199.36</v>
      </c>
      <c r="Y32" s="33">
        <v>679.07</v>
      </c>
      <c r="Z32" s="33">
        <v>2882774.3826000006</v>
      </c>
      <c r="AA32" s="33">
        <f t="shared" si="0"/>
        <v>4929973.7426000005</v>
      </c>
      <c r="AB32" s="128">
        <f t="shared" si="1"/>
        <v>379.92752382266156</v>
      </c>
      <c r="AC32" s="134">
        <v>0</v>
      </c>
      <c r="AD32" s="3">
        <v>0</v>
      </c>
      <c r="AE32" s="3">
        <v>0</v>
      </c>
      <c r="AF32" s="3">
        <v>0</v>
      </c>
      <c r="AG32" s="3">
        <f t="shared" ref="AG32:AG40" si="10">+AE32+AF32</f>
        <v>0</v>
      </c>
      <c r="AH32" s="3">
        <v>0</v>
      </c>
      <c r="AI32" s="43">
        <f t="shared" si="3"/>
        <v>0</v>
      </c>
      <c r="AJ32" s="142">
        <v>153.16999999999825</v>
      </c>
      <c r="AK32" s="3">
        <v>1516382.9999999828</v>
      </c>
      <c r="AL32" s="39">
        <f t="shared" si="4"/>
        <v>116.8597782536945</v>
      </c>
      <c r="AM32" s="7"/>
    </row>
    <row r="33" spans="1:39" x14ac:dyDescent="0.35">
      <c r="A33" s="35"/>
      <c r="B33" s="58">
        <v>22</v>
      </c>
      <c r="C33" s="149">
        <v>5</v>
      </c>
      <c r="D33" s="151">
        <v>93</v>
      </c>
      <c r="E33" s="106">
        <v>10559.999999999945</v>
      </c>
      <c r="F33" s="3">
        <v>10937836.799999943</v>
      </c>
      <c r="G33" s="37">
        <v>2079.9999999999272</v>
      </c>
      <c r="H33" s="3">
        <v>3231633.5999998869</v>
      </c>
      <c r="I33" s="103">
        <f t="shared" si="5"/>
        <v>14169470.399999831</v>
      </c>
      <c r="J33" s="106">
        <v>1180.0000000000068</v>
      </c>
      <c r="K33" s="3">
        <v>1222220.4000000071</v>
      </c>
      <c r="L33" s="186">
        <v>299.99999999999716</v>
      </c>
      <c r="M33" s="187">
        <v>466100.99999999563</v>
      </c>
      <c r="N33" s="94">
        <f t="shared" si="6"/>
        <v>1688321.4000000027</v>
      </c>
      <c r="O33" s="108">
        <f t="shared" si="7"/>
        <v>15857791.799999833</v>
      </c>
      <c r="P33" s="111">
        <f t="shared" si="8"/>
        <v>14119.999999999876</v>
      </c>
      <c r="Q33" s="191"/>
      <c r="R33" s="204"/>
      <c r="S33" s="215"/>
      <c r="T33" s="212"/>
      <c r="U33" s="210">
        <v>0</v>
      </c>
      <c r="V33" s="188">
        <f t="shared" si="9"/>
        <v>843.72</v>
      </c>
      <c r="W33" s="3">
        <v>0</v>
      </c>
      <c r="X33" s="3">
        <v>0</v>
      </c>
      <c r="Y33" s="33">
        <v>843.72</v>
      </c>
      <c r="Z33" s="33">
        <v>3581743.2696000002</v>
      </c>
      <c r="AA33" s="33">
        <f t="shared" si="0"/>
        <v>3581743.2696000002</v>
      </c>
      <c r="AB33" s="128">
        <f t="shared" si="1"/>
        <v>276.02638927442706</v>
      </c>
      <c r="AC33" s="134">
        <v>0</v>
      </c>
      <c r="AD33" s="3">
        <v>0</v>
      </c>
      <c r="AE33" s="3">
        <v>0</v>
      </c>
      <c r="AF33" s="3">
        <v>0</v>
      </c>
      <c r="AG33" s="3">
        <f t="shared" si="10"/>
        <v>0</v>
      </c>
      <c r="AH33" s="3">
        <v>0</v>
      </c>
      <c r="AI33" s="43">
        <f t="shared" si="3"/>
        <v>0</v>
      </c>
      <c r="AJ33" s="142">
        <v>363.49000000000524</v>
      </c>
      <c r="AK33" s="3">
        <v>3598551.0000000517</v>
      </c>
      <c r="AL33" s="39">
        <f t="shared" si="4"/>
        <v>277.32167394030495</v>
      </c>
      <c r="AM33" s="7"/>
    </row>
    <row r="34" spans="1:39" x14ac:dyDescent="0.35">
      <c r="A34" s="35"/>
      <c r="B34" s="58">
        <v>23</v>
      </c>
      <c r="C34" s="149">
        <v>3</v>
      </c>
      <c r="D34" s="151">
        <v>60</v>
      </c>
      <c r="E34" s="106">
        <v>10360.000000000127</v>
      </c>
      <c r="F34" s="3">
        <v>10730680.800000131</v>
      </c>
      <c r="G34" s="37">
        <v>2000</v>
      </c>
      <c r="H34" s="3">
        <v>3107340</v>
      </c>
      <c r="I34" s="103">
        <f t="shared" si="5"/>
        <v>13838020.800000131</v>
      </c>
      <c r="J34" s="106">
        <v>1300.0000000000114</v>
      </c>
      <c r="K34" s="3">
        <v>1346514.0000000116</v>
      </c>
      <c r="L34" s="186">
        <v>400.00000000000568</v>
      </c>
      <c r="M34" s="187">
        <v>621468.00000000885</v>
      </c>
      <c r="N34" s="94">
        <f t="shared" si="6"/>
        <v>1967982.0000000205</v>
      </c>
      <c r="O34" s="108">
        <f t="shared" si="7"/>
        <v>15806002.800000152</v>
      </c>
      <c r="P34" s="111">
        <f t="shared" si="8"/>
        <v>14060.000000000146</v>
      </c>
      <c r="Q34" s="192"/>
      <c r="R34" s="205"/>
      <c r="S34" s="215"/>
      <c r="T34" s="212"/>
      <c r="U34" s="210">
        <v>0</v>
      </c>
      <c r="V34" s="188">
        <f t="shared" si="9"/>
        <v>1003.9200000000001</v>
      </c>
      <c r="W34" s="3">
        <v>114.81</v>
      </c>
      <c r="X34" s="3">
        <v>2063193.105</v>
      </c>
      <c r="Y34" s="33">
        <v>889.11</v>
      </c>
      <c r="Z34" s="33">
        <v>3774431.9898000001</v>
      </c>
      <c r="AA34" s="33">
        <f t="shared" si="0"/>
        <v>5837625.0948000001</v>
      </c>
      <c r="AB34" s="128">
        <f t="shared" si="1"/>
        <v>449.8755090940337</v>
      </c>
      <c r="AC34" s="134">
        <v>0</v>
      </c>
      <c r="AD34" s="3">
        <v>0</v>
      </c>
      <c r="AE34" s="3">
        <v>400</v>
      </c>
      <c r="AF34" s="3">
        <v>0</v>
      </c>
      <c r="AG34" s="3">
        <f t="shared" si="10"/>
        <v>400</v>
      </c>
      <c r="AH34" s="3">
        <v>5672000</v>
      </c>
      <c r="AI34" s="43">
        <f t="shared" si="3"/>
        <v>437.11164148830659</v>
      </c>
      <c r="AJ34" s="142">
        <v>94.049999999995634</v>
      </c>
      <c r="AK34" s="3">
        <v>931094.99999995681</v>
      </c>
      <c r="AL34" s="39">
        <f t="shared" si="4"/>
        <v>71.754665696674181</v>
      </c>
      <c r="AM34" s="7"/>
    </row>
    <row r="35" spans="1:39" x14ac:dyDescent="0.35">
      <c r="A35" s="35"/>
      <c r="B35" s="58">
        <v>24</v>
      </c>
      <c r="C35" s="149">
        <v>6</v>
      </c>
      <c r="D35" s="151">
        <v>131</v>
      </c>
      <c r="E35" s="106">
        <v>10119.999999999891</v>
      </c>
      <c r="F35" s="3">
        <v>10482093.599999886</v>
      </c>
      <c r="G35" s="37">
        <v>1960.0000000000364</v>
      </c>
      <c r="H35" s="3">
        <v>3045193.2000000565</v>
      </c>
      <c r="I35" s="103">
        <f t="shared" si="5"/>
        <v>13527286.799999943</v>
      </c>
      <c r="J35" s="106">
        <v>1540.0000000000205</v>
      </c>
      <c r="K35" s="3">
        <v>1595101.2000000211</v>
      </c>
      <c r="L35" s="186">
        <v>319.99999999999318</v>
      </c>
      <c r="M35" s="187">
        <v>497174.39999998943</v>
      </c>
      <c r="N35" s="94">
        <f t="shared" si="6"/>
        <v>2092275.6000000106</v>
      </c>
      <c r="O35" s="108">
        <f t="shared" si="7"/>
        <v>15619562.399999954</v>
      </c>
      <c r="P35" s="111">
        <f t="shared" si="8"/>
        <v>13939.999999999942</v>
      </c>
      <c r="Q35" s="191"/>
      <c r="R35" s="203"/>
      <c r="S35" s="215"/>
      <c r="T35" s="212"/>
      <c r="U35" s="210">
        <v>0</v>
      </c>
      <c r="V35" s="188">
        <f t="shared" si="9"/>
        <v>1046.6399999999999</v>
      </c>
      <c r="W35" s="3">
        <v>155.75</v>
      </c>
      <c r="X35" s="3">
        <v>2798905.375</v>
      </c>
      <c r="Y35" s="33">
        <v>890.89</v>
      </c>
      <c r="Z35" s="33">
        <v>3781988.4102000003</v>
      </c>
      <c r="AA35" s="33">
        <f t="shared" si="0"/>
        <v>6580893.7851999998</v>
      </c>
      <c r="AB35" s="128">
        <f t="shared" si="1"/>
        <v>507.15537463134115</v>
      </c>
      <c r="AC35" s="134">
        <v>0</v>
      </c>
      <c r="AD35" s="3">
        <v>0</v>
      </c>
      <c r="AE35" s="3">
        <v>0</v>
      </c>
      <c r="AF35" s="3">
        <v>0</v>
      </c>
      <c r="AG35" s="3">
        <f t="shared" si="10"/>
        <v>0</v>
      </c>
      <c r="AH35" s="3">
        <v>0</v>
      </c>
      <c r="AI35" s="43">
        <f t="shared" si="3"/>
        <v>0</v>
      </c>
      <c r="AJ35" s="142">
        <v>368.2300000000032</v>
      </c>
      <c r="AK35" s="3">
        <v>3645477.0000000317</v>
      </c>
      <c r="AL35" s="39">
        <f t="shared" si="4"/>
        <v>280.93801753841348</v>
      </c>
      <c r="AM35" s="7"/>
    </row>
    <row r="36" spans="1:39" x14ac:dyDescent="0.35">
      <c r="A36" s="35"/>
      <c r="B36" s="58">
        <v>25</v>
      </c>
      <c r="C36" s="149">
        <v>8</v>
      </c>
      <c r="D36" s="151">
        <v>128</v>
      </c>
      <c r="E36" s="106">
        <v>10039.999999999964</v>
      </c>
      <c r="F36" s="3">
        <v>10399231.199999962</v>
      </c>
      <c r="G36" s="37">
        <v>1919.9999999999591</v>
      </c>
      <c r="H36" s="3">
        <v>2983046.3999999366</v>
      </c>
      <c r="I36" s="103">
        <f t="shared" si="5"/>
        <v>13382277.599999899</v>
      </c>
      <c r="J36" s="106">
        <v>1199.9999999999886</v>
      </c>
      <c r="K36" s="3">
        <v>1242935.9999999881</v>
      </c>
      <c r="L36" s="186">
        <v>320.00000000000739</v>
      </c>
      <c r="M36" s="187">
        <v>497174.40000001149</v>
      </c>
      <c r="N36" s="94">
        <f t="shared" si="6"/>
        <v>1740110.3999999997</v>
      </c>
      <c r="O36" s="108">
        <f t="shared" si="7"/>
        <v>15122387.999999899</v>
      </c>
      <c r="P36" s="111">
        <f t="shared" si="8"/>
        <v>13479.999999999918</v>
      </c>
      <c r="Q36" s="191"/>
      <c r="R36" s="203"/>
      <c r="S36" s="215"/>
      <c r="T36" s="212"/>
      <c r="U36" s="210">
        <v>0</v>
      </c>
      <c r="V36" s="188">
        <f t="shared" si="9"/>
        <v>944.29</v>
      </c>
      <c r="W36" s="3">
        <v>69.42</v>
      </c>
      <c r="X36" s="3">
        <v>1247512.1100000001</v>
      </c>
      <c r="Y36" s="33">
        <v>874.87</v>
      </c>
      <c r="Z36" s="33">
        <v>3713980.6266000001</v>
      </c>
      <c r="AA36" s="33">
        <f t="shared" si="0"/>
        <v>4961492.7366000004</v>
      </c>
      <c r="AB36" s="128">
        <f t="shared" si="1"/>
        <v>382.35652932431884</v>
      </c>
      <c r="AC36" s="134">
        <v>0</v>
      </c>
      <c r="AD36" s="3">
        <v>0</v>
      </c>
      <c r="AE36" s="3">
        <v>0</v>
      </c>
      <c r="AF36" s="3">
        <v>0</v>
      </c>
      <c r="AG36" s="3">
        <f t="shared" si="10"/>
        <v>0</v>
      </c>
      <c r="AH36" s="3">
        <v>0</v>
      </c>
      <c r="AI36" s="43">
        <f t="shared" si="3"/>
        <v>0</v>
      </c>
      <c r="AJ36" s="142">
        <v>172.61000000002241</v>
      </c>
      <c r="AK36" s="3">
        <v>1708839.0000002219</v>
      </c>
      <c r="AL36" s="39">
        <f t="shared" si="4"/>
        <v>131.69136465608838</v>
      </c>
      <c r="AM36" s="7"/>
    </row>
    <row r="37" spans="1:39" x14ac:dyDescent="0.35">
      <c r="A37" s="35"/>
      <c r="B37" s="58">
        <v>26</v>
      </c>
      <c r="C37" s="149">
        <v>5</v>
      </c>
      <c r="D37" s="151">
        <v>117</v>
      </c>
      <c r="E37" s="106">
        <v>9880.0000000001091</v>
      </c>
      <c r="F37" s="3">
        <v>10233506.400000112</v>
      </c>
      <c r="G37" s="37">
        <v>2040.0000000000773</v>
      </c>
      <c r="H37" s="3">
        <v>3169486.8000001204</v>
      </c>
      <c r="I37" s="103">
        <f t="shared" si="5"/>
        <v>13402993.200000232</v>
      </c>
      <c r="J37" s="106">
        <v>1399.9999999999773</v>
      </c>
      <c r="K37" s="3">
        <v>1450091.9999999765</v>
      </c>
      <c r="L37" s="186">
        <v>399.99999999999147</v>
      </c>
      <c r="M37" s="187">
        <v>621467.99999998673</v>
      </c>
      <c r="N37" s="94">
        <f t="shared" si="6"/>
        <v>2071559.9999999632</v>
      </c>
      <c r="O37" s="108">
        <f t="shared" si="7"/>
        <v>15474553.200000195</v>
      </c>
      <c r="P37" s="111">
        <f t="shared" si="8"/>
        <v>13720.000000000155</v>
      </c>
      <c r="Q37" s="191"/>
      <c r="R37" s="203"/>
      <c r="S37" s="215"/>
      <c r="T37" s="212"/>
      <c r="U37" s="210">
        <v>0</v>
      </c>
      <c r="V37" s="188">
        <f t="shared" si="9"/>
        <v>994.13</v>
      </c>
      <c r="W37" s="3">
        <v>113.92</v>
      </c>
      <c r="X37" s="3">
        <v>2047199.36</v>
      </c>
      <c r="Y37" s="33">
        <v>880.21</v>
      </c>
      <c r="Z37" s="33">
        <v>3736649.8878000006</v>
      </c>
      <c r="AA37" s="33">
        <f t="shared" si="0"/>
        <v>5783849.2478000009</v>
      </c>
      <c r="AB37" s="128">
        <f t="shared" si="1"/>
        <v>445.73128329103764</v>
      </c>
      <c r="AC37" s="134">
        <v>0</v>
      </c>
      <c r="AD37" s="3">
        <v>0</v>
      </c>
      <c r="AE37" s="3">
        <v>0</v>
      </c>
      <c r="AF37" s="3">
        <v>0</v>
      </c>
      <c r="AG37" s="3">
        <f t="shared" si="10"/>
        <v>0</v>
      </c>
      <c r="AH37" s="3">
        <v>0</v>
      </c>
      <c r="AI37" s="43">
        <f t="shared" si="3"/>
        <v>0</v>
      </c>
      <c r="AJ37" s="142">
        <v>161.66999999999825</v>
      </c>
      <c r="AK37" s="3">
        <v>1600532.9999999828</v>
      </c>
      <c r="AL37" s="39">
        <f t="shared" si="4"/>
        <v>123.34478259629694</v>
      </c>
      <c r="AM37" s="7"/>
    </row>
    <row r="38" spans="1:39" x14ac:dyDescent="0.35">
      <c r="A38" s="35"/>
      <c r="B38" s="58">
        <v>27</v>
      </c>
      <c r="C38" s="149">
        <v>6</v>
      </c>
      <c r="D38" s="151">
        <v>88</v>
      </c>
      <c r="E38" s="106">
        <v>9759.9999999997635</v>
      </c>
      <c r="F38" s="3">
        <v>10109212.799999755</v>
      </c>
      <c r="G38" s="37">
        <v>1959.9999999999227</v>
      </c>
      <c r="H38" s="3">
        <v>3045193.19999988</v>
      </c>
      <c r="I38" s="103">
        <f t="shared" si="5"/>
        <v>13154405.999999635</v>
      </c>
      <c r="J38" s="106">
        <v>1480.0000000000182</v>
      </c>
      <c r="K38" s="3">
        <v>1532954.4000000188</v>
      </c>
      <c r="L38" s="186">
        <v>340.00000000000341</v>
      </c>
      <c r="M38" s="187">
        <v>528247.80000000529</v>
      </c>
      <c r="N38" s="94">
        <f t="shared" si="6"/>
        <v>2061202.2000000239</v>
      </c>
      <c r="O38" s="108">
        <f t="shared" si="7"/>
        <v>15215608.199999658</v>
      </c>
      <c r="P38" s="111">
        <f t="shared" si="8"/>
        <v>13539.999999999709</v>
      </c>
      <c r="Q38" s="191"/>
      <c r="R38" s="203"/>
      <c r="S38" s="215"/>
      <c r="T38" s="212"/>
      <c r="U38" s="210">
        <v>0</v>
      </c>
      <c r="V38" s="188">
        <f t="shared" si="9"/>
        <v>990.56999999999994</v>
      </c>
      <c r="W38" s="3">
        <v>113.92</v>
      </c>
      <c r="X38" s="3">
        <v>2047199.36</v>
      </c>
      <c r="Y38" s="33">
        <v>876.65</v>
      </c>
      <c r="Z38" s="33">
        <v>3721537.0470000003</v>
      </c>
      <c r="AA38" s="33">
        <f t="shared" si="0"/>
        <v>5768736.4070000006</v>
      </c>
      <c r="AB38" s="128">
        <f t="shared" si="1"/>
        <v>444.56661498186281</v>
      </c>
      <c r="AC38" s="134">
        <v>0</v>
      </c>
      <c r="AD38" s="3">
        <v>0</v>
      </c>
      <c r="AE38" s="3">
        <v>0</v>
      </c>
      <c r="AF38" s="3">
        <v>0</v>
      </c>
      <c r="AG38" s="3">
        <f t="shared" si="10"/>
        <v>0</v>
      </c>
      <c r="AH38" s="3">
        <v>0</v>
      </c>
      <c r="AI38" s="43">
        <f t="shared" si="3"/>
        <v>0</v>
      </c>
      <c r="AJ38" s="142">
        <v>248.05000000000291</v>
      </c>
      <c r="AK38" s="3">
        <v>2455695.0000000289</v>
      </c>
      <c r="AL38" s="39">
        <f t="shared" si="4"/>
        <v>189.24768555088852</v>
      </c>
      <c r="AM38" s="7"/>
    </row>
    <row r="39" spans="1:39" x14ac:dyDescent="0.35">
      <c r="A39" s="35"/>
      <c r="B39" s="58">
        <v>28</v>
      </c>
      <c r="C39" s="149">
        <v>7</v>
      </c>
      <c r="D39" s="151">
        <v>99</v>
      </c>
      <c r="E39" s="106">
        <v>9600.0000000003638</v>
      </c>
      <c r="F39" s="3">
        <v>9943488.0000003763</v>
      </c>
      <c r="G39" s="37">
        <v>1960.0000000000364</v>
      </c>
      <c r="H39" s="3">
        <v>3045193.2000000565</v>
      </c>
      <c r="I39" s="103">
        <f t="shared" si="5"/>
        <v>12988681.200000433</v>
      </c>
      <c r="J39" s="106">
        <v>1379.9999999999955</v>
      </c>
      <c r="K39" s="3">
        <v>1429376.3999999953</v>
      </c>
      <c r="L39" s="186">
        <v>400.00000000000568</v>
      </c>
      <c r="M39" s="187">
        <v>621468.00000000885</v>
      </c>
      <c r="N39" s="94">
        <f t="shared" si="6"/>
        <v>2050844.4000000041</v>
      </c>
      <c r="O39" s="108">
        <f t="shared" si="7"/>
        <v>15039525.600000437</v>
      </c>
      <c r="P39" s="111">
        <f t="shared" si="8"/>
        <v>13340.0000000004</v>
      </c>
      <c r="Q39" s="191"/>
      <c r="R39" s="206"/>
      <c r="S39" s="215"/>
      <c r="T39" s="212"/>
      <c r="U39" s="210">
        <v>0</v>
      </c>
      <c r="V39" s="188">
        <f t="shared" si="9"/>
        <v>1003.0300000000001</v>
      </c>
      <c r="W39" s="3">
        <v>115.7</v>
      </c>
      <c r="X39" s="3">
        <v>2079186.85</v>
      </c>
      <c r="Y39" s="33">
        <v>887.33</v>
      </c>
      <c r="Z39" s="33">
        <v>3766875.5694000004</v>
      </c>
      <c r="AA39" s="33">
        <f t="shared" si="0"/>
        <v>5846062.4194000009</v>
      </c>
      <c r="AB39" s="128">
        <f t="shared" si="1"/>
        <v>450.52572996950551</v>
      </c>
      <c r="AC39" s="134">
        <v>0</v>
      </c>
      <c r="AD39" s="3">
        <v>0</v>
      </c>
      <c r="AE39" s="3">
        <v>0</v>
      </c>
      <c r="AF39" s="3">
        <v>12</v>
      </c>
      <c r="AG39" s="3">
        <f t="shared" si="10"/>
        <v>12</v>
      </c>
      <c r="AH39" s="3">
        <v>137500</v>
      </c>
      <c r="AI39" s="43">
        <f t="shared" si="3"/>
        <v>10.596412324513778</v>
      </c>
      <c r="AJ39" s="142">
        <v>198.65000000000146</v>
      </c>
      <c r="AK39" s="3">
        <v>1966635.0000000144</v>
      </c>
      <c r="AL39" s="39">
        <f t="shared" si="4"/>
        <v>151.55836619505678</v>
      </c>
      <c r="AM39" s="7"/>
    </row>
    <row r="40" spans="1:39" x14ac:dyDescent="0.35">
      <c r="A40" s="35"/>
      <c r="B40" s="58">
        <v>29</v>
      </c>
      <c r="C40" s="149">
        <v>9</v>
      </c>
      <c r="D40" s="151">
        <v>52</v>
      </c>
      <c r="E40" s="106">
        <v>10000</v>
      </c>
      <c r="F40" s="3">
        <v>10357800</v>
      </c>
      <c r="G40" s="37">
        <v>2080.0000000000409</v>
      </c>
      <c r="H40" s="3">
        <v>3231633.6000000639</v>
      </c>
      <c r="I40" s="103">
        <f t="shared" si="5"/>
        <v>13589433.600000065</v>
      </c>
      <c r="J40" s="106">
        <v>1160.000000000025</v>
      </c>
      <c r="K40" s="3">
        <v>1201504.8000000259</v>
      </c>
      <c r="L40" s="186">
        <v>299.99999999999716</v>
      </c>
      <c r="M40" s="187">
        <v>466100.99999999563</v>
      </c>
      <c r="N40" s="94">
        <f t="shared" si="6"/>
        <v>1667605.8000000215</v>
      </c>
      <c r="O40" s="108">
        <f t="shared" ref="O40:O41" si="11">N40+I40</f>
        <v>15257039.400000086</v>
      </c>
      <c r="P40" s="111">
        <f t="shared" ref="P40:P41" si="12">L40+J40+G40+E40</f>
        <v>13540.000000000064</v>
      </c>
      <c r="Q40" s="192"/>
      <c r="R40" s="207"/>
      <c r="S40" s="215"/>
      <c r="T40" s="212"/>
      <c r="U40" s="210">
        <v>0</v>
      </c>
      <c r="V40" s="188">
        <f t="shared" si="9"/>
        <v>985.23</v>
      </c>
      <c r="W40" s="3">
        <v>116.59</v>
      </c>
      <c r="X40" s="3">
        <v>2095180.595</v>
      </c>
      <c r="Y40" s="33">
        <v>868.64</v>
      </c>
      <c r="Z40" s="33">
        <v>3687533.1552000004</v>
      </c>
      <c r="AA40" s="33">
        <f t="shared" ref="AA40:AA41" si="13">Z40+X40</f>
        <v>5782713.7502000006</v>
      </c>
      <c r="AB40" s="128">
        <f t="shared" si="1"/>
        <v>445.64377637639694</v>
      </c>
      <c r="AC40" s="134">
        <v>0</v>
      </c>
      <c r="AD40" s="3">
        <v>0</v>
      </c>
      <c r="AE40" s="3">
        <v>0</v>
      </c>
      <c r="AF40" s="3">
        <v>24</v>
      </c>
      <c r="AG40" s="3">
        <f t="shared" si="10"/>
        <v>24</v>
      </c>
      <c r="AH40" s="3">
        <v>275000</v>
      </c>
      <c r="AI40" s="43">
        <f t="shared" si="3"/>
        <v>21.192824649027557</v>
      </c>
      <c r="AJ40" s="142">
        <v>275.94999999999709</v>
      </c>
      <c r="AK40" s="3">
        <v>2731904.9999999711</v>
      </c>
      <c r="AL40" s="39">
        <f t="shared" si="4"/>
        <v>210.53375862836734</v>
      </c>
      <c r="AM40" s="7"/>
    </row>
    <row r="41" spans="1:39" ht="17.25" customHeight="1" x14ac:dyDescent="0.35">
      <c r="A41" s="35"/>
      <c r="B41" s="58">
        <v>30</v>
      </c>
      <c r="C41" s="149">
        <v>11</v>
      </c>
      <c r="D41" s="151">
        <v>80</v>
      </c>
      <c r="E41" s="106">
        <v>10079.999999999927</v>
      </c>
      <c r="F41" s="3">
        <v>10440662.399999924</v>
      </c>
      <c r="G41" s="37">
        <v>2000</v>
      </c>
      <c r="H41" s="3">
        <v>3107340</v>
      </c>
      <c r="I41" s="103">
        <f t="shared" si="5"/>
        <v>13548002.399999924</v>
      </c>
      <c r="J41" s="106">
        <v>1239.9999999999523</v>
      </c>
      <c r="K41" s="3">
        <v>1284367.1999999506</v>
      </c>
      <c r="L41" s="186">
        <v>299.99999999999716</v>
      </c>
      <c r="M41" s="187">
        <v>466100.99999999563</v>
      </c>
      <c r="N41" s="94">
        <f t="shared" si="6"/>
        <v>1750468.1999999462</v>
      </c>
      <c r="O41" s="108">
        <f t="shared" si="11"/>
        <v>15298470.599999871</v>
      </c>
      <c r="P41" s="111">
        <f t="shared" si="12"/>
        <v>13619.999999999876</v>
      </c>
      <c r="Q41" s="191"/>
      <c r="R41" s="208"/>
      <c r="S41" s="215"/>
      <c r="T41" s="212"/>
      <c r="U41" s="210">
        <v>0</v>
      </c>
      <c r="V41" s="188">
        <f t="shared" si="9"/>
        <v>951.41000000000008</v>
      </c>
      <c r="W41" s="3">
        <v>87.22</v>
      </c>
      <c r="X41" s="3">
        <v>1567387.01</v>
      </c>
      <c r="Y41" s="33">
        <v>864.19</v>
      </c>
      <c r="Z41" s="33">
        <v>3668642.1042000004</v>
      </c>
      <c r="AA41" s="33">
        <f t="shared" si="13"/>
        <v>5236029.1142000007</v>
      </c>
      <c r="AB41" s="128">
        <f t="shared" si="1"/>
        <v>403.5136249979771</v>
      </c>
      <c r="AC41" s="134">
        <v>0</v>
      </c>
      <c r="AD41" s="3">
        <v>0</v>
      </c>
      <c r="AE41" s="3">
        <v>0</v>
      </c>
      <c r="AF41" s="3">
        <v>0</v>
      </c>
      <c r="AG41" s="3">
        <f>+AE41+AF41</f>
        <v>0</v>
      </c>
      <c r="AH41" s="3">
        <v>0</v>
      </c>
      <c r="AI41" s="43">
        <f t="shared" si="3"/>
        <v>0</v>
      </c>
      <c r="AJ41" s="142">
        <v>253.98999999999796</v>
      </c>
      <c r="AK41" s="3">
        <v>2514500.99999998</v>
      </c>
      <c r="AL41" s="39">
        <f t="shared" si="4"/>
        <v>193.77955917383278</v>
      </c>
      <c r="AM41" s="7"/>
    </row>
    <row r="42" spans="1:39" ht="16" thickBot="1" x14ac:dyDescent="0.4">
      <c r="A42" s="35"/>
      <c r="B42" s="122"/>
      <c r="C42" s="150"/>
      <c r="D42" s="152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7"/>
      <c r="R42" s="209"/>
      <c r="S42" s="216"/>
      <c r="T42" s="216"/>
      <c r="U42" s="211"/>
      <c r="V42" s="188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3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3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" thickBot="1" x14ac:dyDescent="0.4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9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6.5" thickTop="1" thickBot="1" x14ac:dyDescent="0.4">
      <c r="A46" s="26"/>
      <c r="B46" s="69"/>
      <c r="C46" s="70">
        <f t="shared" ref="C46:P46" si="14">SUM(C12:C42)</f>
        <v>158</v>
      </c>
      <c r="D46" s="70">
        <f t="shared" si="14"/>
        <v>2137</v>
      </c>
      <c r="E46" s="70">
        <f t="shared" si="14"/>
        <v>298980</v>
      </c>
      <c r="F46" s="70">
        <f t="shared" si="14"/>
        <v>309677504.39999998</v>
      </c>
      <c r="G46" s="70">
        <f t="shared" si="14"/>
        <v>59760</v>
      </c>
      <c r="H46" s="70">
        <f t="shared" si="14"/>
        <v>92847319.200000003</v>
      </c>
      <c r="I46" s="70">
        <f t="shared" si="14"/>
        <v>402524823.59999996</v>
      </c>
      <c r="J46" s="70">
        <f t="shared" si="14"/>
        <v>39639.999999999978</v>
      </c>
      <c r="K46" s="70">
        <f t="shared" si="14"/>
        <v>41058319.199999988</v>
      </c>
      <c r="L46" s="70">
        <f t="shared" si="14"/>
        <v>10420</v>
      </c>
      <c r="M46" s="70">
        <f t="shared" si="14"/>
        <v>16189241.400000006</v>
      </c>
      <c r="N46" s="70">
        <f t="shared" si="14"/>
        <v>57247560.600000001</v>
      </c>
      <c r="O46" s="70">
        <f t="shared" si="14"/>
        <v>459772384.19999993</v>
      </c>
      <c r="P46" s="82">
        <f t="shared" si="14"/>
        <v>408800</v>
      </c>
      <c r="Q46" s="190" t="e">
        <f>+#REF!</f>
        <v>#REF!</v>
      </c>
      <c r="R46" s="123" t="e">
        <f>+#REF!</f>
        <v>#REF!</v>
      </c>
      <c r="S46" s="115" t="e">
        <f>Q46+P46</f>
        <v>#REF!</v>
      </c>
      <c r="T46" s="115" t="e">
        <f>R46+O46</f>
        <v>#REF!</v>
      </c>
      <c r="U46" s="137" t="e">
        <f>T46/AL47</f>
        <v>#REF!</v>
      </c>
      <c r="V46" s="178">
        <f t="shared" ref="V46:AA46" si="15">SUM(V12:V41)</f>
        <v>25913.24</v>
      </c>
      <c r="W46" s="52">
        <f t="shared" si="15"/>
        <v>3291.2200000000003</v>
      </c>
      <c r="X46" s="52">
        <f t="shared" si="15"/>
        <v>59144869.00999999</v>
      </c>
      <c r="Y46" s="52">
        <f t="shared" si="15"/>
        <v>22622.019999999997</v>
      </c>
      <c r="Z46" s="52">
        <f t="shared" si="15"/>
        <v>96034546.863600016</v>
      </c>
      <c r="AA46" s="136">
        <f t="shared" si="15"/>
        <v>155179415.87360001</v>
      </c>
      <c r="AB46" s="124">
        <f>AA46/$AL$47</f>
        <v>11958.873271809922</v>
      </c>
      <c r="AC46" s="44">
        <f>SUM(AC12:AC41)</f>
        <v>0</v>
      </c>
      <c r="AD46" s="138">
        <f>SUM(AD12:AD41)</f>
        <v>0</v>
      </c>
      <c r="AE46" s="44">
        <f>SUM(AE12:AE41)</f>
        <v>1250</v>
      </c>
      <c r="AF46" s="44">
        <f>SUM(AF12:AF41)</f>
        <v>168</v>
      </c>
      <c r="AG46" s="214">
        <f>SUM(AG12:AG41)</f>
        <v>1418</v>
      </c>
      <c r="AH46" s="146">
        <f>SUM(AH12:AH42)</f>
        <v>19650000</v>
      </c>
      <c r="AI46" s="147">
        <f>AH46/$AL$47</f>
        <v>1514.323652194151</v>
      </c>
      <c r="AJ46" s="213">
        <f>SUM(AJ12:AJ42)</f>
        <v>7420.8600000000442</v>
      </c>
      <c r="AK46" s="144">
        <f>SUM(AK12:AK42)</f>
        <v>73466514.000000447</v>
      </c>
      <c r="AL46" s="145">
        <f>AK46/AL47</f>
        <v>5661.6834500994091</v>
      </c>
      <c r="AM46" s="26"/>
    </row>
    <row r="47" spans="1:39" s="1" customFormat="1" ht="16" thickBot="1" x14ac:dyDescent="0.4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3" t="e">
        <f>U46/S46</f>
        <v>#REF!</v>
      </c>
      <c r="V47" s="193" t="s">
        <v>52</v>
      </c>
      <c r="W47" s="11"/>
      <c r="X47" s="11" t="s">
        <v>55</v>
      </c>
      <c r="Y47" s="139">
        <f>Y46-Y48</f>
        <v>10305.019999999997</v>
      </c>
      <c r="Z47" s="139">
        <f>Z46-Z48</f>
        <v>38272996.863600016</v>
      </c>
      <c r="AA47" s="11"/>
      <c r="AB47" s="11"/>
      <c r="AC47" s="16"/>
      <c r="AD47" s="7"/>
      <c r="AE47" s="16"/>
      <c r="AF47" s="16"/>
      <c r="AG47" s="7"/>
      <c r="AH47" s="218"/>
      <c r="AI47" s="11"/>
      <c r="AJ47" s="88"/>
      <c r="AK47" s="11"/>
      <c r="AL47" s="148">
        <v>12976.09</v>
      </c>
      <c r="AM47" s="26"/>
    </row>
    <row r="48" spans="1:39" s="1" customFormat="1" x14ac:dyDescent="0.3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19"/>
      <c r="U48" s="153"/>
      <c r="V48" s="193"/>
      <c r="W48" s="222" t="s">
        <v>63</v>
      </c>
      <c r="X48" s="223"/>
      <c r="Y48" s="224">
        <v>12317</v>
      </c>
      <c r="Z48" s="225">
        <v>57761550</v>
      </c>
      <c r="AA48" s="11"/>
      <c r="AB48" s="11"/>
      <c r="AC48" s="16"/>
      <c r="AD48" s="7"/>
      <c r="AE48" s="16"/>
      <c r="AF48" s="16"/>
      <c r="AG48" s="7"/>
      <c r="AH48" s="218"/>
      <c r="AI48" s="11"/>
      <c r="AJ48" s="88"/>
      <c r="AK48" s="11"/>
      <c r="AL48" s="148"/>
      <c r="AM48" s="26"/>
    </row>
    <row r="49" spans="1:39" s="1" customFormat="1" x14ac:dyDescent="0.3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3"/>
      <c r="W49" s="226"/>
      <c r="X49" s="11" t="s">
        <v>56</v>
      </c>
      <c r="Y49" s="220">
        <f>Y48/C46</f>
        <v>77.955696202531641</v>
      </c>
      <c r="Z49" s="227">
        <f>Z48/C46</f>
        <v>365579.43037974683</v>
      </c>
      <c r="AA49" s="11"/>
      <c r="AB49" s="11"/>
      <c r="AC49" s="16"/>
      <c r="AD49" s="7"/>
      <c r="AE49" s="16"/>
      <c r="AF49" s="16"/>
      <c r="AG49" s="7"/>
      <c r="AH49" s="218"/>
      <c r="AI49" s="11"/>
      <c r="AJ49" s="88"/>
      <c r="AK49" s="11"/>
      <c r="AL49" s="148"/>
      <c r="AM49" s="26"/>
    </row>
    <row r="50" spans="1:39" s="196" customFormat="1" x14ac:dyDescent="0.35">
      <c r="A50" s="194"/>
      <c r="B50" s="194"/>
      <c r="C50" s="195"/>
      <c r="E50" s="195"/>
      <c r="F50" s="195"/>
      <c r="H50" s="195"/>
      <c r="L50" s="195"/>
      <c r="M50" s="197"/>
      <c r="N50" s="198"/>
      <c r="P50" s="198"/>
      <c r="R50" s="199"/>
      <c r="T50" s="217"/>
      <c r="V50" s="221">
        <f>V46*X50</f>
        <v>17621.003200000003</v>
      </c>
      <c r="W50" s="228" t="s">
        <v>62</v>
      </c>
      <c r="X50" s="229">
        <v>0.68</v>
      </c>
      <c r="Y50" s="230">
        <f>X50*Y49</f>
        <v>53.009873417721522</v>
      </c>
      <c r="Z50" s="231" t="s">
        <v>61</v>
      </c>
      <c r="AD50" s="195"/>
      <c r="AH50" s="195"/>
      <c r="AJ50" s="199"/>
      <c r="AL50" s="200"/>
      <c r="AM50" s="194"/>
    </row>
    <row r="51" spans="1:39" s="196" customFormat="1" x14ac:dyDescent="0.3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V51" s="240">
        <f>V46*32%</f>
        <v>8292.2368000000006</v>
      </c>
      <c r="W51" s="246" t="s">
        <v>60</v>
      </c>
      <c r="X51" s="232" t="s">
        <v>57</v>
      </c>
      <c r="Y51" s="233">
        <f>Y49*32%</f>
        <v>24.945822784810126</v>
      </c>
      <c r="Z51" s="234"/>
      <c r="AD51" s="195"/>
      <c r="AH51" s="195"/>
      <c r="AJ51" s="199"/>
      <c r="AL51" s="200"/>
      <c r="AM51" s="194"/>
    </row>
    <row r="52" spans="1:39" s="196" customFormat="1" x14ac:dyDescent="0.3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V52" s="230">
        <f>60%*V51</f>
        <v>4975.3420800000004</v>
      </c>
      <c r="W52" s="246"/>
      <c r="X52" s="235" t="s">
        <v>58</v>
      </c>
      <c r="Y52" s="230">
        <f>60%*Y51</f>
        <v>14.967493670886075</v>
      </c>
      <c r="Z52" s="236" t="s">
        <v>61</v>
      </c>
      <c r="AD52" s="195"/>
      <c r="AH52" s="195"/>
      <c r="AJ52" s="199"/>
      <c r="AL52" s="200"/>
      <c r="AM52" s="194"/>
    </row>
    <row r="53" spans="1:39" s="196" customFormat="1" ht="16" thickBot="1" x14ac:dyDescent="0.4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V53" s="230">
        <f>V51-V52</f>
        <v>3316.8947200000002</v>
      </c>
      <c r="W53" s="247"/>
      <c r="X53" s="237" t="s">
        <v>59</v>
      </c>
      <c r="Y53" s="238">
        <f>Y51-Y52</f>
        <v>9.9783291139240511</v>
      </c>
      <c r="Z53" s="239" t="s">
        <v>61</v>
      </c>
      <c r="AD53" s="195"/>
      <c r="AH53" s="195"/>
      <c r="AJ53" s="199"/>
      <c r="AL53" s="200"/>
      <c r="AM53" s="194"/>
    </row>
    <row r="54" spans="1:39" s="196" customFormat="1" x14ac:dyDescent="0.3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T54" s="217"/>
      <c r="V54" s="241"/>
      <c r="AD54" s="195"/>
      <c r="AH54" s="195"/>
      <c r="AJ54" s="199"/>
      <c r="AL54" s="200"/>
      <c r="AM54" s="194"/>
    </row>
    <row r="55" spans="1:39" s="196" customFormat="1" x14ac:dyDescent="0.3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3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3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3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3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3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3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3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3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3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3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3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3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3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3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</sheetData>
  <mergeCells count="19">
    <mergeCell ref="AJ9:AL9"/>
    <mergeCell ref="R9:R10"/>
    <mergeCell ref="S9:S10"/>
    <mergeCell ref="T9:U9"/>
    <mergeCell ref="AA9:AB9"/>
    <mergeCell ref="W51:W53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4" sqref="C24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7" t="s">
        <v>28</v>
      </c>
    </row>
    <row r="2" spans="1:3" ht="18.5" x14ac:dyDescent="0.45">
      <c r="A2" s="283">
        <v>44440</v>
      </c>
      <c r="B2" s="284"/>
      <c r="C2" s="284"/>
    </row>
    <row r="3" spans="1:3" x14ac:dyDescent="0.35">
      <c r="A3" s="286" t="s">
        <v>1</v>
      </c>
      <c r="B3" s="285" t="s">
        <v>2</v>
      </c>
      <c r="C3" s="285" t="s">
        <v>3</v>
      </c>
    </row>
    <row r="4" spans="1:3" x14ac:dyDescent="0.35">
      <c r="A4" s="286"/>
      <c r="B4" s="285"/>
      <c r="C4" s="285"/>
    </row>
    <row r="5" spans="1:3" x14ac:dyDescent="0.35">
      <c r="A5" s="286"/>
      <c r="B5" s="285"/>
      <c r="C5" s="285"/>
    </row>
    <row r="6" spans="1:3" x14ac:dyDescent="0.35">
      <c r="A6" s="2">
        <v>1</v>
      </c>
      <c r="B6" s="2">
        <v>3</v>
      </c>
      <c r="C6" s="2">
        <v>48</v>
      </c>
    </row>
    <row r="7" spans="1:3" x14ac:dyDescent="0.35">
      <c r="A7" s="2">
        <v>2</v>
      </c>
      <c r="B7" s="2">
        <v>5</v>
      </c>
      <c r="C7" s="2">
        <v>43</v>
      </c>
    </row>
    <row r="8" spans="1:3" x14ac:dyDescent="0.35">
      <c r="A8" s="2">
        <f>A7+1</f>
        <v>3</v>
      </c>
      <c r="B8" s="2">
        <v>6</v>
      </c>
      <c r="C8" s="2">
        <v>84</v>
      </c>
    </row>
    <row r="9" spans="1:3" x14ac:dyDescent="0.35">
      <c r="A9" s="2">
        <f>A8+1</f>
        <v>4</v>
      </c>
      <c r="B9" s="2">
        <v>5</v>
      </c>
      <c r="C9" s="2">
        <v>67</v>
      </c>
    </row>
    <row r="10" spans="1:3" x14ac:dyDescent="0.35">
      <c r="A10" s="2">
        <f t="shared" ref="A10:A35" si="0">A9+1</f>
        <v>5</v>
      </c>
      <c r="B10" s="2">
        <v>5</v>
      </c>
      <c r="C10" s="2">
        <v>84</v>
      </c>
    </row>
    <row r="11" spans="1:3" x14ac:dyDescent="0.35">
      <c r="A11" s="2">
        <f t="shared" si="0"/>
        <v>6</v>
      </c>
      <c r="B11" s="2">
        <v>4</v>
      </c>
      <c r="C11" s="2">
        <v>65</v>
      </c>
    </row>
    <row r="12" spans="1:3" x14ac:dyDescent="0.35">
      <c r="A12" s="2">
        <f t="shared" si="0"/>
        <v>7</v>
      </c>
      <c r="B12" s="2">
        <v>4</v>
      </c>
      <c r="C12" s="2">
        <v>56</v>
      </c>
    </row>
    <row r="13" spans="1:3" x14ac:dyDescent="0.35">
      <c r="A13" s="2">
        <f t="shared" si="0"/>
        <v>8</v>
      </c>
      <c r="B13" s="2">
        <v>3</v>
      </c>
      <c r="C13" s="2">
        <v>58</v>
      </c>
    </row>
    <row r="14" spans="1:3" x14ac:dyDescent="0.35">
      <c r="A14" s="2">
        <f t="shared" si="0"/>
        <v>9</v>
      </c>
      <c r="B14" s="2">
        <v>2</v>
      </c>
      <c r="C14" s="2">
        <v>61</v>
      </c>
    </row>
    <row r="15" spans="1:3" x14ac:dyDescent="0.35">
      <c r="A15" s="2">
        <f t="shared" si="0"/>
        <v>10</v>
      </c>
      <c r="B15" s="2">
        <v>2</v>
      </c>
      <c r="C15" s="2">
        <v>88</v>
      </c>
    </row>
    <row r="16" spans="1:3" x14ac:dyDescent="0.35">
      <c r="A16" s="2">
        <f t="shared" si="0"/>
        <v>11</v>
      </c>
      <c r="B16" s="2">
        <v>1</v>
      </c>
      <c r="C16" s="2">
        <v>55</v>
      </c>
    </row>
    <row r="17" spans="1:3" x14ac:dyDescent="0.35">
      <c r="A17" s="2">
        <f t="shared" si="0"/>
        <v>12</v>
      </c>
      <c r="B17" s="2">
        <v>2</v>
      </c>
      <c r="C17" s="2">
        <v>63</v>
      </c>
    </row>
    <row r="18" spans="1:3" x14ac:dyDescent="0.35">
      <c r="A18" s="2">
        <f t="shared" si="0"/>
        <v>13</v>
      </c>
      <c r="B18" s="2">
        <v>1</v>
      </c>
      <c r="C18" s="2">
        <v>24</v>
      </c>
    </row>
    <row r="19" spans="1:3" x14ac:dyDescent="0.35">
      <c r="A19" s="2">
        <f t="shared" si="0"/>
        <v>14</v>
      </c>
      <c r="B19" s="2">
        <v>13</v>
      </c>
      <c r="C19" s="2">
        <v>50</v>
      </c>
    </row>
    <row r="20" spans="1:3" x14ac:dyDescent="0.35">
      <c r="A20" s="2">
        <f t="shared" si="0"/>
        <v>15</v>
      </c>
      <c r="B20" s="2">
        <v>7</v>
      </c>
      <c r="C20" s="2">
        <v>52</v>
      </c>
    </row>
    <row r="21" spans="1:3" x14ac:dyDescent="0.35">
      <c r="A21" s="2">
        <f t="shared" si="0"/>
        <v>16</v>
      </c>
      <c r="B21" s="2">
        <v>4</v>
      </c>
      <c r="C21" s="2">
        <v>36</v>
      </c>
    </row>
    <row r="22" spans="1:3" x14ac:dyDescent="0.35">
      <c r="A22" s="2">
        <f t="shared" si="0"/>
        <v>17</v>
      </c>
      <c r="B22" s="2">
        <v>5</v>
      </c>
      <c r="C22" s="2">
        <v>50</v>
      </c>
    </row>
    <row r="23" spans="1:3" x14ac:dyDescent="0.35">
      <c r="A23" s="2">
        <f t="shared" si="0"/>
        <v>18</v>
      </c>
      <c r="B23" s="2">
        <v>6</v>
      </c>
      <c r="C23" s="2">
        <v>102</v>
      </c>
    </row>
    <row r="24" spans="1:3" x14ac:dyDescent="0.35">
      <c r="A24" s="2">
        <f t="shared" si="0"/>
        <v>19</v>
      </c>
      <c r="B24" s="2">
        <v>3</v>
      </c>
      <c r="C24" s="2">
        <v>91</v>
      </c>
    </row>
    <row r="25" spans="1:3" x14ac:dyDescent="0.35">
      <c r="A25" s="2">
        <f t="shared" si="0"/>
        <v>20</v>
      </c>
      <c r="B25" s="2">
        <v>8</v>
      </c>
      <c r="C25" s="2">
        <v>42</v>
      </c>
    </row>
    <row r="26" spans="1:3" x14ac:dyDescent="0.35">
      <c r="A26" s="2">
        <f t="shared" si="0"/>
        <v>21</v>
      </c>
      <c r="B26" s="2">
        <v>9</v>
      </c>
      <c r="C26" s="2">
        <v>70</v>
      </c>
    </row>
    <row r="27" spans="1:3" x14ac:dyDescent="0.35">
      <c r="A27" s="2">
        <f t="shared" si="0"/>
        <v>22</v>
      </c>
      <c r="B27" s="2">
        <v>5</v>
      </c>
      <c r="C27" s="2">
        <v>93</v>
      </c>
    </row>
    <row r="28" spans="1:3" x14ac:dyDescent="0.35">
      <c r="A28" s="2">
        <f t="shared" si="0"/>
        <v>23</v>
      </c>
      <c r="B28" s="2">
        <v>3</v>
      </c>
      <c r="C28" s="2">
        <v>60</v>
      </c>
    </row>
    <row r="29" spans="1:3" x14ac:dyDescent="0.35">
      <c r="A29" s="2">
        <f t="shared" si="0"/>
        <v>24</v>
      </c>
      <c r="B29" s="2">
        <v>6</v>
      </c>
      <c r="C29" s="2">
        <v>131</v>
      </c>
    </row>
    <row r="30" spans="1:3" x14ac:dyDescent="0.35">
      <c r="A30" s="2">
        <f t="shared" si="0"/>
        <v>25</v>
      </c>
      <c r="B30" s="2">
        <v>8</v>
      </c>
      <c r="C30" s="2">
        <v>128</v>
      </c>
    </row>
    <row r="31" spans="1:3" x14ac:dyDescent="0.35">
      <c r="A31" s="2">
        <f t="shared" si="0"/>
        <v>26</v>
      </c>
      <c r="B31" s="2">
        <v>5</v>
      </c>
      <c r="C31" s="2">
        <v>117</v>
      </c>
    </row>
    <row r="32" spans="1:3" x14ac:dyDescent="0.35">
      <c r="A32" s="2">
        <f t="shared" si="0"/>
        <v>27</v>
      </c>
      <c r="B32" s="2">
        <v>6</v>
      </c>
      <c r="C32" s="2">
        <v>88</v>
      </c>
    </row>
    <row r="33" spans="1:3" x14ac:dyDescent="0.35">
      <c r="A33" s="2">
        <f t="shared" si="0"/>
        <v>28</v>
      </c>
      <c r="B33" s="2">
        <v>7</v>
      </c>
      <c r="C33" s="2">
        <v>99</v>
      </c>
    </row>
    <row r="34" spans="1:3" x14ac:dyDescent="0.35">
      <c r="A34" s="2">
        <f t="shared" si="0"/>
        <v>29</v>
      </c>
      <c r="B34" s="2">
        <v>9</v>
      </c>
      <c r="C34" s="2">
        <v>52</v>
      </c>
    </row>
    <row r="35" spans="1:3" x14ac:dyDescent="0.35">
      <c r="A35" s="2">
        <f t="shared" si="0"/>
        <v>30</v>
      </c>
      <c r="B35" s="2">
        <v>11</v>
      </c>
      <c r="C35" s="2">
        <v>80</v>
      </c>
    </row>
    <row r="37" spans="1:3" x14ac:dyDescent="0.35">
      <c r="B37" s="6">
        <f>SUM(B6:B35)</f>
        <v>158</v>
      </c>
      <c r="C37" s="6">
        <f>SUM(C6:C35)</f>
        <v>2137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5EEA2B-81C7-4809-8149-F6B28850F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September 2021</vt:lpstr>
      <vt:lpstr>RNs &amp; Covers September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ASUS</cp:lastModifiedBy>
  <cp:lastPrinted>2020-11-17T04:34:44Z</cp:lastPrinted>
  <dcterms:created xsi:type="dcterms:W3CDTF">2020-09-16T08:52:25Z</dcterms:created>
  <dcterms:modified xsi:type="dcterms:W3CDTF">2022-04-11T13:40:55Z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