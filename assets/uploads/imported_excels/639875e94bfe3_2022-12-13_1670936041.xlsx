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372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E13" i="3" l="1"/>
  <c r="F14" i="3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S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BJ12" i="3" s="1"/>
  <c r="EV20" i="4"/>
  <c r="ET20" i="4"/>
  <c r="EQ20" i="4"/>
  <c r="EO20" i="4"/>
  <c r="EM20" i="4"/>
  <c r="EK20" i="4"/>
  <c r="BD12" i="3" s="1"/>
  <c r="EI20" i="4"/>
  <c r="EG20" i="4"/>
  <c r="ED20" i="4"/>
  <c r="EB20" i="4"/>
  <c r="DZ20" i="4"/>
  <c r="DX20" i="4"/>
  <c r="AW12" i="3" s="1"/>
  <c r="DV20" i="4"/>
  <c r="DT20" i="4"/>
  <c r="DQ20" i="4"/>
  <c r="DO20" i="4"/>
  <c r="DM20" i="4"/>
  <c r="DK20" i="4"/>
  <c r="AP12" i="3" s="1"/>
  <c r="DI20" i="4"/>
  <c r="DG20" i="4"/>
  <c r="DE20" i="4"/>
  <c r="DC20" i="4"/>
  <c r="DA20" i="4"/>
  <c r="CY20" i="4"/>
  <c r="AJ12" i="3" s="1"/>
  <c r="CW20" i="4"/>
  <c r="CT20" i="4"/>
  <c r="CQ20" i="4"/>
  <c r="CN20" i="4"/>
  <c r="CK20" i="4"/>
  <c r="CI20" i="4"/>
  <c r="AI12" i="3" s="1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U12" i="3" s="1"/>
  <c r="AP20" i="4"/>
  <c r="AM20" i="4"/>
  <c r="AJ20" i="4"/>
  <c r="AG20" i="4"/>
  <c r="AD20" i="4"/>
  <c r="AA20" i="4"/>
  <c r="O12" i="3" s="1"/>
  <c r="X20" i="4"/>
  <c r="U20" i="4"/>
  <c r="S20" i="4"/>
  <c r="R20" i="4"/>
  <c r="Q20" i="4"/>
  <c r="P20" i="4"/>
  <c r="O20" i="4"/>
  <c r="M20" i="4"/>
  <c r="K20" i="4"/>
  <c r="I20" i="4"/>
  <c r="H20" i="4"/>
  <c r="F20" i="4"/>
  <c r="H12" i="3" s="1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E9" i="4" s="1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T9" i="4" s="1"/>
  <c r="BH9" i="4"/>
  <c r="BF9" i="4"/>
  <c r="BE9" i="4"/>
  <c r="BC9" i="4"/>
  <c r="BB9" i="4"/>
  <c r="AZ9" i="4"/>
  <c r="AX9" i="4"/>
  <c r="AV9" i="4"/>
  <c r="AU9" i="4"/>
  <c r="AS9" i="4"/>
  <c r="AR9" i="4"/>
  <c r="AP9" i="4"/>
  <c r="T2" i="3" s="1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G2" i="3" s="1"/>
  <c r="I2" i="1" s="1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14" i="1"/>
  <c r="I15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E17" i="1"/>
  <c r="G16" i="1"/>
  <c r="E14" i="1"/>
  <c r="G14" i="1"/>
  <c r="G13" i="1"/>
  <c r="E15" i="1"/>
  <c r="E13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P2" i="3"/>
  <c r="K13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K19" i="1"/>
  <c r="G12" i="3" l="1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8" i="1" l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R48" i="4" l="1"/>
  <c r="R49" i="4" s="1"/>
  <c r="BG16" i="4"/>
  <c r="BH16" i="4"/>
  <c r="BH17" i="4"/>
  <c r="BG17" i="4"/>
  <c r="BE16" i="4"/>
  <c r="BD16" i="4"/>
  <c r="BD17" i="4"/>
  <c r="BE17" i="4"/>
  <c r="BB17" i="4"/>
  <c r="BA17" i="4"/>
  <c r="BB16" i="4"/>
  <c r="BA16" i="4"/>
  <c r="O48" i="4"/>
  <c r="O49" i="4" s="1"/>
  <c r="O45" i="4"/>
  <c r="AZ44" i="4" l="1"/>
  <c r="BF44" i="4"/>
  <c r="BF45" i="4"/>
  <c r="BF46" i="4" s="1"/>
  <c r="BF48" i="4"/>
  <c r="BF49" i="4" s="1"/>
  <c r="BC45" i="4"/>
  <c r="BC48" i="4"/>
  <c r="BC49" i="4" s="1"/>
  <c r="BC44" i="4"/>
  <c r="AZ48" i="4"/>
  <c r="AZ45" i="4"/>
  <c r="AZ46" i="4" s="1"/>
  <c r="BC46" i="4" l="1"/>
  <c r="AZ49" i="4"/>
  <c r="BC51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I48" i="4" s="1"/>
  <c r="CH21" i="4"/>
  <c r="CG48" i="4" s="1"/>
  <c r="CF21" i="4"/>
  <c r="CD21" i="4"/>
  <c r="CC48" i="4" s="1"/>
  <c r="CB21" i="4"/>
  <c r="CA48" i="4" s="1"/>
  <c r="BZ21" i="4"/>
  <c r="BY48" i="4" s="1"/>
  <c r="BT21" i="4"/>
  <c r="BS48" i="4" s="1"/>
  <c r="N21" i="4"/>
  <c r="L21" i="4"/>
  <c r="K48" i="4" s="1"/>
  <c r="K49" i="4" s="1"/>
  <c r="J21" i="4"/>
  <c r="I48" i="4" s="1"/>
  <c r="I49" i="4" s="1"/>
  <c r="G21" i="4"/>
  <c r="D21" i="4"/>
  <c r="CT48" i="4" l="1"/>
  <c r="CT49" i="4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CE48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O22" i="4"/>
  <c r="AN22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8" i="4"/>
  <c r="F49" i="4" s="1"/>
  <c r="F45" i="4"/>
  <c r="C48" i="4"/>
  <c r="C49" i="4" s="1"/>
  <c r="C45" i="4"/>
  <c r="CQ44" i="4" l="1"/>
  <c r="CQ47" i="4"/>
  <c r="CQ49" i="4" s="1"/>
  <c r="CQ48" i="4"/>
  <c r="CQ45" i="4"/>
  <c r="CN47" i="4"/>
  <c r="CN49" i="4" s="1"/>
  <c r="CN44" i="4"/>
  <c r="CN48" i="4"/>
  <c r="CN45" i="4"/>
  <c r="CK44" i="4"/>
  <c r="CK47" i="4"/>
  <c r="CK48" i="4"/>
  <c r="CK45" i="4"/>
  <c r="AV47" i="4"/>
  <c r="AV44" i="4"/>
  <c r="AV45" i="4"/>
  <c r="AV48" i="4"/>
  <c r="AS47" i="4"/>
  <c r="AS44" i="4"/>
  <c r="AS45" i="4"/>
  <c r="AS48" i="4"/>
  <c r="AP47" i="4"/>
  <c r="AP44" i="4"/>
  <c r="AP45" i="4"/>
  <c r="AP48" i="4"/>
  <c r="AM44" i="4"/>
  <c r="AM47" i="4"/>
  <c r="AM45" i="4"/>
  <c r="AM48" i="4"/>
  <c r="AM49" i="4" s="1"/>
  <c r="AJ45" i="4"/>
  <c r="AJ48" i="4"/>
  <c r="AJ47" i="4"/>
  <c r="AJ49" i="4" s="1"/>
  <c r="AJ44" i="4"/>
  <c r="AG47" i="4"/>
  <c r="AG44" i="4"/>
  <c r="AG45" i="4"/>
  <c r="AG48" i="4"/>
  <c r="AD44" i="4"/>
  <c r="AD47" i="4"/>
  <c r="AD45" i="4"/>
  <c r="AD48" i="4"/>
  <c r="AA44" i="4"/>
  <c r="AA47" i="4"/>
  <c r="AA48" i="4"/>
  <c r="AA45" i="4"/>
  <c r="X47" i="4"/>
  <c r="X44" i="4"/>
  <c r="U48" i="4"/>
  <c r="U45" i="4"/>
  <c r="U47" i="4"/>
  <c r="U44" i="4"/>
  <c r="X45" i="4"/>
  <c r="X48" i="4"/>
  <c r="CK49" i="4" l="1"/>
  <c r="AV49" i="4"/>
  <c r="AS49" i="4"/>
  <c r="AP49" i="4"/>
  <c r="AG49" i="4"/>
  <c r="AD49" i="4"/>
  <c r="AA50" i="4"/>
  <c r="AA49" i="4"/>
  <c r="X49" i="4"/>
  <c r="AA51" i="4"/>
  <c r="AM51" i="4"/>
  <c r="U49" i="4"/>
  <c r="AM50" i="4"/>
  <c r="AV50" i="4" s="1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<sst xmlns="http://schemas.openxmlformats.org/spreadsheetml/2006/main" count="413" uniqueCount="204">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</sst>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F22">
            <v>-212986</v>
          </cell>
          <cell r="G22">
            <v>452</v>
          </cell>
          <cell r="I22">
            <v>-242762</v>
          </cell>
          <cell r="J22">
            <v>426</v>
          </cell>
          <cell r="L22">
            <v>-7622</v>
          </cell>
          <cell r="O22">
            <v>-922036</v>
          </cell>
          <cell r="R22">
            <v>-244610</v>
          </cell>
          <cell r="V22">
            <v>-116545</v>
          </cell>
          <cell r="W22">
            <v>86.950000000004366</v>
          </cell>
          <cell r="Y22">
            <v>-6362</v>
          </cell>
          <cell r="AF22">
            <v>-8154802.3199999994</v>
          </cell>
          <cell r="AI22">
            <v>-15493544.640000001</v>
          </cell>
          <cell r="AL22">
            <v>-15787813.439999999</v>
          </cell>
          <cell r="AO22">
            <v>-18900729.119999997</v>
          </cell>
          <cell r="AR22">
            <v>-19168737.84</v>
          </cell>
          <cell r="AU22">
            <v>-17588943.119999997</v>
          </cell>
          <cell r="AX22">
            <v>-14804205.359999999</v>
          </cell>
          <cell r="BA22">
            <v>-14327285.280000001</v>
          </cell>
          <cell r="BD22">
            <v>-11192689.199999999</v>
          </cell>
          <cell r="BG22">
            <v>-17724969.359999999</v>
          </cell>
          <cell r="BN22">
            <v>-77984000</v>
          </cell>
          <cell r="BQ22">
            <v>-80883300</v>
          </cell>
          <cell r="BT22">
            <v>-74770900</v>
          </cell>
          <cell r="BW22">
            <v>-10253210</v>
          </cell>
          <cell r="BZ22">
            <v>0.67</v>
          </cell>
          <cell r="CC22">
            <v>-64397</v>
          </cell>
          <cell r="CE22">
            <v>-55494</v>
          </cell>
          <cell r="CG22">
            <v>-18772</v>
          </cell>
          <cell r="CI22">
            <v>-25632</v>
          </cell>
          <cell r="CK22">
            <v>-28541</v>
          </cell>
          <cell r="CM22">
            <v>-62619</v>
          </cell>
          <cell r="CO22">
            <v>-268319</v>
          </cell>
          <cell r="CR22">
            <v>-215420</v>
          </cell>
          <cell r="CU22">
            <v>-356176</v>
          </cell>
          <cell r="CX22">
            <v>-695442</v>
          </cell>
          <cell r="DA22">
            <v>-8890</v>
          </cell>
          <cell r="DC22">
            <v>-6034</v>
          </cell>
          <cell r="DE22">
            <v>-32188</v>
          </cell>
          <cell r="DG22">
            <v>-32427</v>
          </cell>
          <cell r="DI22">
            <v>-21883</v>
          </cell>
          <cell r="DK22">
            <v>-24063</v>
          </cell>
          <cell r="DM22">
            <v>-7133</v>
          </cell>
          <cell r="DO22">
            <v>-9797</v>
          </cell>
          <cell r="DQ22">
            <v>-3274</v>
          </cell>
          <cell r="DS22">
            <v>-6465</v>
          </cell>
          <cell r="DU22">
            <v>-30325</v>
          </cell>
          <cell r="DX22">
            <v>-6370.2</v>
          </cell>
          <cell r="DZ22">
            <v>-11318.7</v>
          </cell>
          <cell r="EB22">
            <v>-4824.8</v>
          </cell>
          <cell r="ED22">
            <v>-5403.1</v>
          </cell>
          <cell r="EF22">
            <v>-1128992</v>
          </cell>
          <cell r="EJ22">
            <v>-232298.3</v>
          </cell>
          <cell r="EM22">
            <v>-12156800</v>
          </cell>
          <cell r="EO22">
            <v>-934740</v>
          </cell>
          <cell r="EQ22">
            <v>-7229600</v>
          </cell>
          <cell r="ES22">
            <v>-2499400</v>
          </cell>
          <cell r="EU22">
            <v>-1280370</v>
          </cell>
          <cell r="EW22">
            <v>-16642000</v>
          </cell>
          <cell r="EZ22">
            <v>-42165</v>
          </cell>
          <cell r="FB22">
            <v>-36835</v>
          </cell>
          <cell r="FD22">
            <v>-7562</v>
          </cell>
          <cell r="FF22">
            <v>-59313</v>
          </cell>
          <cell r="FH22">
            <v>-49654</v>
          </cell>
        </row>
        <row r="23">
          <cell r="F23">
            <v>0</v>
          </cell>
          <cell r="G23">
            <v>716</v>
          </cell>
          <cell r="I23">
            <v>0</v>
          </cell>
          <cell r="J23">
            <v>414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87.580000000001746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746</v>
          </cell>
          <cell r="I24">
            <v>0</v>
          </cell>
          <cell r="J24">
            <v>448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86.399999999994179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744</v>
          </cell>
          <cell r="I25">
            <v>0</v>
          </cell>
          <cell r="J25">
            <v>453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84.400000000001455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717</v>
          </cell>
          <cell r="I26">
            <v>0</v>
          </cell>
          <cell r="J26">
            <v>457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87.980000000003201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697</v>
          </cell>
          <cell r="I27">
            <v>0</v>
          </cell>
          <cell r="J27">
            <v>460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77.739999999997963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5" sqref="B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/>
      <c r="F14" s="79">
        <f>167+26</f>
        <v>193</v>
      </c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7">
        <f>C10-C9</f>
        <v>732</v>
      </c>
      <c r="E9" s="481">
        <f>'[1]December - 2022'!G9</f>
        <v>576</v>
      </c>
      <c r="F9" s="168">
        <f>'[1]December - 2022'!H9</f>
        <v>237720</v>
      </c>
      <c r="G9" s="479">
        <f>F10-F9</f>
        <v>427</v>
      </c>
      <c r="H9" s="481">
        <f>'[1]December - 2022'!J9</f>
        <v>407</v>
      </c>
      <c r="I9" s="264">
        <f>'[1]December - 2022'!K9</f>
        <v>5844</v>
      </c>
      <c r="J9" s="479">
        <f>I10-I9</f>
        <v>164</v>
      </c>
      <c r="K9" s="264">
        <f>'[1]December - 2022'!N9</f>
        <v>918944</v>
      </c>
      <c r="L9" s="478">
        <f>K10-K9</f>
        <v>277</v>
      </c>
      <c r="M9" s="264">
        <f>'[1]December - 2022'!Q9</f>
        <v>243148</v>
      </c>
      <c r="N9" s="478">
        <f>M10-M9</f>
        <v>112</v>
      </c>
      <c r="O9" s="264">
        <f>'[1]December - 2022'!U9</f>
        <v>115205</v>
      </c>
      <c r="P9" s="479">
        <f>O10-O9</f>
        <v>131</v>
      </c>
      <c r="Q9" s="481">
        <f>'[1]December - 2022'!W9</f>
        <v>105.08999999999651</v>
      </c>
      <c r="R9" s="264">
        <f>'[1]December - 2022'!X9</f>
        <v>6237</v>
      </c>
      <c r="S9" s="569">
        <f>R10-R9</f>
        <v>18</v>
      </c>
      <c r="T9" s="477"/>
      <c r="U9" s="269">
        <f>'[1]December - 2022'!AE9</f>
        <v>8125472.8800000008</v>
      </c>
      <c r="V9" s="571">
        <f>U10-U9</f>
        <v>2630.8799999989569</v>
      </c>
      <c r="W9" s="497">
        <f>'[1]December - 2022'!AF9</f>
        <v>2630.8799999989569</v>
      </c>
      <c r="X9" s="255">
        <f>'[1]December - 2022'!AH9</f>
        <v>15438880.799999999</v>
      </c>
      <c r="Y9" s="479">
        <f>X10-X9</f>
        <v>4579.6800000015646</v>
      </c>
      <c r="Z9" s="497">
        <f>'[1]December - 2022'!AI9</f>
        <v>4579.6800000015646</v>
      </c>
      <c r="AA9" s="255">
        <f>'[1]December - 2022'!AK9</f>
        <v>15753173.52</v>
      </c>
      <c r="AB9" s="479">
        <f>AA10-AA9</f>
        <v>0</v>
      </c>
      <c r="AC9" s="497">
        <f>'[1]December - 2022'!AL9</f>
        <v>0</v>
      </c>
      <c r="AD9" s="255">
        <f>'[1]December - 2022'!AN9</f>
        <v>18820730.879999999</v>
      </c>
      <c r="AE9" s="479">
        <f>AD10-AD9</f>
        <v>48.719999998807907</v>
      </c>
      <c r="AF9" s="497">
        <f>'[1]December - 2022'!AO9</f>
        <v>48.719999998807907</v>
      </c>
      <c r="AG9" s="255">
        <f>'[1]December - 2022'!AQ9</f>
        <v>19140870</v>
      </c>
      <c r="AH9" s="479">
        <f>AG10-AG9</f>
        <v>12959.519999999553</v>
      </c>
      <c r="AI9" s="497">
        <f>'[1]December - 2022'!AR9</f>
        <v>12959.519999999553</v>
      </c>
      <c r="AJ9" s="255">
        <f>'[1]December - 2022'!AT9</f>
        <v>17520394.080000002</v>
      </c>
      <c r="AK9" s="479">
        <f>AJ10-AJ9</f>
        <v>5943.8399999961257</v>
      </c>
      <c r="AL9" s="497">
        <f>'[1]December - 2022'!AU9</f>
        <v>5943.8399999961257</v>
      </c>
      <c r="AM9" s="255">
        <f>'[1]December - 2022'!AW9</f>
        <v>14752513.439999999</v>
      </c>
      <c r="AN9" s="479">
        <f>AM10-AM9</f>
        <v>4384.8000000007451</v>
      </c>
      <c r="AO9" s="497">
        <f>'[1]December - 2022'!AX9</f>
        <v>4384.8000000007451</v>
      </c>
      <c r="AP9" s="255">
        <f>'[1]December - 2022'!AZ9</f>
        <v>14272426.559999999</v>
      </c>
      <c r="AQ9" s="479">
        <f>AP10-AP9</f>
        <v>4872</v>
      </c>
      <c r="AR9" s="497">
        <f>'[1]December - 2022'!BA9</f>
        <v>4872</v>
      </c>
      <c r="AS9" s="255">
        <f>'[1]December - 2022'!BC9</f>
        <v>11154687.6</v>
      </c>
      <c r="AT9" s="479">
        <f>AS10-AS9</f>
        <v>3118.0800000000745</v>
      </c>
      <c r="AU9" s="497">
        <f>'[1]December - 2022'!BD9</f>
        <v>3118.0800000000745</v>
      </c>
      <c r="AV9" s="255">
        <f>'[1]December - 2022'!BF9</f>
        <v>17655543.359999999</v>
      </c>
      <c r="AW9" s="479">
        <f>AV10-AV9</f>
        <v>5554.0799999982119</v>
      </c>
      <c r="AX9" s="499">
        <f>'[1]December - 2022'!BG9</f>
        <v>5554.0799999982119</v>
      </c>
      <c r="AY9" s="494"/>
      <c r="AZ9" s="272">
        <f>'[1]December - 2022'!BM9</f>
        <v>77840000</v>
      </c>
      <c r="BA9" s="501">
        <f>AZ10-AZ9</f>
        <v>0</v>
      </c>
      <c r="BB9" s="495">
        <f>'[1]December - 2022'!BN9</f>
        <v>0</v>
      </c>
      <c r="BC9" s="272">
        <f>'[1]December - 2022'!BP9</f>
        <v>80452400</v>
      </c>
      <c r="BD9" s="501">
        <f>BC10-BC9</f>
        <v>0</v>
      </c>
      <c r="BE9" s="495">
        <f>'[1]December - 2022'!BQ9</f>
        <v>0</v>
      </c>
      <c r="BF9" s="272">
        <f>'[1]December - 2022'!BS9</f>
        <v>74637500</v>
      </c>
      <c r="BG9" s="501">
        <f>BF10-BF9</f>
        <v>65200</v>
      </c>
      <c r="BH9" s="495">
        <f>'[1]December - 2022'!BT9</f>
        <v>65200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4">
        <f>BS10-BS9</f>
        <v>7460</v>
      </c>
      <c r="BU9" s="590"/>
      <c r="BV9" s="88">
        <f>'[1]December - 2022'!BY9</f>
        <v>0.74</v>
      </c>
      <c r="BW9" s="585">
        <f>BV10-BV9</f>
        <v>-5.9999999999999942E-2</v>
      </c>
      <c r="BX9" s="587">
        <f>'[1]December - 2022'!$BZ$9:$BZ$10</f>
        <v>5.9999999999999942E-2</v>
      </c>
      <c r="BY9" s="89">
        <f>'[1]December - 2022'!CB9</f>
        <v>64169</v>
      </c>
      <c r="BZ9" s="573">
        <f>BY10-BY9</f>
        <v>21</v>
      </c>
      <c r="CA9" s="89">
        <f>'[1]December - 2022'!CD9</f>
        <v>55264</v>
      </c>
      <c r="CB9" s="573">
        <f>CA10-CA9</f>
        <v>20</v>
      </c>
      <c r="CC9" s="89">
        <f>'[1]December - 2022'!CF9</f>
        <v>18695</v>
      </c>
      <c r="CD9" s="573">
        <f>CC10-CC9</f>
        <v>7</v>
      </c>
      <c r="CE9" s="89">
        <f>'[1]December - 2022'!CH9</f>
        <v>25508</v>
      </c>
      <c r="CF9" s="573">
        <f>CE10-CE9</f>
        <v>10</v>
      </c>
      <c r="CG9" s="89">
        <f>'[1]December - 2022'!CJ9</f>
        <v>28364</v>
      </c>
      <c r="CH9" s="573">
        <f>CG10-CG9</f>
        <v>18</v>
      </c>
      <c r="CI9" s="89">
        <f>'[1]December - 2022'!CL9</f>
        <v>62228</v>
      </c>
      <c r="CJ9" s="573">
        <f>CI10-CI9</f>
        <v>34</v>
      </c>
      <c r="CK9" s="89">
        <f>'[1]December - 2022'!CN9</f>
        <v>267458</v>
      </c>
      <c r="CL9" s="573">
        <f>CK10-CK9</f>
        <v>73</v>
      </c>
      <c r="CM9" s="525">
        <f>'[1]December - 2022'!CO9</f>
        <v>73</v>
      </c>
      <c r="CN9" s="89">
        <f>'[1]December - 2022'!CQ9</f>
        <v>214182</v>
      </c>
      <c r="CO9" s="573">
        <f>CN10-CN9</f>
        <v>102</v>
      </c>
      <c r="CP9" s="525">
        <f>'[1]December - 2022'!CR9</f>
        <v>102</v>
      </c>
      <c r="CQ9" s="89">
        <f>'[1]December - 2022'!CT9</f>
        <v>353835</v>
      </c>
      <c r="CR9" s="573">
        <f>CQ10-CQ9</f>
        <v>166</v>
      </c>
      <c r="CS9" s="525">
        <f>'[1]December - 2022'!CU9</f>
        <v>166</v>
      </c>
      <c r="CT9" s="89">
        <f>'[1]December - 2022'!CW9</f>
        <v>693437</v>
      </c>
      <c r="CU9" s="527">
        <f>CT10-CT9</f>
        <v>168</v>
      </c>
      <c r="CV9" s="518"/>
      <c r="CW9" s="297">
        <f>'[1]December - 2022'!CZ9</f>
        <v>8807</v>
      </c>
      <c r="CX9" s="529">
        <f>CW10-CW9</f>
        <v>8</v>
      </c>
      <c r="CY9" s="298">
        <f>'[1]December - 2022'!DB9</f>
        <v>5981</v>
      </c>
      <c r="CZ9" s="529">
        <f>CY10-CY9</f>
        <v>5</v>
      </c>
      <c r="DA9" s="298">
        <f>'[1]December - 2022'!DD9</f>
        <v>32007</v>
      </c>
      <c r="DB9" s="529">
        <f>DA10-DA9</f>
        <v>16</v>
      </c>
      <c r="DC9" s="298">
        <f>'[1]December - 2022'!DF9</f>
        <v>32272</v>
      </c>
      <c r="DD9" s="529">
        <f>DC10-DC9</f>
        <v>15</v>
      </c>
      <c r="DE9" s="298">
        <f>'[1]December - 2022'!DH9</f>
        <v>21764</v>
      </c>
      <c r="DF9" s="529">
        <f>DE10-DE9</f>
        <v>10</v>
      </c>
      <c r="DG9" s="298">
        <f>'[1]December - 2022'!DJ9</f>
        <v>23989</v>
      </c>
      <c r="DH9" s="529">
        <f>DG10-DG9</f>
        <v>6</v>
      </c>
      <c r="DI9" s="298">
        <f>'[1]December - 2022'!DL9</f>
        <v>7013</v>
      </c>
      <c r="DJ9" s="529">
        <f>DI10-DI9</f>
        <v>9</v>
      </c>
      <c r="DK9" s="298">
        <f>'[1]December - 2022'!DN9</f>
        <v>9688</v>
      </c>
      <c r="DL9" s="529">
        <f>DK10-DK9</f>
        <v>8</v>
      </c>
      <c r="DM9" s="298">
        <f>'[1]December - 2022'!DP9</f>
        <v>3228</v>
      </c>
      <c r="DN9" s="529">
        <f>DM10-DM9</f>
        <v>4</v>
      </c>
      <c r="DO9" s="298">
        <f>'[1]December - 2022'!DR9</f>
        <v>6366</v>
      </c>
      <c r="DP9" s="529">
        <f>DO10-DO9</f>
        <v>9</v>
      </c>
      <c r="DQ9" s="298">
        <f>'[1]December - 2022'!DT9</f>
        <v>30245</v>
      </c>
      <c r="DR9" s="583">
        <f>DQ10-DQ9</f>
        <v>10</v>
      </c>
      <c r="DS9" s="534"/>
      <c r="DT9" s="210">
        <f>'[1]December - 2022'!DW9</f>
        <v>6235.5</v>
      </c>
      <c r="DU9" s="547">
        <f>DT10-DT9</f>
        <v>12</v>
      </c>
      <c r="DV9" s="91">
        <f>'[1]December - 2022'!DY9</f>
        <v>11223.7</v>
      </c>
      <c r="DW9" s="545">
        <f>DV10-DV9</f>
        <v>9.0999999999985448</v>
      </c>
      <c r="DX9" s="91">
        <f>'[1]December - 2022'!EA9</f>
        <v>4746.3</v>
      </c>
      <c r="DY9" s="547">
        <f>DX10-DX9</f>
        <v>6.8000000000001819</v>
      </c>
      <c r="DZ9" s="91">
        <f>'[1]December - 2022'!EC9</f>
        <v>5319.5</v>
      </c>
      <c r="EA9" s="547">
        <f>DZ10-DZ9</f>
        <v>6.8000000000001819</v>
      </c>
      <c r="EB9" s="91">
        <f>'[1]December - 2022'!EE9</f>
        <v>1122112</v>
      </c>
      <c r="EC9" s="547">
        <f>EB10-EB9</f>
        <v>608</v>
      </c>
      <c r="ED9" s="91">
        <f>'[1]December - 2022'!EI9</f>
        <v>230550</v>
      </c>
      <c r="EE9" s="549">
        <f>ED10-ED9</f>
        <v>154.89999999999418</v>
      </c>
      <c r="EF9" s="581"/>
      <c r="EG9" s="235">
        <f>'[1]December - 2022'!EL9</f>
        <v>12107000</v>
      </c>
      <c r="EH9" s="558">
        <f>EG10-EG9</f>
        <v>4400</v>
      </c>
      <c r="EI9" s="90">
        <f>'[1]December - 2022'!EN9</f>
        <v>931450</v>
      </c>
      <c r="EJ9" s="558">
        <f>EI10-EI9</f>
        <v>340</v>
      </c>
      <c r="EK9" s="90">
        <f>'[1]December - 2022'!EP9</f>
        <v>7205200</v>
      </c>
      <c r="EL9" s="558">
        <f>EK10-EK9</f>
        <v>2000</v>
      </c>
      <c r="EM9" s="90">
        <f>'[1]December - 2022'!ER9</f>
        <v>2494100</v>
      </c>
      <c r="EN9" s="558">
        <f>EM10-EM9</f>
        <v>400</v>
      </c>
      <c r="EO9" s="90">
        <f>'[1]December - 2022'!ET9</f>
        <v>1271830</v>
      </c>
      <c r="EP9" s="558">
        <f>EO10-EO9</f>
        <v>700</v>
      </c>
      <c r="EQ9" s="90">
        <f>'[1]December - 2022'!EV9</f>
        <v>16592300</v>
      </c>
      <c r="ER9" s="565">
        <f>EQ10-EQ9</f>
        <v>5600</v>
      </c>
      <c r="ES9" s="556"/>
      <c r="ET9" s="281">
        <f>'[1]December - 2022'!EY9</f>
        <v>41974</v>
      </c>
      <c r="EU9" s="530">
        <f>ET10-ET9</f>
        <v>16</v>
      </c>
      <c r="EV9" s="282">
        <f>'[1]December - 2022'!FA9</f>
        <v>36697</v>
      </c>
      <c r="EW9" s="530">
        <f>EV10-EV9</f>
        <v>13</v>
      </c>
      <c r="EX9" s="282">
        <f>'[1]December - 2022'!FC9</f>
        <v>7448</v>
      </c>
      <c r="EY9" s="530">
        <v>0</v>
      </c>
      <c r="EZ9" s="282">
        <f>'[1]December - 2022'!FE9</f>
        <v>59149</v>
      </c>
      <c r="FA9" s="530">
        <f>EZ10-EZ9</f>
        <v>15</v>
      </c>
      <c r="FB9" s="282">
        <f>'[1]December - 2022'!FG9</f>
        <v>49260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8"/>
      <c r="E10" s="482"/>
      <c r="F10" s="168">
        <f>'[1]December - 2022'!H10</f>
        <v>238147</v>
      </c>
      <c r="G10" s="480"/>
      <c r="H10" s="482"/>
      <c r="I10" s="168">
        <f>'[1]December - 2022'!K10</f>
        <v>6008</v>
      </c>
      <c r="J10" s="480"/>
      <c r="K10" s="168">
        <f>'[1]December - 2022'!N10</f>
        <v>919221</v>
      </c>
      <c r="L10" s="479"/>
      <c r="M10" s="168">
        <f>'[1]December - 2022'!Q10</f>
        <v>243260</v>
      </c>
      <c r="N10" s="479"/>
      <c r="O10" s="168">
        <f>'[1]December - 2022'!U10</f>
        <v>115336</v>
      </c>
      <c r="P10" s="480"/>
      <c r="Q10" s="482"/>
      <c r="R10" s="168">
        <f>'[1]December - 2022'!X10</f>
        <v>6255</v>
      </c>
      <c r="S10" s="570"/>
      <c r="T10" s="477"/>
      <c r="U10" s="269">
        <f>'[1]December - 2022'!AE10</f>
        <v>8128103.7599999998</v>
      </c>
      <c r="V10" s="572"/>
      <c r="W10" s="498"/>
      <c r="X10" s="287">
        <f>'[1]December - 2022'!AH10</f>
        <v>15443460.48</v>
      </c>
      <c r="Y10" s="480"/>
      <c r="Z10" s="498"/>
      <c r="AA10" s="287">
        <f>'[1]December - 2022'!AK10</f>
        <v>15753173.52</v>
      </c>
      <c r="AB10" s="480"/>
      <c r="AC10" s="498"/>
      <c r="AD10" s="287">
        <f>'[1]December - 2022'!AN10</f>
        <v>18820779.599999998</v>
      </c>
      <c r="AE10" s="480"/>
      <c r="AF10" s="498"/>
      <c r="AG10" s="287">
        <f>'[1]December - 2022'!AQ10</f>
        <v>19153829.52</v>
      </c>
      <c r="AH10" s="480"/>
      <c r="AI10" s="498"/>
      <c r="AJ10" s="287">
        <f>'[1]December - 2022'!AT10</f>
        <v>17526337.919999998</v>
      </c>
      <c r="AK10" s="480"/>
      <c r="AL10" s="498"/>
      <c r="AM10" s="287">
        <f>'[1]December - 2022'!AW10</f>
        <v>14756898.24</v>
      </c>
      <c r="AN10" s="480"/>
      <c r="AO10" s="498"/>
      <c r="AP10" s="287">
        <f>'[1]December - 2022'!AZ10</f>
        <v>14277298.559999999</v>
      </c>
      <c r="AQ10" s="480"/>
      <c r="AR10" s="498"/>
      <c r="AS10" s="287">
        <f>'[1]December - 2022'!BC10</f>
        <v>11157805.68</v>
      </c>
      <c r="AT10" s="480"/>
      <c r="AU10" s="498"/>
      <c r="AV10" s="287">
        <f>'[1]December - 2022'!BF10</f>
        <v>17661097.439999998</v>
      </c>
      <c r="AW10" s="480"/>
      <c r="AX10" s="500"/>
      <c r="AY10" s="494"/>
      <c r="AZ10" s="272">
        <f>'[1]December - 2022'!BM10</f>
        <v>77840000</v>
      </c>
      <c r="BA10" s="502"/>
      <c r="BB10" s="496"/>
      <c r="BC10" s="272">
        <f>'[1]December - 2022'!BP10</f>
        <v>80452400</v>
      </c>
      <c r="BD10" s="502"/>
      <c r="BE10" s="496"/>
      <c r="BF10" s="272">
        <f>'[1]December - 2022'!BS10</f>
        <v>74702700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4"/>
      <c r="BU10" s="590"/>
      <c r="BV10" s="88">
        <f>'[1]December - 2022'!BY10</f>
        <v>0.68</v>
      </c>
      <c r="BW10" s="586"/>
      <c r="BX10" s="588"/>
      <c r="BY10" s="89">
        <f>'[1]December - 2022'!CB10</f>
        <v>64190</v>
      </c>
      <c r="BZ10" s="574"/>
      <c r="CA10" s="89">
        <f>'[1]December - 2022'!CD10</f>
        <v>55284</v>
      </c>
      <c r="CB10" s="574"/>
      <c r="CC10" s="89">
        <f>'[1]December - 2022'!CF10</f>
        <v>18702</v>
      </c>
      <c r="CD10" s="574"/>
      <c r="CE10" s="89">
        <f>'[1]December - 2022'!CH10</f>
        <v>25518</v>
      </c>
      <c r="CF10" s="574"/>
      <c r="CG10" s="89">
        <f>'[1]December - 2022'!CJ10</f>
        <v>28382</v>
      </c>
      <c r="CH10" s="574"/>
      <c r="CI10" s="89">
        <f>'[1]December - 2022'!CL10</f>
        <v>62262</v>
      </c>
      <c r="CJ10" s="574"/>
      <c r="CK10" s="89">
        <f>'[1]December - 2022'!CN10</f>
        <v>267531</v>
      </c>
      <c r="CL10" s="574"/>
      <c r="CM10" s="526"/>
      <c r="CN10" s="89">
        <f>'[1]December - 2022'!CQ10</f>
        <v>214284</v>
      </c>
      <c r="CO10" s="574"/>
      <c r="CP10" s="526"/>
      <c r="CQ10" s="89">
        <f>'[1]December - 2022'!CT10</f>
        <v>354001</v>
      </c>
      <c r="CR10" s="574"/>
      <c r="CS10" s="526"/>
      <c r="CT10" s="89">
        <f>'[1]December - 2022'!CW10</f>
        <v>693605</v>
      </c>
      <c r="CU10" s="528"/>
      <c r="CV10" s="518"/>
      <c r="CW10" s="256">
        <f>'[1]December - 2022'!CZ10</f>
        <v>8815</v>
      </c>
      <c r="CX10" s="530"/>
      <c r="CY10" s="257">
        <f>'[1]December - 2022'!DB10</f>
        <v>5986</v>
      </c>
      <c r="CZ10" s="530"/>
      <c r="DA10" s="257">
        <f>'[1]December - 2022'!DD10</f>
        <v>32023</v>
      </c>
      <c r="DB10" s="530"/>
      <c r="DC10" s="257">
        <f>'[1]December - 2022'!DF10</f>
        <v>32287</v>
      </c>
      <c r="DD10" s="530"/>
      <c r="DE10" s="257">
        <f>'[1]December - 2022'!DH10</f>
        <v>21774</v>
      </c>
      <c r="DF10" s="530"/>
      <c r="DG10" s="257">
        <f>'[1]December - 2022'!DJ10</f>
        <v>23995</v>
      </c>
      <c r="DH10" s="530"/>
      <c r="DI10" s="257">
        <f>'[1]December - 2022'!DL10</f>
        <v>7022</v>
      </c>
      <c r="DJ10" s="530"/>
      <c r="DK10" s="257">
        <f>'[1]December - 2022'!DN10</f>
        <v>9696</v>
      </c>
      <c r="DL10" s="530"/>
      <c r="DM10" s="257">
        <f>'[1]December - 2022'!DP10</f>
        <v>3232</v>
      </c>
      <c r="DN10" s="530"/>
      <c r="DO10" s="257">
        <f>'[1]December - 2022'!DR10</f>
        <v>6375</v>
      </c>
      <c r="DP10" s="530"/>
      <c r="DQ10" s="298">
        <f>'[1]December - 2022'!DT10</f>
        <v>30255</v>
      </c>
      <c r="DR10" s="561"/>
      <c r="DS10" s="534"/>
      <c r="DT10" s="210">
        <f>'[1]December - 2022'!DW10</f>
        <v>6247.5</v>
      </c>
      <c r="DU10" s="548"/>
      <c r="DV10" s="91">
        <f>'[1]December - 2022'!DY10</f>
        <v>11232.8</v>
      </c>
      <c r="DW10" s="546"/>
      <c r="DX10" s="91">
        <f>'[1]December - 2022'!EA10</f>
        <v>4753.1000000000004</v>
      </c>
      <c r="DY10" s="548"/>
      <c r="DZ10" s="91">
        <f>'[1]December - 2022'!EC10</f>
        <v>5326.3</v>
      </c>
      <c r="EA10" s="548"/>
      <c r="EB10" s="91">
        <f>'[1]December - 2022'!EE10</f>
        <v>1122720</v>
      </c>
      <c r="EC10" s="548"/>
      <c r="ED10" s="91">
        <f>'[1]December - 2022'!EI10</f>
        <v>230704.9</v>
      </c>
      <c r="EE10" s="550"/>
      <c r="EF10" s="581"/>
      <c r="EG10" s="235">
        <f>'[1]December - 2022'!EL10</f>
        <v>12111400</v>
      </c>
      <c r="EH10" s="559"/>
      <c r="EI10" s="90">
        <f>'[1]December - 2022'!EN10</f>
        <v>931790</v>
      </c>
      <c r="EJ10" s="559"/>
      <c r="EK10" s="90">
        <f>'[1]December - 2022'!EP10</f>
        <v>7207200</v>
      </c>
      <c r="EL10" s="559"/>
      <c r="EM10" s="90">
        <f>'[1]December - 2022'!ER10</f>
        <v>2494500</v>
      </c>
      <c r="EN10" s="559"/>
      <c r="EO10" s="90">
        <f>'[1]December - 2022'!ET10</f>
        <v>1272530</v>
      </c>
      <c r="EP10" s="559"/>
      <c r="EQ10" s="90">
        <f>'[1]December - 2022'!EV10</f>
        <v>16597900</v>
      </c>
      <c r="ER10" s="566"/>
      <c r="ES10" s="556"/>
      <c r="ET10" s="281">
        <f>'[1]December - 2022'!EY10</f>
        <v>41990</v>
      </c>
      <c r="EU10" s="560"/>
      <c r="EV10" s="282">
        <f>'[1]December - 2022'!FA10</f>
        <v>36710</v>
      </c>
      <c r="EW10" s="560"/>
      <c r="EX10" s="282">
        <f>'[1]December - 2022'!FC10</f>
        <v>7456</v>
      </c>
      <c r="EY10" s="560"/>
      <c r="EZ10" s="282">
        <f>'[1]December - 2022'!FE10</f>
        <v>59164</v>
      </c>
      <c r="FA10" s="560"/>
      <c r="FB10" s="282">
        <f>'[1]December - 2022'!FG10</f>
        <v>49296</v>
      </c>
      <c r="FC10" s="56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7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4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0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8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4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1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7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4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0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8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4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1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7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4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0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8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4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1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7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4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0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8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4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1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7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4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0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8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534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1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6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7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4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0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8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534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1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6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7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4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0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8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4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1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6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477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94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590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518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534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581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556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477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94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590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518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534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581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556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477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94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590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518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534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581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556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477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94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590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518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534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581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556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</v>
      </c>
      <c r="C22" s="250">
        <f>'[1]December - 2022'!E22</f>
        <v>0</v>
      </c>
      <c r="D22" s="170">
        <f>'[1]December - 2022'!F22</f>
        <v>-212986</v>
      </c>
      <c r="E22" s="168">
        <f>'[1]December - 2022'!G22</f>
        <v>452</v>
      </c>
      <c r="F22" s="168">
        <f>'[1]December - 2022'!H22</f>
        <v>0</v>
      </c>
      <c r="G22" s="170">
        <f>'[1]December - 2022'!I22</f>
        <v>-242762</v>
      </c>
      <c r="H22" s="168">
        <f>'[1]December - 2022'!J22</f>
        <v>426</v>
      </c>
      <c r="I22" s="168">
        <f>'[1]December - 2022'!K22</f>
        <v>0</v>
      </c>
      <c r="J22" s="170">
        <f>'[1]December - 2022'!L22</f>
        <v>-7622</v>
      </c>
      <c r="K22" s="168">
        <f>'[1]December - 2022'!N22</f>
        <v>0</v>
      </c>
      <c r="L22" s="170">
        <f>'[1]December - 2022'!O22</f>
        <v>-922036</v>
      </c>
      <c r="M22" s="168">
        <f>'[1]December - 2022'!Q22</f>
        <v>0</v>
      </c>
      <c r="N22" s="170">
        <f>'[1]December - 2022'!R22</f>
        <v>-244610</v>
      </c>
      <c r="O22" s="168">
        <f>'[1]December - 2022'!U22</f>
        <v>0</v>
      </c>
      <c r="P22" s="170">
        <f>'[1]December - 2022'!V22</f>
        <v>-116545</v>
      </c>
      <c r="Q22" s="168">
        <f>'[1]December - 2022'!W22</f>
        <v>86.950000000004366</v>
      </c>
      <c r="R22" s="168">
        <f>'[1]December - 2022'!X22</f>
        <v>0</v>
      </c>
      <c r="S22" s="208">
        <f>'[1]December - 2022'!Y22</f>
        <v>-6362</v>
      </c>
      <c r="T22" s="477"/>
      <c r="U22" s="169">
        <f>'[1]December - 2022'!AE22</f>
        <v>0</v>
      </c>
      <c r="V22" s="288">
        <f>'[1]December - 2022'!AF22</f>
        <v>-8154802.3199999994</v>
      </c>
      <c r="W22" s="92">
        <f>'[1]December - 2022'!AF22</f>
        <v>-8154802.3199999994</v>
      </c>
      <c r="X22" s="287">
        <f>'[1]December - 2022'!AH22</f>
        <v>0</v>
      </c>
      <c r="Y22" s="288">
        <f>'[1]December - 2022'!AI22</f>
        <v>-15493544.640000001</v>
      </c>
      <c r="Z22" s="92">
        <f>'[1]December - 2022'!AI22</f>
        <v>-15493544.640000001</v>
      </c>
      <c r="AA22" s="287">
        <f>'[1]December - 2022'!AK22</f>
        <v>0</v>
      </c>
      <c r="AB22" s="288">
        <f>'[1]December - 2022'!AL22</f>
        <v>-15787813.439999999</v>
      </c>
      <c r="AC22" s="92">
        <f>'[1]December - 2022'!AL22</f>
        <v>-15787813.439999999</v>
      </c>
      <c r="AD22" s="287">
        <f>'[1]December - 2022'!AN22</f>
        <v>0</v>
      </c>
      <c r="AE22" s="288">
        <f>'[1]December - 2022'!AO22</f>
        <v>-18900729.119999997</v>
      </c>
      <c r="AF22" s="92">
        <f>'[1]December - 2022'!AO22</f>
        <v>-18900729.119999997</v>
      </c>
      <c r="AG22" s="287">
        <f>'[1]December - 2022'!AQ22</f>
        <v>0</v>
      </c>
      <c r="AH22" s="288">
        <f>'[1]December - 2022'!AR22</f>
        <v>-19168737.84</v>
      </c>
      <c r="AI22" s="92">
        <f>'[1]December - 2022'!AR22</f>
        <v>-19168737.84</v>
      </c>
      <c r="AJ22" s="287">
        <f>'[1]December - 2022'!AT22</f>
        <v>0</v>
      </c>
      <c r="AK22" s="288">
        <f>'[1]December - 2022'!AU22</f>
        <v>-17588943.119999997</v>
      </c>
      <c r="AL22" s="92">
        <f>'[1]December - 2022'!AU22</f>
        <v>-17588943.119999997</v>
      </c>
      <c r="AM22" s="287">
        <f>'[1]December - 2022'!AW22</f>
        <v>0</v>
      </c>
      <c r="AN22" s="288">
        <f>'[1]December - 2022'!AX22</f>
        <v>-14804205.359999999</v>
      </c>
      <c r="AO22" s="283">
        <f>'[1]December - 2022'!AX22</f>
        <v>-14804205.359999999</v>
      </c>
      <c r="AP22" s="287">
        <f>'[1]December - 2022'!AZ22</f>
        <v>0</v>
      </c>
      <c r="AQ22" s="288">
        <f>'[1]December - 2022'!BA22</f>
        <v>-14327285.280000001</v>
      </c>
      <c r="AR22" s="92">
        <f>'[1]December - 2022'!BA22</f>
        <v>-14327285.280000001</v>
      </c>
      <c r="AS22" s="287">
        <f>'[1]December - 2022'!BC22</f>
        <v>0</v>
      </c>
      <c r="AT22" s="289">
        <f>'[1]December - 2022'!BD22</f>
        <v>-11192689.199999999</v>
      </c>
      <c r="AU22" s="92">
        <f>'[1]December - 2022'!BD22</f>
        <v>-11192689.199999999</v>
      </c>
      <c r="AV22" s="287">
        <f>'[1]December - 2022'!BF22</f>
        <v>0</v>
      </c>
      <c r="AW22" s="252">
        <f>'[1]December - 2022'!BG22</f>
        <v>-17724969.359999999</v>
      </c>
      <c r="AX22" s="253">
        <f>'[1]December - 2022'!BG22</f>
        <v>-17724969.359999999</v>
      </c>
      <c r="AY22" s="494"/>
      <c r="AZ22" s="272">
        <f>'[1]December - 2022'!BM22</f>
        <v>0</v>
      </c>
      <c r="BA22" s="179">
        <f>'[1]December - 2022'!BN22</f>
        <v>-77984000</v>
      </c>
      <c r="BB22" s="93">
        <f>'[1]December - 2022'!BN22</f>
        <v>-77984000</v>
      </c>
      <c r="BC22" s="272">
        <f>'[1]December - 2022'!BP22</f>
        <v>0</v>
      </c>
      <c r="BD22" s="245">
        <f>'[1]December - 2022'!BQ22</f>
        <v>-80883300</v>
      </c>
      <c r="BE22" s="93">
        <f>'[1]December - 2022'!BQ22</f>
        <v>-80883300</v>
      </c>
      <c r="BF22" s="272">
        <f>'[1]December - 2022'!BS22</f>
        <v>0</v>
      </c>
      <c r="BG22" s="245">
        <f>'[1]December - 2022'!BT22</f>
        <v>-74770900</v>
      </c>
      <c r="BH22" s="93">
        <f>'[1]December - 2022'!BT22</f>
        <v>-74770900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0</v>
      </c>
      <c r="BT22" s="185">
        <f>'[1]December - 2022'!BW22</f>
        <v>-10253210</v>
      </c>
      <c r="BU22" s="590"/>
      <c r="BV22" s="88">
        <f>'[1]December - 2022'!BY22</f>
        <v>0</v>
      </c>
      <c r="BW22" s="241">
        <f>'[1]December - 2022'!BZ22</f>
        <v>0.67</v>
      </c>
      <c r="BX22" s="88">
        <f>'[1]December - 2022'!BZ22</f>
        <v>0.67</v>
      </c>
      <c r="BY22" s="89">
        <f>'[1]December - 2022'!CB22</f>
        <v>0</v>
      </c>
      <c r="BZ22" s="191">
        <f>'[1]December - 2022'!CC22</f>
        <v>-64397</v>
      </c>
      <c r="CA22" s="89">
        <f>'[1]December - 2022'!CD22</f>
        <v>0</v>
      </c>
      <c r="CB22" s="191">
        <f>'[1]December - 2022'!CE22</f>
        <v>-55494</v>
      </c>
      <c r="CC22" s="89">
        <f>'[1]December - 2022'!CF22</f>
        <v>0</v>
      </c>
      <c r="CD22" s="191">
        <f>'[1]December - 2022'!CG22</f>
        <v>-18772</v>
      </c>
      <c r="CE22" s="89">
        <f>'[1]December - 2022'!CH22</f>
        <v>0</v>
      </c>
      <c r="CF22" s="191">
        <f>'[1]December - 2022'!CI22</f>
        <v>-25632</v>
      </c>
      <c r="CG22" s="89">
        <f>'[1]December - 2022'!CJ22</f>
        <v>0</v>
      </c>
      <c r="CH22" s="191">
        <f>'[1]December - 2022'!CK22</f>
        <v>-28541</v>
      </c>
      <c r="CI22" s="89">
        <f>'[1]December - 2022'!CL22</f>
        <v>0</v>
      </c>
      <c r="CJ22" s="191">
        <f>'[1]December - 2022'!CM22</f>
        <v>-62619</v>
      </c>
      <c r="CK22" s="89">
        <f>'[1]December - 2022'!CN22</f>
        <v>0</v>
      </c>
      <c r="CL22" s="246">
        <f>'[1]December - 2022'!CO22</f>
        <v>-268319</v>
      </c>
      <c r="CM22" s="89">
        <f>'[1]December - 2022'!CO22</f>
        <v>-268319</v>
      </c>
      <c r="CN22" s="89">
        <f>'[1]December - 2022'!CQ22</f>
        <v>0</v>
      </c>
      <c r="CO22" s="246">
        <f>'[1]December - 2022'!CR22</f>
        <v>-215420</v>
      </c>
      <c r="CP22" s="89">
        <f>'[1]December - 2022'!CR22</f>
        <v>-215420</v>
      </c>
      <c r="CQ22" s="89">
        <f>'[1]December - 2022'!CT22</f>
        <v>0</v>
      </c>
      <c r="CR22" s="246">
        <f>'[1]December - 2022'!CU22</f>
        <v>-356176</v>
      </c>
      <c r="CS22" s="89">
        <f>'[1]December - 2022'!CU22</f>
        <v>-356176</v>
      </c>
      <c r="CT22" s="89">
        <f>'[1]December - 2022'!CW22</f>
        <v>0</v>
      </c>
      <c r="CU22" s="191">
        <f>'[1]December - 2022'!CX22</f>
        <v>-695442</v>
      </c>
      <c r="CV22" s="518"/>
      <c r="CW22" s="256">
        <f>'[1]December - 2022'!CZ22</f>
        <v>0</v>
      </c>
      <c r="CX22" s="198">
        <f>'[1]December - 2022'!DA22</f>
        <v>-8890</v>
      </c>
      <c r="CY22" s="257">
        <f>'[1]December - 2022'!DB22</f>
        <v>0</v>
      </c>
      <c r="CZ22" s="198">
        <f>'[1]December - 2022'!DC22</f>
        <v>-6034</v>
      </c>
      <c r="DA22" s="257">
        <f>'[1]December - 2022'!DD22</f>
        <v>0</v>
      </c>
      <c r="DB22" s="198">
        <f>'[1]December - 2022'!DE22</f>
        <v>-32188</v>
      </c>
      <c r="DC22" s="257">
        <f>'[1]December - 2022'!DF22</f>
        <v>0</v>
      </c>
      <c r="DD22" s="198">
        <f>'[1]December - 2022'!DG22</f>
        <v>-32427</v>
      </c>
      <c r="DE22" s="257">
        <f>'[1]December - 2022'!DH22</f>
        <v>0</v>
      </c>
      <c r="DF22" s="198">
        <f>'[1]December - 2022'!DI22</f>
        <v>-21883</v>
      </c>
      <c r="DG22" s="257">
        <f>'[1]December - 2022'!DJ22</f>
        <v>0</v>
      </c>
      <c r="DH22" s="198">
        <f>'[1]December - 2022'!DK22</f>
        <v>-24063</v>
      </c>
      <c r="DI22" s="257">
        <f>'[1]December - 2022'!DL22</f>
        <v>0</v>
      </c>
      <c r="DJ22" s="198">
        <f>'[1]December - 2022'!DM22</f>
        <v>-7133</v>
      </c>
      <c r="DK22" s="257">
        <f>'[1]December - 2022'!DN22</f>
        <v>0</v>
      </c>
      <c r="DL22" s="198">
        <f>'[1]December - 2022'!DO22</f>
        <v>-9797</v>
      </c>
      <c r="DM22" s="257">
        <f>'[1]December - 2022'!DP22</f>
        <v>0</v>
      </c>
      <c r="DN22" s="198">
        <f>'[1]December - 2022'!DQ22</f>
        <v>-3274</v>
      </c>
      <c r="DO22" s="257">
        <f>'[1]December - 2022'!DR22</f>
        <v>0</v>
      </c>
      <c r="DP22" s="198">
        <f>'[1]December - 2022'!DS22</f>
        <v>-6465</v>
      </c>
      <c r="DQ22" s="257">
        <f>'[1]December - 2022'!DT22</f>
        <v>0</v>
      </c>
      <c r="DR22" s="206">
        <f>'[1]December - 2022'!DU22</f>
        <v>-30325</v>
      </c>
      <c r="DS22" s="534"/>
      <c r="DT22" s="210">
        <f>'[1]December - 2022'!DW22</f>
        <v>0</v>
      </c>
      <c r="DU22" s="221">
        <f>'[1]December - 2022'!DX22</f>
        <v>-6370.2</v>
      </c>
      <c r="DV22" s="91">
        <f>'[1]December - 2022'!DY22</f>
        <v>0</v>
      </c>
      <c r="DW22" s="215">
        <f>'[1]December - 2022'!DZ22</f>
        <v>-11318.7</v>
      </c>
      <c r="DX22" s="91">
        <f>'[1]December - 2022'!EA22</f>
        <v>0</v>
      </c>
      <c r="DY22" s="215">
        <f>'[1]December - 2022'!EB22</f>
        <v>-4824.8</v>
      </c>
      <c r="DZ22" s="91">
        <f>'[1]December - 2022'!EC22</f>
        <v>0</v>
      </c>
      <c r="EA22" s="215">
        <f>'[1]December - 2022'!ED22</f>
        <v>-5403.1</v>
      </c>
      <c r="EB22" s="91">
        <f>'[1]December - 2022'!EE22</f>
        <v>0</v>
      </c>
      <c r="EC22" s="215">
        <f>'[1]December - 2022'!EF22</f>
        <v>-1128992</v>
      </c>
      <c r="ED22" s="91">
        <f>'[1]December - 2022'!EI22</f>
        <v>0</v>
      </c>
      <c r="EE22" s="229">
        <f>'[1]December - 2022'!EJ22</f>
        <v>-232298.3</v>
      </c>
      <c r="EF22" s="581"/>
      <c r="EG22" s="235">
        <f>'[1]December - 2022'!EL22</f>
        <v>0</v>
      </c>
      <c r="EH22" s="230">
        <f>'[1]December - 2022'!EM22</f>
        <v>-12156800</v>
      </c>
      <c r="EI22" s="90">
        <f>'[1]December - 2022'!EN22</f>
        <v>0</v>
      </c>
      <c r="EJ22" s="230">
        <f>'[1]December - 2022'!EO22</f>
        <v>-934740</v>
      </c>
      <c r="EK22" s="90">
        <f>'[1]December - 2022'!EP22</f>
        <v>0</v>
      </c>
      <c r="EL22" s="230">
        <f>'[1]December - 2022'!EQ22</f>
        <v>-7229600</v>
      </c>
      <c r="EM22" s="90">
        <f>'[1]December - 2022'!ER22</f>
        <v>0</v>
      </c>
      <c r="EN22" s="230">
        <f>'[1]December - 2022'!ES22</f>
        <v>-2499400</v>
      </c>
      <c r="EO22" s="90">
        <f>'[1]December - 2022'!ET22</f>
        <v>0</v>
      </c>
      <c r="EP22" s="230">
        <f>'[1]December - 2022'!EU22</f>
        <v>-1280370</v>
      </c>
      <c r="EQ22" s="90">
        <f>'[1]December - 2022'!EV22</f>
        <v>0</v>
      </c>
      <c r="ER22" s="230">
        <f>'[1]December - 2022'!EW22</f>
        <v>-16642000</v>
      </c>
      <c r="ES22" s="556"/>
      <c r="ET22" s="281">
        <f>'[1]December - 2022'!EY22</f>
        <v>0</v>
      </c>
      <c r="EU22" s="275">
        <f>'[1]December - 2022'!EZ22</f>
        <v>-42165</v>
      </c>
      <c r="EV22" s="282">
        <f>'[1]December - 2022'!FA22</f>
        <v>0</v>
      </c>
      <c r="EW22" s="275">
        <f>'[1]December - 2022'!FB22</f>
        <v>-36835</v>
      </c>
      <c r="EX22" s="282">
        <f>'[1]December - 2022'!FC22</f>
        <v>0</v>
      </c>
      <c r="EY22" s="275">
        <f>'[1]December - 2022'!FD22</f>
        <v>-7562</v>
      </c>
      <c r="EZ22" s="282">
        <f>'[1]December - 2022'!FE22</f>
        <v>0</v>
      </c>
      <c r="FA22" s="275">
        <f>'[1]December - 2022'!FF22</f>
        <v>-59313</v>
      </c>
      <c r="FB22" s="282">
        <f>'[1]December - 2022'!FG22</f>
        <v>0</v>
      </c>
      <c r="FC22" s="276">
        <f>'[1]December - 2022'!FH22</f>
        <v>-49654</v>
      </c>
    </row>
    <row r="23" spans="1:159" ht="30" customHeight="1" x14ac:dyDescent="0.25">
      <c r="A23" s="207">
        <v>43844</v>
      </c>
      <c r="B23" s="209">
        <f>'[1]December - 2022'!B23</f>
        <v>0</v>
      </c>
      <c r="C23" s="250">
        <f>'[1]December - 2022'!E23</f>
        <v>0</v>
      </c>
      <c r="D23" s="170">
        <f>'[1]December - 2022'!F23</f>
        <v>0</v>
      </c>
      <c r="E23" s="168">
        <f>'[1]December - 2022'!G23</f>
        <v>716</v>
      </c>
      <c r="F23" s="168">
        <f>'[1]December - 2022'!H23</f>
        <v>0</v>
      </c>
      <c r="G23" s="170">
        <f>'[1]December - 2022'!I23</f>
        <v>0</v>
      </c>
      <c r="H23" s="168">
        <f>'[1]December - 2022'!J23</f>
        <v>414</v>
      </c>
      <c r="I23" s="168">
        <f>'[1]December - 2022'!K23</f>
        <v>0</v>
      </c>
      <c r="J23" s="170">
        <f>'[1]December - 2022'!L23</f>
        <v>0</v>
      </c>
      <c r="K23" s="168">
        <f>'[1]December - 2022'!N23</f>
        <v>0</v>
      </c>
      <c r="L23" s="170">
        <f>'[1]December - 2022'!O23</f>
        <v>0</v>
      </c>
      <c r="M23" s="168">
        <f>'[1]December - 2022'!Q23</f>
        <v>0</v>
      </c>
      <c r="N23" s="170">
        <f>'[1]December - 2022'!R23</f>
        <v>0</v>
      </c>
      <c r="O23" s="168">
        <f>'[1]December - 2022'!U23</f>
        <v>0</v>
      </c>
      <c r="P23" s="170">
        <f>'[1]December - 2022'!V23</f>
        <v>0</v>
      </c>
      <c r="Q23" s="168">
        <f>'[1]December - 2022'!W23</f>
        <v>87.580000000001746</v>
      </c>
      <c r="R23" s="168">
        <f>'[1]December - 2022'!X23</f>
        <v>0</v>
      </c>
      <c r="S23" s="208">
        <f>'[1]December - 2022'!Y23</f>
        <v>0</v>
      </c>
      <c r="T23" s="477"/>
      <c r="U23" s="169">
        <f>'[1]December - 2022'!AE23</f>
        <v>0</v>
      </c>
      <c r="V23" s="288">
        <f>'[1]December - 2022'!AF23</f>
        <v>0</v>
      </c>
      <c r="W23" s="92">
        <f>'[1]December - 2022'!AF23</f>
        <v>0</v>
      </c>
      <c r="X23" s="287">
        <f>'[1]December - 2022'!AH23</f>
        <v>0</v>
      </c>
      <c r="Y23" s="288">
        <f>'[1]December - 2022'!AI23</f>
        <v>0</v>
      </c>
      <c r="Z23" s="92">
        <f>'[1]December - 2022'!AI23</f>
        <v>0</v>
      </c>
      <c r="AA23" s="287">
        <f>'[1]December - 2022'!AK23</f>
        <v>0</v>
      </c>
      <c r="AB23" s="288">
        <f>'[1]December - 2022'!AL23</f>
        <v>0</v>
      </c>
      <c r="AC23" s="92">
        <f>'[1]December - 2022'!AL23</f>
        <v>0</v>
      </c>
      <c r="AD23" s="287">
        <f>'[1]December - 2022'!AN23</f>
        <v>0</v>
      </c>
      <c r="AE23" s="288">
        <f>'[1]December - 2022'!AO23</f>
        <v>0</v>
      </c>
      <c r="AF23" s="92">
        <f>'[1]December - 2022'!AO23</f>
        <v>0</v>
      </c>
      <c r="AG23" s="287">
        <f>'[1]December - 2022'!AQ23</f>
        <v>0</v>
      </c>
      <c r="AH23" s="288">
        <f>'[1]December - 2022'!AR23</f>
        <v>0</v>
      </c>
      <c r="AI23" s="92">
        <f>'[1]December - 2022'!AR23</f>
        <v>0</v>
      </c>
      <c r="AJ23" s="287">
        <f>'[1]December - 2022'!AT23</f>
        <v>0</v>
      </c>
      <c r="AK23" s="288">
        <f>'[1]December - 2022'!AU23</f>
        <v>0</v>
      </c>
      <c r="AL23" s="92">
        <f>'[1]December - 2022'!AU23</f>
        <v>0</v>
      </c>
      <c r="AM23" s="287">
        <f>'[1]December - 2022'!AW23</f>
        <v>0</v>
      </c>
      <c r="AN23" s="288">
        <f>'[1]December - 2022'!AX23</f>
        <v>0</v>
      </c>
      <c r="AO23" s="92">
        <f>'[1]December - 2022'!AX23</f>
        <v>0</v>
      </c>
      <c r="AP23" s="287">
        <f>'[1]December - 2022'!AZ23</f>
        <v>0</v>
      </c>
      <c r="AQ23" s="288">
        <f>'[1]December - 2022'!BA23</f>
        <v>0</v>
      </c>
      <c r="AR23" s="92">
        <f>'[1]December - 2022'!BA23</f>
        <v>0</v>
      </c>
      <c r="AS23" s="287">
        <f>'[1]December - 2022'!BC23</f>
        <v>0</v>
      </c>
      <c r="AT23" s="288">
        <f>'[1]December - 2022'!BD23</f>
        <v>0</v>
      </c>
      <c r="AU23" s="92">
        <f>'[1]December - 2022'!BD23</f>
        <v>0</v>
      </c>
      <c r="AV23" s="287">
        <f>'[1]December - 2022'!BF23</f>
        <v>0</v>
      </c>
      <c r="AW23" s="252">
        <f>'[1]December - 2022'!BG23</f>
        <v>0</v>
      </c>
      <c r="AX23" s="253">
        <f>'[1]December - 2022'!BG23</f>
        <v>0</v>
      </c>
      <c r="AY23" s="494"/>
      <c r="AZ23" s="272">
        <f>'[1]December - 2022'!BM23</f>
        <v>0</v>
      </c>
      <c r="BA23" s="179">
        <f>'[1]December - 2022'!BN23</f>
        <v>0</v>
      </c>
      <c r="BB23" s="93">
        <f>'[1]December - 2022'!BN23</f>
        <v>0</v>
      </c>
      <c r="BC23" s="272">
        <f>'[1]December - 2022'!BP23</f>
        <v>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0</v>
      </c>
      <c r="BT23" s="185">
        <f>'[1]December - 2022'!BW23</f>
        <v>0</v>
      </c>
      <c r="BU23" s="590"/>
      <c r="BV23" s="88">
        <f>'[1]December - 2022'!BY23</f>
        <v>0</v>
      </c>
      <c r="BW23" s="241">
        <f>'[1]December - 2022'!BZ23</f>
        <v>0</v>
      </c>
      <c r="BX23" s="88">
        <f>'[1]December - 2022'!BZ23</f>
        <v>0</v>
      </c>
      <c r="BY23" s="89">
        <f>'[1]December - 2022'!CB23</f>
        <v>0</v>
      </c>
      <c r="BZ23" s="191">
        <f>'[1]December - 2022'!CC23</f>
        <v>0</v>
      </c>
      <c r="CA23" s="89">
        <f>'[1]December - 2022'!CD23</f>
        <v>0</v>
      </c>
      <c r="CB23" s="191">
        <f>'[1]December - 2022'!CE23</f>
        <v>0</v>
      </c>
      <c r="CC23" s="89">
        <f>'[1]December - 2022'!CF23</f>
        <v>0</v>
      </c>
      <c r="CD23" s="191">
        <f>'[1]December - 2022'!CG23</f>
        <v>0</v>
      </c>
      <c r="CE23" s="89">
        <f>'[1]December - 2022'!CH23</f>
        <v>0</v>
      </c>
      <c r="CF23" s="191">
        <f>'[1]December - 2022'!CI23</f>
        <v>0</v>
      </c>
      <c r="CG23" s="89">
        <f>'[1]December - 2022'!CJ23</f>
        <v>0</v>
      </c>
      <c r="CH23" s="191">
        <f>'[1]December - 2022'!CK23</f>
        <v>0</v>
      </c>
      <c r="CI23" s="89">
        <f>'[1]December - 2022'!CL23</f>
        <v>0</v>
      </c>
      <c r="CJ23" s="191">
        <f>'[1]December - 2022'!CM23</f>
        <v>0</v>
      </c>
      <c r="CK23" s="89">
        <f>'[1]December - 2022'!CN23</f>
        <v>0</v>
      </c>
      <c r="CL23" s="246">
        <f>'[1]December - 2022'!CO23</f>
        <v>0</v>
      </c>
      <c r="CM23" s="89">
        <f>'[1]December - 2022'!CO23</f>
        <v>0</v>
      </c>
      <c r="CN23" s="89">
        <f>'[1]December - 2022'!CQ23</f>
        <v>0</v>
      </c>
      <c r="CO23" s="246">
        <f>'[1]December - 2022'!CR23</f>
        <v>0</v>
      </c>
      <c r="CP23" s="89">
        <f>'[1]December - 2022'!CR23</f>
        <v>0</v>
      </c>
      <c r="CQ23" s="89">
        <f>'[1]December - 2022'!CT23</f>
        <v>0</v>
      </c>
      <c r="CR23" s="246">
        <f>'[1]December - 2022'!CU23</f>
        <v>0</v>
      </c>
      <c r="CS23" s="89">
        <f>'[1]December - 2022'!CU23</f>
        <v>0</v>
      </c>
      <c r="CT23" s="89">
        <f>'[1]December - 2022'!CW23</f>
        <v>0</v>
      </c>
      <c r="CU23" s="191">
        <f>'[1]December - 2022'!CX23</f>
        <v>0</v>
      </c>
      <c r="CV23" s="518"/>
      <c r="CW23" s="256">
        <f>'[1]December - 2022'!CZ23</f>
        <v>0</v>
      </c>
      <c r="CX23" s="198">
        <f>'[1]December - 2022'!DA23</f>
        <v>0</v>
      </c>
      <c r="CY23" s="257">
        <f>'[1]December - 2022'!DB23</f>
        <v>0</v>
      </c>
      <c r="CZ23" s="198">
        <f>'[1]December - 2022'!DC23</f>
        <v>0</v>
      </c>
      <c r="DA23" s="257">
        <f>'[1]December - 2022'!DD23</f>
        <v>0</v>
      </c>
      <c r="DB23" s="198">
        <f>'[1]December - 2022'!DE23</f>
        <v>0</v>
      </c>
      <c r="DC23" s="257">
        <f>'[1]December - 2022'!DF23</f>
        <v>0</v>
      </c>
      <c r="DD23" s="198">
        <f>'[1]December - 2022'!DG23</f>
        <v>0</v>
      </c>
      <c r="DE23" s="257">
        <f>'[1]December - 2022'!DH23</f>
        <v>0</v>
      </c>
      <c r="DF23" s="198">
        <f>'[1]December - 2022'!DI23</f>
        <v>0</v>
      </c>
      <c r="DG23" s="257">
        <f>'[1]December - 2022'!DJ23</f>
        <v>0</v>
      </c>
      <c r="DH23" s="198">
        <f>'[1]December - 2022'!DK23</f>
        <v>0</v>
      </c>
      <c r="DI23" s="257">
        <f>'[1]December - 2022'!DL23</f>
        <v>0</v>
      </c>
      <c r="DJ23" s="198">
        <f>'[1]December - 2022'!DM23</f>
        <v>0</v>
      </c>
      <c r="DK23" s="257">
        <f>'[1]December - 2022'!DN23</f>
        <v>0</v>
      </c>
      <c r="DL23" s="198">
        <f>'[1]December - 2022'!DO23</f>
        <v>0</v>
      </c>
      <c r="DM23" s="257">
        <f>'[1]December - 2022'!DP23</f>
        <v>0</v>
      </c>
      <c r="DN23" s="198">
        <f>'[1]December - 2022'!DQ23</f>
        <v>0</v>
      </c>
      <c r="DO23" s="257">
        <f>'[1]December - 2022'!DR23</f>
        <v>0</v>
      </c>
      <c r="DP23" s="198">
        <f>'[1]December - 2022'!DS23</f>
        <v>0</v>
      </c>
      <c r="DQ23" s="257">
        <f>'[1]December - 2022'!DT23</f>
        <v>0</v>
      </c>
      <c r="DR23" s="206">
        <f>'[1]December - 2022'!DU23</f>
        <v>0</v>
      </c>
      <c r="DS23" s="534"/>
      <c r="DT23" s="210">
        <f>'[1]December - 2022'!DW23</f>
        <v>0</v>
      </c>
      <c r="DU23" s="221">
        <f>'[1]December - 2022'!DX23</f>
        <v>0</v>
      </c>
      <c r="DV23" s="91">
        <f>'[1]December - 2022'!DY23</f>
        <v>0</v>
      </c>
      <c r="DW23" s="215">
        <f>'[1]December - 2022'!DZ23</f>
        <v>0</v>
      </c>
      <c r="DX23" s="91">
        <f>'[1]December - 2022'!EA23</f>
        <v>0</v>
      </c>
      <c r="DY23" s="215">
        <f>'[1]December - 2022'!EB23</f>
        <v>0</v>
      </c>
      <c r="DZ23" s="91">
        <f>'[1]December - 2022'!EC23</f>
        <v>0</v>
      </c>
      <c r="EA23" s="215">
        <f>'[1]December - 2022'!ED23</f>
        <v>0</v>
      </c>
      <c r="EB23" s="91">
        <f>'[1]December - 2022'!EE23</f>
        <v>0</v>
      </c>
      <c r="EC23" s="215">
        <f>'[1]December - 2022'!EF23</f>
        <v>0</v>
      </c>
      <c r="ED23" s="91">
        <f>'[1]December - 2022'!EI23</f>
        <v>0</v>
      </c>
      <c r="EE23" s="229">
        <f>'[1]December - 2022'!EJ23</f>
        <v>0</v>
      </c>
      <c r="EF23" s="581"/>
      <c r="EG23" s="235">
        <f>'[1]December - 2022'!EL23</f>
        <v>0</v>
      </c>
      <c r="EH23" s="230">
        <f>'[1]December - 2022'!EM23</f>
        <v>0</v>
      </c>
      <c r="EI23" s="90">
        <f>'[1]December - 2022'!EN23</f>
        <v>0</v>
      </c>
      <c r="EJ23" s="230">
        <f>'[1]December - 2022'!EO23</f>
        <v>0</v>
      </c>
      <c r="EK23" s="90">
        <f>'[1]December - 2022'!EP23</f>
        <v>0</v>
      </c>
      <c r="EL23" s="230">
        <f>'[1]December - 2022'!EQ23</f>
        <v>0</v>
      </c>
      <c r="EM23" s="90">
        <f>'[1]December - 2022'!ER23</f>
        <v>0</v>
      </c>
      <c r="EN23" s="230">
        <f>'[1]December - 2022'!ES23</f>
        <v>0</v>
      </c>
      <c r="EO23" s="90">
        <f>'[1]December - 2022'!ET23</f>
        <v>0</v>
      </c>
      <c r="EP23" s="230">
        <f>'[1]December - 2022'!EU23</f>
        <v>0</v>
      </c>
      <c r="EQ23" s="90">
        <f>'[1]December - 2022'!EV23</f>
        <v>0</v>
      </c>
      <c r="ER23" s="230">
        <f>'[1]December - 2022'!EW23</f>
        <v>0</v>
      </c>
      <c r="ES23" s="556"/>
      <c r="ET23" s="281">
        <f>'[1]December - 2022'!EY23</f>
        <v>0</v>
      </c>
      <c r="EU23" s="275">
        <f>'[1]December - 2022'!EZ23</f>
        <v>0</v>
      </c>
      <c r="EV23" s="282">
        <f>'[1]December - 2022'!FA23</f>
        <v>0</v>
      </c>
      <c r="EW23" s="275">
        <f>'[1]December - 2022'!FB23</f>
        <v>0</v>
      </c>
      <c r="EX23" s="282">
        <f>'[1]December - 2022'!FC23</f>
        <v>0</v>
      </c>
      <c r="EY23" s="275">
        <f>'[1]December - 2022'!FD23</f>
        <v>0</v>
      </c>
      <c r="EZ23" s="282">
        <f>'[1]December - 2022'!FE23</f>
        <v>0</v>
      </c>
      <c r="FA23" s="275">
        <f>'[1]December - 2022'!FF23</f>
        <v>0</v>
      </c>
      <c r="FB23" s="282">
        <f>'[1]December - 2022'!FG23</f>
        <v>0</v>
      </c>
      <c r="FC23" s="276">
        <f>'[1]December - 2022'!FH23</f>
        <v>0</v>
      </c>
    </row>
    <row r="24" spans="1:159" ht="30" customHeight="1" x14ac:dyDescent="0.25">
      <c r="A24" s="207">
        <v>43845</v>
      </c>
      <c r="B24" s="209">
        <f>'[1]December - 2022'!B24</f>
        <v>0</v>
      </c>
      <c r="C24" s="250">
        <f>'[1]December - 2022'!E24</f>
        <v>0</v>
      </c>
      <c r="D24" s="170">
        <f>'[1]December - 2022'!F24</f>
        <v>0</v>
      </c>
      <c r="E24" s="168">
        <f>'[1]December - 2022'!G24</f>
        <v>746</v>
      </c>
      <c r="F24" s="168">
        <f>'[1]December - 2022'!H24</f>
        <v>0</v>
      </c>
      <c r="G24" s="170">
        <f>'[1]December - 2022'!I24</f>
        <v>0</v>
      </c>
      <c r="H24" s="168">
        <f>'[1]December - 2022'!J24</f>
        <v>448</v>
      </c>
      <c r="I24" s="168">
        <f>'[1]December - 2022'!K24</f>
        <v>0</v>
      </c>
      <c r="J24" s="170">
        <f>'[1]December - 2022'!L24</f>
        <v>0</v>
      </c>
      <c r="K24" s="168">
        <f>'[1]December - 2022'!N24</f>
        <v>0</v>
      </c>
      <c r="L24" s="170">
        <f>'[1]December - 2022'!O24</f>
        <v>0</v>
      </c>
      <c r="M24" s="168">
        <f>'[1]December - 2022'!Q24</f>
        <v>0</v>
      </c>
      <c r="N24" s="170">
        <f>'[1]December - 2022'!R24</f>
        <v>0</v>
      </c>
      <c r="O24" s="168">
        <f>'[1]December - 2022'!U24</f>
        <v>0</v>
      </c>
      <c r="P24" s="170">
        <f>'[1]December - 2022'!V24</f>
        <v>0</v>
      </c>
      <c r="Q24" s="168">
        <f>'[1]December - 2022'!W24</f>
        <v>86.399999999994179</v>
      </c>
      <c r="R24" s="168">
        <f>'[1]December - 2022'!X24</f>
        <v>0</v>
      </c>
      <c r="S24" s="208">
        <f>'[1]December - 2022'!Y24</f>
        <v>0</v>
      </c>
      <c r="T24" s="477"/>
      <c r="U24" s="169">
        <f>'[1]December - 2022'!AE24</f>
        <v>0</v>
      </c>
      <c r="V24" s="288">
        <f>'[1]December - 2022'!AF24</f>
        <v>0</v>
      </c>
      <c r="W24" s="92">
        <f>'[1]December - 2022'!AF24</f>
        <v>0</v>
      </c>
      <c r="X24" s="287">
        <f>'[1]December - 2022'!AH24</f>
        <v>0</v>
      </c>
      <c r="Y24" s="288">
        <f>'[1]December - 2022'!AI24</f>
        <v>0</v>
      </c>
      <c r="Z24" s="92">
        <f>'[1]December - 2022'!AI24</f>
        <v>0</v>
      </c>
      <c r="AA24" s="287">
        <f>'[1]December - 2022'!AK24</f>
        <v>0</v>
      </c>
      <c r="AB24" s="288">
        <f>'[1]December - 2022'!AL24</f>
        <v>0</v>
      </c>
      <c r="AC24" s="92">
        <f>'[1]December - 2022'!AL24</f>
        <v>0</v>
      </c>
      <c r="AD24" s="287">
        <f>'[1]December - 2022'!AN24</f>
        <v>0</v>
      </c>
      <c r="AE24" s="288">
        <f>'[1]December - 2022'!AO24</f>
        <v>0</v>
      </c>
      <c r="AF24" s="92">
        <f>'[1]December - 2022'!AO24</f>
        <v>0</v>
      </c>
      <c r="AG24" s="287">
        <f>'[1]December - 2022'!AQ24</f>
        <v>0</v>
      </c>
      <c r="AH24" s="288">
        <f>'[1]December - 2022'!AR24</f>
        <v>0</v>
      </c>
      <c r="AI24" s="92">
        <f>'[1]December - 2022'!AR24</f>
        <v>0</v>
      </c>
      <c r="AJ24" s="287">
        <f>'[1]December - 2022'!AT24</f>
        <v>0</v>
      </c>
      <c r="AK24" s="288">
        <f>'[1]December - 2022'!AU24</f>
        <v>0</v>
      </c>
      <c r="AL24" s="92">
        <f>'[1]December - 2022'!AU24</f>
        <v>0</v>
      </c>
      <c r="AM24" s="287">
        <f>'[1]December - 2022'!AW24</f>
        <v>0</v>
      </c>
      <c r="AN24" s="288">
        <f>'[1]December - 2022'!AX24</f>
        <v>0</v>
      </c>
      <c r="AO24" s="92">
        <f>'[1]December - 2022'!AX24</f>
        <v>0</v>
      </c>
      <c r="AP24" s="287">
        <f>'[1]December - 2022'!AZ24</f>
        <v>0</v>
      </c>
      <c r="AQ24" s="288">
        <f>'[1]December - 2022'!BA24</f>
        <v>0</v>
      </c>
      <c r="AR24" s="92">
        <f>'[1]December - 2022'!BA24</f>
        <v>0</v>
      </c>
      <c r="AS24" s="287">
        <f>'[1]December - 2022'!BC24</f>
        <v>0</v>
      </c>
      <c r="AT24" s="288">
        <f>'[1]December - 2022'!BD24</f>
        <v>0</v>
      </c>
      <c r="AU24" s="92">
        <f>'[1]December - 2022'!BD24</f>
        <v>0</v>
      </c>
      <c r="AV24" s="287">
        <f>'[1]December - 2022'!BF24</f>
        <v>0</v>
      </c>
      <c r="AW24" s="252">
        <f>'[1]December - 2022'!BG24</f>
        <v>0</v>
      </c>
      <c r="AX24" s="253">
        <f>'[1]December - 2022'!BG24</f>
        <v>0</v>
      </c>
      <c r="AY24" s="494"/>
      <c r="AZ24" s="272">
        <f>'[1]December - 2022'!BM24</f>
        <v>0</v>
      </c>
      <c r="BA24" s="179">
        <f>'[1]December - 2022'!BN24</f>
        <v>0</v>
      </c>
      <c r="BB24" s="93">
        <f>'[1]December - 2022'!BN24</f>
        <v>0</v>
      </c>
      <c r="BC24" s="272">
        <f>'[1]December - 2022'!BP24</f>
        <v>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0</v>
      </c>
      <c r="BT24" s="185">
        <f>'[1]December - 2022'!BW24</f>
        <v>0</v>
      </c>
      <c r="BU24" s="590"/>
      <c r="BV24" s="88">
        <f>'[1]December - 2022'!BY24</f>
        <v>0</v>
      </c>
      <c r="BW24" s="241">
        <f>'[1]December - 2022'!BZ24</f>
        <v>0</v>
      </c>
      <c r="BX24" s="88">
        <f>'[1]December - 2022'!BZ24</f>
        <v>0</v>
      </c>
      <c r="BY24" s="89">
        <f>'[1]December - 2022'!CB24</f>
        <v>0</v>
      </c>
      <c r="BZ24" s="191">
        <f>'[1]December - 2022'!CC24</f>
        <v>0</v>
      </c>
      <c r="CA24" s="89">
        <f>'[1]December - 2022'!CD24</f>
        <v>0</v>
      </c>
      <c r="CB24" s="191">
        <f>'[1]December - 2022'!CE24</f>
        <v>0</v>
      </c>
      <c r="CC24" s="89">
        <f>'[1]December - 2022'!CF24</f>
        <v>0</v>
      </c>
      <c r="CD24" s="191">
        <f>'[1]December - 2022'!CG24</f>
        <v>0</v>
      </c>
      <c r="CE24" s="89">
        <f>'[1]December - 2022'!CH24</f>
        <v>0</v>
      </c>
      <c r="CF24" s="191">
        <f>'[1]December - 2022'!CI24</f>
        <v>0</v>
      </c>
      <c r="CG24" s="89">
        <f>'[1]December - 2022'!CJ24</f>
        <v>0</v>
      </c>
      <c r="CH24" s="191">
        <f>'[1]December - 2022'!CK24</f>
        <v>0</v>
      </c>
      <c r="CI24" s="89">
        <f>'[1]December - 2022'!CL24</f>
        <v>0</v>
      </c>
      <c r="CJ24" s="191">
        <f>'[1]December - 2022'!CM24</f>
        <v>0</v>
      </c>
      <c r="CK24" s="89">
        <f>'[1]December - 2022'!CN24</f>
        <v>0</v>
      </c>
      <c r="CL24" s="246">
        <f>'[1]December - 2022'!CO24</f>
        <v>0</v>
      </c>
      <c r="CM24" s="89">
        <f>'[1]December - 2022'!CO24</f>
        <v>0</v>
      </c>
      <c r="CN24" s="89">
        <f>'[1]December - 2022'!CQ24</f>
        <v>0</v>
      </c>
      <c r="CO24" s="246">
        <f>'[1]December - 2022'!CR24</f>
        <v>0</v>
      </c>
      <c r="CP24" s="89">
        <f>'[1]December - 2022'!CR24</f>
        <v>0</v>
      </c>
      <c r="CQ24" s="89">
        <f>'[1]December - 2022'!CT24</f>
        <v>0</v>
      </c>
      <c r="CR24" s="246">
        <f>'[1]December - 2022'!CU24</f>
        <v>0</v>
      </c>
      <c r="CS24" s="89">
        <f>'[1]December - 2022'!CU24</f>
        <v>0</v>
      </c>
      <c r="CT24" s="89">
        <f>'[1]December - 2022'!CW24</f>
        <v>0</v>
      </c>
      <c r="CU24" s="191">
        <f>'[1]December - 2022'!CX24</f>
        <v>0</v>
      </c>
      <c r="CV24" s="518"/>
      <c r="CW24" s="256">
        <f>'[1]December - 2022'!CZ24</f>
        <v>0</v>
      </c>
      <c r="CX24" s="198">
        <f>'[1]December - 2022'!DA24</f>
        <v>0</v>
      </c>
      <c r="CY24" s="257">
        <f>'[1]December - 2022'!DB24</f>
        <v>0</v>
      </c>
      <c r="CZ24" s="198">
        <f>'[1]December - 2022'!DC24</f>
        <v>0</v>
      </c>
      <c r="DA24" s="257">
        <f>'[1]December - 2022'!DD24</f>
        <v>0</v>
      </c>
      <c r="DB24" s="198">
        <f>'[1]December - 2022'!DE24</f>
        <v>0</v>
      </c>
      <c r="DC24" s="257">
        <f>'[1]December - 2022'!DF24</f>
        <v>0</v>
      </c>
      <c r="DD24" s="198">
        <f>'[1]December - 2022'!DG24</f>
        <v>0</v>
      </c>
      <c r="DE24" s="257">
        <f>'[1]December - 2022'!DH24</f>
        <v>0</v>
      </c>
      <c r="DF24" s="198">
        <f>'[1]December - 2022'!DI24</f>
        <v>0</v>
      </c>
      <c r="DG24" s="257">
        <f>'[1]December - 2022'!DJ24</f>
        <v>0</v>
      </c>
      <c r="DH24" s="198">
        <f>'[1]December - 2022'!DK24</f>
        <v>0</v>
      </c>
      <c r="DI24" s="257">
        <f>'[1]December - 2022'!DL24</f>
        <v>0</v>
      </c>
      <c r="DJ24" s="198">
        <f>'[1]December - 2022'!DM24</f>
        <v>0</v>
      </c>
      <c r="DK24" s="257">
        <f>'[1]December - 2022'!DN24</f>
        <v>0</v>
      </c>
      <c r="DL24" s="198">
        <f>'[1]December - 2022'!DO24</f>
        <v>0</v>
      </c>
      <c r="DM24" s="257">
        <f>'[1]December - 2022'!DP24</f>
        <v>0</v>
      </c>
      <c r="DN24" s="198">
        <f>'[1]December - 2022'!DQ24</f>
        <v>0</v>
      </c>
      <c r="DO24" s="257">
        <f>'[1]December - 2022'!DR24</f>
        <v>0</v>
      </c>
      <c r="DP24" s="198">
        <f>'[1]December - 2022'!DS24</f>
        <v>0</v>
      </c>
      <c r="DQ24" s="257">
        <f>'[1]December - 2022'!DT24</f>
        <v>0</v>
      </c>
      <c r="DR24" s="206">
        <f>'[1]December - 2022'!DU24</f>
        <v>0</v>
      </c>
      <c r="DS24" s="534"/>
      <c r="DT24" s="210">
        <f>'[1]December - 2022'!DW24</f>
        <v>0</v>
      </c>
      <c r="DU24" s="221">
        <f>'[1]December - 2022'!DX24</f>
        <v>0</v>
      </c>
      <c r="DV24" s="91">
        <f>'[1]December - 2022'!DY24</f>
        <v>0</v>
      </c>
      <c r="DW24" s="215">
        <f>'[1]December - 2022'!DZ24</f>
        <v>0</v>
      </c>
      <c r="DX24" s="91">
        <f>'[1]December - 2022'!EA24</f>
        <v>0</v>
      </c>
      <c r="DY24" s="215">
        <f>'[1]December - 2022'!EB24</f>
        <v>0</v>
      </c>
      <c r="DZ24" s="91">
        <f>'[1]December - 2022'!EC24</f>
        <v>0</v>
      </c>
      <c r="EA24" s="215">
        <f>'[1]December - 2022'!ED24</f>
        <v>0</v>
      </c>
      <c r="EB24" s="91">
        <f>'[1]December - 2022'!EE24</f>
        <v>0</v>
      </c>
      <c r="EC24" s="215">
        <f>'[1]December - 2022'!EF24</f>
        <v>0</v>
      </c>
      <c r="ED24" s="91">
        <f>'[1]December - 2022'!EI24</f>
        <v>0</v>
      </c>
      <c r="EE24" s="229">
        <f>'[1]December - 2022'!EJ24</f>
        <v>0</v>
      </c>
      <c r="EF24" s="581"/>
      <c r="EG24" s="235">
        <f>'[1]December - 2022'!EL24</f>
        <v>0</v>
      </c>
      <c r="EH24" s="230">
        <f>'[1]December - 2022'!EM24</f>
        <v>0</v>
      </c>
      <c r="EI24" s="90">
        <f>'[1]December - 2022'!EN24</f>
        <v>0</v>
      </c>
      <c r="EJ24" s="230">
        <f>'[1]December - 2022'!EO24</f>
        <v>0</v>
      </c>
      <c r="EK24" s="90">
        <f>'[1]December - 2022'!EP24</f>
        <v>0</v>
      </c>
      <c r="EL24" s="230">
        <f>'[1]December - 2022'!EQ24</f>
        <v>0</v>
      </c>
      <c r="EM24" s="90">
        <f>'[1]December - 2022'!ER24</f>
        <v>0</v>
      </c>
      <c r="EN24" s="230">
        <f>'[1]December - 2022'!ES24</f>
        <v>0</v>
      </c>
      <c r="EO24" s="90">
        <f>'[1]December - 2022'!ET24</f>
        <v>0</v>
      </c>
      <c r="EP24" s="230">
        <f>'[1]December - 2022'!EU24</f>
        <v>0</v>
      </c>
      <c r="EQ24" s="90">
        <f>'[1]December - 2022'!EV24</f>
        <v>0</v>
      </c>
      <c r="ER24" s="230">
        <f>'[1]December - 2022'!EW24</f>
        <v>0</v>
      </c>
      <c r="ES24" s="556"/>
      <c r="ET24" s="281">
        <f>'[1]December - 2022'!EY24</f>
        <v>0</v>
      </c>
      <c r="EU24" s="275">
        <f>'[1]December - 2022'!EZ24</f>
        <v>0</v>
      </c>
      <c r="EV24" s="282">
        <f>'[1]December - 2022'!FA24</f>
        <v>0</v>
      </c>
      <c r="EW24" s="275">
        <f>'[1]December - 2022'!FB24</f>
        <v>0</v>
      </c>
      <c r="EX24" s="282">
        <f>'[1]December - 2022'!FC24</f>
        <v>0</v>
      </c>
      <c r="EY24" s="275">
        <f>'[1]December - 2022'!FD24</f>
        <v>0</v>
      </c>
      <c r="EZ24" s="282">
        <f>'[1]December - 2022'!FE24</f>
        <v>0</v>
      </c>
      <c r="FA24" s="275">
        <f>'[1]December - 2022'!FF24</f>
        <v>0</v>
      </c>
      <c r="FB24" s="282">
        <f>'[1]December - 2022'!FG24</f>
        <v>0</v>
      </c>
      <c r="FC24" s="276">
        <f>'[1]December - 2022'!FH24</f>
        <v>0</v>
      </c>
    </row>
    <row r="25" spans="1:159" ht="30" customHeight="1" x14ac:dyDescent="0.25">
      <c r="A25" s="207">
        <v>43846</v>
      </c>
      <c r="B25" s="209">
        <f>'[1]December - 2022'!B25</f>
        <v>0</v>
      </c>
      <c r="C25" s="250">
        <f>'[1]December - 2022'!E25</f>
        <v>0</v>
      </c>
      <c r="D25" s="170">
        <f>'[1]December - 2022'!F25</f>
        <v>0</v>
      </c>
      <c r="E25" s="168">
        <f>'[1]December - 2022'!G25</f>
        <v>744</v>
      </c>
      <c r="F25" s="168">
        <f>'[1]December - 2022'!H25</f>
        <v>0</v>
      </c>
      <c r="G25" s="170">
        <f>'[1]December - 2022'!I25</f>
        <v>0</v>
      </c>
      <c r="H25" s="168">
        <f>'[1]December - 2022'!J25</f>
        <v>453</v>
      </c>
      <c r="I25" s="168">
        <f>'[1]December - 2022'!K25</f>
        <v>0</v>
      </c>
      <c r="J25" s="170">
        <f>'[1]December - 2022'!L25</f>
        <v>0</v>
      </c>
      <c r="K25" s="168">
        <f>'[1]December - 2022'!N25</f>
        <v>0</v>
      </c>
      <c r="L25" s="170">
        <f>'[1]December - 2022'!O25</f>
        <v>0</v>
      </c>
      <c r="M25" s="168">
        <f>'[1]December - 2022'!Q25</f>
        <v>0</v>
      </c>
      <c r="N25" s="170">
        <f>'[1]December - 2022'!R25</f>
        <v>0</v>
      </c>
      <c r="O25" s="168">
        <f>'[1]December - 2022'!U25</f>
        <v>0</v>
      </c>
      <c r="P25" s="170">
        <f>'[1]December - 2022'!V25</f>
        <v>0</v>
      </c>
      <c r="Q25" s="168">
        <f>'[1]December - 2022'!W25</f>
        <v>84.400000000001455</v>
      </c>
      <c r="R25" s="168">
        <f>'[1]December - 2022'!X25</f>
        <v>0</v>
      </c>
      <c r="S25" s="208">
        <f>'[1]December - 2022'!Y25</f>
        <v>0</v>
      </c>
      <c r="T25" s="477"/>
      <c r="U25" s="169">
        <f>'[1]December - 2022'!AE25</f>
        <v>0</v>
      </c>
      <c r="V25" s="288">
        <f>'[1]December - 2022'!AF25</f>
        <v>0</v>
      </c>
      <c r="W25" s="92">
        <f>'[1]December - 2022'!AF25</f>
        <v>0</v>
      </c>
      <c r="X25" s="287">
        <f>'[1]December - 2022'!AH25</f>
        <v>0</v>
      </c>
      <c r="Y25" s="288">
        <f>'[1]December - 2022'!AI25</f>
        <v>0</v>
      </c>
      <c r="Z25" s="92">
        <f>'[1]December - 2022'!AI25</f>
        <v>0</v>
      </c>
      <c r="AA25" s="287">
        <f>'[1]December - 2022'!AK25</f>
        <v>0</v>
      </c>
      <c r="AB25" s="288">
        <f>'[1]December - 2022'!AL25</f>
        <v>0</v>
      </c>
      <c r="AC25" s="92">
        <f>'[1]December - 2022'!AL25</f>
        <v>0</v>
      </c>
      <c r="AD25" s="287">
        <f>'[1]December - 2022'!AN25</f>
        <v>0</v>
      </c>
      <c r="AE25" s="288">
        <f>'[1]December - 2022'!AO25</f>
        <v>0</v>
      </c>
      <c r="AF25" s="92">
        <f>'[1]December - 2022'!AO25</f>
        <v>0</v>
      </c>
      <c r="AG25" s="287">
        <f>'[1]December - 2022'!AQ25</f>
        <v>0</v>
      </c>
      <c r="AH25" s="288">
        <f>'[1]December - 2022'!AR25</f>
        <v>0</v>
      </c>
      <c r="AI25" s="92">
        <f>'[1]December - 2022'!AR25</f>
        <v>0</v>
      </c>
      <c r="AJ25" s="287">
        <f>'[1]December - 2022'!AT25</f>
        <v>0</v>
      </c>
      <c r="AK25" s="288">
        <f>'[1]December - 2022'!AU25</f>
        <v>0</v>
      </c>
      <c r="AL25" s="92">
        <f>'[1]December - 2022'!AU25</f>
        <v>0</v>
      </c>
      <c r="AM25" s="287">
        <f>'[1]December - 2022'!AW25</f>
        <v>0</v>
      </c>
      <c r="AN25" s="288">
        <f>'[1]December - 2022'!AX25</f>
        <v>0</v>
      </c>
      <c r="AO25" s="92">
        <f>'[1]December - 2022'!AX25</f>
        <v>0</v>
      </c>
      <c r="AP25" s="287">
        <f>'[1]December - 2022'!AZ25</f>
        <v>0</v>
      </c>
      <c r="AQ25" s="288">
        <f>'[1]December - 2022'!BA25</f>
        <v>0</v>
      </c>
      <c r="AR25" s="92">
        <f>'[1]December - 2022'!BA25</f>
        <v>0</v>
      </c>
      <c r="AS25" s="287">
        <f>'[1]December - 2022'!BC25</f>
        <v>0</v>
      </c>
      <c r="AT25" s="288">
        <f>'[1]December - 2022'!BD25</f>
        <v>0</v>
      </c>
      <c r="AU25" s="92">
        <f>'[1]December - 2022'!BD25</f>
        <v>0</v>
      </c>
      <c r="AV25" s="287">
        <f>'[1]December - 2022'!BF25</f>
        <v>0</v>
      </c>
      <c r="AW25" s="252">
        <f>'[1]December - 2022'!BG25</f>
        <v>0</v>
      </c>
      <c r="AX25" s="253">
        <f>'[1]December - 2022'!BG25</f>
        <v>0</v>
      </c>
      <c r="AY25" s="494"/>
      <c r="AZ25" s="272">
        <f>'[1]December - 2022'!BM25</f>
        <v>0</v>
      </c>
      <c r="BA25" s="179">
        <f>'[1]December - 2022'!BN25</f>
        <v>0</v>
      </c>
      <c r="BB25" s="93">
        <f>'[1]December - 2022'!BN25</f>
        <v>0</v>
      </c>
      <c r="BC25" s="272">
        <f>'[1]December - 2022'!BP25</f>
        <v>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0</v>
      </c>
      <c r="BT25" s="185">
        <f>'[1]December - 2022'!BW25</f>
        <v>0</v>
      </c>
      <c r="BU25" s="590"/>
      <c r="BV25" s="88">
        <f>'[1]December - 2022'!BY25</f>
        <v>0</v>
      </c>
      <c r="BW25" s="241">
        <f>'[1]December - 2022'!BZ25</f>
        <v>0</v>
      </c>
      <c r="BX25" s="88">
        <f>'[1]December - 2022'!BZ25</f>
        <v>0</v>
      </c>
      <c r="BY25" s="89">
        <f>'[1]December - 2022'!CB25</f>
        <v>0</v>
      </c>
      <c r="BZ25" s="191">
        <f>'[1]December - 2022'!CC25</f>
        <v>0</v>
      </c>
      <c r="CA25" s="89">
        <f>'[1]December - 2022'!CD25</f>
        <v>0</v>
      </c>
      <c r="CB25" s="191">
        <f>'[1]December - 2022'!CE25</f>
        <v>0</v>
      </c>
      <c r="CC25" s="89">
        <f>'[1]December - 2022'!CF25</f>
        <v>0</v>
      </c>
      <c r="CD25" s="191">
        <f>'[1]December - 2022'!CG25</f>
        <v>0</v>
      </c>
      <c r="CE25" s="89">
        <f>'[1]December - 2022'!CH25</f>
        <v>0</v>
      </c>
      <c r="CF25" s="191">
        <f>'[1]December - 2022'!CI25</f>
        <v>0</v>
      </c>
      <c r="CG25" s="89">
        <f>'[1]December - 2022'!CJ25</f>
        <v>0</v>
      </c>
      <c r="CH25" s="191">
        <f>'[1]December - 2022'!CK25</f>
        <v>0</v>
      </c>
      <c r="CI25" s="89">
        <f>'[1]December - 2022'!CL25</f>
        <v>0</v>
      </c>
      <c r="CJ25" s="191">
        <f>'[1]December - 2022'!CM25</f>
        <v>0</v>
      </c>
      <c r="CK25" s="89">
        <f>'[1]December - 2022'!CN25</f>
        <v>0</v>
      </c>
      <c r="CL25" s="246">
        <f>'[1]December - 2022'!CO25</f>
        <v>0</v>
      </c>
      <c r="CM25" s="89">
        <f>'[1]December - 2022'!CO25</f>
        <v>0</v>
      </c>
      <c r="CN25" s="89">
        <f>'[1]December - 2022'!CQ25</f>
        <v>0</v>
      </c>
      <c r="CO25" s="246">
        <f>'[1]December - 2022'!CR25</f>
        <v>0</v>
      </c>
      <c r="CP25" s="89">
        <f>'[1]December - 2022'!CR25</f>
        <v>0</v>
      </c>
      <c r="CQ25" s="89">
        <f>'[1]December - 2022'!CT25</f>
        <v>0</v>
      </c>
      <c r="CR25" s="246">
        <f>'[1]December - 2022'!CU25</f>
        <v>0</v>
      </c>
      <c r="CS25" s="89">
        <f>'[1]December - 2022'!CU25</f>
        <v>0</v>
      </c>
      <c r="CT25" s="89">
        <f>'[1]December - 2022'!CW25</f>
        <v>0</v>
      </c>
      <c r="CU25" s="191">
        <f>'[1]December - 2022'!CX25</f>
        <v>0</v>
      </c>
      <c r="CV25" s="518"/>
      <c r="CW25" s="256">
        <f>'[1]December - 2022'!CZ25</f>
        <v>0</v>
      </c>
      <c r="CX25" s="198">
        <f>'[1]December - 2022'!DA25</f>
        <v>0</v>
      </c>
      <c r="CY25" s="257">
        <f>'[1]December - 2022'!DB25</f>
        <v>0</v>
      </c>
      <c r="CZ25" s="198">
        <f>'[1]December - 2022'!DC25</f>
        <v>0</v>
      </c>
      <c r="DA25" s="257">
        <f>'[1]December - 2022'!DD25</f>
        <v>0</v>
      </c>
      <c r="DB25" s="198">
        <f>'[1]December - 2022'!DE25</f>
        <v>0</v>
      </c>
      <c r="DC25" s="257">
        <f>'[1]December - 2022'!DF25</f>
        <v>0</v>
      </c>
      <c r="DD25" s="198">
        <f>'[1]December - 2022'!DG25</f>
        <v>0</v>
      </c>
      <c r="DE25" s="257">
        <f>'[1]December - 2022'!DH25</f>
        <v>0</v>
      </c>
      <c r="DF25" s="198">
        <f>'[1]December - 2022'!DI25</f>
        <v>0</v>
      </c>
      <c r="DG25" s="257">
        <f>'[1]December - 2022'!DJ25</f>
        <v>0</v>
      </c>
      <c r="DH25" s="198">
        <f>'[1]December - 2022'!DK25</f>
        <v>0</v>
      </c>
      <c r="DI25" s="257">
        <f>'[1]December - 2022'!DL25</f>
        <v>0</v>
      </c>
      <c r="DJ25" s="198">
        <f>'[1]December - 2022'!DM25</f>
        <v>0</v>
      </c>
      <c r="DK25" s="257">
        <f>'[1]December - 2022'!DN25</f>
        <v>0</v>
      </c>
      <c r="DL25" s="198">
        <f>'[1]December - 2022'!DO25</f>
        <v>0</v>
      </c>
      <c r="DM25" s="257">
        <f>'[1]December - 2022'!DP25</f>
        <v>0</v>
      </c>
      <c r="DN25" s="198">
        <f>'[1]December - 2022'!DQ25</f>
        <v>0</v>
      </c>
      <c r="DO25" s="257">
        <f>'[1]December - 2022'!DR25</f>
        <v>0</v>
      </c>
      <c r="DP25" s="198">
        <f>'[1]December - 2022'!DS25</f>
        <v>0</v>
      </c>
      <c r="DQ25" s="257">
        <f>'[1]December - 2022'!DT25</f>
        <v>0</v>
      </c>
      <c r="DR25" s="206">
        <f>'[1]December - 2022'!DU25</f>
        <v>0</v>
      </c>
      <c r="DS25" s="534"/>
      <c r="DT25" s="210">
        <f>'[1]December - 2022'!DW25</f>
        <v>0</v>
      </c>
      <c r="DU25" s="221">
        <f>'[1]December - 2022'!DX25</f>
        <v>0</v>
      </c>
      <c r="DV25" s="91">
        <f>'[1]December - 2022'!DY25</f>
        <v>0</v>
      </c>
      <c r="DW25" s="215">
        <f>'[1]December - 2022'!DZ25</f>
        <v>0</v>
      </c>
      <c r="DX25" s="91">
        <f>'[1]December - 2022'!EA25</f>
        <v>0</v>
      </c>
      <c r="DY25" s="215">
        <f>'[1]December - 2022'!EB25</f>
        <v>0</v>
      </c>
      <c r="DZ25" s="91">
        <f>'[1]December - 2022'!EC25</f>
        <v>0</v>
      </c>
      <c r="EA25" s="215">
        <f>'[1]December - 2022'!ED25</f>
        <v>0</v>
      </c>
      <c r="EB25" s="91">
        <f>'[1]December - 2022'!EE25</f>
        <v>0</v>
      </c>
      <c r="EC25" s="215">
        <f>'[1]December - 2022'!EF25</f>
        <v>0</v>
      </c>
      <c r="ED25" s="91">
        <f>'[1]December - 2022'!EI25</f>
        <v>0</v>
      </c>
      <c r="EE25" s="229">
        <f>'[1]December - 2022'!EJ25</f>
        <v>0</v>
      </c>
      <c r="EF25" s="581"/>
      <c r="EG25" s="235">
        <f>'[1]December - 2022'!EL25</f>
        <v>0</v>
      </c>
      <c r="EH25" s="230">
        <f>'[1]December - 2022'!EM25</f>
        <v>0</v>
      </c>
      <c r="EI25" s="90">
        <f>'[1]December - 2022'!EN25</f>
        <v>0</v>
      </c>
      <c r="EJ25" s="230">
        <f>'[1]December - 2022'!EO25</f>
        <v>0</v>
      </c>
      <c r="EK25" s="90">
        <f>'[1]December - 2022'!EP25</f>
        <v>0</v>
      </c>
      <c r="EL25" s="230">
        <f>'[1]December - 2022'!EQ25</f>
        <v>0</v>
      </c>
      <c r="EM25" s="90">
        <f>'[1]December - 2022'!ER25</f>
        <v>0</v>
      </c>
      <c r="EN25" s="230">
        <f>'[1]December - 2022'!ES25</f>
        <v>0</v>
      </c>
      <c r="EO25" s="90">
        <f>'[1]December - 2022'!ET25</f>
        <v>0</v>
      </c>
      <c r="EP25" s="230">
        <f>'[1]December - 2022'!EU25</f>
        <v>0</v>
      </c>
      <c r="EQ25" s="90">
        <f>'[1]December - 2022'!EV25</f>
        <v>0</v>
      </c>
      <c r="ER25" s="230">
        <f>'[1]December - 2022'!EW25</f>
        <v>0</v>
      </c>
      <c r="ES25" s="556"/>
      <c r="ET25" s="281">
        <f>'[1]December - 2022'!EY25</f>
        <v>0</v>
      </c>
      <c r="EU25" s="275">
        <f>'[1]December - 2022'!EZ25</f>
        <v>0</v>
      </c>
      <c r="EV25" s="282">
        <f>'[1]December - 2022'!FA25</f>
        <v>0</v>
      </c>
      <c r="EW25" s="275">
        <f>'[1]December - 2022'!FB25</f>
        <v>0</v>
      </c>
      <c r="EX25" s="282">
        <f>'[1]December - 2022'!FC25</f>
        <v>0</v>
      </c>
      <c r="EY25" s="275">
        <f>'[1]December - 2022'!FD25</f>
        <v>0</v>
      </c>
      <c r="EZ25" s="282">
        <f>'[1]December - 2022'!FE25</f>
        <v>0</v>
      </c>
      <c r="FA25" s="275">
        <f>'[1]December - 2022'!FF25</f>
        <v>0</v>
      </c>
      <c r="FB25" s="282">
        <f>'[1]December - 2022'!FG25</f>
        <v>0</v>
      </c>
      <c r="FC25" s="276">
        <f>'[1]December - 2022'!FH25</f>
        <v>0</v>
      </c>
    </row>
    <row r="26" spans="1:159" ht="30" customHeight="1" x14ac:dyDescent="0.25">
      <c r="A26" s="207">
        <v>43847</v>
      </c>
      <c r="B26" s="209">
        <f>'[1]December - 2022'!B26</f>
        <v>0</v>
      </c>
      <c r="C26" s="250">
        <f>'[1]December - 2022'!E26</f>
        <v>0</v>
      </c>
      <c r="D26" s="170">
        <f>'[1]December - 2022'!F26</f>
        <v>0</v>
      </c>
      <c r="E26" s="168">
        <f>'[1]December - 2022'!G26</f>
        <v>717</v>
      </c>
      <c r="F26" s="168">
        <f>'[1]December - 2022'!H26</f>
        <v>0</v>
      </c>
      <c r="G26" s="170">
        <f>'[1]December - 2022'!I26</f>
        <v>0</v>
      </c>
      <c r="H26" s="168">
        <f>'[1]December - 2022'!J26</f>
        <v>457</v>
      </c>
      <c r="I26" s="168">
        <f>'[1]December - 2022'!K26</f>
        <v>0</v>
      </c>
      <c r="J26" s="170">
        <f>'[1]December - 2022'!L26</f>
        <v>0</v>
      </c>
      <c r="K26" s="168">
        <f>'[1]December - 2022'!N26</f>
        <v>0</v>
      </c>
      <c r="L26" s="170">
        <f>'[1]December - 2022'!O26</f>
        <v>0</v>
      </c>
      <c r="M26" s="168">
        <f>'[1]December - 2022'!Q26</f>
        <v>0</v>
      </c>
      <c r="N26" s="170">
        <f>'[1]December - 2022'!R26</f>
        <v>0</v>
      </c>
      <c r="O26" s="168">
        <f>'[1]December - 2022'!U26</f>
        <v>0</v>
      </c>
      <c r="P26" s="170">
        <f>'[1]December - 2022'!V26</f>
        <v>0</v>
      </c>
      <c r="Q26" s="168">
        <f>'[1]December - 2022'!W26</f>
        <v>87.980000000003201</v>
      </c>
      <c r="R26" s="168">
        <f>'[1]December - 2022'!X26</f>
        <v>0</v>
      </c>
      <c r="S26" s="208">
        <f>'[1]December - 2022'!Y26</f>
        <v>0</v>
      </c>
      <c r="T26" s="477"/>
      <c r="U26" s="169">
        <f>'[1]December - 2022'!AE26</f>
        <v>0</v>
      </c>
      <c r="V26" s="288">
        <f>'[1]December - 2022'!AF26</f>
        <v>0</v>
      </c>
      <c r="W26" s="92">
        <f>'[1]December - 2022'!AF26</f>
        <v>0</v>
      </c>
      <c r="X26" s="287">
        <f>'[1]December - 2022'!AH26</f>
        <v>0</v>
      </c>
      <c r="Y26" s="288">
        <f>'[1]December - 2022'!AI26</f>
        <v>0</v>
      </c>
      <c r="Z26" s="92">
        <f>'[1]December - 2022'!AI26</f>
        <v>0</v>
      </c>
      <c r="AA26" s="287">
        <f>'[1]December - 2022'!AK26</f>
        <v>0</v>
      </c>
      <c r="AB26" s="288">
        <f>'[1]December - 2022'!AL26</f>
        <v>0</v>
      </c>
      <c r="AC26" s="92">
        <f>'[1]December - 2022'!AL26</f>
        <v>0</v>
      </c>
      <c r="AD26" s="287">
        <f>'[1]December - 2022'!AN26</f>
        <v>0</v>
      </c>
      <c r="AE26" s="288">
        <f>'[1]December - 2022'!AO26</f>
        <v>0</v>
      </c>
      <c r="AF26" s="92">
        <f>'[1]December - 2022'!AO26</f>
        <v>0</v>
      </c>
      <c r="AG26" s="287">
        <f>'[1]December - 2022'!AQ26</f>
        <v>0</v>
      </c>
      <c r="AH26" s="288">
        <f>'[1]December - 2022'!AR26</f>
        <v>0</v>
      </c>
      <c r="AI26" s="92">
        <f>'[1]December - 2022'!AR26</f>
        <v>0</v>
      </c>
      <c r="AJ26" s="287">
        <f>'[1]December - 2022'!AT26</f>
        <v>0</v>
      </c>
      <c r="AK26" s="288">
        <f>'[1]December - 2022'!AU26</f>
        <v>0</v>
      </c>
      <c r="AL26" s="92">
        <f>'[1]December - 2022'!AU26</f>
        <v>0</v>
      </c>
      <c r="AM26" s="287">
        <f>'[1]December - 2022'!AW26</f>
        <v>0</v>
      </c>
      <c r="AN26" s="288">
        <f>'[1]December - 2022'!AX26</f>
        <v>0</v>
      </c>
      <c r="AO26" s="92">
        <f>'[1]December - 2022'!AX26</f>
        <v>0</v>
      </c>
      <c r="AP26" s="287">
        <f>'[1]December - 2022'!AZ26</f>
        <v>0</v>
      </c>
      <c r="AQ26" s="288">
        <f>'[1]December - 2022'!BA26</f>
        <v>0</v>
      </c>
      <c r="AR26" s="92">
        <f>'[1]December - 2022'!BA26</f>
        <v>0</v>
      </c>
      <c r="AS26" s="287">
        <f>'[1]December - 2022'!BC26</f>
        <v>0</v>
      </c>
      <c r="AT26" s="288">
        <f>'[1]December - 2022'!BD26</f>
        <v>0</v>
      </c>
      <c r="AU26" s="92">
        <f>'[1]December - 2022'!BD26</f>
        <v>0</v>
      </c>
      <c r="AV26" s="287">
        <f>'[1]December - 2022'!BF26</f>
        <v>0</v>
      </c>
      <c r="AW26" s="252">
        <f>'[1]December - 2022'!BG26</f>
        <v>0</v>
      </c>
      <c r="AX26" s="253">
        <f>'[1]December - 2022'!BG26</f>
        <v>0</v>
      </c>
      <c r="AY26" s="494"/>
      <c r="AZ26" s="272">
        <f>'[1]December - 2022'!BM26</f>
        <v>0</v>
      </c>
      <c r="BA26" s="179">
        <f>'[1]December - 2022'!BN26</f>
        <v>0</v>
      </c>
      <c r="BB26" s="93">
        <f>'[1]December - 2022'!BN26</f>
        <v>0</v>
      </c>
      <c r="BC26" s="272">
        <f>'[1]December - 2022'!BP26</f>
        <v>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0</v>
      </c>
      <c r="BG26" s="245">
        <f>'[1]December - 2022'!BT26</f>
        <v>0</v>
      </c>
      <c r="BH26" s="93">
        <f>'[1]December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0</v>
      </c>
      <c r="BT26" s="185">
        <f>'[1]December - 2022'!BW26</f>
        <v>0</v>
      </c>
      <c r="BU26" s="590"/>
      <c r="BV26" s="88">
        <f>'[1]December - 2022'!BY26</f>
        <v>0</v>
      </c>
      <c r="BW26" s="241">
        <f>'[1]December - 2022'!BZ26</f>
        <v>0</v>
      </c>
      <c r="BX26" s="88">
        <f>'[1]December - 2022'!BZ26</f>
        <v>0</v>
      </c>
      <c r="BY26" s="89">
        <f>'[1]December - 2022'!CB26</f>
        <v>0</v>
      </c>
      <c r="BZ26" s="191">
        <f>'[1]December - 2022'!CC26</f>
        <v>0</v>
      </c>
      <c r="CA26" s="89">
        <f>'[1]December - 2022'!CD26</f>
        <v>0</v>
      </c>
      <c r="CB26" s="191">
        <f>'[1]December - 2022'!CE26</f>
        <v>0</v>
      </c>
      <c r="CC26" s="89">
        <f>'[1]December - 2022'!CF26</f>
        <v>0</v>
      </c>
      <c r="CD26" s="191">
        <f>'[1]December - 2022'!CG26</f>
        <v>0</v>
      </c>
      <c r="CE26" s="89">
        <f>'[1]December - 2022'!CH26</f>
        <v>0</v>
      </c>
      <c r="CF26" s="191">
        <f>'[1]December - 2022'!CI26</f>
        <v>0</v>
      </c>
      <c r="CG26" s="89">
        <f>'[1]December - 2022'!CJ26</f>
        <v>0</v>
      </c>
      <c r="CH26" s="191">
        <f>'[1]December - 2022'!CK26</f>
        <v>0</v>
      </c>
      <c r="CI26" s="89">
        <f>'[1]December - 2022'!CL26</f>
        <v>0</v>
      </c>
      <c r="CJ26" s="191">
        <f>'[1]December - 2022'!CM26</f>
        <v>0</v>
      </c>
      <c r="CK26" s="89">
        <f>'[1]December - 2022'!CN26</f>
        <v>0</v>
      </c>
      <c r="CL26" s="246">
        <f>'[1]December - 2022'!CO26</f>
        <v>0</v>
      </c>
      <c r="CM26" s="89">
        <f>'[1]December - 2022'!CO26</f>
        <v>0</v>
      </c>
      <c r="CN26" s="89">
        <f>'[1]December - 2022'!CQ26</f>
        <v>0</v>
      </c>
      <c r="CO26" s="246">
        <f>'[1]December - 2022'!CR26</f>
        <v>0</v>
      </c>
      <c r="CP26" s="89">
        <f>'[1]December - 2022'!CR26</f>
        <v>0</v>
      </c>
      <c r="CQ26" s="89">
        <f>'[1]December - 2022'!CT26</f>
        <v>0</v>
      </c>
      <c r="CR26" s="246">
        <f>'[1]December - 2022'!CU26</f>
        <v>0</v>
      </c>
      <c r="CS26" s="89">
        <f>'[1]December - 2022'!CU26</f>
        <v>0</v>
      </c>
      <c r="CT26" s="89">
        <f>'[1]December - 2022'!CW26</f>
        <v>0</v>
      </c>
      <c r="CU26" s="191">
        <f>'[1]December - 2022'!CX26</f>
        <v>0</v>
      </c>
      <c r="CV26" s="518"/>
      <c r="CW26" s="256">
        <f>'[1]December - 2022'!CZ26</f>
        <v>0</v>
      </c>
      <c r="CX26" s="198">
        <f>'[1]December - 2022'!DA26</f>
        <v>0</v>
      </c>
      <c r="CY26" s="257">
        <f>'[1]December - 2022'!DB26</f>
        <v>0</v>
      </c>
      <c r="CZ26" s="198">
        <f>'[1]December - 2022'!DC26</f>
        <v>0</v>
      </c>
      <c r="DA26" s="257">
        <f>'[1]December - 2022'!DD26</f>
        <v>0</v>
      </c>
      <c r="DB26" s="198">
        <f>'[1]December - 2022'!DE26</f>
        <v>0</v>
      </c>
      <c r="DC26" s="257">
        <f>'[1]December - 2022'!DF26</f>
        <v>0</v>
      </c>
      <c r="DD26" s="198">
        <f>'[1]December - 2022'!DG26</f>
        <v>0</v>
      </c>
      <c r="DE26" s="257">
        <f>'[1]December - 2022'!DH26</f>
        <v>0</v>
      </c>
      <c r="DF26" s="198">
        <f>'[1]December - 2022'!DI26</f>
        <v>0</v>
      </c>
      <c r="DG26" s="257">
        <f>'[1]December - 2022'!DJ26</f>
        <v>0</v>
      </c>
      <c r="DH26" s="198">
        <f>'[1]December - 2022'!DK26</f>
        <v>0</v>
      </c>
      <c r="DI26" s="257">
        <f>'[1]December - 2022'!DL26</f>
        <v>0</v>
      </c>
      <c r="DJ26" s="198">
        <f>'[1]December - 2022'!DM26</f>
        <v>0</v>
      </c>
      <c r="DK26" s="257">
        <f>'[1]December - 2022'!DN26</f>
        <v>0</v>
      </c>
      <c r="DL26" s="198">
        <f>'[1]December - 2022'!DO26</f>
        <v>0</v>
      </c>
      <c r="DM26" s="257">
        <f>'[1]December - 2022'!DP26</f>
        <v>0</v>
      </c>
      <c r="DN26" s="198">
        <f>'[1]December - 2022'!DQ26</f>
        <v>0</v>
      </c>
      <c r="DO26" s="257">
        <f>'[1]December - 2022'!DR26</f>
        <v>0</v>
      </c>
      <c r="DP26" s="198">
        <f>'[1]December - 2022'!DS26</f>
        <v>0</v>
      </c>
      <c r="DQ26" s="257">
        <f>'[1]December - 2022'!DT26</f>
        <v>0</v>
      </c>
      <c r="DR26" s="206">
        <f>'[1]December - 2022'!DU26</f>
        <v>0</v>
      </c>
      <c r="DS26" s="534"/>
      <c r="DT26" s="210">
        <f>'[1]December - 2022'!DW26</f>
        <v>0</v>
      </c>
      <c r="DU26" s="221">
        <f>'[1]December - 2022'!DX26</f>
        <v>0</v>
      </c>
      <c r="DV26" s="91">
        <f>'[1]December - 2022'!DY26</f>
        <v>0</v>
      </c>
      <c r="DW26" s="215">
        <f>'[1]December - 2022'!DZ26</f>
        <v>0</v>
      </c>
      <c r="DX26" s="91">
        <f>'[1]December - 2022'!EA26</f>
        <v>0</v>
      </c>
      <c r="DY26" s="215">
        <f>'[1]December - 2022'!EB26</f>
        <v>0</v>
      </c>
      <c r="DZ26" s="91">
        <f>'[1]December - 2022'!EC26</f>
        <v>0</v>
      </c>
      <c r="EA26" s="215">
        <f>'[1]December - 2022'!ED26</f>
        <v>0</v>
      </c>
      <c r="EB26" s="91">
        <f>'[1]December - 2022'!EE26</f>
        <v>0</v>
      </c>
      <c r="EC26" s="215">
        <f>'[1]December - 2022'!EF26</f>
        <v>0</v>
      </c>
      <c r="ED26" s="91">
        <f>'[1]December - 2022'!EI26</f>
        <v>0</v>
      </c>
      <c r="EE26" s="229">
        <f>'[1]December - 2022'!EJ26</f>
        <v>0</v>
      </c>
      <c r="EF26" s="581"/>
      <c r="EG26" s="235">
        <f>'[1]December - 2022'!EL26</f>
        <v>0</v>
      </c>
      <c r="EH26" s="230">
        <f>'[1]December - 2022'!EM26</f>
        <v>0</v>
      </c>
      <c r="EI26" s="90">
        <f>'[1]December - 2022'!EN26</f>
        <v>0</v>
      </c>
      <c r="EJ26" s="230">
        <f>'[1]December - 2022'!EO26</f>
        <v>0</v>
      </c>
      <c r="EK26" s="90">
        <f>'[1]December - 2022'!EP26</f>
        <v>0</v>
      </c>
      <c r="EL26" s="230">
        <f>'[1]December - 2022'!EQ26</f>
        <v>0</v>
      </c>
      <c r="EM26" s="90">
        <f>'[1]December - 2022'!ER26</f>
        <v>0</v>
      </c>
      <c r="EN26" s="230">
        <f>'[1]December - 2022'!ES26</f>
        <v>0</v>
      </c>
      <c r="EO26" s="90">
        <f>'[1]December - 2022'!ET26</f>
        <v>0</v>
      </c>
      <c r="EP26" s="230">
        <f>'[1]December - 2022'!EU26</f>
        <v>0</v>
      </c>
      <c r="EQ26" s="90">
        <f>'[1]December - 2022'!EV26</f>
        <v>0</v>
      </c>
      <c r="ER26" s="230">
        <f>'[1]December - 2022'!EW26</f>
        <v>0</v>
      </c>
      <c r="ES26" s="556"/>
      <c r="ET26" s="281">
        <f>'[1]December - 2022'!EY26</f>
        <v>0</v>
      </c>
      <c r="EU26" s="275">
        <f>'[1]December - 2022'!EZ26</f>
        <v>0</v>
      </c>
      <c r="EV26" s="282">
        <f>'[1]December - 2022'!FA26</f>
        <v>0</v>
      </c>
      <c r="EW26" s="275">
        <f>'[1]December - 2022'!FB26</f>
        <v>0</v>
      </c>
      <c r="EX26" s="282">
        <f>'[1]December - 2022'!FC26</f>
        <v>0</v>
      </c>
      <c r="EY26" s="275">
        <f>'[1]December - 2022'!FD26</f>
        <v>0</v>
      </c>
      <c r="EZ26" s="282">
        <f>'[1]December - 2022'!FE26</f>
        <v>0</v>
      </c>
      <c r="FA26" s="275">
        <f>'[1]December - 2022'!FF26</f>
        <v>0</v>
      </c>
      <c r="FB26" s="282">
        <f>'[1]December - 2022'!FG26</f>
        <v>0</v>
      </c>
      <c r="FC26" s="276">
        <f>'[1]December - 2022'!FH26</f>
        <v>0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0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0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0</v>
      </c>
      <c r="K27" s="168">
        <f>'[1]December - 2022'!N27</f>
        <v>0</v>
      </c>
      <c r="L27" s="170">
        <f>'[1]December - 2022'!O27</f>
        <v>0</v>
      </c>
      <c r="M27" s="168">
        <f>'[1]December - 2022'!Q27</f>
        <v>0</v>
      </c>
      <c r="N27" s="170">
        <f>'[1]December - 2022'!R27</f>
        <v>0</v>
      </c>
      <c r="O27" s="168">
        <f>'[1]December - 2022'!U27</f>
        <v>0</v>
      </c>
      <c r="P27" s="170">
        <f>'[1]December - 2022'!V27</f>
        <v>0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0</v>
      </c>
      <c r="T27" s="477"/>
      <c r="U27" s="169">
        <f>'[1]December - 2022'!AE27</f>
        <v>0</v>
      </c>
      <c r="V27" s="288">
        <f>'[1]December - 2022'!AF27</f>
        <v>0</v>
      </c>
      <c r="W27" s="92">
        <f>'[1]December - 2022'!AF27</f>
        <v>0</v>
      </c>
      <c r="X27" s="287">
        <f>'[1]December - 2022'!AH27</f>
        <v>0</v>
      </c>
      <c r="Y27" s="288">
        <f>'[1]December - 2022'!AI27</f>
        <v>0</v>
      </c>
      <c r="Z27" s="92">
        <f>'[1]December - 2022'!AI27</f>
        <v>0</v>
      </c>
      <c r="AA27" s="287">
        <f>'[1]December - 2022'!AK27</f>
        <v>0</v>
      </c>
      <c r="AB27" s="288">
        <f>'[1]December - 2022'!AL27</f>
        <v>0</v>
      </c>
      <c r="AC27" s="92">
        <f>'[1]December - 2022'!AL27</f>
        <v>0</v>
      </c>
      <c r="AD27" s="287">
        <f>'[1]December - 2022'!AN27</f>
        <v>0</v>
      </c>
      <c r="AE27" s="288">
        <f>'[1]December - 2022'!AO27</f>
        <v>0</v>
      </c>
      <c r="AF27" s="92">
        <f>'[1]December - 2022'!AO27</f>
        <v>0</v>
      </c>
      <c r="AG27" s="287">
        <f>'[1]December - 2022'!AQ27</f>
        <v>0</v>
      </c>
      <c r="AH27" s="288">
        <f>'[1]December - 2022'!AR27</f>
        <v>0</v>
      </c>
      <c r="AI27" s="92">
        <f>'[1]December - 2022'!AR27</f>
        <v>0</v>
      </c>
      <c r="AJ27" s="287">
        <f>'[1]December - 2022'!AT27</f>
        <v>0</v>
      </c>
      <c r="AK27" s="288">
        <f>'[1]December - 2022'!AU27</f>
        <v>0</v>
      </c>
      <c r="AL27" s="92">
        <f>'[1]December - 2022'!AU27</f>
        <v>0</v>
      </c>
      <c r="AM27" s="287">
        <f>'[1]December - 2022'!AW27</f>
        <v>0</v>
      </c>
      <c r="AN27" s="288">
        <f>'[1]December - 2022'!AX27</f>
        <v>0</v>
      </c>
      <c r="AO27" s="92">
        <f>'[1]December - 2022'!AX27</f>
        <v>0</v>
      </c>
      <c r="AP27" s="287">
        <f>'[1]December - 2022'!AZ27</f>
        <v>0</v>
      </c>
      <c r="AQ27" s="288">
        <f>'[1]December - 2022'!BA27</f>
        <v>0</v>
      </c>
      <c r="AR27" s="92">
        <f>'[1]December - 2022'!BA27</f>
        <v>0</v>
      </c>
      <c r="AS27" s="287">
        <f>'[1]December - 2022'!BC27</f>
        <v>0</v>
      </c>
      <c r="AT27" s="288">
        <f>'[1]December - 2022'!BD27</f>
        <v>0</v>
      </c>
      <c r="AU27" s="92">
        <f>'[1]December - 2022'!BD27</f>
        <v>0</v>
      </c>
      <c r="AV27" s="287">
        <f>'[1]December - 2022'!BF27</f>
        <v>0</v>
      </c>
      <c r="AW27" s="252">
        <f>'[1]December - 2022'!BG27</f>
        <v>0</v>
      </c>
      <c r="AX27" s="253">
        <f>'[1]December - 2022'!BG27</f>
        <v>0</v>
      </c>
      <c r="AY27" s="494"/>
      <c r="AZ27" s="272">
        <f>'[1]December - 2022'!BM27</f>
        <v>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0</v>
      </c>
      <c r="BG27" s="245">
        <f>'[1]December - 2022'!BT27</f>
        <v>0</v>
      </c>
      <c r="BH27" s="93">
        <f>'[1]December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0</v>
      </c>
      <c r="BU27" s="590"/>
      <c r="BV27" s="88">
        <f>'[1]December - 2022'!BY27</f>
        <v>0</v>
      </c>
      <c r="BW27" s="241">
        <f>'[1]December - 2022'!BZ27</f>
        <v>0</v>
      </c>
      <c r="BX27" s="88">
        <f>'[1]December - 2022'!BZ27</f>
        <v>0</v>
      </c>
      <c r="BY27" s="89">
        <f>'[1]December - 2022'!CB27</f>
        <v>0</v>
      </c>
      <c r="BZ27" s="191">
        <f>'[1]December - 2022'!CC27</f>
        <v>0</v>
      </c>
      <c r="CA27" s="89">
        <f>'[1]December - 2022'!CD27</f>
        <v>0</v>
      </c>
      <c r="CB27" s="191">
        <f>'[1]December - 2022'!CE27</f>
        <v>0</v>
      </c>
      <c r="CC27" s="89">
        <f>'[1]December - 2022'!CF27</f>
        <v>0</v>
      </c>
      <c r="CD27" s="191">
        <f>'[1]December - 2022'!CG27</f>
        <v>0</v>
      </c>
      <c r="CE27" s="89">
        <f>'[1]December - 2022'!CH27</f>
        <v>0</v>
      </c>
      <c r="CF27" s="191">
        <f>'[1]December - 2022'!CI27</f>
        <v>0</v>
      </c>
      <c r="CG27" s="89">
        <f>'[1]December - 2022'!CJ27</f>
        <v>0</v>
      </c>
      <c r="CH27" s="191">
        <f>'[1]December - 2022'!CK27</f>
        <v>0</v>
      </c>
      <c r="CI27" s="89">
        <f>'[1]December - 2022'!CL27</f>
        <v>0</v>
      </c>
      <c r="CJ27" s="191">
        <f>'[1]December - 2022'!CM27</f>
        <v>0</v>
      </c>
      <c r="CK27" s="89">
        <f>'[1]December - 2022'!CN27</f>
        <v>0</v>
      </c>
      <c r="CL27" s="246">
        <f>'[1]December - 2022'!CO27</f>
        <v>0</v>
      </c>
      <c r="CM27" s="89">
        <f>'[1]December - 2022'!CO27</f>
        <v>0</v>
      </c>
      <c r="CN27" s="89">
        <f>'[1]December - 2022'!CQ27</f>
        <v>0</v>
      </c>
      <c r="CO27" s="246">
        <f>'[1]December - 2022'!CR27</f>
        <v>0</v>
      </c>
      <c r="CP27" s="89">
        <f>'[1]December - 2022'!CR27</f>
        <v>0</v>
      </c>
      <c r="CQ27" s="89">
        <f>'[1]December - 2022'!CT27</f>
        <v>0</v>
      </c>
      <c r="CR27" s="246">
        <f>'[1]December - 2022'!CU27</f>
        <v>0</v>
      </c>
      <c r="CS27" s="89">
        <f>'[1]December - 2022'!CU27</f>
        <v>0</v>
      </c>
      <c r="CT27" s="89">
        <f>'[1]December - 2022'!CW27</f>
        <v>0</v>
      </c>
      <c r="CU27" s="191">
        <f>'[1]December - 2022'!CX27</f>
        <v>0</v>
      </c>
      <c r="CV27" s="518"/>
      <c r="CW27" s="256">
        <f>'[1]December - 2022'!CZ27</f>
        <v>0</v>
      </c>
      <c r="CX27" s="198">
        <f>'[1]December - 2022'!DA27</f>
        <v>0</v>
      </c>
      <c r="CY27" s="257">
        <f>'[1]December - 2022'!DB27</f>
        <v>0</v>
      </c>
      <c r="CZ27" s="198">
        <f>'[1]December - 2022'!DC27</f>
        <v>0</v>
      </c>
      <c r="DA27" s="257">
        <f>'[1]December - 2022'!DD27</f>
        <v>0</v>
      </c>
      <c r="DB27" s="198">
        <f>'[1]December - 2022'!DE27</f>
        <v>0</v>
      </c>
      <c r="DC27" s="257">
        <f>'[1]December - 2022'!DF27</f>
        <v>0</v>
      </c>
      <c r="DD27" s="198">
        <f>'[1]December - 2022'!DG27</f>
        <v>0</v>
      </c>
      <c r="DE27" s="257">
        <f>'[1]December - 2022'!DH27</f>
        <v>0</v>
      </c>
      <c r="DF27" s="198">
        <f>'[1]December - 2022'!DI27</f>
        <v>0</v>
      </c>
      <c r="DG27" s="257">
        <f>'[1]December - 2022'!DJ27</f>
        <v>0</v>
      </c>
      <c r="DH27" s="198">
        <f>'[1]December - 2022'!DK27</f>
        <v>0</v>
      </c>
      <c r="DI27" s="257">
        <f>'[1]December - 2022'!DL27</f>
        <v>0</v>
      </c>
      <c r="DJ27" s="198">
        <f>'[1]December - 2022'!DM27</f>
        <v>0</v>
      </c>
      <c r="DK27" s="257">
        <f>'[1]December - 2022'!DN27</f>
        <v>0</v>
      </c>
      <c r="DL27" s="198">
        <f>'[1]December - 2022'!DO27</f>
        <v>0</v>
      </c>
      <c r="DM27" s="257">
        <f>'[1]December - 2022'!DP27</f>
        <v>0</v>
      </c>
      <c r="DN27" s="198">
        <f>'[1]December - 2022'!DQ27</f>
        <v>0</v>
      </c>
      <c r="DO27" s="257">
        <f>'[1]December - 2022'!DR27</f>
        <v>0</v>
      </c>
      <c r="DP27" s="198">
        <f>'[1]December - 2022'!DS27</f>
        <v>0</v>
      </c>
      <c r="DQ27" s="257">
        <f>'[1]December - 2022'!DT27</f>
        <v>0</v>
      </c>
      <c r="DR27" s="206">
        <f>'[1]December - 2022'!DU27</f>
        <v>0</v>
      </c>
      <c r="DS27" s="534"/>
      <c r="DT27" s="210">
        <f>'[1]December - 2022'!DW27</f>
        <v>0</v>
      </c>
      <c r="DU27" s="221">
        <f>'[1]December - 2022'!DX27</f>
        <v>0</v>
      </c>
      <c r="DV27" s="91">
        <f>'[1]December - 2022'!DY27</f>
        <v>0</v>
      </c>
      <c r="DW27" s="215">
        <f>'[1]December - 2022'!DZ27</f>
        <v>0</v>
      </c>
      <c r="DX27" s="91">
        <f>'[1]December - 2022'!EA27</f>
        <v>0</v>
      </c>
      <c r="DY27" s="215">
        <f>'[1]December - 2022'!EB27</f>
        <v>0</v>
      </c>
      <c r="DZ27" s="91">
        <f>'[1]December - 2022'!EC27</f>
        <v>0</v>
      </c>
      <c r="EA27" s="215">
        <f>'[1]December - 2022'!ED27</f>
        <v>0</v>
      </c>
      <c r="EB27" s="91">
        <f>'[1]December - 2022'!EE27</f>
        <v>0</v>
      </c>
      <c r="EC27" s="215">
        <f>'[1]December - 2022'!EF27</f>
        <v>0</v>
      </c>
      <c r="ED27" s="91">
        <f>'[1]December - 2022'!EI27</f>
        <v>0</v>
      </c>
      <c r="EE27" s="229">
        <f>'[1]December - 2022'!EJ27</f>
        <v>0</v>
      </c>
      <c r="EF27" s="581"/>
      <c r="EG27" s="235">
        <f>'[1]December - 2022'!EL27</f>
        <v>0</v>
      </c>
      <c r="EH27" s="230">
        <f>'[1]December - 2022'!EM27</f>
        <v>0</v>
      </c>
      <c r="EI27" s="90">
        <f>'[1]December - 2022'!EN27</f>
        <v>0</v>
      </c>
      <c r="EJ27" s="230">
        <f>'[1]December - 2022'!EO27</f>
        <v>0</v>
      </c>
      <c r="EK27" s="90">
        <f>'[1]December - 2022'!EP27</f>
        <v>0</v>
      </c>
      <c r="EL27" s="230">
        <f>'[1]December - 2022'!EQ27</f>
        <v>0</v>
      </c>
      <c r="EM27" s="90">
        <f>'[1]December - 2022'!ER27</f>
        <v>0</v>
      </c>
      <c r="EN27" s="230">
        <f>'[1]December - 2022'!ES27</f>
        <v>0</v>
      </c>
      <c r="EO27" s="90">
        <f>'[1]December - 2022'!ET27</f>
        <v>0</v>
      </c>
      <c r="EP27" s="230">
        <f>'[1]December - 2022'!EU27</f>
        <v>0</v>
      </c>
      <c r="EQ27" s="90">
        <f>'[1]December - 2022'!EV27</f>
        <v>0</v>
      </c>
      <c r="ER27" s="230">
        <f>'[1]December - 2022'!EW27</f>
        <v>0</v>
      </c>
      <c r="ES27" s="556"/>
      <c r="ET27" s="281">
        <f>'[1]December - 2022'!EY27</f>
        <v>0</v>
      </c>
      <c r="EU27" s="275">
        <f>'[1]December - 2022'!EZ27</f>
        <v>0</v>
      </c>
      <c r="EV27" s="282">
        <f>'[1]December - 2022'!FA27</f>
        <v>0</v>
      </c>
      <c r="EW27" s="275">
        <f>'[1]December - 2022'!FB27</f>
        <v>0</v>
      </c>
      <c r="EX27" s="282">
        <f>'[1]December - 2022'!FC27</f>
        <v>0</v>
      </c>
      <c r="EY27" s="275">
        <f>'[1]December - 2022'!FD27</f>
        <v>0</v>
      </c>
      <c r="EZ27" s="282">
        <f>'[1]December - 2022'!FE27</f>
        <v>0</v>
      </c>
      <c r="FA27" s="275">
        <f>'[1]December - 2022'!FF27</f>
        <v>0</v>
      </c>
      <c r="FB27" s="282">
        <f>'[1]December - 2022'!FG27</f>
        <v>0</v>
      </c>
      <c r="FC27" s="276">
        <f>'[1]December - 2022'!FH27</f>
        <v>0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477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94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590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518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534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581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55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477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94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590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518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534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581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55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477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94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590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518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534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581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55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477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94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590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518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534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581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55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477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94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590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518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534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581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55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477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94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590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518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534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581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55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477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94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590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518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534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581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55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477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94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590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518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534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581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55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477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94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590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518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534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581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55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477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94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590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518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534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581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55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477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94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590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518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534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581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55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477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94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591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518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534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581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55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518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534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581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557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10438</v>
      </c>
      <c r="D44" s="435"/>
      <c r="E44" s="436"/>
      <c r="F44" s="437">
        <f>SUM(H9:H24)</f>
        <v>6583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1333.0399999999936</v>
      </c>
      <c r="P44" s="438"/>
      <c r="Q44" s="439"/>
      <c r="R44" s="443"/>
      <c r="S44" s="444"/>
      <c r="T44" s="412"/>
      <c r="U44" s="381">
        <f>SUM(W9:W24)</f>
        <v>-8125472.8800000008</v>
      </c>
      <c r="V44" s="382"/>
      <c r="W44" s="383"/>
      <c r="X44" s="381">
        <f>SUM(Z9:Z24)</f>
        <v>-15438880.799999999</v>
      </c>
      <c r="Y44" s="382"/>
      <c r="Z44" s="383"/>
      <c r="AA44" s="381">
        <f>SUM(AC9:AC24)</f>
        <v>-15753173.52</v>
      </c>
      <c r="AB44" s="382"/>
      <c r="AC44" s="383"/>
      <c r="AD44" s="381">
        <f>SUM(AF9:AF24)</f>
        <v>-18820730.879999999</v>
      </c>
      <c r="AE44" s="382"/>
      <c r="AF44" s="383"/>
      <c r="AG44" s="381">
        <f>SUM(AI9:AI24)</f>
        <v>-19140870</v>
      </c>
      <c r="AH44" s="382"/>
      <c r="AI44" s="383"/>
      <c r="AJ44" s="381">
        <f>SUM(AL9:AL24)</f>
        <v>-17520394.080000002</v>
      </c>
      <c r="AK44" s="382"/>
      <c r="AL44" s="383"/>
      <c r="AM44" s="381">
        <f>SUM(AO9:AO24)</f>
        <v>-14752513.439999999</v>
      </c>
      <c r="AN44" s="382"/>
      <c r="AO44" s="383"/>
      <c r="AP44" s="381">
        <f>SUM(AR9:AR24)</f>
        <v>-14272426.559999999</v>
      </c>
      <c r="AQ44" s="382"/>
      <c r="AR44" s="383"/>
      <c r="AS44" s="381">
        <f>SUM(AU9:AU24)</f>
        <v>-11154687.6</v>
      </c>
      <c r="AT44" s="382"/>
      <c r="AU44" s="383"/>
      <c r="AV44" s="381">
        <f>SUM(AX9:AX24)</f>
        <v>-17655543.359999999</v>
      </c>
      <c r="AW44" s="382"/>
      <c r="AX44" s="382"/>
      <c r="AY44" s="387"/>
      <c r="AZ44" s="382">
        <f>SUM(BB9:BB24)</f>
        <v>-77840000</v>
      </c>
      <c r="BA44" s="382"/>
      <c r="BB44" s="382"/>
      <c r="BC44" s="381">
        <f>SUM(BE9:BE24)</f>
        <v>-80452400</v>
      </c>
      <c r="BD44" s="382"/>
      <c r="BE44" s="382"/>
      <c r="BF44" s="377">
        <f>SUM(BH9:BH24)</f>
        <v>-74637500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-267458</v>
      </c>
      <c r="CL44" s="377"/>
      <c r="CM44" s="377"/>
      <c r="CN44" s="377">
        <f>SUM(CP9:CP24)</f>
        <v>-214182</v>
      </c>
      <c r="CO44" s="377"/>
      <c r="CP44" s="377"/>
      <c r="CQ44" s="377">
        <f>SUM(CS9:CS24)</f>
        <v>-353835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-204542</v>
      </c>
      <c r="D45" s="595"/>
      <c r="E45" s="596"/>
      <c r="F45" s="595">
        <f>SUM(G9:G24)</f>
        <v>-237720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-115205</v>
      </c>
      <c r="P45" s="595"/>
      <c r="Q45" s="596"/>
      <c r="R45" s="598"/>
      <c r="S45" s="599"/>
      <c r="T45" s="413"/>
      <c r="U45" s="366">
        <f>SUM(V9:V24)</f>
        <v>-8125472.8800000008</v>
      </c>
      <c r="V45" s="366"/>
      <c r="W45" s="367"/>
      <c r="X45" s="366">
        <f>SUM(Y9:Y24)</f>
        <v>-15438880.799999999</v>
      </c>
      <c r="Y45" s="366"/>
      <c r="Z45" s="367"/>
      <c r="AA45" s="366">
        <f>SUM(AB9:AB24)</f>
        <v>-15753173.52</v>
      </c>
      <c r="AB45" s="366"/>
      <c r="AC45" s="367"/>
      <c r="AD45" s="366">
        <f>SUM(AE9:AE24)</f>
        <v>-18820730.879999999</v>
      </c>
      <c r="AE45" s="366"/>
      <c r="AF45" s="367"/>
      <c r="AG45" s="366">
        <f>SUM(AH9:AH24)</f>
        <v>-19140870</v>
      </c>
      <c r="AH45" s="366"/>
      <c r="AI45" s="367"/>
      <c r="AJ45" s="366">
        <f>SUM(AK9:AK24)</f>
        <v>-17520394.080000002</v>
      </c>
      <c r="AK45" s="366"/>
      <c r="AL45" s="367"/>
      <c r="AM45" s="366">
        <f>SUM(AN9:AN24)</f>
        <v>-14752513.439999999</v>
      </c>
      <c r="AN45" s="366"/>
      <c r="AO45" s="367"/>
      <c r="AP45" s="366">
        <f>SUM(AQ9:AQ24)</f>
        <v>-14272426.559999999</v>
      </c>
      <c r="AQ45" s="366"/>
      <c r="AR45" s="367"/>
      <c r="AS45" s="366">
        <f>SUM(AT9:AT24)</f>
        <v>-11154687.6</v>
      </c>
      <c r="AT45" s="366"/>
      <c r="AU45" s="367"/>
      <c r="AV45" s="366">
        <f>SUM(AW9:AW24)</f>
        <v>-17655543.359999999</v>
      </c>
      <c r="AW45" s="366"/>
      <c r="AX45" s="366"/>
      <c r="AY45" s="387"/>
      <c r="AZ45" s="367">
        <f>SUM(BA9:BA24)</f>
        <v>-77840000</v>
      </c>
      <c r="BA45" s="377"/>
      <c r="BB45" s="377"/>
      <c r="BC45" s="377">
        <f>SUM(BD9:BD24)</f>
        <v>-80452400</v>
      </c>
      <c r="BD45" s="377"/>
      <c r="BE45" s="377"/>
      <c r="BF45" s="377">
        <f>SUM(BG9:BG24)</f>
        <v>-74637500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-267458</v>
      </c>
      <c r="CL45" s="377"/>
      <c r="CM45" s="377"/>
      <c r="CN45" s="377">
        <f>SUM(CO9:CO24)</f>
        <v>-214182</v>
      </c>
      <c r="CO45" s="377"/>
      <c r="CP45" s="377"/>
      <c r="CQ45" s="377">
        <f>SUM(CR9:CR24)</f>
        <v>-353835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21843</v>
      </c>
      <c r="D47" s="363"/>
      <c r="E47" s="364"/>
      <c r="F47" s="362">
        <f>SUM(H9:H39)</f>
        <v>13803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2668.2599999999948</v>
      </c>
      <c r="P47" s="368"/>
      <c r="Q47" s="368"/>
      <c r="R47" s="362">
        <v>476</v>
      </c>
      <c r="S47" s="363"/>
      <c r="T47" s="369"/>
      <c r="U47" s="365">
        <f>SUM(W9:W39)</f>
        <v>-8125472.8800000008</v>
      </c>
      <c r="V47" s="366"/>
      <c r="W47" s="367"/>
      <c r="X47" s="365">
        <f>SUM(Z9:Z39)</f>
        <v>-15438880.799999999</v>
      </c>
      <c r="Y47" s="366"/>
      <c r="Z47" s="367"/>
      <c r="AA47" s="365">
        <f>SUM(AC9:AC39)</f>
        <v>-15753173.52</v>
      </c>
      <c r="AB47" s="366"/>
      <c r="AC47" s="367"/>
      <c r="AD47" s="365">
        <f>SUM(AF9:AF39)</f>
        <v>-18820730.879999999</v>
      </c>
      <c r="AE47" s="366"/>
      <c r="AF47" s="367"/>
      <c r="AG47" s="365">
        <f>SUM(AI9:AI39)</f>
        <v>-19140870</v>
      </c>
      <c r="AH47" s="366"/>
      <c r="AI47" s="367"/>
      <c r="AJ47" s="365">
        <f>SUM(AL9:AL39)</f>
        <v>-17520394.080000002</v>
      </c>
      <c r="AK47" s="366"/>
      <c r="AL47" s="367"/>
      <c r="AM47" s="365">
        <f>SUM(AO9:AO39)</f>
        <v>-14752513.439999999</v>
      </c>
      <c r="AN47" s="366"/>
      <c r="AO47" s="367"/>
      <c r="AP47" s="365">
        <f>SUM(AR9:AR39)</f>
        <v>-14272426.559999999</v>
      </c>
      <c r="AQ47" s="366"/>
      <c r="AR47" s="367"/>
      <c r="AS47" s="365">
        <f>SUM(AU9:AU39)</f>
        <v>-11154687.6</v>
      </c>
      <c r="AT47" s="366"/>
      <c r="AU47" s="367"/>
      <c r="AV47" s="365">
        <f>SUM(AX9:AX39)</f>
        <v>-17655543.359999999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-267458</v>
      </c>
      <c r="CL47" s="366"/>
      <c r="CM47" s="367"/>
      <c r="CN47" s="365">
        <f>SUM(CP9:CP39)</f>
        <v>-214182</v>
      </c>
      <c r="CO47" s="366"/>
      <c r="CP47" s="367"/>
      <c r="CQ47" s="365">
        <f>SUM(CS9:CS39)</f>
        <v>-353835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-205274</v>
      </c>
      <c r="D48" s="363"/>
      <c r="E48" s="364"/>
      <c r="F48" s="362">
        <f>SUM(G9:G39)</f>
        <v>-237720</v>
      </c>
      <c r="G48" s="363"/>
      <c r="H48" s="364"/>
      <c r="I48" s="362">
        <f>SUM(J10:J39)</f>
        <v>-6008</v>
      </c>
      <c r="J48" s="364"/>
      <c r="K48" s="362">
        <f>SUM(L9:L39)</f>
        <v>-918944</v>
      </c>
      <c r="L48" s="364"/>
      <c r="M48" s="362"/>
      <c r="N48" s="364"/>
      <c r="O48" s="362">
        <f>SUM(P9:P39)</f>
        <v>-115205</v>
      </c>
      <c r="P48" s="363"/>
      <c r="Q48" s="364"/>
      <c r="R48" s="362">
        <f>SUM(S9:S39)</f>
        <v>-6237</v>
      </c>
      <c r="S48" s="363"/>
      <c r="T48" s="369"/>
      <c r="U48" s="370">
        <f>SUM(V9:V39)</f>
        <v>-8125472.8800000008</v>
      </c>
      <c r="V48" s="371"/>
      <c r="W48" s="372"/>
      <c r="X48" s="370">
        <f>SUM(Y9:Y39)</f>
        <v>-15438880.799999999</v>
      </c>
      <c r="Y48" s="371"/>
      <c r="Z48" s="372"/>
      <c r="AA48" s="359">
        <f>SUM(AB9:AB39)</f>
        <v>-15753173.52</v>
      </c>
      <c r="AB48" s="360"/>
      <c r="AC48" s="361"/>
      <c r="AD48" s="359">
        <f>SUM(AE9:AE39)</f>
        <v>-18820730.879999999</v>
      </c>
      <c r="AE48" s="360"/>
      <c r="AF48" s="361"/>
      <c r="AG48" s="359">
        <f>SUM(AH9:AH39)</f>
        <v>-19140870</v>
      </c>
      <c r="AH48" s="360"/>
      <c r="AI48" s="361"/>
      <c r="AJ48" s="359">
        <f>SUM(AK9:AK39)</f>
        <v>-17520394.080000002</v>
      </c>
      <c r="AK48" s="360"/>
      <c r="AL48" s="361"/>
      <c r="AM48" s="359">
        <f>SUM(AN9:AN39)</f>
        <v>-14752513.439999999</v>
      </c>
      <c r="AN48" s="360"/>
      <c r="AO48" s="361"/>
      <c r="AP48" s="359">
        <f>SUM(AQ9:AQ39)</f>
        <v>-14272426.559999999</v>
      </c>
      <c r="AQ48" s="360"/>
      <c r="AR48" s="361"/>
      <c r="AS48" s="359">
        <f>SUM(AT9:AT39)</f>
        <v>-11154687.6</v>
      </c>
      <c r="AT48" s="360"/>
      <c r="AU48" s="361"/>
      <c r="AV48" s="359">
        <f>SUM(AW9:AW39)</f>
        <v>-17655543.359999999</v>
      </c>
      <c r="AW48" s="360"/>
      <c r="AX48" s="360"/>
      <c r="AY48" s="387"/>
      <c r="AZ48" s="350">
        <f>SUM(BA9:BA40)</f>
        <v>-77840000</v>
      </c>
      <c r="BA48" s="350"/>
      <c r="BB48" s="351"/>
      <c r="BC48" s="350">
        <f t="shared" ref="BC48" si="0">SUM(BD9:BD40)</f>
        <v>-80452400</v>
      </c>
      <c r="BD48" s="350"/>
      <c r="BE48" s="351"/>
      <c r="BF48" s="350">
        <f t="shared" ref="BF48" si="1">SUM(BG9:BG40)</f>
        <v>-74637500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-10171610</v>
      </c>
      <c r="BT48" s="602"/>
      <c r="BU48" s="394"/>
      <c r="BV48" s="606"/>
      <c r="BW48" s="607"/>
      <c r="BX48" s="117"/>
      <c r="BY48" s="347">
        <f>SUM(BZ9:BZ39)</f>
        <v>-64169</v>
      </c>
      <c r="BZ48" s="348"/>
      <c r="CA48" s="347">
        <f>SUM(CB9:CB39)</f>
        <v>-55264</v>
      </c>
      <c r="CB48" s="348"/>
      <c r="CC48" s="347">
        <f>SUM(CD9:CD39)</f>
        <v>-18695</v>
      </c>
      <c r="CD48" s="348"/>
      <c r="CE48" s="347">
        <f>SUM(CF9:CF39)</f>
        <v>-25508</v>
      </c>
      <c r="CF48" s="348"/>
      <c r="CG48" s="347">
        <f>SUM(CH9:CH39)</f>
        <v>-28364</v>
      </c>
      <c r="CH48" s="348"/>
      <c r="CI48" s="347">
        <f>SUM(CJ9:CJ39)</f>
        <v>-62228</v>
      </c>
      <c r="CJ48" s="348"/>
      <c r="CK48" s="347">
        <f>SUM(CL9:CL39)</f>
        <v>-267458</v>
      </c>
      <c r="CL48" s="349"/>
      <c r="CM48" s="348"/>
      <c r="CN48" s="347">
        <f>SUM(CO9:CO39)</f>
        <v>-214182</v>
      </c>
      <c r="CO48" s="349"/>
      <c r="CP48" s="348"/>
      <c r="CQ48" s="347">
        <f>SUM(CR9:CR39)</f>
        <v>-353835</v>
      </c>
      <c r="CR48" s="349"/>
      <c r="CS48" s="348"/>
      <c r="CT48" s="347">
        <f>SUM(CU9:CU39)</f>
        <v>-693437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227117</v>
      </c>
      <c r="D49" s="343"/>
      <c r="E49" s="358"/>
      <c r="F49" s="342">
        <f>F47-F48</f>
        <v>251523</v>
      </c>
      <c r="G49" s="343"/>
      <c r="H49" s="358"/>
      <c r="I49" s="342">
        <f>I47-I48</f>
        <v>13056.9</v>
      </c>
      <c r="J49" s="358"/>
      <c r="K49" s="342">
        <f>K47-K48</f>
        <v>926646.2</v>
      </c>
      <c r="L49" s="358"/>
      <c r="M49" s="342"/>
      <c r="N49" s="358"/>
      <c r="O49" s="373">
        <f>O47-O48</f>
        <v>117873.26</v>
      </c>
      <c r="P49" s="373"/>
      <c r="Q49" s="373"/>
      <c r="R49" s="342">
        <f>R47-R48</f>
        <v>6713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-78187300</v>
      </c>
      <c r="BA49" s="350"/>
      <c r="BB49" s="351"/>
      <c r="BC49" s="350">
        <f t="shared" ref="BC49" si="2">BC48-BC47</f>
        <v>-80813500</v>
      </c>
      <c r="BD49" s="350"/>
      <c r="BE49" s="351"/>
      <c r="BF49" s="350">
        <f t="shared" ref="BF49" si="3">BF48-BF47</f>
        <v>-75196342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697331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-152634693.12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-152634693.12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-152634693.12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-152634693.12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-232929900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2022-12-13T12:53:30Z</dcterms:modified>
</cp:coreProperties>
</file>