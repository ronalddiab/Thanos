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1" i="7" l="1"/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P16" i="9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AM22" i="7" s="1"/>
  <c r="L17" i="9"/>
  <c r="AK20" i="7"/>
  <c r="R28" i="9"/>
  <c r="G28" i="5" s="1"/>
  <c r="F20" i="9"/>
  <c r="N23" i="9"/>
  <c r="N28" i="9"/>
  <c r="T20" i="7"/>
  <c r="T21" i="7"/>
  <c r="AI21" i="7" s="1"/>
  <c r="F22" i="9"/>
  <c r="F25" i="9"/>
  <c r="AN20" i="7"/>
  <c r="AG19" i="7"/>
  <c r="I27" i="9"/>
  <c r="Q30" i="9"/>
  <c r="AJ35" i="7"/>
  <c r="AO31" i="7"/>
  <c r="AI31" i="7"/>
  <c r="M23" i="9"/>
  <c r="K26" i="9"/>
  <c r="AJ30" i="7"/>
  <c r="AN27" i="7"/>
  <c r="AM7" i="7"/>
  <c r="R22" i="9"/>
  <c r="G22" i="5" s="1"/>
  <c r="R29" i="9"/>
  <c r="G29" i="5" s="1"/>
  <c r="L29" i="9"/>
  <c r="AL19" i="7"/>
  <c r="F19" i="9"/>
  <c r="AN36" i="7"/>
  <c r="F31" i="9"/>
  <c r="I29" i="9"/>
  <c r="AO29" i="7"/>
  <c r="AP10" i="7"/>
  <c r="N12" i="9"/>
  <c r="R10" i="9"/>
  <c r="G10" i="5" s="1"/>
  <c r="AW15" i="7"/>
  <c r="J22" i="9"/>
  <c r="AP13" i="7"/>
  <c r="AN11" i="7"/>
  <c r="AP35" i="7"/>
  <c r="AO19" i="7"/>
  <c r="K14" i="9"/>
  <c r="R17" i="9"/>
  <c r="G17" i="5" s="1"/>
  <c r="AP24" i="7"/>
  <c r="AK24" i="7"/>
  <c r="G19" i="9"/>
  <c r="Q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P23" i="9"/>
  <c r="AI35" i="7"/>
  <c r="P25" i="9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AW25" i="7" l="1"/>
  <c r="P21" i="9"/>
  <c r="AN25" i="7"/>
  <c r="Q20" i="9"/>
  <c r="AO24" i="7"/>
  <c r="K20" i="9"/>
  <c r="R19" i="9"/>
  <c r="G19" i="5" s="1"/>
  <c r="Q19" i="9"/>
  <c r="P17" i="9"/>
  <c r="AN23" i="7"/>
  <c r="H18" i="9"/>
  <c r="AH22" i="7"/>
  <c r="AR22" i="7"/>
  <c r="AQ21" i="7"/>
  <c r="AN21" i="7"/>
  <c r="AN22" i="7"/>
  <c r="I17" i="9"/>
  <c r="AH21" i="7"/>
  <c r="F17" i="9"/>
  <c r="N15" i="9"/>
  <c r="AL21" i="7"/>
  <c r="AR20" i="7"/>
  <c r="I15" i="9"/>
  <c r="F15" i="9"/>
  <c r="AK19" i="7"/>
  <c r="J13" i="9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S26" i="7" s="1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22" i="7" l="1"/>
  <c r="AS21" i="7"/>
  <c r="E14" i="5"/>
  <c r="AS14" i="7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<sst xmlns="http://schemas.openxmlformats.org/spreadsheetml/2006/main" count="127" uniqueCount="49">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</sst>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75780</v>
      </c>
      <c r="F13" s="11">
        <v>5.0000000000000001E-3</v>
      </c>
      <c r="G13" s="12">
        <f>Submetering!R13</f>
        <v>656.39009399999998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70590</v>
      </c>
      <c r="F14" s="11">
        <v>5.0000000000000001E-3</v>
      </c>
      <c r="G14" s="12">
        <f>Submetering!R14</f>
        <v>855.12411899999984</v>
      </c>
      <c r="H14" s="11">
        <v>0.52800000000000002</v>
      </c>
      <c r="I14" s="12">
        <f>Hotel!B19</f>
        <v>177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68260</v>
      </c>
      <c r="F15" s="11">
        <v>5.0000000000000001E-3</v>
      </c>
      <c r="G15" s="12">
        <f>Submetering!R15</f>
        <v>873.29408699999999</v>
      </c>
      <c r="H15" s="11">
        <v>0.52800000000000002</v>
      </c>
      <c r="I15" s="12">
        <f>Hotel!B20</f>
        <v>258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62450</v>
      </c>
      <c r="F16" s="11">
        <v>5.0000000000000001E-3</v>
      </c>
      <c r="G16" s="12">
        <f>Submetering!R16</f>
        <v>593.17374699999993</v>
      </c>
      <c r="H16" s="11">
        <v>0.52800000000000002</v>
      </c>
      <c r="I16" s="12">
        <f>Hotel!B21</f>
        <v>140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64110</v>
      </c>
      <c r="F17" s="11">
        <v>5.0000000000000001E-3</v>
      </c>
      <c r="G17" s="12">
        <f>Submetering!R17</f>
        <v>745.72577000000001</v>
      </c>
      <c r="H17" s="11">
        <v>0.52800000000000002</v>
      </c>
      <c r="I17" s="12">
        <f>Hotel!B22</f>
        <v>138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61810</v>
      </c>
      <c r="F18" s="11">
        <v>5.0000000000000001E-3</v>
      </c>
      <c r="G18" s="12">
        <f>Submetering!R18</f>
        <v>745.34722899999997</v>
      </c>
      <c r="H18" s="11">
        <v>0.52800000000000002</v>
      </c>
      <c r="I18" s="12">
        <f>Hotel!B23</f>
        <v>144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60430</v>
      </c>
      <c r="F19" s="11">
        <v>5.0000000000000001E-3</v>
      </c>
      <c r="G19" s="12">
        <f>Submetering!R19</f>
        <v>616.26474799999994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58980</v>
      </c>
      <c r="F20" s="11">
        <v>5.0000000000000001E-3</v>
      </c>
      <c r="G20" s="12">
        <f>Submetering!R20</f>
        <v>556.45527000000004</v>
      </c>
      <c r="H20" s="11">
        <v>0.52800000000000002</v>
      </c>
      <c r="I20" s="12">
        <f>Hotel!B25</f>
        <v>173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8910</v>
      </c>
      <c r="F13" s="4">
        <f>Hotel!R18</f>
        <v>11140</v>
      </c>
      <c r="G13" s="4">
        <f>Hotel!S18</f>
        <v>100</v>
      </c>
      <c r="H13" s="4">
        <f>Hotel!T18</f>
        <v>1550</v>
      </c>
      <c r="I13" s="4">
        <f>Hotel!U18</f>
        <v>5730</v>
      </c>
      <c r="J13" s="4">
        <f>Hotel!V18</f>
        <v>4720</v>
      </c>
      <c r="K13" s="4">
        <f>Hotel!W18</f>
        <v>3590</v>
      </c>
      <c r="L13" s="4">
        <f>Hotel!X18</f>
        <v>4900</v>
      </c>
      <c r="M13" s="4">
        <f>Hotel!Y18</f>
        <v>5780</v>
      </c>
      <c r="N13" s="4">
        <f>Hotel!Z18</f>
        <v>2810</v>
      </c>
      <c r="O13" s="4">
        <f>Hotel!AA18</f>
        <v>3520</v>
      </c>
      <c r="P13" s="4">
        <f>Hotel!AB18</f>
        <v>8740</v>
      </c>
      <c r="Q13" s="4">
        <f>Hotel!AC18</f>
        <v>14290</v>
      </c>
      <c r="R13" s="4">
        <f>Hotel!AV18*0.00378541*100</f>
        <v>656.39009399999998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8230</v>
      </c>
      <c r="F14" s="4">
        <f>Hotel!R19</f>
        <v>8500</v>
      </c>
      <c r="G14" s="4">
        <f>Hotel!S19</f>
        <v>60</v>
      </c>
      <c r="H14" s="4">
        <f>Hotel!T19</f>
        <v>1570</v>
      </c>
      <c r="I14" s="4">
        <f>Hotel!U19</f>
        <v>5800</v>
      </c>
      <c r="J14" s="4">
        <f>Hotel!V19</f>
        <v>4840</v>
      </c>
      <c r="K14" s="4">
        <f>Hotel!W19</f>
        <v>3600</v>
      </c>
      <c r="L14" s="4">
        <f>Hotel!X19</f>
        <v>4920</v>
      </c>
      <c r="M14" s="4">
        <f>Hotel!Y19</f>
        <v>5800</v>
      </c>
      <c r="N14" s="4">
        <f>Hotel!Z19</f>
        <v>2860</v>
      </c>
      <c r="O14" s="4">
        <f>Hotel!AA19</f>
        <v>3500</v>
      </c>
      <c r="P14" s="4">
        <f>Hotel!AB19</f>
        <v>6610</v>
      </c>
      <c r="Q14" s="4">
        <f>Hotel!AC19</f>
        <v>14300</v>
      </c>
      <c r="R14" s="4">
        <f>Hotel!AV19*0.00378541*100</f>
        <v>855.12411899999984</v>
      </c>
      <c r="S14" s="4">
        <f>Hotel!B19</f>
        <v>177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1050</v>
      </c>
      <c r="F15" s="4">
        <f>Hotel!R20</f>
        <v>9570</v>
      </c>
      <c r="G15" s="4">
        <f>Hotel!S20</f>
        <v>2060</v>
      </c>
      <c r="H15" s="4">
        <f>Hotel!T20</f>
        <v>1570</v>
      </c>
      <c r="I15" s="4">
        <f>Hotel!U20</f>
        <v>5990</v>
      </c>
      <c r="J15" s="4">
        <f>Hotel!V20</f>
        <v>4960</v>
      </c>
      <c r="K15" s="4">
        <f>Hotel!W20</f>
        <v>3470</v>
      </c>
      <c r="L15" s="4">
        <f>Hotel!X20</f>
        <v>4970</v>
      </c>
      <c r="M15" s="4">
        <f>Hotel!Y20</f>
        <v>6050</v>
      </c>
      <c r="N15" s="4">
        <f>Hotel!Z20</f>
        <v>3000</v>
      </c>
      <c r="O15" s="4">
        <f>Hotel!AA20</f>
        <v>3850</v>
      </c>
      <c r="P15" s="4">
        <f>Hotel!AB20</f>
        <v>7810</v>
      </c>
      <c r="Q15" s="4">
        <f>Hotel!AC20</f>
        <v>13910</v>
      </c>
      <c r="R15" s="4">
        <f>Hotel!AV20*0.00378541*100</f>
        <v>873.29408699999999</v>
      </c>
      <c r="S15" s="4">
        <f>Hotel!B20</f>
        <v>258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1020</v>
      </c>
      <c r="F16" s="4">
        <f>Hotel!R21</f>
        <v>3610</v>
      </c>
      <c r="G16" s="4">
        <f>Hotel!S21</f>
        <v>3630</v>
      </c>
      <c r="H16" s="4">
        <f>Hotel!T21</f>
        <v>1530</v>
      </c>
      <c r="I16" s="4">
        <f>Hotel!U21</f>
        <v>6080</v>
      </c>
      <c r="J16" s="4">
        <f>Hotel!V21</f>
        <v>4690</v>
      </c>
      <c r="K16" s="4">
        <f>Hotel!W21</f>
        <v>3190</v>
      </c>
      <c r="L16" s="4">
        <f>Hotel!X21</f>
        <v>4770</v>
      </c>
      <c r="M16" s="4">
        <f>Hotel!Y21</f>
        <v>5970</v>
      </c>
      <c r="N16" s="4">
        <f>Hotel!Z21</f>
        <v>2960</v>
      </c>
      <c r="O16" s="4">
        <f>Hotel!AA21</f>
        <v>3770</v>
      </c>
      <c r="P16" s="4">
        <f>Hotel!AB21</f>
        <v>7600</v>
      </c>
      <c r="Q16" s="4">
        <f>Hotel!AC21</f>
        <v>13630</v>
      </c>
      <c r="R16" s="4">
        <f>Hotel!AV21*0.00378541*100</f>
        <v>593.17374699999993</v>
      </c>
      <c r="S16" s="4">
        <f>Hotel!B21</f>
        <v>140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1070</v>
      </c>
      <c r="F17" s="4">
        <f>Hotel!R22</f>
        <v>3720</v>
      </c>
      <c r="G17" s="4">
        <f>Hotel!S22</f>
        <v>3970</v>
      </c>
      <c r="H17" s="4">
        <f>Hotel!T22</f>
        <v>1580</v>
      </c>
      <c r="I17" s="4">
        <f>Hotel!U22</f>
        <v>6170</v>
      </c>
      <c r="J17" s="4">
        <f>Hotel!V22</f>
        <v>4810</v>
      </c>
      <c r="K17" s="4">
        <f>Hotel!W22</f>
        <v>3140</v>
      </c>
      <c r="L17" s="4">
        <f>Hotel!X22</f>
        <v>5020</v>
      </c>
      <c r="M17" s="4">
        <f>Hotel!Y22</f>
        <v>6140</v>
      </c>
      <c r="N17" s="4">
        <f>Hotel!Z22</f>
        <v>2920</v>
      </c>
      <c r="O17" s="4">
        <f>Hotel!AA22</f>
        <v>3350</v>
      </c>
      <c r="P17" s="4">
        <f>Hotel!AB22</f>
        <v>7830</v>
      </c>
      <c r="Q17" s="4">
        <f>Hotel!AC22</f>
        <v>14390</v>
      </c>
      <c r="R17" s="4">
        <f>Hotel!AV22*0.00378541*100</f>
        <v>745.72577000000001</v>
      </c>
      <c r="S17" s="4">
        <f>Hotel!B22</f>
        <v>138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1020</v>
      </c>
      <c r="F18" s="4">
        <f>Hotel!R23</f>
        <v>3490</v>
      </c>
      <c r="G18" s="4">
        <f>Hotel!S23</f>
        <v>3780</v>
      </c>
      <c r="H18" s="4">
        <f>Hotel!T23</f>
        <v>1530</v>
      </c>
      <c r="I18" s="4">
        <f>Hotel!U23</f>
        <v>5410</v>
      </c>
      <c r="J18" s="4">
        <f>Hotel!V23</f>
        <v>4710</v>
      </c>
      <c r="K18" s="4">
        <f>Hotel!W23</f>
        <v>3210</v>
      </c>
      <c r="L18" s="4">
        <f>Hotel!X23</f>
        <v>4910</v>
      </c>
      <c r="M18" s="4">
        <f>Hotel!Y23</f>
        <v>5810</v>
      </c>
      <c r="N18" s="4">
        <f>Hotel!Z23</f>
        <v>2780</v>
      </c>
      <c r="O18" s="4">
        <f>Hotel!AA23</f>
        <v>3940</v>
      </c>
      <c r="P18" s="4">
        <f>Hotel!AB23</f>
        <v>7580</v>
      </c>
      <c r="Q18" s="4">
        <f>Hotel!AC23</f>
        <v>13640</v>
      </c>
      <c r="R18" s="4">
        <f>Hotel!AV23*0.00378541*100</f>
        <v>745.34722899999997</v>
      </c>
      <c r="S18" s="4">
        <f>Hotel!B23</f>
        <v>144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580</v>
      </c>
      <c r="F19" s="4">
        <f>Hotel!R24</f>
        <v>1920</v>
      </c>
      <c r="G19" s="4">
        <f>Hotel!S24</f>
        <v>3390</v>
      </c>
      <c r="H19" s="4">
        <f>Hotel!T24</f>
        <v>1480</v>
      </c>
      <c r="I19" s="4">
        <f>Hotel!U24</f>
        <v>5640</v>
      </c>
      <c r="J19" s="4">
        <f>Hotel!V24</f>
        <v>4800</v>
      </c>
      <c r="K19" s="4">
        <f>Hotel!W24</f>
        <v>3580</v>
      </c>
      <c r="L19" s="4">
        <f>Hotel!X24</f>
        <v>5230</v>
      </c>
      <c r="M19" s="4">
        <f>Hotel!Y24</f>
        <v>5800</v>
      </c>
      <c r="N19" s="4">
        <f>Hotel!Z24</f>
        <v>2770</v>
      </c>
      <c r="O19" s="4">
        <f>Hotel!AA24</f>
        <v>3410</v>
      </c>
      <c r="P19" s="4">
        <f>Hotel!AB24</f>
        <v>7980</v>
      </c>
      <c r="Q19" s="4">
        <f>Hotel!AC24</f>
        <v>13850</v>
      </c>
      <c r="R19" s="4">
        <f>Hotel!AV24*0.00378541*100</f>
        <v>616.26474799999994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570</v>
      </c>
      <c r="F20" s="4">
        <f>Hotel!R25</f>
        <v>1870</v>
      </c>
      <c r="G20" s="4">
        <f>Hotel!S25</f>
        <v>3020</v>
      </c>
      <c r="H20" s="4">
        <f>Hotel!T25</f>
        <v>1450</v>
      </c>
      <c r="I20" s="4">
        <f>Hotel!U25</f>
        <v>5510</v>
      </c>
      <c r="J20" s="4">
        <f>Hotel!V25</f>
        <v>4810</v>
      </c>
      <c r="K20" s="4">
        <f>Hotel!W25</f>
        <v>3560</v>
      </c>
      <c r="L20" s="4">
        <f>Hotel!X25</f>
        <v>5030</v>
      </c>
      <c r="M20" s="4">
        <f>Hotel!Y25</f>
        <v>5620</v>
      </c>
      <c r="N20" s="4">
        <f>Hotel!Z25</f>
        <v>2770</v>
      </c>
      <c r="O20" s="4">
        <f>Hotel!AA25</f>
        <v>3370</v>
      </c>
      <c r="P20" s="4">
        <f>Hotel!AB25</f>
        <v>7840</v>
      </c>
      <c r="Q20" s="4">
        <f>Hotel!AC25</f>
        <v>13560</v>
      </c>
      <c r="R20" s="4">
        <f>Hotel!AV25*0.00378541*100</f>
        <v>556.45527000000004</v>
      </c>
      <c r="S20" s="4">
        <f>Hotel!B25</f>
        <v>173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4" zoomScale="93" zoomScaleNormal="93" workbookViewId="0">
      <selection activeCell="AP33" sqref="AP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>
        <v>160</v>
      </c>
      <c r="C18" s="24">
        <v>5877280</v>
      </c>
      <c r="D18" s="24">
        <v>11981100</v>
      </c>
      <c r="E18" s="24">
        <v>1416530</v>
      </c>
      <c r="F18" s="24">
        <v>2570740</v>
      </c>
      <c r="G18" s="24">
        <v>7781220</v>
      </c>
      <c r="H18" s="24">
        <v>3655850</v>
      </c>
      <c r="I18" s="24">
        <v>3666620</v>
      </c>
      <c r="J18" s="24">
        <v>4129190</v>
      </c>
      <c r="K18" s="24">
        <v>6734150</v>
      </c>
      <c r="L18" s="24">
        <v>2375800</v>
      </c>
      <c r="M18" s="24">
        <v>6242380</v>
      </c>
      <c r="N18" s="24">
        <v>8472260</v>
      </c>
      <c r="O18" s="24">
        <v>10995670</v>
      </c>
      <c r="Q18" s="37">
        <f t="shared" si="16"/>
        <v>8910</v>
      </c>
      <c r="R18" s="37">
        <f t="shared" si="17"/>
        <v>11140</v>
      </c>
      <c r="S18" s="37">
        <f t="shared" si="15"/>
        <v>100</v>
      </c>
      <c r="T18" s="37">
        <f t="shared" si="18"/>
        <v>1550</v>
      </c>
      <c r="U18" s="37">
        <f t="shared" si="19"/>
        <v>5730</v>
      </c>
      <c r="V18" s="37">
        <f t="shared" si="20"/>
        <v>4720</v>
      </c>
      <c r="W18" s="37">
        <f t="shared" si="21"/>
        <v>3590</v>
      </c>
      <c r="X18" s="37">
        <f t="shared" si="22"/>
        <v>4900</v>
      </c>
      <c r="Y18" s="37">
        <f t="shared" si="23"/>
        <v>5780</v>
      </c>
      <c r="Z18" s="37">
        <f t="shared" si="24"/>
        <v>2810</v>
      </c>
      <c r="AA18" s="37">
        <f t="shared" si="25"/>
        <v>3520</v>
      </c>
      <c r="AB18" s="37">
        <f t="shared" si="26"/>
        <v>8740</v>
      </c>
      <c r="AC18" s="37">
        <f t="shared" si="27"/>
        <v>14290</v>
      </c>
      <c r="AD18" s="35">
        <f t="shared" si="28"/>
        <v>75780</v>
      </c>
      <c r="AF18" s="20">
        <f t="shared" si="1"/>
        <v>44.550000000000004</v>
      </c>
      <c r="AG18" s="20">
        <f t="shared" si="2"/>
        <v>55.7</v>
      </c>
      <c r="AH18" s="20">
        <f t="shared" si="3"/>
        <v>0.5</v>
      </c>
      <c r="AI18" s="20">
        <f t="shared" si="4"/>
        <v>7.75</v>
      </c>
      <c r="AJ18" s="20">
        <f t="shared" si="5"/>
        <v>28.650000000000002</v>
      </c>
      <c r="AK18" s="20">
        <f t="shared" si="6"/>
        <v>23.6</v>
      </c>
      <c r="AL18" s="20">
        <f t="shared" si="7"/>
        <v>17.95</v>
      </c>
      <c r="AM18" s="20">
        <f t="shared" si="8"/>
        <v>24.5</v>
      </c>
      <c r="AN18" s="20">
        <f t="shared" si="9"/>
        <v>28.900000000000002</v>
      </c>
      <c r="AO18" s="20">
        <f t="shared" si="10"/>
        <v>14.05</v>
      </c>
      <c r="AP18" s="20">
        <f t="shared" si="11"/>
        <v>17.600000000000001</v>
      </c>
      <c r="AQ18" s="20">
        <f t="shared" si="12"/>
        <v>43.7</v>
      </c>
      <c r="AR18" s="20">
        <f t="shared" si="13"/>
        <v>71.45</v>
      </c>
      <c r="AS18" s="35">
        <f t="shared" si="29"/>
        <v>378.9</v>
      </c>
      <c r="AU18" s="47">
        <v>631391</v>
      </c>
      <c r="AV18" s="37">
        <f t="shared" si="31"/>
        <v>1734</v>
      </c>
      <c r="AW18" s="35">
        <f t="shared" si="30"/>
        <v>3.468</v>
      </c>
    </row>
    <row r="19" spans="1:49" x14ac:dyDescent="0.25">
      <c r="A19" s="23">
        <v>43782</v>
      </c>
      <c r="B19" s="40">
        <v>177</v>
      </c>
      <c r="C19" s="24">
        <v>5885510</v>
      </c>
      <c r="D19" s="24">
        <v>11989600</v>
      </c>
      <c r="E19" s="24">
        <v>1416590</v>
      </c>
      <c r="F19" s="24">
        <v>2572310</v>
      </c>
      <c r="G19" s="24">
        <v>7787020</v>
      </c>
      <c r="H19" s="24">
        <v>3660690</v>
      </c>
      <c r="I19" s="24">
        <v>3670220</v>
      </c>
      <c r="J19" s="24">
        <v>4134110</v>
      </c>
      <c r="K19" s="24">
        <v>6739950</v>
      </c>
      <c r="L19" s="24">
        <v>2378660</v>
      </c>
      <c r="M19" s="24">
        <v>6245880</v>
      </c>
      <c r="N19" s="24">
        <v>8478870</v>
      </c>
      <c r="O19" s="24">
        <v>11009970</v>
      </c>
      <c r="Q19" s="37">
        <f t="shared" si="16"/>
        <v>8230</v>
      </c>
      <c r="R19" s="37">
        <f t="shared" si="17"/>
        <v>8500</v>
      </c>
      <c r="S19" s="37">
        <f t="shared" si="15"/>
        <v>60</v>
      </c>
      <c r="T19" s="37">
        <f t="shared" si="18"/>
        <v>1570</v>
      </c>
      <c r="U19" s="37">
        <f t="shared" si="19"/>
        <v>5800</v>
      </c>
      <c r="V19" s="37">
        <f t="shared" si="20"/>
        <v>4840</v>
      </c>
      <c r="W19" s="37">
        <f t="shared" si="21"/>
        <v>3600</v>
      </c>
      <c r="X19" s="37">
        <f t="shared" si="22"/>
        <v>4920</v>
      </c>
      <c r="Y19" s="37">
        <f t="shared" si="23"/>
        <v>5800</v>
      </c>
      <c r="Z19" s="37">
        <f t="shared" si="24"/>
        <v>2860</v>
      </c>
      <c r="AA19" s="37">
        <f t="shared" si="25"/>
        <v>3500</v>
      </c>
      <c r="AB19" s="37">
        <f t="shared" si="26"/>
        <v>6610</v>
      </c>
      <c r="AC19" s="37">
        <f t="shared" si="27"/>
        <v>14300</v>
      </c>
      <c r="AD19" s="35">
        <f t="shared" si="28"/>
        <v>70590</v>
      </c>
      <c r="AF19" s="20">
        <f t="shared" si="1"/>
        <v>41.15</v>
      </c>
      <c r="AG19" s="20">
        <f t="shared" si="2"/>
        <v>42.5</v>
      </c>
      <c r="AH19" s="20">
        <f t="shared" si="3"/>
        <v>0.3</v>
      </c>
      <c r="AI19" s="20">
        <f t="shared" si="4"/>
        <v>7.8500000000000005</v>
      </c>
      <c r="AJ19" s="20">
        <f t="shared" si="5"/>
        <v>29</v>
      </c>
      <c r="AK19" s="20">
        <f t="shared" si="6"/>
        <v>24.2</v>
      </c>
      <c r="AL19" s="20">
        <f t="shared" si="7"/>
        <v>18</v>
      </c>
      <c r="AM19" s="20">
        <f t="shared" si="8"/>
        <v>24.6</v>
      </c>
      <c r="AN19" s="20">
        <f t="shared" si="9"/>
        <v>29</v>
      </c>
      <c r="AO19" s="20">
        <f t="shared" si="10"/>
        <v>14.3</v>
      </c>
      <c r="AP19" s="20">
        <f t="shared" si="11"/>
        <v>17.5</v>
      </c>
      <c r="AQ19" s="20">
        <f t="shared" si="12"/>
        <v>33.049999999999997</v>
      </c>
      <c r="AR19" s="20">
        <f t="shared" si="13"/>
        <v>71.5</v>
      </c>
      <c r="AS19" s="35">
        <f t="shared" si="29"/>
        <v>352.95</v>
      </c>
      <c r="AU19" s="47">
        <v>633650</v>
      </c>
      <c r="AV19" s="37">
        <f t="shared" si="31"/>
        <v>2259</v>
      </c>
      <c r="AW19" s="35">
        <f t="shared" si="30"/>
        <v>4.5179999999999998</v>
      </c>
    </row>
    <row r="20" spans="1:49" x14ac:dyDescent="0.25">
      <c r="A20" s="23">
        <v>43783</v>
      </c>
      <c r="B20" s="40">
        <v>258</v>
      </c>
      <c r="C20" s="24">
        <v>5886560</v>
      </c>
      <c r="D20" s="24">
        <v>11999170</v>
      </c>
      <c r="E20" s="24">
        <v>1418650</v>
      </c>
      <c r="F20" s="24">
        <v>2573880</v>
      </c>
      <c r="G20" s="24">
        <v>7793010</v>
      </c>
      <c r="H20" s="24">
        <v>3665650</v>
      </c>
      <c r="I20" s="24">
        <v>3673690</v>
      </c>
      <c r="J20" s="24">
        <v>4139080</v>
      </c>
      <c r="K20" s="24">
        <v>6746000</v>
      </c>
      <c r="L20" s="24">
        <v>2381660</v>
      </c>
      <c r="M20" s="24">
        <v>6249730</v>
      </c>
      <c r="N20" s="24">
        <v>8486680</v>
      </c>
      <c r="O20" s="24">
        <v>11023880</v>
      </c>
      <c r="Q20" s="37">
        <f t="shared" si="16"/>
        <v>1050</v>
      </c>
      <c r="R20" s="37">
        <f t="shared" si="17"/>
        <v>9570</v>
      </c>
      <c r="S20" s="37">
        <f t="shared" si="15"/>
        <v>2060</v>
      </c>
      <c r="T20" s="37">
        <f t="shared" si="18"/>
        <v>1570</v>
      </c>
      <c r="U20" s="37">
        <f t="shared" si="19"/>
        <v>5990</v>
      </c>
      <c r="V20" s="37">
        <f t="shared" si="20"/>
        <v>4960</v>
      </c>
      <c r="W20" s="37">
        <f t="shared" si="21"/>
        <v>3470</v>
      </c>
      <c r="X20" s="37">
        <f t="shared" si="22"/>
        <v>4970</v>
      </c>
      <c r="Y20" s="37">
        <f t="shared" si="23"/>
        <v>6050</v>
      </c>
      <c r="Z20" s="37">
        <f t="shared" si="24"/>
        <v>3000</v>
      </c>
      <c r="AA20" s="37">
        <f t="shared" si="25"/>
        <v>3850</v>
      </c>
      <c r="AB20" s="37">
        <f t="shared" si="26"/>
        <v>7810</v>
      </c>
      <c r="AC20" s="37">
        <f t="shared" si="27"/>
        <v>13910</v>
      </c>
      <c r="AD20" s="35">
        <f t="shared" si="28"/>
        <v>68260</v>
      </c>
      <c r="AF20" s="20">
        <f t="shared" si="1"/>
        <v>5.25</v>
      </c>
      <c r="AG20" s="20">
        <f t="shared" si="2"/>
        <v>47.85</v>
      </c>
      <c r="AH20" s="20">
        <f t="shared" si="3"/>
        <v>10.3</v>
      </c>
      <c r="AI20" s="20">
        <f t="shared" si="4"/>
        <v>7.8500000000000005</v>
      </c>
      <c r="AJ20" s="20">
        <f t="shared" si="5"/>
        <v>29.95</v>
      </c>
      <c r="AK20" s="20">
        <f t="shared" si="6"/>
        <v>24.8</v>
      </c>
      <c r="AL20" s="20">
        <f t="shared" si="7"/>
        <v>17.350000000000001</v>
      </c>
      <c r="AM20" s="20">
        <f t="shared" si="8"/>
        <v>24.85</v>
      </c>
      <c r="AN20" s="20">
        <f t="shared" si="9"/>
        <v>30.25</v>
      </c>
      <c r="AO20" s="20">
        <f t="shared" si="10"/>
        <v>15</v>
      </c>
      <c r="AP20" s="20">
        <f t="shared" si="11"/>
        <v>19.25</v>
      </c>
      <c r="AQ20" s="20">
        <f t="shared" si="12"/>
        <v>39.050000000000004</v>
      </c>
      <c r="AR20" s="20">
        <f t="shared" si="13"/>
        <v>69.55</v>
      </c>
      <c r="AS20" s="35">
        <f t="shared" si="29"/>
        <v>341.3</v>
      </c>
      <c r="AU20" s="47">
        <v>635957</v>
      </c>
      <c r="AV20" s="37">
        <f t="shared" si="31"/>
        <v>2307</v>
      </c>
      <c r="AW20" s="35">
        <f t="shared" si="30"/>
        <v>4.6139999999999999</v>
      </c>
    </row>
    <row r="21" spans="1:49" x14ac:dyDescent="0.25">
      <c r="A21" s="23">
        <v>43784</v>
      </c>
      <c r="B21" s="40">
        <v>140</v>
      </c>
      <c r="C21" s="24">
        <v>5887580</v>
      </c>
      <c r="D21" s="24">
        <v>12002780</v>
      </c>
      <c r="E21" s="24">
        <v>1422280</v>
      </c>
      <c r="F21" s="24">
        <v>2575410</v>
      </c>
      <c r="G21" s="24">
        <v>7799090</v>
      </c>
      <c r="H21" s="24">
        <v>3670340</v>
      </c>
      <c r="I21" s="24">
        <v>3676880</v>
      </c>
      <c r="J21" s="24">
        <v>4143850</v>
      </c>
      <c r="K21" s="24">
        <v>6751970</v>
      </c>
      <c r="L21" s="24">
        <v>2384620</v>
      </c>
      <c r="M21" s="24">
        <v>6253500</v>
      </c>
      <c r="N21" s="24">
        <v>8494280</v>
      </c>
      <c r="O21" s="24">
        <v>11037510</v>
      </c>
      <c r="Q21" s="37">
        <f t="shared" si="16"/>
        <v>1020</v>
      </c>
      <c r="R21" s="37">
        <f t="shared" si="17"/>
        <v>3610</v>
      </c>
      <c r="S21" s="37">
        <f t="shared" si="15"/>
        <v>3630</v>
      </c>
      <c r="T21" s="37">
        <f t="shared" si="18"/>
        <v>1530</v>
      </c>
      <c r="U21" s="37">
        <f t="shared" si="19"/>
        <v>6080</v>
      </c>
      <c r="V21" s="37">
        <f t="shared" si="20"/>
        <v>4690</v>
      </c>
      <c r="W21" s="37">
        <f t="shared" si="21"/>
        <v>3190</v>
      </c>
      <c r="X21" s="37">
        <f t="shared" si="22"/>
        <v>4770</v>
      </c>
      <c r="Y21" s="37">
        <f t="shared" si="23"/>
        <v>5970</v>
      </c>
      <c r="Z21" s="37">
        <f t="shared" si="24"/>
        <v>2960</v>
      </c>
      <c r="AA21" s="37">
        <f t="shared" si="25"/>
        <v>3770</v>
      </c>
      <c r="AB21" s="37">
        <f>IF((N21-N20&lt;0), "0",N21-N20)</f>
        <v>7600</v>
      </c>
      <c r="AC21" s="37">
        <f t="shared" si="27"/>
        <v>13630</v>
      </c>
      <c r="AD21" s="35">
        <f t="shared" si="28"/>
        <v>62450</v>
      </c>
      <c r="AF21" s="20">
        <f t="shared" si="1"/>
        <v>5.1000000000000005</v>
      </c>
      <c r="AG21" s="20">
        <f t="shared" si="2"/>
        <v>18.05</v>
      </c>
      <c r="AH21" s="20">
        <f t="shared" si="3"/>
        <v>18.150000000000002</v>
      </c>
      <c r="AI21" s="20">
        <f t="shared" si="4"/>
        <v>7.65</v>
      </c>
      <c r="AJ21" s="20">
        <f t="shared" si="5"/>
        <v>30.400000000000002</v>
      </c>
      <c r="AK21" s="20">
        <f t="shared" si="6"/>
        <v>23.45</v>
      </c>
      <c r="AL21" s="20">
        <f t="shared" si="7"/>
        <v>15.950000000000001</v>
      </c>
      <c r="AM21" s="20">
        <f t="shared" si="8"/>
        <v>23.85</v>
      </c>
      <c r="AN21" s="20">
        <f t="shared" si="9"/>
        <v>29.85</v>
      </c>
      <c r="AO21" s="20">
        <f t="shared" si="10"/>
        <v>14.8</v>
      </c>
      <c r="AP21" s="20">
        <f t="shared" si="11"/>
        <v>18.850000000000001</v>
      </c>
      <c r="AQ21" s="20">
        <f t="shared" si="12"/>
        <v>38</v>
      </c>
      <c r="AR21" s="20">
        <f t="shared" si="13"/>
        <v>68.150000000000006</v>
      </c>
      <c r="AS21" s="35">
        <f t="shared" si="29"/>
        <v>312.25</v>
      </c>
      <c r="AU21" s="47">
        <v>637524</v>
      </c>
      <c r="AV21" s="37">
        <f t="shared" si="31"/>
        <v>1567</v>
      </c>
      <c r="AW21" s="35">
        <f t="shared" si="30"/>
        <v>3.1339999999999999</v>
      </c>
    </row>
    <row r="22" spans="1:49" x14ac:dyDescent="0.25">
      <c r="A22" s="23">
        <v>43785</v>
      </c>
      <c r="B22" s="40">
        <v>138</v>
      </c>
      <c r="C22" s="24">
        <v>5888650</v>
      </c>
      <c r="D22" s="24">
        <v>12006500</v>
      </c>
      <c r="E22" s="24">
        <v>1426250</v>
      </c>
      <c r="F22" s="24">
        <v>2576990</v>
      </c>
      <c r="G22" s="24">
        <v>7805260</v>
      </c>
      <c r="H22" s="24">
        <v>3675150</v>
      </c>
      <c r="I22" s="24">
        <v>3680020</v>
      </c>
      <c r="J22" s="44">
        <v>4148870</v>
      </c>
      <c r="K22" s="24">
        <v>6758110</v>
      </c>
      <c r="L22" s="24">
        <v>2387540</v>
      </c>
      <c r="M22" s="24">
        <v>6256850</v>
      </c>
      <c r="N22" s="24">
        <v>8502110</v>
      </c>
      <c r="O22" s="44">
        <v>11051900</v>
      </c>
      <c r="Q22" s="37">
        <f t="shared" si="16"/>
        <v>1070</v>
      </c>
      <c r="R22" s="37">
        <f t="shared" si="17"/>
        <v>3720</v>
      </c>
      <c r="S22" s="37">
        <f t="shared" si="15"/>
        <v>3970</v>
      </c>
      <c r="T22" s="37">
        <f t="shared" si="18"/>
        <v>1580</v>
      </c>
      <c r="U22" s="37">
        <f t="shared" si="19"/>
        <v>6170</v>
      </c>
      <c r="V22" s="37">
        <f t="shared" si="20"/>
        <v>4810</v>
      </c>
      <c r="W22" s="37">
        <f t="shared" si="21"/>
        <v>3140</v>
      </c>
      <c r="X22" s="37">
        <f t="shared" si="22"/>
        <v>5020</v>
      </c>
      <c r="Y22" s="37">
        <f t="shared" si="23"/>
        <v>6140</v>
      </c>
      <c r="Z22" s="37">
        <f t="shared" si="24"/>
        <v>2920</v>
      </c>
      <c r="AA22" s="37">
        <f t="shared" si="25"/>
        <v>3350</v>
      </c>
      <c r="AB22" s="37">
        <f t="shared" si="26"/>
        <v>7830</v>
      </c>
      <c r="AC22" s="37">
        <f t="shared" si="27"/>
        <v>14390</v>
      </c>
      <c r="AD22" s="35">
        <f t="shared" si="28"/>
        <v>64110</v>
      </c>
      <c r="AF22" s="20">
        <f t="shared" si="1"/>
        <v>5.3500000000000005</v>
      </c>
      <c r="AG22" s="20">
        <f t="shared" si="2"/>
        <v>18.600000000000001</v>
      </c>
      <c r="AH22" s="20">
        <f t="shared" si="3"/>
        <v>19.850000000000001</v>
      </c>
      <c r="AI22" s="20">
        <f t="shared" si="4"/>
        <v>7.9</v>
      </c>
      <c r="AJ22" s="20">
        <f t="shared" si="5"/>
        <v>30.85</v>
      </c>
      <c r="AK22" s="20">
        <f t="shared" si="6"/>
        <v>24.05</v>
      </c>
      <c r="AL22" s="20">
        <f t="shared" si="7"/>
        <v>15.700000000000001</v>
      </c>
      <c r="AM22" s="20">
        <f t="shared" si="8"/>
        <v>25.1</v>
      </c>
      <c r="AN22" s="20">
        <f t="shared" si="9"/>
        <v>30.7</v>
      </c>
      <c r="AO22" s="20">
        <f t="shared" si="10"/>
        <v>14.6</v>
      </c>
      <c r="AP22" s="20">
        <f t="shared" si="11"/>
        <v>16.75</v>
      </c>
      <c r="AQ22" s="20">
        <f t="shared" si="12"/>
        <v>39.15</v>
      </c>
      <c r="AR22" s="20">
        <f t="shared" si="13"/>
        <v>71.95</v>
      </c>
      <c r="AS22" s="35">
        <f t="shared" si="29"/>
        <v>320.55</v>
      </c>
      <c r="AU22" s="47">
        <v>639494</v>
      </c>
      <c r="AV22" s="37">
        <f t="shared" si="31"/>
        <v>1970</v>
      </c>
      <c r="AW22" s="35">
        <f t="shared" si="30"/>
        <v>3.94</v>
      </c>
    </row>
    <row r="23" spans="1:49" x14ac:dyDescent="0.25">
      <c r="A23" s="23">
        <v>43786</v>
      </c>
      <c r="B23" s="40">
        <v>144</v>
      </c>
      <c r="C23" s="24">
        <v>5889670</v>
      </c>
      <c r="D23" s="24">
        <v>12009990</v>
      </c>
      <c r="E23" s="24">
        <v>1430030</v>
      </c>
      <c r="F23" s="24">
        <v>2578520</v>
      </c>
      <c r="G23" s="24">
        <v>7810670</v>
      </c>
      <c r="H23" s="24">
        <v>3679860</v>
      </c>
      <c r="I23" s="24">
        <v>3683230</v>
      </c>
      <c r="J23" s="24">
        <v>4153780</v>
      </c>
      <c r="K23" s="24">
        <v>6763920</v>
      </c>
      <c r="L23" s="24">
        <v>2390320</v>
      </c>
      <c r="M23" s="24">
        <v>6260790</v>
      </c>
      <c r="N23" s="24">
        <v>8509690</v>
      </c>
      <c r="O23" s="24">
        <v>11065540</v>
      </c>
      <c r="Q23" s="37">
        <f t="shared" si="16"/>
        <v>1020</v>
      </c>
      <c r="R23" s="37">
        <f t="shared" si="17"/>
        <v>3490</v>
      </c>
      <c r="S23" s="37">
        <f t="shared" si="15"/>
        <v>3780</v>
      </c>
      <c r="T23" s="37">
        <f t="shared" si="18"/>
        <v>1530</v>
      </c>
      <c r="U23" s="37">
        <f t="shared" si="19"/>
        <v>5410</v>
      </c>
      <c r="V23" s="37">
        <f t="shared" si="20"/>
        <v>4710</v>
      </c>
      <c r="W23" s="37">
        <f t="shared" si="21"/>
        <v>3210</v>
      </c>
      <c r="X23" s="37">
        <f t="shared" si="22"/>
        <v>4910</v>
      </c>
      <c r="Y23" s="37">
        <f t="shared" si="23"/>
        <v>5810</v>
      </c>
      <c r="Z23" s="37">
        <f t="shared" si="24"/>
        <v>2780</v>
      </c>
      <c r="AA23" s="37">
        <f t="shared" si="25"/>
        <v>3940</v>
      </c>
      <c r="AB23" s="37">
        <f t="shared" si="26"/>
        <v>7580</v>
      </c>
      <c r="AC23" s="37">
        <f t="shared" si="27"/>
        <v>13640</v>
      </c>
      <c r="AD23" s="35">
        <f t="shared" si="28"/>
        <v>61810</v>
      </c>
      <c r="AF23" s="20">
        <f t="shared" si="1"/>
        <v>5.1000000000000005</v>
      </c>
      <c r="AG23" s="20">
        <f t="shared" si="2"/>
        <v>17.45</v>
      </c>
      <c r="AH23" s="20">
        <f t="shared" si="3"/>
        <v>18.900000000000002</v>
      </c>
      <c r="AI23" s="20">
        <f t="shared" si="4"/>
        <v>7.65</v>
      </c>
      <c r="AJ23" s="20">
        <f t="shared" si="5"/>
        <v>27.05</v>
      </c>
      <c r="AK23" s="20">
        <f t="shared" si="6"/>
        <v>23.55</v>
      </c>
      <c r="AL23" s="20">
        <f t="shared" si="7"/>
        <v>16.05</v>
      </c>
      <c r="AM23" s="20">
        <f t="shared" si="8"/>
        <v>24.55</v>
      </c>
      <c r="AN23" s="20">
        <f t="shared" si="9"/>
        <v>29.05</v>
      </c>
      <c r="AO23" s="20">
        <f t="shared" si="10"/>
        <v>13.9</v>
      </c>
      <c r="AP23" s="20">
        <f t="shared" si="11"/>
        <v>19.7</v>
      </c>
      <c r="AQ23" s="20">
        <f t="shared" si="12"/>
        <v>37.9</v>
      </c>
      <c r="AR23" s="20">
        <f t="shared" si="13"/>
        <v>68.2</v>
      </c>
      <c r="AS23" s="35">
        <f t="shared" si="29"/>
        <v>309.05</v>
      </c>
      <c r="AU23" s="47">
        <v>641463</v>
      </c>
      <c r="AV23" s="37">
        <f t="shared" si="31"/>
        <v>1969</v>
      </c>
      <c r="AW23" s="35">
        <f t="shared" si="30"/>
        <v>3.9380000000000002</v>
      </c>
    </row>
    <row r="24" spans="1:49" x14ac:dyDescent="0.25">
      <c r="A24" s="23">
        <v>43787</v>
      </c>
      <c r="B24" s="40">
        <v>153</v>
      </c>
      <c r="C24" s="24">
        <v>5890250</v>
      </c>
      <c r="D24" s="24">
        <v>12011910</v>
      </c>
      <c r="E24" s="24">
        <v>1433420</v>
      </c>
      <c r="F24" s="24">
        <v>2580000</v>
      </c>
      <c r="G24" s="24">
        <v>7816310</v>
      </c>
      <c r="H24" s="24">
        <v>3684660</v>
      </c>
      <c r="I24" s="24">
        <v>3686810</v>
      </c>
      <c r="J24" s="24">
        <v>4159010</v>
      </c>
      <c r="K24" s="24">
        <v>6769720</v>
      </c>
      <c r="L24" s="24">
        <v>2393090</v>
      </c>
      <c r="M24" s="24">
        <v>6264200</v>
      </c>
      <c r="N24" s="24">
        <v>8517670</v>
      </c>
      <c r="O24" s="24">
        <v>11079390</v>
      </c>
      <c r="Q24" s="37">
        <f t="shared" si="16"/>
        <v>580</v>
      </c>
      <c r="R24" s="37">
        <f t="shared" si="17"/>
        <v>1920</v>
      </c>
      <c r="S24" s="37">
        <f t="shared" si="15"/>
        <v>3390</v>
      </c>
      <c r="T24" s="37">
        <f t="shared" si="18"/>
        <v>1480</v>
      </c>
      <c r="U24" s="37">
        <f t="shared" si="19"/>
        <v>5640</v>
      </c>
      <c r="V24" s="37">
        <f t="shared" si="20"/>
        <v>4800</v>
      </c>
      <c r="W24" s="37">
        <f t="shared" si="21"/>
        <v>3580</v>
      </c>
      <c r="X24" s="37">
        <f t="shared" si="22"/>
        <v>5230</v>
      </c>
      <c r="Y24" s="37">
        <f t="shared" si="23"/>
        <v>5800</v>
      </c>
      <c r="Z24" s="37">
        <f t="shared" si="24"/>
        <v>2770</v>
      </c>
      <c r="AA24" s="37">
        <f t="shared" si="25"/>
        <v>3410</v>
      </c>
      <c r="AB24" s="37">
        <f t="shared" si="26"/>
        <v>7980</v>
      </c>
      <c r="AC24" s="37">
        <f t="shared" si="27"/>
        <v>13850</v>
      </c>
      <c r="AD24" s="35">
        <f t="shared" si="28"/>
        <v>60430</v>
      </c>
      <c r="AF24" s="20">
        <f t="shared" si="1"/>
        <v>2.9</v>
      </c>
      <c r="AG24" s="20">
        <f t="shared" si="2"/>
        <v>9.6</v>
      </c>
      <c r="AH24" s="20">
        <f t="shared" si="3"/>
        <v>16.95</v>
      </c>
      <c r="AI24" s="20">
        <f t="shared" si="4"/>
        <v>7.4</v>
      </c>
      <c r="AJ24" s="20">
        <f t="shared" si="5"/>
        <v>28.2</v>
      </c>
      <c r="AK24" s="20">
        <f t="shared" si="6"/>
        <v>24</v>
      </c>
      <c r="AL24" s="20">
        <f t="shared" si="7"/>
        <v>17.900000000000002</v>
      </c>
      <c r="AM24" s="20">
        <f t="shared" si="8"/>
        <v>26.150000000000002</v>
      </c>
      <c r="AN24" s="20">
        <f t="shared" si="9"/>
        <v>29</v>
      </c>
      <c r="AO24" s="20">
        <f t="shared" si="10"/>
        <v>13.85</v>
      </c>
      <c r="AP24" s="20">
        <f t="shared" si="11"/>
        <v>17.05</v>
      </c>
      <c r="AQ24" s="20">
        <f t="shared" si="12"/>
        <v>39.9</v>
      </c>
      <c r="AR24" s="20">
        <f t="shared" si="13"/>
        <v>69.25</v>
      </c>
      <c r="AS24" s="35">
        <f t="shared" si="29"/>
        <v>302.14999999999998</v>
      </c>
      <c r="AU24" s="47">
        <v>643091</v>
      </c>
      <c r="AV24" s="37">
        <f t="shared" si="31"/>
        <v>1628</v>
      </c>
      <c r="AW24" s="35">
        <f t="shared" si="30"/>
        <v>3.2560000000000002</v>
      </c>
    </row>
    <row r="25" spans="1:49" x14ac:dyDescent="0.25">
      <c r="A25" s="23">
        <v>43788</v>
      </c>
      <c r="B25" s="40">
        <v>173</v>
      </c>
      <c r="C25" s="24">
        <v>5890820</v>
      </c>
      <c r="D25" s="24">
        <v>12013780</v>
      </c>
      <c r="E25" s="24">
        <v>1436440</v>
      </c>
      <c r="F25" s="24">
        <v>2581450</v>
      </c>
      <c r="G25" s="24">
        <v>7821820</v>
      </c>
      <c r="H25" s="24">
        <v>3689470</v>
      </c>
      <c r="I25" s="24">
        <v>3690370</v>
      </c>
      <c r="J25" s="24">
        <v>4164040</v>
      </c>
      <c r="K25" s="24">
        <v>6775340</v>
      </c>
      <c r="L25" s="24">
        <v>2395860</v>
      </c>
      <c r="M25" s="24">
        <v>6267570</v>
      </c>
      <c r="N25" s="24">
        <v>8525510</v>
      </c>
      <c r="O25" s="24">
        <v>11092950</v>
      </c>
      <c r="Q25" s="37">
        <f t="shared" ref="Q25:AC27" si="32">IF((C25-C24&lt;0), "0",C25-C24)</f>
        <v>570</v>
      </c>
      <c r="R25" s="37">
        <f t="shared" si="32"/>
        <v>1870</v>
      </c>
      <c r="S25" s="37">
        <f t="shared" si="32"/>
        <v>3020</v>
      </c>
      <c r="T25" s="37">
        <f t="shared" si="32"/>
        <v>1450</v>
      </c>
      <c r="U25" s="37">
        <f t="shared" si="32"/>
        <v>5510</v>
      </c>
      <c r="V25" s="37">
        <f t="shared" si="32"/>
        <v>4810</v>
      </c>
      <c r="W25" s="37">
        <f t="shared" si="32"/>
        <v>3560</v>
      </c>
      <c r="X25" s="37">
        <f t="shared" si="32"/>
        <v>5030</v>
      </c>
      <c r="Y25" s="37">
        <f t="shared" si="32"/>
        <v>5620</v>
      </c>
      <c r="Z25" s="37">
        <f t="shared" si="32"/>
        <v>2770</v>
      </c>
      <c r="AA25" s="37">
        <f t="shared" si="32"/>
        <v>3370</v>
      </c>
      <c r="AB25" s="37">
        <f t="shared" si="32"/>
        <v>7840</v>
      </c>
      <c r="AC25" s="37">
        <f t="shared" si="32"/>
        <v>13560</v>
      </c>
      <c r="AD25" s="35">
        <f t="shared" si="28"/>
        <v>58980</v>
      </c>
      <c r="AF25" s="20">
        <f t="shared" si="1"/>
        <v>2.85</v>
      </c>
      <c r="AG25" s="20">
        <f t="shared" si="2"/>
        <v>9.35</v>
      </c>
      <c r="AH25" s="20">
        <f t="shared" si="3"/>
        <v>15.1</v>
      </c>
      <c r="AI25" s="20">
        <f t="shared" si="4"/>
        <v>7.25</v>
      </c>
      <c r="AJ25" s="20">
        <f t="shared" si="5"/>
        <v>27.55</v>
      </c>
      <c r="AK25" s="20">
        <f t="shared" si="6"/>
        <v>24.05</v>
      </c>
      <c r="AL25" s="20">
        <f t="shared" si="7"/>
        <v>17.8</v>
      </c>
      <c r="AM25" s="20">
        <f t="shared" si="8"/>
        <v>25.150000000000002</v>
      </c>
      <c r="AN25" s="20">
        <f t="shared" si="9"/>
        <v>28.1</v>
      </c>
      <c r="AO25" s="20">
        <f t="shared" si="10"/>
        <v>13.85</v>
      </c>
      <c r="AP25" s="20">
        <f t="shared" si="11"/>
        <v>16.850000000000001</v>
      </c>
      <c r="AQ25" s="20">
        <f t="shared" si="12"/>
        <v>39.200000000000003</v>
      </c>
      <c r="AR25" s="20">
        <f t="shared" si="13"/>
        <v>67.8</v>
      </c>
      <c r="AS25" s="35">
        <f t="shared" si="29"/>
        <v>294.89999999999998</v>
      </c>
      <c r="AU25" s="47">
        <v>644561</v>
      </c>
      <c r="AV25" s="37">
        <f t="shared" si="31"/>
        <v>1470</v>
      </c>
      <c r="AW25" s="35">
        <f t="shared" si="30"/>
        <v>2.94</v>
      </c>
    </row>
    <row r="26" spans="1:49" x14ac:dyDescent="0.25">
      <c r="A26" s="23">
        <v>43789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2"/>
        <v>0</v>
      </c>
      <c r="R26" s="37" t="str">
        <f t="shared" si="32"/>
        <v>0</v>
      </c>
      <c r="S26" s="37" t="str">
        <f t="shared" si="32"/>
        <v>0</v>
      </c>
      <c r="T26" s="37" t="str">
        <f t="shared" si="32"/>
        <v>0</v>
      </c>
      <c r="U26" s="37" t="str">
        <f t="shared" si="32"/>
        <v>0</v>
      </c>
      <c r="V26" s="37" t="str">
        <f t="shared" si="32"/>
        <v>0</v>
      </c>
      <c r="W26" s="37" t="str">
        <f t="shared" si="32"/>
        <v>0</v>
      </c>
      <c r="X26" s="37" t="str">
        <f t="shared" si="32"/>
        <v>0</v>
      </c>
      <c r="Y26" s="37" t="str">
        <f t="shared" si="32"/>
        <v>0</v>
      </c>
      <c r="Z26" s="37" t="str">
        <f t="shared" si="32"/>
        <v>0</v>
      </c>
      <c r="AA26" s="37" t="str">
        <f t="shared" si="32"/>
        <v>0</v>
      </c>
      <c r="AB26" s="37" t="str">
        <f t="shared" si="32"/>
        <v>0</v>
      </c>
      <c r="AC26" s="37" t="str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123480</v>
      </c>
      <c r="R38" s="30">
        <f t="shared" si="35"/>
        <v>150110</v>
      </c>
      <c r="S38" s="30">
        <f t="shared" si="35"/>
        <v>20980</v>
      </c>
      <c r="T38" s="30">
        <f t="shared" si="35"/>
        <v>29340</v>
      </c>
      <c r="U38" s="30">
        <f t="shared" si="35"/>
        <v>109060</v>
      </c>
      <c r="V38" s="30">
        <f t="shared" si="35"/>
        <v>90170</v>
      </c>
      <c r="W38" s="30">
        <f t="shared" si="35"/>
        <v>65310</v>
      </c>
      <c r="X38" s="30">
        <f t="shared" si="35"/>
        <v>93270</v>
      </c>
      <c r="Y38" s="30">
        <f t="shared" si="35"/>
        <v>113310</v>
      </c>
      <c r="Z38" s="30">
        <f t="shared" si="35"/>
        <v>54580</v>
      </c>
      <c r="AA38" s="30">
        <f t="shared" si="35"/>
        <v>68830</v>
      </c>
      <c r="AB38" s="30">
        <f t="shared" si="35"/>
        <v>147700</v>
      </c>
      <c r="AC38" s="30">
        <f t="shared" si="35"/>
        <v>267670</v>
      </c>
      <c r="AD38" s="35">
        <f t="shared" si="35"/>
        <v>1333810</v>
      </c>
      <c r="AF38" s="35">
        <f t="shared" ref="AF38:AS38" si="36">SUM(AF7:AF34)</f>
        <v>617.40000000000009</v>
      </c>
      <c r="AG38" s="35">
        <f t="shared" si="36"/>
        <v>750.55000000000018</v>
      </c>
      <c r="AH38" s="35">
        <f t="shared" si="36"/>
        <v>104.9</v>
      </c>
      <c r="AI38" s="35">
        <f t="shared" si="36"/>
        <v>146.70000000000002</v>
      </c>
      <c r="AJ38" s="35">
        <f t="shared" si="36"/>
        <v>545.29999999999995</v>
      </c>
      <c r="AK38" s="35">
        <f t="shared" si="36"/>
        <v>450.85000000000008</v>
      </c>
      <c r="AL38" s="35">
        <f t="shared" si="36"/>
        <v>326.54999999999995</v>
      </c>
      <c r="AM38" s="35">
        <f t="shared" si="36"/>
        <v>466.35</v>
      </c>
      <c r="AN38" s="35">
        <f t="shared" si="36"/>
        <v>566.55000000000007</v>
      </c>
      <c r="AO38" s="35">
        <f t="shared" si="36"/>
        <v>272.90000000000009</v>
      </c>
      <c r="AP38" s="35">
        <f t="shared" si="36"/>
        <v>344.15000000000003</v>
      </c>
      <c r="AQ38" s="35">
        <f t="shared" si="36"/>
        <v>738.5</v>
      </c>
      <c r="AR38" s="35">
        <f t="shared" si="36"/>
        <v>1338.3500000000001</v>
      </c>
      <c r="AS38" s="35">
        <f t="shared" si="36"/>
        <v>6669.05</v>
      </c>
      <c r="AU38" s="48"/>
      <c r="AV38" s="35">
        <f>SUM(AV7:AV34)</f>
        <v>37087</v>
      </c>
      <c r="AW38" s="35">
        <f>SUM(AW7:AW34)</f>
        <v>67.49199999999999</v>
      </c>
    </row>
    <row r="39" spans="1:49" x14ac:dyDescent="0.25">
      <c r="D39">
        <v>5.0000000000000001E-3</v>
      </c>
      <c r="AV39" s="36">
        <f>AV38*0.00378541*1000</f>
        <v>140389.50066999998</v>
      </c>
    </row>
    <row r="40" spans="1:49" x14ac:dyDescent="0.25">
      <c r="D40">
        <v>2E-3</v>
      </c>
      <c r="AV40">
        <f>AV39/31</f>
        <v>4528.6935699999995</v>
      </c>
    </row>
    <row r="41" spans="1:49" x14ac:dyDescent="0.25">
      <c r="AV41">
        <f>AV38*0.00378541</f>
        <v>140.38950066999999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2019-11-20T07:25:24Z</dcterms:modified>
</cp:coreProperties>
</file>